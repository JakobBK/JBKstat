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akob\Documents\Arbejde\Statistik\JBKstat\Opdelt i ark\"/>
    </mc:Choice>
  </mc:AlternateContent>
  <xr:revisionPtr revIDLastSave="0" documentId="8_{CE6211C1-6086-4687-98E1-0B6F53F5777C}" xr6:coauthVersionLast="46" xr6:coauthVersionMax="46" xr10:uidLastSave="{00000000-0000-0000-0000-000000000000}"/>
  <bookViews>
    <workbookView xWindow="-120" yWindow="-120" windowWidth="29040" windowHeight="15840" tabRatio="727" xr2:uid="{00000000-000D-0000-FFFF-FFFF00000000}"/>
  </bookViews>
  <sheets>
    <sheet name="Velkommen" sheetId="43" r:id="rId1"/>
    <sheet name="Sandsynlighed" sheetId="50" r:id="rId2"/>
  </sheets>
  <definedNames>
    <definedName name="SlB">_xlfn.ANCHORARRAY(Sandsynlighed!$AF$6)</definedName>
    <definedName name="SlG">_xlfn.ANCHORARRAY(Sandsynlighed!$W$6)</definedName>
    <definedName name="SlP">_xlfn.ANCHORARRAY(Sandsynlighed!$AO$6)</definedName>
    <definedName name="SxB">_xlfn.ANCHORARRAY(Sandsynlighed!$Z$6)</definedName>
    <definedName name="SxG">_xlfn.ANCHORARRAY(Sandsynlighed!$R$6)</definedName>
    <definedName name="SxP">_xlfn.ANCHORARRAY(Sandsynlighed!$AI$6)</definedName>
    <definedName name="SyBh">_xlfn.ANCHORARRAY(Sandsynlighed!$AE$6)</definedName>
    <definedName name="SyBp">_xlfn.ANCHORARRAY(Sandsynlighed!$AD$6)</definedName>
    <definedName name="SyBv">_xlfn.ANCHORARRAY(Sandsynlighed!$AC$6)</definedName>
    <definedName name="SyGh">_xlfn.ANCHORARRAY(Sandsynlighed!$V$6)</definedName>
    <definedName name="SyGs">_xlfn.ANCHORARRAY(Sandsynlighed!$T$6)</definedName>
    <definedName name="SyGv">_xlfn.ANCHORARRAY(Sandsynlighed!$U$6)</definedName>
    <definedName name="SyPh">_xlfn.ANCHORARRAY(Sandsynlighed!$AN$6)</definedName>
    <definedName name="SyPp">_xlfn.ANCHORARRAY(Sandsynlighed!$AM$6)</definedName>
    <definedName name="SyPv">_xlfn.ANCHORARRAY(Sandsynlighed!$AL$6)</definedName>
    <definedName name="V_Manual_Sandsynlighed">Velkommen!$A$29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H20" i="50" l="1"/>
  <c r="AH14" i="50"/>
  <c r="Y20" i="50"/>
  <c r="Y18" i="50"/>
  <c r="E32" i="50" s="1"/>
  <c r="Y16" i="50"/>
  <c r="Y32" i="50" s="1"/>
  <c r="Y14" i="50"/>
  <c r="Y22" i="50" s="1"/>
  <c r="Z6" i="50" s="1" a="1"/>
  <c r="Z6" i="50" s="1"/>
  <c r="R6" i="50" a="1"/>
  <c r="R6" i="50" s="1"/>
  <c r="Q20" i="50"/>
  <c r="B33" i="50" s="1"/>
  <c r="B34" i="50" s="1"/>
  <c r="Q16" i="50"/>
  <c r="Q14" i="50"/>
  <c r="AP6" i="50" l="1"/>
  <c r="AS6" i="50" s="1"/>
  <c r="Y24" i="50"/>
  <c r="Y44" i="50" s="1"/>
  <c r="Y28" i="50"/>
  <c r="H33" i="50" s="1"/>
  <c r="Y30" i="50"/>
  <c r="H34" i="50" s="1"/>
  <c r="Q18" i="50"/>
  <c r="B32" i="50" s="1"/>
  <c r="Y26" i="50"/>
  <c r="H32" i="50" s="1"/>
  <c r="Q26" i="50"/>
  <c r="Q28" i="50"/>
  <c r="AQ6" i="50" l="1"/>
  <c r="AP7" i="50" s="1"/>
  <c r="AQ7" i="50" s="1"/>
  <c r="Y38" i="50"/>
  <c r="Y12" i="50" s="1"/>
  <c r="E35" i="50"/>
  <c r="Y36" i="50"/>
  <c r="Y10" i="50" s="1"/>
  <c r="E34" i="50"/>
  <c r="S6" i="50" a="1"/>
  <c r="S6" i="50" s="1"/>
  <c r="Q30" i="50" s="1" a="1"/>
  <c r="Q30" i="50" s="1"/>
  <c r="Q32" i="50" s="1"/>
  <c r="Y34" i="50"/>
  <c r="E33" i="50"/>
  <c r="AA6" i="50" a="1"/>
  <c r="AA6" i="50" s="1"/>
  <c r="AB6" i="50" s="1" a="1"/>
  <c r="AB6" i="50" s="1"/>
  <c r="Y50" i="50" s="1" a="1"/>
  <c r="Y50" i="50" s="1"/>
  <c r="Y40" i="50"/>
  <c r="Y42" i="50"/>
  <c r="Y8" i="50" l="1"/>
  <c r="Y6" i="50"/>
  <c r="T6" i="50" a="1"/>
  <c r="T6" i="50" s="1"/>
  <c r="U6" i="50" s="1" a="1"/>
  <c r="U6" i="50" s="1"/>
  <c r="Q44" i="50" s="1" a="1"/>
  <c r="Q44" i="50" s="1"/>
  <c r="Q48" i="50" s="1" a="1"/>
  <c r="Q48" i="50" s="1"/>
  <c r="AS7" i="50"/>
  <c r="AR7" i="50"/>
  <c r="W6" i="50" a="1"/>
  <c r="W6" i="50" s="1"/>
  <c r="Q40" i="50"/>
  <c r="Q36" i="50"/>
  <c r="Q38" i="50"/>
  <c r="Q34" i="50"/>
  <c r="AD6" i="50" a="1"/>
  <c r="AD6" i="50" s="1"/>
  <c r="AC6" i="50" a="1"/>
  <c r="AC6" i="50" s="1"/>
  <c r="AE6" i="50" a="1"/>
  <c r="AE6" i="50" s="1"/>
  <c r="AF6" i="50" a="1"/>
  <c r="AF6" i="50" s="1"/>
  <c r="Y46" i="50" a="1"/>
  <c r="Y46" i="50" s="1"/>
  <c r="Y48" i="50" a="1"/>
  <c r="Y48" i="50" s="1"/>
  <c r="Q6" i="50" l="1"/>
  <c r="Q8" i="50"/>
  <c r="V6" i="50" a="1"/>
  <c r="V6" i="50" s="1"/>
  <c r="Q42" i="50" a="1"/>
  <c r="Q42" i="50" s="1"/>
  <c r="Q46" i="50" s="1" a="1"/>
  <c r="Q46" i="50" s="1"/>
  <c r="Q10" i="50"/>
  <c r="AP8" i="50"/>
  <c r="AQ8" i="50" s="1"/>
  <c r="AS8" i="50" s="1"/>
  <c r="Q12" i="50"/>
  <c r="AR8" i="50" l="1"/>
  <c r="AP9" i="50" s="1"/>
  <c r="AQ9" i="50" s="1"/>
  <c r="AS9" i="50" s="1"/>
  <c r="AR9" i="50" l="1"/>
  <c r="AP10" i="50" s="1"/>
  <c r="AQ10" i="50" s="1"/>
  <c r="AS10" i="50" s="1"/>
  <c r="AR10" i="50" l="1"/>
  <c r="AP11" i="50" s="1"/>
  <c r="AQ11" i="50" s="1"/>
  <c r="AS11" i="50" l="1"/>
  <c r="AR11" i="50" l="1"/>
  <c r="AP12" i="50" s="1"/>
  <c r="AQ12" i="50" s="1"/>
  <c r="AR12" i="50" l="1"/>
  <c r="AS12" i="50" l="1"/>
  <c r="AP13" i="50" s="1"/>
  <c r="AQ13" i="50" s="1"/>
  <c r="AS13" i="50" l="1"/>
  <c r="AR13" i="50" l="1"/>
  <c r="AP14" i="50" s="1"/>
  <c r="AQ14" i="50" l="1"/>
  <c r="AS14" i="50" s="1"/>
  <c r="AR14" i="50" l="1"/>
  <c r="AP15" i="50" s="1"/>
  <c r="AQ15" i="50" s="1"/>
  <c r="AR15" i="50" s="1"/>
  <c r="AS15" i="50" l="1"/>
  <c r="AP16" i="50" s="1"/>
  <c r="AQ16" i="50" s="1"/>
  <c r="AS16" i="50" s="1"/>
  <c r="AR16" i="50" l="1"/>
  <c r="AP17" i="50" s="1"/>
  <c r="AQ17" i="50" s="1"/>
  <c r="AS17" i="50" l="1"/>
  <c r="AR17" i="50" l="1"/>
  <c r="AP18" i="50" s="1"/>
  <c r="AQ18" i="50" s="1"/>
  <c r="H30" i="50"/>
  <c r="AS18" i="50" l="1"/>
  <c r="AR18" i="50" l="1"/>
  <c r="AP19" i="50" s="1"/>
  <c r="AQ19" i="50" s="1"/>
  <c r="AR19" i="50" l="1"/>
  <c r="AS19" i="50"/>
  <c r="AP20" i="50" l="1"/>
  <c r="AQ20" i="50" s="1"/>
  <c r="AS20" i="50" l="1"/>
  <c r="AR20" i="50" l="1"/>
  <c r="AP21" i="50" s="1"/>
  <c r="AQ21" i="50" s="1"/>
  <c r="AS21" i="50" l="1"/>
  <c r="AR21" i="50" l="1"/>
  <c r="AP22" i="50" s="1"/>
  <c r="AQ22" i="50" l="1"/>
  <c r="AS22" i="50" s="1"/>
  <c r="AR22" i="50" l="1"/>
  <c r="AP23" i="50" s="1"/>
  <c r="AQ23" i="50" s="1"/>
  <c r="AR23" i="50" s="1"/>
  <c r="AS23" i="50" l="1"/>
  <c r="AP24" i="50" s="1"/>
  <c r="AQ24" i="50" s="1"/>
  <c r="B30" i="50"/>
  <c r="E31" i="50"/>
  <c r="E30" i="50"/>
  <c r="B31" i="50"/>
  <c r="AR24" i="50" l="1"/>
  <c r="AS24" i="50"/>
  <c r="AP25" i="50" l="1"/>
  <c r="AQ25" i="50" s="1"/>
  <c r="AR25" i="50" l="1"/>
  <c r="AS25" i="50"/>
  <c r="AP26" i="50" l="1"/>
  <c r="AQ26" i="50" s="1"/>
  <c r="AR26" i="50" s="1"/>
  <c r="AS26" i="50" l="1"/>
  <c r="AP27" i="50" s="1"/>
  <c r="AQ27" i="50" s="1"/>
  <c r="AS27" i="50" s="1"/>
  <c r="AR27" i="50" l="1"/>
  <c r="AP28" i="50" s="1"/>
  <c r="AQ28" i="50" s="1"/>
  <c r="AS28" i="50" s="1"/>
  <c r="AR28" i="50" l="1"/>
  <c r="AP29" i="50" s="1"/>
  <c r="AQ29" i="50" s="1"/>
  <c r="AR29" i="50" s="1"/>
  <c r="AS29" i="50" l="1"/>
  <c r="AP30" i="50" s="1"/>
  <c r="AQ30" i="50" s="1"/>
  <c r="AS30" i="50" s="1"/>
  <c r="AR30" i="50" l="1"/>
  <c r="AP31" i="50" s="1"/>
  <c r="AQ31" i="50" s="1"/>
  <c r="AS31" i="50" l="1"/>
  <c r="AR31" i="50"/>
  <c r="AP32" i="50" s="1"/>
  <c r="AQ32" i="50" s="1"/>
  <c r="AS32" i="50" l="1"/>
  <c r="AR32" i="50"/>
  <c r="AP33" i="50" s="1"/>
  <c r="AQ33" i="50" s="1"/>
  <c r="AS33" i="50" l="1"/>
  <c r="AR33" i="50"/>
  <c r="AP34" i="50" l="1"/>
  <c r="AQ34" i="50" s="1"/>
  <c r="AR34" i="50" s="1"/>
  <c r="AS34" i="50" s="1"/>
  <c r="AH18" i="50" l="1"/>
  <c r="AH16" i="50" l="1"/>
  <c r="AH22" i="50" s="1"/>
  <c r="H31" i="50"/>
  <c r="AH26" i="50"/>
  <c r="AH32" i="50" s="1"/>
  <c r="AH8" i="50" s="1"/>
  <c r="AH28" i="50"/>
  <c r="AH34" i="50" s="1"/>
  <c r="AH10" i="50" s="1"/>
  <c r="AH30" i="50"/>
  <c r="AH36" i="50" s="1"/>
  <c r="AH12" i="50" s="1"/>
  <c r="AH6" i="50" l="1"/>
  <c r="AH24" i="50"/>
  <c r="AI6" i="50" a="1"/>
  <c r="AI6" i="50" s="1"/>
  <c r="AJ6" i="50" l="1" a="1"/>
  <c r="AJ6" i="50" s="1"/>
  <c r="AH42" i="50"/>
  <c r="AH40" i="50"/>
  <c r="AH38" i="50"/>
  <c r="AK6" i="50" l="1" a="1"/>
  <c r="AK6" i="50" s="1"/>
  <c r="AO6" i="50" a="1"/>
  <c r="AO6" i="50" s="1"/>
  <c r="AH48" i="50" l="1" a="1"/>
  <c r="AH48" i="50" s="1"/>
  <c r="AN6" i="50" a="1"/>
  <c r="AN6" i="50" s="1"/>
  <c r="AM6" i="50" a="1"/>
  <c r="AM6" i="50" s="1"/>
  <c r="AL6" i="50" a="1"/>
  <c r="AL6" i="50" s="1"/>
  <c r="AH44" i="50" a="1"/>
  <c r="AH44" i="50" s="1"/>
  <c r="AH46" i="50" a="1"/>
  <c r="AH46" i="50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<sst xmlns="http://schemas.openxmlformats.org/spreadsheetml/2006/main" count="143" uniqueCount="93">
  <si>
    <t>Gennemsnit</t>
  </si>
  <si>
    <t>Standardafvigelse</t>
  </si>
  <si>
    <t>Intensitet</t>
  </si>
  <si>
    <t>Formålet er at fremme læring af beskrivende statistik og statistisk analyse.</t>
  </si>
  <si>
    <t>X akse</t>
  </si>
  <si>
    <t>Analyse input</t>
  </si>
  <si>
    <t>Formål med JBKstat</t>
  </si>
  <si>
    <t>JBKstat er et værktøj til studerende på Erhvervsakademi Aarhus.</t>
  </si>
  <si>
    <t>X værdi af interesse</t>
  </si>
  <si>
    <t>Sandsynlighed</t>
  </si>
  <si>
    <t>Sandsynlighed af interesse</t>
  </si>
  <si>
    <t>Valg til analyse med normalfordeling</t>
  </si>
  <si>
    <t>Valg til analyse med binomialfordeling</t>
  </si>
  <si>
    <t xml:space="preserve">Gå til Manual i brug af Sandsynlighed arket               </t>
  </si>
  <si>
    <t>Antal forsøg</t>
  </si>
  <si>
    <t>1. Analyser sandsynligheder på arket Sandsynlighed</t>
  </si>
  <si>
    <t xml:space="preserve">Gå til Sandsynlighed                                                                     </t>
  </si>
  <si>
    <t xml:space="preserve">Gå til Manual i brug af Sandsynlighed arket                                      </t>
  </si>
  <si>
    <t>Manual i brug af Sandsynlighed arket</t>
  </si>
  <si>
    <t>Formålet med arket Sandsynlighed er at beregne sandsynligheder i fordelinger med kendte paraterværdier</t>
  </si>
  <si>
    <t xml:space="preserve">Gå til Sandsynlighed                                                                      </t>
  </si>
  <si>
    <t>1. Indtast parameterværdier</t>
  </si>
  <si>
    <t>2. Fortolk resultater</t>
  </si>
  <si>
    <t>This work is licensed under a Creative Commons Attribution-ShareAlike 4.0 International Public License</t>
  </si>
  <si>
    <t>Mindre end værdi af interesse</t>
  </si>
  <si>
    <t>Større end værdi af interesse</t>
  </si>
  <si>
    <t>Lig med værdi af interesse</t>
  </si>
  <si>
    <t>Beregn sandsynligheder og kritiske værdier i fordelinger</t>
  </si>
  <si>
    <t>Valg til analyse med poissonfordeling</t>
  </si>
  <si>
    <t>X Værdi af interesse</t>
  </si>
  <si>
    <t>Afrundet gennemsnit</t>
  </si>
  <si>
    <t>Afrundet standardafvigelse</t>
  </si>
  <si>
    <t>Antal datapunkter i tabel</t>
  </si>
  <si>
    <t>Maksimum x akse</t>
  </si>
  <si>
    <t>Analyse med normalfordeling</t>
  </si>
  <si>
    <t>Analyse med binomialfordeling</t>
  </si>
  <si>
    <t>Analyse med poissonfordeling</t>
  </si>
  <si>
    <t>Analyse med normalfordeling, titel</t>
  </si>
  <si>
    <t>Analyse med normalfordeling, serie 1</t>
  </si>
  <si>
    <t>Analyse med normalfordeling, serie 2</t>
  </si>
  <si>
    <t>Analyse med normalfordeling, serie 3</t>
  </si>
  <si>
    <t>Minimum x akse</t>
  </si>
  <si>
    <t>Afrunding decimaler</t>
  </si>
  <si>
    <t>Afrundet x af interesse</t>
  </si>
  <si>
    <t>Afrundet sandsynlighed af interesse</t>
  </si>
  <si>
    <t>Afrundet modsat sandsynlighed af interesse</t>
  </si>
  <si>
    <t>Visualisering ID, SxG</t>
  </si>
  <si>
    <t>Norm.dist, SyGs</t>
  </si>
  <si>
    <t>Afstand mellem x akse labels</t>
  </si>
  <si>
    <t>Label serie 1 x position</t>
  </si>
  <si>
    <t>Label serie 2 x position</t>
  </si>
  <si>
    <t>Label serie 1 y position</t>
  </si>
  <si>
    <t>Label serie 2 y position</t>
  </si>
  <si>
    <t>Serie 1, SyGv</t>
  </si>
  <si>
    <t>Serie 2, SyGh</t>
  </si>
  <si>
    <t>X akse label, SlG</t>
  </si>
  <si>
    <t>Analyse med binomialfordeling, titel</t>
  </si>
  <si>
    <t>Analyse med binomialfordeling, serie 1</t>
  </si>
  <si>
    <t>Analyse med binomialfordeling, serie 2</t>
  </si>
  <si>
    <t>Analyse med binomialfordeling, serie 3</t>
  </si>
  <si>
    <t>Afrundet sandsynlighed</t>
  </si>
  <si>
    <t>Afrundet sandsynlighed af interesse venstre</t>
  </si>
  <si>
    <t>Afrundet sandsynlighed af interesse præcis</t>
  </si>
  <si>
    <t>Afrundet sandsynlighed af interesse højre</t>
  </si>
  <si>
    <t>Sandsynlighed af interesse venstre</t>
  </si>
  <si>
    <t>Sandsynlighed af interesse præcis</t>
  </si>
  <si>
    <t>Sandsynlighed af interesse højre</t>
  </si>
  <si>
    <t>Visualisering ID, SxB</t>
  </si>
  <si>
    <t>Serie 1, SyBv</t>
  </si>
  <si>
    <t>X akse label, SlB</t>
  </si>
  <si>
    <t>Serie 3, SyBh</t>
  </si>
  <si>
    <t>Serie 2, SyBp</t>
  </si>
  <si>
    <t>Binom.dist SyBs</t>
  </si>
  <si>
    <t>Label serie 3 x position</t>
  </si>
  <si>
    <t>Label serie 3 y position</t>
  </si>
  <si>
    <t>Analyse med poissonfordeling, titel</t>
  </si>
  <si>
    <t>Serie 1, navn</t>
  </si>
  <si>
    <t>Serie 2, navn</t>
  </si>
  <si>
    <t>Serie 3, navn</t>
  </si>
  <si>
    <t>Gæt</t>
  </si>
  <si>
    <t>Poisson større end gæt</t>
  </si>
  <si>
    <t>Bedste gæt, øvre</t>
  </si>
  <si>
    <t>Bedste gæt, nedre</t>
  </si>
  <si>
    <t>Poisson inverse iterativ beregning (maksimum intensitet ca. 10 mio ved 28 iterationer)</t>
  </si>
  <si>
    <t>Visualisering ID, SxP</t>
  </si>
  <si>
    <t>Serie 1, SyPv</t>
  </si>
  <si>
    <t>Serie 2, SyPp</t>
  </si>
  <si>
    <t>Serie 3, SyPh</t>
  </si>
  <si>
    <t>X akse label, SlP</t>
  </si>
  <si>
    <t>X akse max</t>
  </si>
  <si>
    <t>Poisson.dist SyPs</t>
  </si>
  <si>
    <t>Anvendelse af JBKstat.Sandsynlighed</t>
  </si>
  <si>
    <t>v. 1.21.Sandsynlighed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</si>
</sst>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#.000"/>
    <numFmt numFmtId="165" formatCode="0.000%"/>
    <numFmt numFmtId="166" formatCode="#,##0.000"/>
    <numFmt numFmtId="167" formatCode="#,##0.00\ &quot;kr.&quot;"/>
    <numFmt numFmtId="168" formatCode="#,##0\ &quot;kr.&quot;"/>
    <numFmt numFmtId="169" formatCode="#,##0.0000000000000000"/>
    <numFmt numFmtId="170" formatCode="#,##0.000000000000000"/>
  </numFmts>
  <fonts count="18" x14ac:knownFonts="1">
    <font>
      <sz val="11"/>
      <color theme="1"/>
      <name val="Tw Cen MT"/>
      <family val="2"/>
      <scheme val="minor"/>
    </font>
    <font>
      <sz val="11"/>
      <color theme="1"/>
      <name val="Tw Cen MT"/>
      <family val="2"/>
      <scheme val="minor"/>
    </font>
    <font>
      <sz val="11"/>
      <color rgb="FF006100"/>
      <name val="Tw Cen MT"/>
      <family val="2"/>
      <scheme val="minor"/>
    </font>
    <font>
      <sz val="11"/>
      <color rgb="FF9C0006"/>
      <name val="Tw Cen MT"/>
      <family val="2"/>
      <scheme val="minor"/>
    </font>
    <font>
      <sz val="11"/>
      <color rgb="FF9C6500"/>
      <name val="Tw Cen MT"/>
      <family val="2"/>
      <scheme val="minor"/>
    </font>
    <font>
      <sz val="11"/>
      <color rgb="FF3F3F76"/>
      <name val="Tw Cen MT"/>
      <family val="2"/>
      <scheme val="minor"/>
    </font>
    <font>
      <sz val="11"/>
      <color rgb="FFFA7D00"/>
      <name val="Tw Cen MT"/>
      <family val="2"/>
      <scheme val="minor"/>
    </font>
    <font>
      <b/>
      <sz val="11"/>
      <color theme="0"/>
      <name val="Tw Cen MT"/>
      <family val="2"/>
      <scheme val="minor"/>
    </font>
    <font>
      <sz val="11"/>
      <color rgb="FFFF0000"/>
      <name val="Tw Cen MT"/>
      <family val="2"/>
      <scheme val="minor"/>
    </font>
    <font>
      <b/>
      <sz val="11"/>
      <color theme="1"/>
      <name val="Tw Cen MT"/>
      <family val="2"/>
      <scheme val="minor"/>
    </font>
    <font>
      <b/>
      <sz val="14"/>
      <name val="Tw Cen MT"/>
      <family val="2"/>
      <scheme val="minor"/>
    </font>
    <font>
      <b/>
      <sz val="11"/>
      <name val="Tw Cen MT"/>
      <family val="2"/>
      <scheme val="minor"/>
    </font>
    <font>
      <sz val="14"/>
      <color theme="1"/>
      <name val="Tw Cen MT"/>
      <family val="2"/>
      <scheme val="major"/>
    </font>
    <font>
      <i/>
      <sz val="11"/>
      <color rgb="FF7F7F7F"/>
      <name val="Tw Cen MT"/>
      <family val="2"/>
      <scheme val="minor"/>
    </font>
    <font>
      <sz val="11"/>
      <color theme="0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u/>
      <sz val="11"/>
      <color theme="10"/>
      <name val="Tw Cen MT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9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</fills>
  <borders count="4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double">
        <color auto="1"/>
      </bottom>
      <diagonal/>
    </border>
  </borders>
  <cellStyleXfs count="29">
    <xf numFmtId="0" fontId="0" fillId="0" borderId="0">
      <alignment vertical="top"/>
    </xf>
    <xf numFmtId="0" fontId="12" fillId="0" borderId="0" applyNumberFormat="0" applyFill="0" applyBorder="0" applyProtection="0">
      <alignment vertical="top"/>
    </xf>
    <xf numFmtId="0" fontId="10" fillId="0" borderId="0" applyNumberFormat="0" applyFill="0" applyBorder="0" applyProtection="0">
      <alignment vertical="top"/>
    </xf>
    <xf numFmtId="0" fontId="11" fillId="0" borderId="0" applyNumberFormat="0" applyFill="0" applyBorder="0" applyProtection="0">
      <alignment vertical="top"/>
    </xf>
    <xf numFmtId="0" fontId="16" fillId="0" borderId="2" applyNumberFormat="0" applyFont="0" applyFill="0" applyAlignment="0" applyProtection="0">
      <alignment vertical="top"/>
    </xf>
    <xf numFmtId="0" fontId="11" fillId="0" borderId="0" applyNumberFormat="0" applyFill="0" applyBorder="0" applyProtection="0">
      <alignment horizontal="centerContinuous" vertical="top" wrapText="1"/>
    </xf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0" applyNumberFormat="0" applyBorder="0" applyAlignment="0" applyProtection="0"/>
    <xf numFmtId="0" fontId="5" fillId="5" borderId="2" applyNumberFormat="0" applyAlignment="0" applyProtection="0"/>
    <xf numFmtId="164" fontId="11" fillId="0" borderId="2" applyNumberFormat="0" applyAlignment="0" applyProtection="0"/>
    <xf numFmtId="0" fontId="5" fillId="6" borderId="2" applyNumberFormat="0" applyAlignment="0" applyProtection="0"/>
    <xf numFmtId="0" fontId="6" fillId="0" borderId="1" applyNumberFormat="0" applyFill="0" applyAlignment="0" applyProtection="0"/>
    <xf numFmtId="0" fontId="7" fillId="7" borderId="2" applyNumberFormat="0" applyAlignment="0" applyProtection="0"/>
    <xf numFmtId="0" fontId="8" fillId="0" borderId="0" applyNumberFormat="0" applyFill="0" applyBorder="0" applyAlignment="0" applyProtection="0"/>
    <xf numFmtId="0" fontId="1" fillId="8" borderId="2" applyNumberFormat="0" applyAlignment="0" applyProtection="0">
      <alignment vertical="top" wrapText="1"/>
    </xf>
    <xf numFmtId="166" fontId="9" fillId="0" borderId="3" applyNumberFormat="0" applyFill="0" applyAlignment="0" applyProtection="0"/>
    <xf numFmtId="0" fontId="13" fillId="0" borderId="0" applyNumberFormat="0" applyAlignment="0" applyProtection="0">
      <alignment vertical="top"/>
    </xf>
    <xf numFmtId="166" fontId="1" fillId="0" borderId="0" applyFont="0" applyFill="0" applyBorder="0" applyAlignment="0" applyProtection="0"/>
    <xf numFmtId="3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" fillId="0" borderId="0" applyNumberFormat="0" applyFill="0" applyBorder="0" applyAlignment="0" applyProtection="0">
      <alignment vertical="top"/>
    </xf>
    <xf numFmtId="0" fontId="1" fillId="0" borderId="0" applyNumberFormat="0" applyFont="0" applyBorder="0" applyAlignment="0" applyProtection="0">
      <alignment vertical="top"/>
    </xf>
    <xf numFmtId="0" fontId="16" fillId="9" borderId="0" applyNumberFormat="0" applyBorder="0" applyAlignment="0" applyProtection="0"/>
    <xf numFmtId="0" fontId="17" fillId="0" borderId="0" applyNumberFormat="0" applyFill="0" applyBorder="0" applyAlignment="0" applyProtection="0">
      <alignment vertical="top"/>
    </xf>
    <xf numFmtId="0" fontId="14" fillId="12" borderId="0" applyNumberFormat="0" applyBorder="0" applyAlignment="0" applyProtection="0"/>
    <xf numFmtId="0" fontId="1" fillId="13" borderId="0" applyNumberFormat="0" applyBorder="0" applyAlignment="0" applyProtection="0"/>
  </cellStyleXfs>
  <cellXfs count="49">
    <xf numFmtId="0" fontId="0" fillId="0" borderId="0" xfId="0">
      <alignment vertical="top"/>
    </xf>
    <xf numFmtId="0" fontId="10" fillId="0" borderId="0" xfId="2">
      <alignment vertical="top"/>
    </xf>
    <xf numFmtId="0" fontId="5" fillId="5" borderId="2" xfId="9" applyAlignment="1">
      <alignment vertical="top"/>
    </xf>
    <xf numFmtId="0" fontId="11" fillId="0" borderId="0" xfId="3">
      <alignment vertical="top"/>
    </xf>
    <xf numFmtId="0" fontId="13" fillId="0" borderId="0" xfId="17">
      <alignment vertical="top"/>
    </xf>
    <xf numFmtId="0" fontId="17" fillId="0" borderId="0" xfId="26">
      <alignment vertical="top"/>
    </xf>
    <xf numFmtId="0" fontId="0" fillId="0" borderId="0" xfId="0" applyProtection="1">
      <alignment vertical="top"/>
      <protection locked="0"/>
    </xf>
    <xf numFmtId="0" fontId="10" fillId="0" borderId="0" xfId="2" applyProtection="1">
      <alignment vertical="top"/>
      <protection locked="0"/>
    </xf>
    <xf numFmtId="0" fontId="13" fillId="0" borderId="0" xfId="17" applyProtection="1">
      <alignment vertical="top"/>
      <protection locked="0"/>
    </xf>
    <xf numFmtId="0" fontId="10" fillId="0" borderId="0" xfId="2" applyProtection="1">
      <alignment vertical="top"/>
    </xf>
    <xf numFmtId="0" fontId="0" fillId="0" borderId="0" xfId="0" applyProtection="1">
      <alignment vertical="top"/>
    </xf>
    <xf numFmtId="0" fontId="0" fillId="0" borderId="2" xfId="4" applyFont="1" applyProtection="1">
      <alignment vertical="top"/>
    </xf>
    <xf numFmtId="0" fontId="13" fillId="0" borderId="0" xfId="17" applyProtection="1">
      <alignment vertical="top"/>
    </xf>
    <xf numFmtId="0" fontId="16" fillId="0" borderId="2" xfId="4" applyNumberFormat="1" applyFont="1" applyAlignment="1" applyProtection="1">
      <alignment vertical="top"/>
    </xf>
    <xf numFmtId="166" fontId="5" fillId="5" borderId="2" xfId="18" applyFont="1" applyFill="1" applyBorder="1" applyAlignment="1" applyProtection="1">
      <alignment vertical="top"/>
      <protection locked="0"/>
    </xf>
    <xf numFmtId="165" fontId="5" fillId="5" borderId="2" xfId="22" applyFont="1" applyFill="1" applyBorder="1" applyAlignment="1" applyProtection="1">
      <alignment vertical="top"/>
      <protection locked="0"/>
    </xf>
    <xf numFmtId="0" fontId="10" fillId="10" borderId="0" xfId="2" applyFill="1" applyProtection="1">
      <alignment vertical="top"/>
    </xf>
    <xf numFmtId="0" fontId="1" fillId="11" borderId="0" xfId="23" applyFill="1" applyAlignment="1" applyProtection="1"/>
    <xf numFmtId="0" fontId="14" fillId="12" borderId="0" xfId="27" applyAlignment="1">
      <alignment horizontal="left" vertical="top"/>
    </xf>
    <xf numFmtId="0" fontId="10" fillId="12" borderId="0" xfId="2" applyFill="1">
      <alignment vertical="top"/>
    </xf>
    <xf numFmtId="0" fontId="10" fillId="14" borderId="0" xfId="2" applyFill="1">
      <alignment vertical="top"/>
    </xf>
    <xf numFmtId="3" fontId="5" fillId="5" borderId="2" xfId="19" applyFont="1" applyFill="1" applyBorder="1" applyAlignment="1" applyProtection="1">
      <alignment vertical="top"/>
      <protection locked="0"/>
    </xf>
    <xf numFmtId="0" fontId="0" fillId="0" borderId="2" xfId="4" applyFont="1">
      <alignment vertical="top"/>
    </xf>
    <xf numFmtId="0" fontId="5" fillId="6" borderId="2" xfId="11" applyAlignment="1" applyProtection="1">
      <alignment vertical="top"/>
      <protection locked="0"/>
    </xf>
    <xf numFmtId="0" fontId="5" fillId="6" borderId="2" xfId="11" applyAlignment="1">
      <alignment vertical="top"/>
    </xf>
    <xf numFmtId="0" fontId="1" fillId="13" borderId="0" xfId="28" applyAlignment="1">
      <alignment vertical="top"/>
    </xf>
    <xf numFmtId="0" fontId="1" fillId="11" borderId="0" xfId="23" applyFill="1" applyAlignment="1">
      <alignment horizontal="left" vertical="top"/>
    </xf>
    <xf numFmtId="0" fontId="0" fillId="0" borderId="2" xfId="4" applyFont="1" applyProtection="1">
      <alignment vertical="top"/>
      <protection locked="0"/>
    </xf>
    <xf numFmtId="165" fontId="11" fillId="0" borderId="2" xfId="10" applyNumberFormat="1" applyAlignment="1" applyProtection="1">
      <alignment vertical="top"/>
      <protection locked="0"/>
    </xf>
    <xf numFmtId="166" fontId="11" fillId="0" borderId="2" xfId="10" applyNumberFormat="1" applyAlignment="1" applyProtection="1">
      <alignment vertical="top"/>
      <protection locked="0"/>
    </xf>
    <xf numFmtId="3" fontId="11" fillId="0" borderId="2" xfId="19" applyFont="1" applyBorder="1" applyAlignment="1" applyProtection="1">
      <alignment vertical="top"/>
      <protection locked="0"/>
    </xf>
    <xf numFmtId="165" fontId="11" fillId="0" borderId="2" xfId="22" applyFont="1" applyBorder="1" applyAlignment="1" applyProtection="1">
      <alignment vertical="top"/>
      <protection locked="0"/>
    </xf>
    <xf numFmtId="166" fontId="11" fillId="0" borderId="2" xfId="18" applyFont="1" applyBorder="1" applyAlignment="1" applyProtection="1">
      <alignment vertical="top"/>
      <protection locked="0"/>
    </xf>
    <xf numFmtId="0" fontId="5" fillId="0" borderId="2" xfId="24" applyFont="1" applyBorder="1" applyAlignment="1">
      <alignment vertical="top"/>
    </xf>
    <xf numFmtId="165" fontId="5" fillId="6" borderId="2" xfId="22" applyFont="1" applyFill="1" applyBorder="1" applyAlignment="1">
      <alignment vertical="top"/>
    </xf>
    <xf numFmtId="0" fontId="5" fillId="6" borderId="2" xfId="11" applyNumberFormat="1" applyAlignment="1" applyProtection="1">
      <alignment vertical="top"/>
      <protection locked="0"/>
    </xf>
    <xf numFmtId="166" fontId="5" fillId="6" borderId="2" xfId="11" applyNumberFormat="1" applyAlignment="1" applyProtection="1">
      <alignment vertical="top"/>
      <protection locked="0"/>
    </xf>
    <xf numFmtId="0" fontId="0" fillId="0" borderId="2" xfId="4" applyFont="1" applyFill="1">
      <alignment vertical="top"/>
    </xf>
    <xf numFmtId="3" fontId="5" fillId="6" borderId="2" xfId="11" applyNumberFormat="1" applyAlignment="1">
      <alignment vertical="top"/>
    </xf>
    <xf numFmtId="10" fontId="5" fillId="6" borderId="2" xfId="11" applyNumberFormat="1" applyAlignment="1" applyProtection="1">
      <alignment vertical="top"/>
      <protection locked="0"/>
    </xf>
    <xf numFmtId="165" fontId="5" fillId="6" borderId="2" xfId="22" applyFont="1" applyFill="1" applyBorder="1" applyAlignment="1" applyProtection="1">
      <alignment vertical="top"/>
      <protection locked="0"/>
    </xf>
    <xf numFmtId="165" fontId="5" fillId="6" borderId="2" xfId="11" applyNumberFormat="1" applyAlignment="1">
      <alignment vertical="top"/>
    </xf>
    <xf numFmtId="3" fontId="5" fillId="6" borderId="2" xfId="11" applyNumberFormat="1" applyAlignment="1" applyProtection="1">
      <alignment vertical="top"/>
      <protection locked="0"/>
    </xf>
    <xf numFmtId="2" fontId="5" fillId="6" borderId="2" xfId="11" applyNumberFormat="1" applyAlignment="1" applyProtection="1">
      <alignment vertical="top"/>
      <protection locked="0"/>
    </xf>
    <xf numFmtId="2" fontId="11" fillId="0" borderId="2" xfId="10" applyNumberFormat="1" applyAlignment="1" applyProtection="1">
      <alignment vertical="top"/>
      <protection locked="0"/>
    </xf>
    <xf numFmtId="169" fontId="5" fillId="6" borderId="2" xfId="11" applyNumberFormat="1" applyAlignment="1">
      <alignment vertical="top"/>
    </xf>
    <xf numFmtId="170" fontId="5" fillId="6" borderId="2" xfId="11" applyNumberFormat="1" applyAlignment="1">
      <alignment vertical="top"/>
    </xf>
    <xf numFmtId="3" fontId="5" fillId="0" borderId="2" xfId="24" applyNumberFormat="1" applyFont="1" applyBorder="1" applyAlignment="1" applyProtection="1">
      <alignment vertical="top"/>
      <protection locked="0"/>
    </xf>
    <xf numFmtId="2" fontId="5" fillId="0" borderId="2" xfId="24" applyNumberFormat="1" applyFont="1" applyBorder="1" applyAlignment="1" applyProtection="1">
      <alignment vertical="top"/>
      <protection locked="0"/>
    </xf>
  </cellXfs>
  <cellStyles count="29">
    <cellStyle name="20% - Accent2" xfId="28" builtinId="34"/>
    <cellStyle name="Accent2" xfId="27" builtinId="33"/>
    <cellStyle name="Accent6" xfId="25" builtinId="49" customBuiltin="1"/>
    <cellStyle name="Bad" xfId="7" builtinId="27" hidden="1"/>
    <cellStyle name="Calculation" xfId="11" builtinId="22" customBuiltin="1"/>
    <cellStyle name="Check Cell" xfId="13" builtinId="23" customBuiltin="1"/>
    <cellStyle name="Comma" xfId="18" builtinId="3" customBuiltin="1"/>
    <cellStyle name="Comma [0]" xfId="19" builtinId="6" customBuiltin="1"/>
    <cellStyle name="Currency" xfId="20" builtinId="4" customBuiltin="1"/>
    <cellStyle name="Currency [0]" xfId="21" builtinId="7" customBuiltin="1"/>
    <cellStyle name="Explanatory Text" xfId="17" builtinId="53" customBuiltin="1"/>
    <cellStyle name="Good" xfId="6" builtinId="26" hidde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26" builtinId="8"/>
    <cellStyle name="Input" xfId="9" builtinId="20" customBuiltin="1"/>
    <cellStyle name="Linked Cell" xfId="12" builtinId="24" hidden="1"/>
    <cellStyle name="Neutral" xfId="8" builtinId="28" hidden="1"/>
    <cellStyle name="Normal" xfId="0" builtinId="0" customBuiltin="1"/>
    <cellStyle name="Normal Fill" xfId="24" xr:uid="{F8B51D0D-85A6-44BC-88ED-53A39908D51E}"/>
    <cellStyle name="Normal Font" xfId="23" xr:uid="{38BB73A8-EBB3-49D5-98B5-B3C1275E03C2}"/>
    <cellStyle name="Note" xfId="15" builtinId="10" customBuiltin="1"/>
    <cellStyle name="Output" xfId="10" builtinId="21" customBuiltin="1"/>
    <cellStyle name="Percent" xfId="22" builtinId="5" customBuiltin="1"/>
    <cellStyle name="Title" xfId="1" builtinId="15" hidden="1" customBuiltin="1"/>
    <cellStyle name="Total" xfId="16" builtinId="25" customBuiltin="1"/>
    <cellStyle name="Warning Text" xfId="14" builtinId="11" hidden="1"/>
  </cellStyles>
  <dxfs count="121"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 patternType="none">
          <bgColor auto="1"/>
        </patternFill>
      </fill>
      <border>
        <left style="thick">
          <color theme="3" tint="-0.24994659260841701"/>
        </left>
      </border>
    </dxf>
    <dxf>
      <font>
        <b/>
        <i val="0"/>
        <color theme="0"/>
      </font>
      <fill>
        <patternFill>
          <bgColor theme="3"/>
        </patternFill>
      </fill>
    </dxf>
    <dxf>
      <border>
        <top style="thick">
          <color theme="3" tint="-0.24994659260841701"/>
        </top>
      </border>
    </dxf>
    <dxf>
      <font>
        <b/>
        <i val="0"/>
        <color theme="0"/>
      </font>
      <fill>
        <patternFill>
          <bgColor theme="3"/>
        </patternFill>
      </fill>
    </dxf>
    <dxf>
      <border>
        <left style="thin">
          <color theme="3" tint="0.39994506668294322"/>
        </left>
        <right style="thin">
          <color theme="3" tint="0.39994506668294322"/>
        </right>
        <top style="thin">
          <color theme="3" tint="0.39994506668294322"/>
        </top>
        <bottom style="thin">
          <color theme="3" tint="0.39994506668294322"/>
        </bottom>
        <vertical style="thin">
          <color theme="3" tint="0.39994506668294322"/>
        </vertical>
        <horizontal style="thin">
          <color theme="3" tint="0.39994506668294322"/>
        </horizontal>
      </border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 patternType="none">
          <bgColor auto="1"/>
        </patternFill>
      </fill>
      <border>
        <left style="thick">
          <color theme="9" tint="-0.24994659260841701"/>
        </left>
      </border>
    </dxf>
    <dxf>
      <font>
        <b/>
        <i val="0"/>
        <color theme="0"/>
      </font>
      <fill>
        <patternFill>
          <bgColor theme="9"/>
        </patternFill>
      </fill>
    </dxf>
    <dxf>
      <border>
        <top style="thick">
          <color theme="9" tint="-0.24994659260841701"/>
        </top>
      </border>
    </dxf>
    <dxf>
      <font>
        <b/>
        <i val="0"/>
        <color theme="0"/>
      </font>
      <fill>
        <patternFill>
          <bgColor theme="9"/>
        </patternFill>
      </fill>
    </dxf>
    <dxf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 style="thin">
          <color theme="9" tint="0.39994506668294322"/>
        </vertical>
        <horizontal style="thin">
          <color theme="9" tint="0.39994506668294322"/>
        </horizontal>
      </border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ill>
        <patternFill patternType="none">
          <bgColor auto="1"/>
        </patternFill>
      </fill>
      <border>
        <left style="thick">
          <color theme="8" tint="-0.24994659260841701"/>
        </left>
      </border>
    </dxf>
    <dxf>
      <font>
        <b/>
        <i val="0"/>
        <color theme="0"/>
      </font>
      <fill>
        <patternFill>
          <bgColor theme="8"/>
        </patternFill>
      </fill>
    </dxf>
    <dxf>
      <border>
        <top style="thick">
          <color theme="8" tint="-0.24994659260841701"/>
        </top>
      </border>
    </dxf>
    <dxf>
      <font>
        <b/>
        <i val="0"/>
        <color theme="0"/>
      </font>
      <fill>
        <patternFill>
          <bgColor theme="8"/>
        </patternFill>
      </fill>
    </dxf>
    <dxf>
      <border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  <vertical style="thin">
          <color theme="8" tint="0.39994506668294322"/>
        </vertical>
        <horizontal style="thin">
          <color theme="8" tint="0.39994506668294322"/>
        </horizontal>
      </border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 patternType="none">
          <bgColor auto="1"/>
        </patternFill>
      </fill>
      <border>
        <left style="thick">
          <color theme="7" tint="-0.24994659260841701"/>
        </left>
      </border>
    </dxf>
    <dxf>
      <font>
        <b/>
        <i val="0"/>
        <color theme="0"/>
      </font>
      <fill>
        <patternFill>
          <bgColor theme="7"/>
        </patternFill>
      </fill>
    </dxf>
    <dxf>
      <border>
        <top style="thick">
          <color theme="7" tint="-0.24994659260841701"/>
        </top>
      </border>
    </dxf>
    <dxf>
      <font>
        <b/>
        <i val="0"/>
        <color theme="0"/>
      </font>
      <fill>
        <patternFill>
          <bgColor theme="7"/>
        </patternFill>
      </fill>
    </dxf>
    <dxf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  <vertical style="thin">
          <color theme="7" tint="0.39994506668294322"/>
        </vertical>
        <horizontal style="thin">
          <color theme="7" tint="0.39994506668294322"/>
        </horizontal>
      </border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ill>
        <patternFill patternType="none">
          <bgColor auto="1"/>
        </patternFill>
      </fill>
      <border>
        <left style="thick">
          <color theme="6" tint="-0.24994659260841701"/>
        </left>
      </border>
    </dxf>
    <dxf>
      <font>
        <b/>
        <i val="0"/>
        <color theme="0"/>
      </font>
      <fill>
        <patternFill>
          <bgColor theme="6"/>
        </patternFill>
      </fill>
    </dxf>
    <dxf>
      <border>
        <top style="thick">
          <color theme="6" tint="-0.24994659260841701"/>
        </top>
      </border>
    </dxf>
    <dxf>
      <font>
        <b/>
        <i val="0"/>
        <color theme="0"/>
      </font>
      <fill>
        <patternFill>
          <bgColor theme="6"/>
        </patternFill>
      </fill>
    </dxf>
    <dxf>
      <border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 style="thin">
          <color theme="6" tint="0.39994506668294322"/>
        </vertical>
        <horizontal style="thin">
          <color theme="6" tint="0.39994506668294322"/>
        </horizontal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 patternType="none">
          <bgColor auto="1"/>
        </patternFill>
      </fill>
      <border>
        <left style="thick">
          <color theme="5" tint="-0.24994659260841701"/>
        </left>
      </border>
    </dxf>
    <dxf>
      <font>
        <b/>
        <i val="0"/>
        <color theme="0"/>
      </font>
      <fill>
        <patternFill>
          <bgColor theme="5"/>
        </patternFill>
      </fill>
    </dxf>
    <dxf>
      <border>
        <top style="thick">
          <color theme="5" tint="-0.24994659260841701"/>
        </top>
      </border>
    </dxf>
    <dxf>
      <font>
        <b/>
        <i val="0"/>
        <color theme="0"/>
      </font>
      <fill>
        <patternFill>
          <bgColor theme="5"/>
        </patternFill>
      </fill>
    </dxf>
    <dxf>
      <border>
        <left style="thin">
          <color theme="5" tint="0.39994506668294322"/>
        </left>
        <right style="thin">
          <color theme="5" tint="0.39994506668294322"/>
        </right>
        <top style="thin">
          <color theme="5" tint="0.39994506668294322"/>
        </top>
        <bottom style="thin">
          <color theme="5" tint="0.39994506668294322"/>
        </bottom>
        <vertical style="thin">
          <color theme="5" tint="0.39994506668294322"/>
        </vertical>
        <horizontal style="thin">
          <color theme="5" tint="0.39994506668294322"/>
        </horizontal>
      </border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 patternType="none">
          <bgColor auto="1"/>
        </patternFill>
      </fill>
      <border>
        <left style="thick">
          <color theme="4" tint="-0.24994659260841701"/>
        </left>
      </border>
    </dxf>
    <dxf>
      <font>
        <b/>
        <i val="0"/>
        <color theme="0"/>
      </font>
      <fill>
        <patternFill>
          <bgColor theme="4"/>
        </patternFill>
      </fill>
    </dxf>
    <dxf>
      <border>
        <top style="thick">
          <color theme="4" tint="-0.24994659260841701"/>
        </top>
      </border>
    </dxf>
    <dxf>
      <font>
        <b/>
        <i val="0"/>
        <color theme="0"/>
      </font>
      <fill>
        <patternFill>
          <bgColor theme="4"/>
        </patternFill>
      </fill>
    </dxf>
    <dxf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 style="thin">
          <color theme="4" tint="0.39994506668294322"/>
        </vertical>
        <horizontal style="thin">
          <color theme="4" tint="0.39994506668294322"/>
        </horizontal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 patternType="none">
          <bgColor auto="1"/>
        </patternFill>
      </fill>
      <border>
        <left style="thick">
          <color theme="1" tint="0.24994659260841701"/>
        </left>
      </border>
    </dxf>
    <dxf>
      <font>
        <b/>
        <i val="0"/>
        <color theme="0"/>
      </font>
      <fill>
        <patternFill>
          <bgColor theme="1"/>
        </patternFill>
      </fill>
    </dxf>
    <dxf>
      <border>
        <top style="thick">
          <color theme="1" tint="0.24994659260841701"/>
        </top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 style="thin">
          <color theme="1" tint="0.34998626667073579"/>
        </vertical>
        <horizontal style="thin">
          <color theme="1" tint="0.34998626667073579"/>
        </horizontal>
      </border>
    </dxf>
    <dxf>
      <border>
        <left style="thin">
          <color theme="9" tint="0.39994506668294322"/>
        </left>
        <right style="thin">
          <color theme="9" tint="0.39994506668294322"/>
        </right>
        <vertical style="thin">
          <color theme="9" tint="0.39994506668294322"/>
        </vertical>
      </border>
    </dxf>
    <dxf>
      <border>
        <left style="thin">
          <color theme="9" tint="0.39994506668294322"/>
        </left>
        <right style="thin">
          <color theme="9" tint="0.39994506668294322"/>
        </right>
        <vertical style="thin">
          <color theme="9" tint="0.39994506668294322"/>
        </vertical>
      </border>
    </dxf>
    <dxf>
      <border>
        <top style="thin">
          <color theme="9" tint="0.39994506668294322"/>
        </top>
        <bottom style="thin">
          <color theme="9" tint="0.39994506668294322"/>
        </bottom>
        <horizontal style="thin">
          <color theme="9" tint="0.39994506668294322"/>
        </horizontal>
      </border>
    </dxf>
    <dxf>
      <border>
        <top style="thin">
          <color theme="9" tint="0.39994506668294322"/>
        </top>
        <bottom style="thin">
          <color theme="9" tint="0.39994506668294322"/>
        </bottom>
        <horizontal style="thin">
          <color theme="9" tint="0.39994506668294322"/>
        </horizontal>
      </border>
    </dxf>
    <dxf>
      <fill>
        <patternFill patternType="none">
          <bgColor auto="1"/>
        </patternFill>
      </fill>
      <border>
        <left style="thick">
          <color theme="9" tint="-0.24994659260841701"/>
        </left>
      </border>
    </dxf>
    <dxf>
      <border>
        <top style="thick">
          <color theme="9" tint="-0.24994659260841701"/>
        </top>
      </border>
    </dxf>
    <dxf>
      <font>
        <b/>
        <i val="0"/>
        <color theme="0"/>
      </font>
      <fill>
        <patternFill>
          <bgColor theme="9"/>
        </patternFill>
      </fill>
    </dxf>
    <dxf>
      <border>
        <left style="thin">
          <color theme="9" tint="0.39994506668294322"/>
        </left>
        <right style="thin">
          <color theme="9" tint="0.39994506668294322"/>
        </right>
        <top style="thin">
          <color theme="9" tint="0.39994506668294322"/>
        </top>
        <bottom style="thin">
          <color theme="9" tint="0.39994506668294322"/>
        </bottom>
        <vertical/>
        <horizontal/>
      </border>
    </dxf>
    <dxf>
      <border>
        <left style="thin">
          <color theme="8" tint="0.39994506668294322"/>
        </left>
        <right style="thin">
          <color theme="8" tint="0.39994506668294322"/>
        </right>
        <vertical style="thin">
          <color theme="8" tint="0.39994506668294322"/>
        </vertical>
      </border>
    </dxf>
    <dxf>
      <border>
        <left style="thin">
          <color theme="8" tint="0.39994506668294322"/>
        </left>
        <right style="thin">
          <color theme="8" tint="0.39994506668294322"/>
        </right>
        <vertical style="thin">
          <color theme="8" tint="0.39994506668294322"/>
        </vertical>
      </border>
    </dxf>
    <dxf>
      <border>
        <top style="thin">
          <color theme="8" tint="0.39994506668294322"/>
        </top>
        <bottom style="thin">
          <color theme="8" tint="0.39994506668294322"/>
        </bottom>
        <horizontal style="thin">
          <color theme="8" tint="0.39994506668294322"/>
        </horizontal>
      </border>
    </dxf>
    <dxf>
      <border>
        <top style="thin">
          <color theme="8" tint="0.39994506668294322"/>
        </top>
        <bottom style="thin">
          <color theme="8" tint="0.39994506668294322"/>
        </bottom>
        <horizontal style="thin">
          <color theme="8" tint="0.39994506668294322"/>
        </horizontal>
      </border>
    </dxf>
    <dxf>
      <fill>
        <patternFill patternType="none">
          <bgColor auto="1"/>
        </patternFill>
      </fill>
      <border>
        <left style="thick">
          <color theme="8" tint="-0.24994659260841701"/>
        </left>
      </border>
    </dxf>
    <dxf>
      <border>
        <top style="thick">
          <color theme="8" tint="-0.24994659260841701"/>
        </top>
      </border>
    </dxf>
    <dxf>
      <font>
        <b/>
        <i val="0"/>
        <color theme="0"/>
      </font>
      <fill>
        <patternFill>
          <bgColor theme="8"/>
        </patternFill>
      </fill>
    </dxf>
    <dxf>
      <border>
        <left style="thin">
          <color theme="8" tint="0.39994506668294322"/>
        </left>
        <right style="thin">
          <color theme="8" tint="0.39994506668294322"/>
        </right>
        <top style="thin">
          <color theme="8" tint="0.39994506668294322"/>
        </top>
        <bottom style="thin">
          <color theme="8" tint="0.39994506668294322"/>
        </bottom>
        <vertical/>
        <horizontal/>
      </border>
    </dxf>
    <dxf>
      <border>
        <left style="thin">
          <color theme="7" tint="0.39994506668294322"/>
        </left>
        <right style="thin">
          <color theme="7" tint="0.39994506668294322"/>
        </right>
        <vertical style="thin">
          <color theme="7" tint="0.39994506668294322"/>
        </vertical>
      </border>
    </dxf>
    <dxf>
      <border>
        <left style="thin">
          <color theme="7" tint="0.39994506668294322"/>
        </left>
        <right style="thin">
          <color theme="7" tint="0.39994506668294322"/>
        </right>
        <vertical style="thin">
          <color theme="7" tint="0.39994506668294322"/>
        </vertical>
      </border>
    </dxf>
    <dxf>
      <border>
        <top style="thin">
          <color theme="7" tint="0.39994506668294322"/>
        </top>
        <bottom style="thin">
          <color theme="7" tint="0.39994506668294322"/>
        </bottom>
        <horizontal style="thin">
          <color theme="7" tint="0.39994506668294322"/>
        </horizontal>
      </border>
    </dxf>
    <dxf>
      <border>
        <top style="thin">
          <color theme="7" tint="0.39994506668294322"/>
        </top>
        <bottom style="thin">
          <color theme="7" tint="0.39994506668294322"/>
        </bottom>
        <horizontal style="thin">
          <color theme="7" tint="0.39994506668294322"/>
        </horizontal>
      </border>
    </dxf>
    <dxf>
      <fill>
        <patternFill patternType="none">
          <bgColor auto="1"/>
        </patternFill>
      </fill>
      <border>
        <left style="thick">
          <color theme="7" tint="-0.24994659260841701"/>
        </left>
      </border>
    </dxf>
    <dxf>
      <border>
        <top style="thick">
          <color theme="7" tint="-0.24994659260841701"/>
        </top>
      </border>
    </dxf>
    <dxf>
      <font>
        <b/>
        <i val="0"/>
        <color theme="0"/>
      </font>
      <fill>
        <patternFill>
          <bgColor theme="7"/>
        </patternFill>
      </fill>
    </dxf>
    <dxf>
      <border>
        <left style="thin">
          <color theme="7" tint="0.39994506668294322"/>
        </left>
        <right style="thin">
          <color theme="7" tint="0.39994506668294322"/>
        </right>
        <top style="thin">
          <color theme="7" tint="0.39994506668294322"/>
        </top>
        <bottom style="thin">
          <color theme="7" tint="0.39994506668294322"/>
        </bottom>
        <vertical/>
        <horizontal/>
      </border>
    </dxf>
    <dxf>
      <border>
        <left style="thin">
          <color theme="6" tint="0.39994506668294322"/>
        </left>
        <right style="thin">
          <color theme="6" tint="0.39994506668294322"/>
        </right>
        <vertical style="thin">
          <color theme="6" tint="0.39994506668294322"/>
        </vertical>
      </border>
    </dxf>
    <dxf>
      <border>
        <left style="thin">
          <color theme="6" tint="0.39994506668294322"/>
        </left>
        <right style="thin">
          <color theme="6" tint="0.39994506668294322"/>
        </right>
        <vertical style="thin">
          <color theme="6" tint="0.39994506668294322"/>
        </vertical>
      </border>
    </dxf>
    <dxf>
      <border>
        <top style="thin">
          <color theme="6" tint="0.39994506668294322"/>
        </top>
        <bottom style="thin">
          <color theme="6" tint="0.39994506668294322"/>
        </bottom>
        <horizontal style="thin">
          <color theme="6" tint="0.39994506668294322"/>
        </horizontal>
      </border>
    </dxf>
    <dxf>
      <border>
        <top style="thin">
          <color theme="6" tint="0.39994506668294322"/>
        </top>
        <bottom style="thin">
          <color theme="6" tint="0.39994506668294322"/>
        </bottom>
        <horizontal style="thin">
          <color theme="6" tint="0.39994506668294322"/>
        </horizontal>
      </border>
    </dxf>
    <dxf>
      <fill>
        <patternFill patternType="none">
          <bgColor auto="1"/>
        </patternFill>
      </fill>
      <border>
        <left style="thick">
          <color theme="6" tint="-0.24994659260841701"/>
        </left>
      </border>
    </dxf>
    <dxf>
      <border>
        <top style="thick">
          <color theme="6" tint="-0.24994659260841701"/>
        </top>
      </border>
    </dxf>
    <dxf>
      <font>
        <b/>
        <i val="0"/>
        <color theme="0"/>
      </font>
      <fill>
        <patternFill>
          <bgColor theme="6"/>
        </patternFill>
      </fill>
    </dxf>
    <dxf>
      <border>
        <left style="thin">
          <color theme="6" tint="0.39994506668294322"/>
        </left>
        <right style="thin">
          <color theme="6" tint="0.39994506668294322"/>
        </right>
        <top style="thin">
          <color theme="6" tint="0.39994506668294322"/>
        </top>
        <bottom style="thin">
          <color theme="6" tint="0.39994506668294322"/>
        </bottom>
        <vertical/>
        <horizontal/>
      </border>
    </dxf>
    <dxf>
      <border>
        <left style="thin">
          <color theme="5" tint="0.39994506668294322"/>
        </left>
        <right style="thin">
          <color theme="5" tint="0.39994506668294322"/>
        </right>
        <vertical style="thin">
          <color theme="5" tint="0.39994506668294322"/>
        </vertical>
      </border>
    </dxf>
    <dxf>
      <border>
        <left style="thin">
          <color theme="5" tint="0.39994506668294322"/>
        </left>
        <right style="thin">
          <color theme="5" tint="0.39994506668294322"/>
        </right>
        <vertical style="thin">
          <color theme="5" tint="0.39994506668294322"/>
        </vertical>
      </border>
    </dxf>
    <dxf>
      <border>
        <top style="thin">
          <color theme="5" tint="0.39994506668294322"/>
        </top>
        <bottom style="thin">
          <color theme="5" tint="0.39994506668294322"/>
        </bottom>
        <horizontal style="thin">
          <color theme="5" tint="0.39994506668294322"/>
        </horizontal>
      </border>
    </dxf>
    <dxf>
      <border>
        <top style="thin">
          <color theme="5" tint="0.39994506668294322"/>
        </top>
        <bottom style="thin">
          <color theme="5" tint="0.39994506668294322"/>
        </bottom>
        <horizontal style="thin">
          <color theme="5" tint="0.39994506668294322"/>
        </horizontal>
      </border>
    </dxf>
    <dxf>
      <fill>
        <patternFill patternType="none">
          <bgColor auto="1"/>
        </patternFill>
      </fill>
      <border>
        <left style="thick">
          <color theme="5" tint="-0.24994659260841701"/>
        </left>
      </border>
    </dxf>
    <dxf>
      <border>
        <top style="thick">
          <color theme="5" tint="-0.24994659260841701"/>
        </top>
      </border>
    </dxf>
    <dxf>
      <font>
        <b/>
        <i val="0"/>
        <color theme="0"/>
      </font>
      <fill>
        <patternFill>
          <bgColor theme="5"/>
        </patternFill>
      </fill>
    </dxf>
    <dxf>
      <border>
        <left style="thin">
          <color theme="5" tint="0.39994506668294322"/>
        </left>
        <right style="thin">
          <color theme="5" tint="0.39994506668294322"/>
        </right>
        <top style="thin">
          <color theme="5" tint="0.39994506668294322"/>
        </top>
        <bottom style="thin">
          <color theme="5" tint="0.39994506668294322"/>
        </bottom>
        <vertical/>
        <horizontal/>
      </border>
    </dxf>
    <dxf>
      <border>
        <left style="thin">
          <color theme="4" tint="0.39994506668294322"/>
        </left>
        <right style="thin">
          <color theme="4" tint="0.39994506668294322"/>
        </right>
        <vertical style="thin">
          <color theme="4" tint="0.39994506668294322"/>
        </vertical>
      </border>
    </dxf>
    <dxf>
      <border>
        <left style="thin">
          <color theme="4" tint="0.39994506668294322"/>
        </left>
        <right style="thin">
          <color theme="4" tint="0.39994506668294322"/>
        </right>
        <vertical style="thin">
          <color theme="4" tint="0.39994506668294322"/>
        </vertical>
      </border>
    </dxf>
    <dxf>
      <border>
        <top style="thin">
          <color theme="4" tint="0.39994506668294322"/>
        </top>
        <bottom style="thin">
          <color theme="4" tint="0.39994506668294322"/>
        </bottom>
        <horizontal style="thin">
          <color theme="4" tint="0.39994506668294322"/>
        </horizontal>
      </border>
    </dxf>
    <dxf>
      <border>
        <top style="thin">
          <color theme="4" tint="0.39994506668294322"/>
        </top>
        <bottom style="thin">
          <color theme="4" tint="0.39994506668294322"/>
        </bottom>
        <horizontal style="thin">
          <color theme="4" tint="0.39994506668294322"/>
        </horizontal>
      </border>
    </dxf>
    <dxf>
      <fill>
        <patternFill patternType="none">
          <bgColor auto="1"/>
        </patternFill>
      </fill>
      <border>
        <left style="thick">
          <color theme="4" tint="-0.24994659260841701"/>
        </left>
      </border>
    </dxf>
    <dxf>
      <border>
        <top style="thick">
          <color theme="4" tint="-0.24994659260841701"/>
        </top>
      </border>
    </dxf>
    <dxf>
      <font>
        <b/>
        <i val="0"/>
        <color theme="0"/>
      </font>
      <fill>
        <patternFill>
          <bgColor theme="4"/>
        </patternFill>
      </fill>
    </dxf>
    <dxf>
      <border>
        <left style="thin">
          <color theme="4" tint="0.39994506668294322"/>
        </left>
        <right style="thin">
          <color theme="4" tint="0.39994506668294322"/>
        </right>
        <top style="thin">
          <color theme="4" tint="0.39994506668294322"/>
        </top>
        <bottom style="thin">
          <color theme="4" tint="0.39994506668294322"/>
        </bottom>
        <vertical/>
        <horizontal/>
      </border>
    </dxf>
    <dxf>
      <border>
        <left style="thin">
          <color theme="1" tint="0.34998626667073579"/>
        </left>
        <right style="thin">
          <color theme="1" tint="0.34998626667073579"/>
        </right>
        <vertical style="thin">
          <color theme="1" tint="0.34998626667073579"/>
        </vertical>
      </border>
    </dxf>
    <dxf>
      <border>
        <left style="thin">
          <color theme="1" tint="0.34998626667073579"/>
        </left>
        <right style="thin">
          <color theme="1" tint="0.34998626667073579"/>
        </right>
        <vertical style="thin">
          <color theme="1" tint="0.34998626667073579"/>
        </vertical>
      </border>
    </dxf>
    <dxf>
      <border>
        <top style="thin">
          <color theme="1" tint="0.34998626667073579"/>
        </top>
        <bottom style="thin">
          <color theme="1" tint="0.34998626667073579"/>
        </bottom>
        <horizontal style="thin">
          <color theme="1" tint="0.34998626667073579"/>
        </horizontal>
      </border>
    </dxf>
    <dxf>
      <border>
        <top style="thin">
          <color theme="1" tint="0.34998626667073579"/>
        </top>
        <bottom style="thin">
          <color theme="1" tint="0.34998626667073579"/>
        </bottom>
        <horizontal style="thin">
          <color theme="1" tint="0.34998626667073579"/>
        </horizontal>
      </border>
    </dxf>
    <dxf>
      <fill>
        <patternFill patternType="none">
          <bgColor auto="1"/>
        </patternFill>
      </fill>
      <border>
        <left style="thick">
          <color theme="1" tint="0.24994659260841701"/>
        </left>
      </border>
    </dxf>
    <dxf>
      <border>
        <top style="thick">
          <color theme="1" tint="0.24994659260841701"/>
        </top>
      </border>
    </dxf>
    <dxf>
      <font>
        <b/>
        <i val="0"/>
        <color theme="0"/>
      </font>
      <fill>
        <patternFill>
          <bgColor theme="1"/>
        </patternFill>
      </fill>
    </dxf>
    <dxf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</dxfs>
  <tableStyles count="15" defaultTableStyle="Table 1" defaultPivotStyle="PivotStyleLight16">
    <tableStyle name="List 0" pivot="0" count="8" xr9:uid="{00000000-0011-0000-FFFF-FFFF00000000}">
      <tableStyleElement type="wholeTable" dxfId="120"/>
      <tableStyleElement type="headerRow" dxfId="119"/>
      <tableStyleElement type="totalRow" dxfId="118"/>
      <tableStyleElement type="lastColumn" dxfId="117"/>
      <tableStyleElement type="firstRowStripe" dxfId="116"/>
      <tableStyleElement type="secondRowStripe" dxfId="115"/>
      <tableStyleElement type="firstColumnStripe" dxfId="114"/>
      <tableStyleElement type="secondColumnStripe" dxfId="113"/>
    </tableStyle>
    <tableStyle name="List 1" pivot="0" count="8" xr9:uid="{00000000-0011-0000-FFFF-FFFF01000000}">
      <tableStyleElement type="wholeTable" dxfId="112"/>
      <tableStyleElement type="headerRow" dxfId="111"/>
      <tableStyleElement type="totalRow" dxfId="110"/>
      <tableStyleElement type="lastColumn" dxfId="109"/>
      <tableStyleElement type="firstRowStripe" dxfId="108"/>
      <tableStyleElement type="secondRowStripe" dxfId="107"/>
      <tableStyleElement type="firstColumnStripe" dxfId="106"/>
      <tableStyleElement type="secondColumnStripe" dxfId="105"/>
    </tableStyle>
    <tableStyle name="List 2" pivot="0" count="8" xr9:uid="{00000000-0011-0000-FFFF-FFFF02000000}">
      <tableStyleElement type="wholeTable" dxfId="104"/>
      <tableStyleElement type="headerRow" dxfId="103"/>
      <tableStyleElement type="totalRow" dxfId="102"/>
      <tableStyleElement type="lastColumn" dxfId="101"/>
      <tableStyleElement type="firstRowStripe" dxfId="100"/>
      <tableStyleElement type="secondRowStripe" dxfId="99"/>
      <tableStyleElement type="firstColumnStripe" dxfId="98"/>
      <tableStyleElement type="secondColumnStripe" dxfId="97"/>
    </tableStyle>
    <tableStyle name="List 3" pivot="0" count="8" xr9:uid="{00000000-0011-0000-FFFF-FFFF03000000}">
      <tableStyleElement type="wholeTable" dxfId="96"/>
      <tableStyleElement type="headerRow" dxfId="95"/>
      <tableStyleElement type="totalRow" dxfId="94"/>
      <tableStyleElement type="lastColumn" dxfId="93"/>
      <tableStyleElement type="firstRowStripe" dxfId="92"/>
      <tableStyleElement type="secondRowStripe" dxfId="91"/>
      <tableStyleElement type="firstColumnStripe" dxfId="90"/>
      <tableStyleElement type="secondColumnStripe" dxfId="89"/>
    </tableStyle>
    <tableStyle name="List 4" pivot="0" count="8" xr9:uid="{00000000-0011-0000-FFFF-FFFF04000000}">
      <tableStyleElement type="wholeTable" dxfId="88"/>
      <tableStyleElement type="headerRow" dxfId="87"/>
      <tableStyleElement type="totalRow" dxfId="86"/>
      <tableStyleElement type="lastColumn" dxfId="85"/>
      <tableStyleElement type="firstRowStripe" dxfId="84"/>
      <tableStyleElement type="secondRowStripe" dxfId="83"/>
      <tableStyleElement type="firstColumnStripe" dxfId="82"/>
      <tableStyleElement type="secondColumnStripe" dxfId="81"/>
    </tableStyle>
    <tableStyle name="List 5" pivot="0" count="8" xr9:uid="{00000000-0011-0000-FFFF-FFFF05000000}">
      <tableStyleElement type="wholeTable" dxfId="80"/>
      <tableStyleElement type="headerRow" dxfId="79"/>
      <tableStyleElement type="totalRow" dxfId="78"/>
      <tableStyleElement type="lastColumn" dxfId="77"/>
      <tableStyleElement type="firstRowStripe" dxfId="76"/>
      <tableStyleElement type="secondRowStripe" dxfId="75"/>
      <tableStyleElement type="firstColumnStripe" dxfId="74"/>
      <tableStyleElement type="secondColumnStripe" dxfId="73"/>
    </tableStyle>
    <tableStyle name="List 6" pivot="0" count="8" xr9:uid="{00000000-0011-0000-FFFF-FFFF06000000}">
      <tableStyleElement type="wholeTable" dxfId="72"/>
      <tableStyleElement type="headerRow" dxfId="71"/>
      <tableStyleElement type="totalRow" dxfId="70"/>
      <tableStyleElement type="lastColumn" dxfId="69"/>
      <tableStyleElement type="firstRowStripe" dxfId="68"/>
      <tableStyleElement type="secondRowStripe" dxfId="67"/>
      <tableStyleElement type="firstColumnStripe" dxfId="66"/>
      <tableStyleElement type="secondColumnStripe" dxfId="65"/>
    </tableStyle>
    <tableStyle name="Table 0" pivot="0" count="7" xr9:uid="{00000000-0011-0000-FFFF-FFFF07000000}">
      <tableStyleElement type="wholeTable" dxfId="64"/>
      <tableStyleElement type="headerRow" dxfId="63"/>
      <tableStyleElement type="totalRow" dxfId="62"/>
      <tableStyleElement type="firstColumn" dxfId="61"/>
      <tableStyleElement type="lastColumn" dxfId="60"/>
      <tableStyleElement type="secondRowStripe" dxfId="59"/>
      <tableStyleElement type="secondColumnStripe" dxfId="58"/>
    </tableStyle>
    <tableStyle name="Table 1" pivot="0" count="7" xr9:uid="{00000000-0011-0000-FFFF-FFFF08000000}">
      <tableStyleElement type="wholeTable" dxfId="57"/>
      <tableStyleElement type="headerRow" dxfId="56"/>
      <tableStyleElement type="totalRow" dxfId="55"/>
      <tableStyleElement type="firstColumn" dxfId="54"/>
      <tableStyleElement type="lastColumn" dxfId="53"/>
      <tableStyleElement type="secondRowStripe" dxfId="52"/>
      <tableStyleElement type="secondColumnStripe" dxfId="51"/>
    </tableStyle>
    <tableStyle name="Table 2" pivot="0" count="7" xr9:uid="{00000000-0011-0000-FFFF-FFFF09000000}">
      <tableStyleElement type="wholeTable" dxfId="50"/>
      <tableStyleElement type="headerRow" dxfId="49"/>
      <tableStyleElement type="totalRow" dxfId="48"/>
      <tableStyleElement type="firstColumn" dxfId="47"/>
      <tableStyleElement type="lastColumn" dxfId="46"/>
      <tableStyleElement type="secondRowStripe" dxfId="45"/>
      <tableStyleElement type="secondColumnStripe" dxfId="44"/>
    </tableStyle>
    <tableStyle name="Table 3" pivot="0" count="7" xr9:uid="{00000000-0011-0000-FFFF-FFFF0A000000}">
      <tableStyleElement type="wholeTable" dxfId="43"/>
      <tableStyleElement type="headerRow" dxfId="42"/>
      <tableStyleElement type="totalRow" dxfId="41"/>
      <tableStyleElement type="firstColumn" dxfId="40"/>
      <tableStyleElement type="lastColumn" dxfId="39"/>
      <tableStyleElement type="secondRowStripe" dxfId="38"/>
      <tableStyleElement type="secondColumnStripe" dxfId="37"/>
    </tableStyle>
    <tableStyle name="Table 4" pivot="0" count="7" xr9:uid="{00000000-0011-0000-FFFF-FFFF0B000000}">
      <tableStyleElement type="wholeTable" dxfId="36"/>
      <tableStyleElement type="headerRow" dxfId="35"/>
      <tableStyleElement type="totalRow" dxfId="34"/>
      <tableStyleElement type="firstColumn" dxfId="33"/>
      <tableStyleElement type="lastColumn" dxfId="32"/>
      <tableStyleElement type="secondRowStripe" dxfId="31"/>
      <tableStyleElement type="secondColumnStripe" dxfId="30"/>
    </tableStyle>
    <tableStyle name="Table 5" pivot="0" count="7" xr9:uid="{00000000-0011-0000-FFFF-FFFF0C000000}">
      <tableStyleElement type="wholeTable" dxfId="29"/>
      <tableStyleElement type="headerRow" dxfId="28"/>
      <tableStyleElement type="totalRow" dxfId="27"/>
      <tableStyleElement type="firstColumn" dxfId="26"/>
      <tableStyleElement type="lastColumn" dxfId="25"/>
      <tableStyleElement type="secondRowStripe" dxfId="24"/>
      <tableStyleElement type="secondColumnStripe" dxfId="23"/>
    </tableStyle>
    <tableStyle name="Table 6" pivot="0" count="7" xr9:uid="{00000000-0011-0000-FFFF-FFFF0D000000}">
      <tableStyleElement type="wholeTable" dxfId="22"/>
      <tableStyleElement type="headerRow" dxfId="21"/>
      <tableStyleElement type="totalRow" dxfId="20"/>
      <tableStyleElement type="firstColumn" dxfId="19"/>
      <tableStyleElement type="lastColumn" dxfId="18"/>
      <tableStyleElement type="secondRowStripe" dxfId="17"/>
      <tableStyleElement type="secondColumnStripe" dxfId="16"/>
    </tableStyle>
    <tableStyle name="Table 7" pivot="0" count="7" xr9:uid="{6BE13D90-1AF0-4518-A1F1-60987CE17347}">
      <tableStyleElement type="wholeTable" dxfId="15"/>
      <tableStyleElement type="headerRow" dxfId="14"/>
      <tableStyleElement type="totalRow" dxfId="13"/>
      <tableStyleElement type="firstColumn" dxfId="12"/>
      <tableStyleElement type="lastColumn" dxfId="11"/>
      <tableStyleElement type="secondRowStripe" dxfId="10"/>
      <tableStyleElement type="secondColumnStripe" dxfId="9"/>
    </tableStyle>
  </tableStyles>
  <colors>
    <mruColors>
      <color rgb="FFFFC7CE"/>
      <color rgb="FF9C0006"/>
      <color rgb="FFD9D9D9"/>
      <color rgb="FF7F7F7F"/>
      <color rgb="FF3F3F76"/>
      <color rgb="FFBFBFBF"/>
      <color rgb="FF3F3F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ustomXml" Target="../customXml/item4.xml"/><Relationship Id="rId5" Type="http://schemas.openxmlformats.org/officeDocument/2006/relationships/sharedStrings" Target="sharedStrings.xml"/><Relationship Id="rId10" Type="http://schemas.openxmlformats.org/officeDocument/2006/relationships/customXml" Target="../customXml/item3.xml"/><Relationship Id="rId4" Type="http://schemas.openxmlformats.org/officeDocument/2006/relationships/styles" Target="styles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Sandsynlighed!$Q$6</c:f>
          <c:strCache>
            <c:ptCount val="1"/>
            <c:pt idx="0">
              <c:v>Normalfordeling
(Gennemsnit = 50 ; Standardafvigelse = 20)
P(observation &lt; 66.83) = 80%
P(observation &gt; 66.83) = 20%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084952005756373"/>
          <c:y val="0.39605539697501607"/>
          <c:w val="0.7982489213142222"/>
          <c:h val="0.45222910206406358"/>
        </c:manualLayout>
      </c:layout>
      <c:areaChart>
        <c:grouping val="standard"/>
        <c:varyColors val="0"/>
        <c:ser>
          <c:idx val="0"/>
          <c:order val="0"/>
          <c:tx>
            <c:strRef>
              <c:f>Sandsynlighed!$Q$8</c:f>
              <c:strCache>
                <c:ptCount val="1"/>
                <c:pt idx="0">
                  <c:v>80%
mindre end
66.83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[0]!SlG</c:f>
              <c:strCache>
                <c:ptCount val="250"/>
                <c:pt idx="0">
                  <c:v>-11.8</c:v>
                </c:pt>
                <c:pt idx="25">
                  <c:v>0.61</c:v>
                </c:pt>
                <c:pt idx="50">
                  <c:v>13.02</c:v>
                </c:pt>
                <c:pt idx="75">
                  <c:v>25.43</c:v>
                </c:pt>
                <c:pt idx="100">
                  <c:v>37.84</c:v>
                </c:pt>
                <c:pt idx="125">
                  <c:v>50.25</c:v>
                </c:pt>
                <c:pt idx="150">
                  <c:v>62.66</c:v>
                </c:pt>
                <c:pt idx="175">
                  <c:v>75.07</c:v>
                </c:pt>
                <c:pt idx="200">
                  <c:v>87.48</c:v>
                </c:pt>
                <c:pt idx="225">
                  <c:v>99.89</c:v>
                </c:pt>
                <c:pt idx="249">
                  <c:v>111.8</c:v>
                </c:pt>
              </c:strCache>
            </c:strRef>
          </c:cat>
          <c:val>
            <c:numRef>
              <c:f>[0]!SyGv</c:f>
              <c:numCache>
                <c:formatCode>General</c:formatCode>
                <c:ptCount val="250"/>
                <c:pt idx="0">
                  <c:v>3.3670900770639959E-3</c:v>
                </c:pt>
                <c:pt idx="1">
                  <c:v>3.634399675604996E-3</c:v>
                </c:pt>
                <c:pt idx="2">
                  <c:v>3.9205145601637383E-3</c:v>
                </c:pt>
                <c:pt idx="3">
                  <c:v>4.2265488515956821E-3</c:v>
                </c:pt>
                <c:pt idx="4">
                  <c:v>4.5536657674760525E-3</c:v>
                </c:pt>
                <c:pt idx="5">
                  <c:v>4.9030784780939377E-3</c:v>
                </c:pt>
                <c:pt idx="6">
                  <c:v>5.2760508692726331E-3</c:v>
                </c:pt>
                <c:pt idx="7">
                  <c:v>5.6738982018815585E-3</c:v>
                </c:pt>
                <c:pt idx="8">
                  <c:v>6.0979876575868825E-3</c:v>
                </c:pt>
                <c:pt idx="9">
                  <c:v>6.5497387600978859E-3</c:v>
                </c:pt>
                <c:pt idx="10">
                  <c:v>7.0306236609098431E-3</c:v>
                </c:pt>
                <c:pt idx="11">
                  <c:v>7.5421672783237822E-3</c:v>
                </c:pt>
                <c:pt idx="12">
                  <c:v>8.085947278345074E-3</c:v>
                </c:pt>
                <c:pt idx="13">
                  <c:v>8.6635938859280798E-3</c:v>
                </c:pt>
                <c:pt idx="14">
                  <c:v>9.2767895149492557E-3</c:v>
                </c:pt>
                <c:pt idx="15">
                  <c:v>9.9272682052590783E-3</c:v>
                </c:pt>
                <c:pt idx="16">
                  <c:v>1.0616814855188389E-2</c:v>
                </c:pt>
                <c:pt idx="17">
                  <c:v>1.1347264237970188E-2</c:v>
                </c:pt>
                <c:pt idx="18">
                  <c:v>1.212049979068994E-2</c:v>
                </c:pt>
                <c:pt idx="19">
                  <c:v>1.2938452164596234E-2</c:v>
                </c:pt>
                <c:pt idx="20">
                  <c:v>1.3803097525895824E-2</c:v>
                </c:pt>
                <c:pt idx="21">
                  <c:v>1.4716455596524172E-2</c:v>
                </c:pt>
                <c:pt idx="22">
                  <c:v>1.5680587424828297E-2</c:v>
                </c:pt>
                <c:pt idx="23">
                  <c:v>1.6697592876625731E-2</c:v>
                </c:pt>
                <c:pt idx="24">
                  <c:v>1.7769607837714165E-2</c:v>
                </c:pt>
                <c:pt idx="25">
                  <c:v>1.8898801119602578E-2</c:v>
                </c:pt>
                <c:pt idx="26">
                  <c:v>2.008737106101895E-2</c:v>
                </c:pt>
                <c:pt idx="27">
                  <c:v>2.1337541818621984E-2</c:v>
                </c:pt>
                <c:pt idx="28">
                  <c:v>2.265155934130612E-2</c:v>
                </c:pt>
                <c:pt idx="29">
                  <c:v>2.403168702354121E-2</c:v>
                </c:pt>
                <c:pt idx="30">
                  <c:v>2.5480201034328312E-2</c:v>
                </c:pt>
                <c:pt idx="31">
                  <c:v>2.6999385319583014E-2</c:v>
                </c:pt>
                <c:pt idx="32">
                  <c:v>2.8591526277073009E-2</c:v>
                </c:pt>
                <c:pt idx="33">
                  <c:v>3.0258907104437256E-2</c:v>
                </c:pt>
                <c:pt idx="34">
                  <c:v>3.2003801822296514E-2</c:v>
                </c:pt>
                <c:pt idx="35">
                  <c:v>3.382846897602549E-2</c:v>
                </c:pt>
                <c:pt idx="36">
                  <c:v>3.573514502139017E-2</c:v>
                </c:pt>
                <c:pt idx="37">
                  <c:v>3.7726037400958284E-2</c:v>
                </c:pt>
                <c:pt idx="38">
                  <c:v>3.9803317319956046E-2</c:v>
                </c:pt>
                <c:pt idx="39">
                  <c:v>4.1969112232068333E-2</c:v>
                </c:pt>
                <c:pt idx="40">
                  <c:v>4.4225498047551264E-2</c:v>
                </c:pt>
                <c:pt idx="41">
                  <c:v>4.6574491077940997E-2</c:v>
                </c:pt>
                <c:pt idx="42">
                  <c:v>4.9018039733589557E-2</c:v>
                </c:pt>
                <c:pt idx="43">
                  <c:v>5.1558015992230706E-2</c:v>
                </c:pt>
                <c:pt idx="44">
                  <c:v>5.4196206658762222E-2</c:v>
                </c:pt>
                <c:pt idx="45">
                  <c:v>5.6934304438421797E-2</c:v>
                </c:pt>
                <c:pt idx="46">
                  <c:v>5.9773898847512365E-2</c:v>
                </c:pt>
                <c:pt idx="47">
                  <c:v>6.2716466987796121E-2</c:v>
                </c:pt>
                <c:pt idx="48">
                  <c:v>6.5763364212604189E-2</c:v>
                </c:pt>
                <c:pt idx="49">
                  <c:v>6.8915814714596207E-2</c:v>
                </c:pt>
                <c:pt idx="50">
                  <c:v>7.2174902066932223E-2</c:v>
                </c:pt>
                <c:pt idx="51">
                  <c:v>7.5541559751377427E-2</c:v>
                </c:pt>
                <c:pt idx="52">
                  <c:v>7.9016561708534841E-2</c:v>
                </c:pt>
                <c:pt idx="53">
                  <c:v>8.2600512946980065E-2</c:v>
                </c:pt>
                <c:pt idx="54">
                  <c:v>8.6293840249536694E-2</c:v>
                </c:pt>
                <c:pt idx="55">
                  <c:v>9.0096783016275647E-2</c:v>
                </c:pt>
                <c:pt idx="56">
                  <c:v>9.4009384285025158E-2</c:v>
                </c:pt>
                <c:pt idx="57">
                  <c:v>9.8031481971232889E-2</c:v>
                </c:pt>
                <c:pt idx="58">
                  <c:v>0.10216270036991239</c:v>
                </c:pt>
                <c:pt idx="59">
                  <c:v>0.10640244196312039</c:v>
                </c:pt>
                <c:pt idx="60">
                  <c:v>0.11074987957693934</c:v>
                </c:pt>
                <c:pt idx="61">
                  <c:v>0.11520394893226815</c:v>
                </c:pt>
                <c:pt idx="62">
                  <c:v>0.1197633416338435</c:v>
                </c:pt>
                <c:pt idx="63">
                  <c:v>0.12442649864181629</c:v>
                </c:pt>
                <c:pt idx="64">
                  <c:v>0.12919160426988183</c:v>
                </c:pt>
                <c:pt idx="65">
                  <c:v>0.13405658075340429</c:v>
                </c:pt>
                <c:pt idx="66">
                  <c:v>0.13901908343017472</c:v>
                </c:pt>
                <c:pt idx="67">
                  <c:v>0.14407649657540025</c:v>
                </c:pt>
                <c:pt idx="68">
                  <c:v>0.1492259299312233</c:v>
                </c:pt>
                <c:pt idx="69">
                  <c:v>0.15446421596953333</c:v>
                </c:pt>
                <c:pt idx="70">
                  <c:v>0.15978790792502925</c:v>
                </c:pt>
                <c:pt idx="71">
                  <c:v>0.16519327863345165</c:v>
                </c:pt>
                <c:pt idx="72">
                  <c:v>0.17067632020760465</c:v>
                </c:pt>
                <c:pt idx="73">
                  <c:v>0.17623274458125046</c:v>
                </c:pt>
                <c:pt idx="74">
                  <c:v>0.18185798494818542</c:v>
                </c:pt>
                <c:pt idx="75">
                  <c:v>0.18754719812079304</c:v>
                </c:pt>
                <c:pt idx="76">
                  <c:v>0.19329526782914905</c:v>
                </c:pt>
                <c:pt idx="77">
                  <c:v>0.199096808978308</c:v>
                </c:pt>
                <c:pt idx="78">
                  <c:v>0.20494617287776634</c:v>
                </c:pt>
                <c:pt idx="79">
                  <c:v>0.21083745345327712</c:v>
                </c:pt>
                <c:pt idx="80">
                  <c:v>0.21676449444720089</c:v>
                </c:pt>
                <c:pt idx="81">
                  <c:v>0.22272089760943917</c:v>
                </c:pt>
                <c:pt idx="82">
                  <c:v>0.2287000318767278</c:v>
                </c:pt>
                <c:pt idx="83">
                  <c:v>0.23469504353367848</c:v>
                </c:pt>
                <c:pt idx="84">
                  <c:v>0.24069886734449414</c:v>
                </c:pt>
                <c:pt idx="85">
                  <c:v>0.24670423863973287</c:v>
                </c:pt>
                <c:pt idx="86">
                  <c:v>0.25270370633791855</c:v>
                </c:pt>
                <c:pt idx="87">
                  <c:v>0.25868964687719065</c:v>
                </c:pt>
                <c:pt idx="88">
                  <c:v>0.26465427902758482</c:v>
                </c:pt>
                <c:pt idx="89">
                  <c:v>0.27058967954997648</c:v>
                </c:pt>
                <c:pt idx="90">
                  <c:v>0.27648779966320636</c:v>
                </c:pt>
                <c:pt idx="91">
                  <c:v>0.28234048227649011</c:v>
                </c:pt>
                <c:pt idx="92">
                  <c:v>0.28813947993989791</c:v>
                </c:pt>
                <c:pt idx="93">
                  <c:v>0.29387647346152357</c:v>
                </c:pt>
                <c:pt idx="94">
                  <c:v>0.29954309113595234</c:v>
                </c:pt>
                <c:pt idx="95">
                  <c:v>0.30513092852481938</c:v>
                </c:pt>
                <c:pt idx="96">
                  <c:v>0.31063156872665459</c:v>
                </c:pt>
                <c:pt idx="97">
                  <c:v>0.31603660306984627</c:v>
                </c:pt>
                <c:pt idx="98">
                  <c:v>0.32133765215946308</c:v>
                </c:pt>
                <c:pt idx="99">
                  <c:v>0.32652638720586452</c:v>
                </c:pt>
                <c:pt idx="100">
                  <c:v>0.33159455156052819</c:v>
                </c:pt>
                <c:pt idx="101">
                  <c:v>0.33653398238234966</c:v>
                </c:pt>
                <c:pt idx="102">
                  <c:v>0.34133663235583905</c:v>
                </c:pt>
                <c:pt idx="103">
                  <c:v>0.34599459138117061</c:v>
                </c:pt>
                <c:pt idx="104">
                  <c:v>0.35050010815494687</c:v>
                </c:pt>
                <c:pt idx="105">
                  <c:v>0.35484561155982908</c:v>
                </c:pt>
                <c:pt idx="106">
                  <c:v>0.35902373178087493</c:v>
                </c:pt>
                <c:pt idx="107">
                  <c:v>0.36302732106651397</c:v>
                </c:pt>
                <c:pt idx="108">
                  <c:v>0.36684947405258844</c:v>
                </c:pt>
                <c:pt idx="109">
                  <c:v>0.37048354756879887</c:v>
                </c:pt>
                <c:pt idx="110">
                  <c:v>0.37392317984820889</c:v>
                </c:pt>
                <c:pt idx="111">
                  <c:v>0.37716230906219395</c:v>
                </c:pt>
                <c:pt idx="112">
                  <c:v>0.38019519110534461</c:v>
                </c:pt>
                <c:pt idx="113">
                  <c:v>0.38301641655736096</c:v>
                </c:pt>
                <c:pt idx="114">
                  <c:v>0.38562092675188125</c:v>
                </c:pt>
                <c:pt idx="115">
                  <c:v>0.38800402888546742</c:v>
                </c:pt>
                <c:pt idx="116">
                  <c:v>0.39016141010360739</c:v>
                </c:pt>
                <c:pt idx="117">
                  <c:v>0.39208915050456949</c:v>
                </c:pt>
                <c:pt idx="118">
                  <c:v>0.39378373500623565</c:v>
                </c:pt>
                <c:pt idx="119">
                  <c:v>0.39524206402563766</c:v>
                </c:pt>
                <c:pt idx="120">
                  <c:v>0.39646146292578138</c:v>
                </c:pt>
                <c:pt idx="121">
                  <c:v>0.39743969018946163</c:v>
                </c:pt>
                <c:pt idx="122">
                  <c:v>0.3981749442851033</c:v>
                </c:pt>
                <c:pt idx="123">
                  <c:v>0.39866586919519387</c:v>
                </c:pt>
                <c:pt idx="124">
                  <c:v>0.39891155858355937</c:v>
                </c:pt>
                <c:pt idx="125">
                  <c:v>0.39891155858355937</c:v>
                </c:pt>
                <c:pt idx="126">
                  <c:v>0.39866586919519387</c:v>
                </c:pt>
                <c:pt idx="127">
                  <c:v>0.3981749442851033</c:v>
                </c:pt>
                <c:pt idx="128">
                  <c:v>0.39743969018946163</c:v>
                </c:pt>
                <c:pt idx="129">
                  <c:v>0.39646146292578144</c:v>
                </c:pt>
                <c:pt idx="130">
                  <c:v>0.39524206402563761</c:v>
                </c:pt>
                <c:pt idx="131">
                  <c:v>0.39378373500623565</c:v>
                </c:pt>
                <c:pt idx="132">
                  <c:v>0.39208915050456949</c:v>
                </c:pt>
                <c:pt idx="133">
                  <c:v>0.39016141010360739</c:v>
                </c:pt>
                <c:pt idx="134">
                  <c:v>0.38800402888546737</c:v>
                </c:pt>
                <c:pt idx="135">
                  <c:v>0.38562092675188131</c:v>
                </c:pt>
                <c:pt idx="136">
                  <c:v>0.38301641655736102</c:v>
                </c:pt>
                <c:pt idx="137">
                  <c:v>0.38019519110534461</c:v>
                </c:pt>
                <c:pt idx="138">
                  <c:v>0.37716230906219395</c:v>
                </c:pt>
                <c:pt idx="139">
                  <c:v>0.373923179848209</c:v>
                </c:pt>
                <c:pt idx="140">
                  <c:v>0.37048354756879887</c:v>
                </c:pt>
                <c:pt idx="141">
                  <c:v>0.36684947405258839</c:v>
                </c:pt>
                <c:pt idx="142">
                  <c:v>0.36302732106651397</c:v>
                </c:pt>
                <c:pt idx="143">
                  <c:v>0.35902373178087493</c:v>
                </c:pt>
                <c:pt idx="144">
                  <c:v>0.35484561155982908</c:v>
                </c:pt>
                <c:pt idx="145">
                  <c:v>0.35050010815494687</c:v>
                </c:pt>
                <c:pt idx="146">
                  <c:v>0.34599459138117078</c:v>
                </c:pt>
                <c:pt idx="147">
                  <c:v>0.341336632355839</c:v>
                </c:pt>
                <c:pt idx="148">
                  <c:v>0.33653398238234977</c:v>
                </c:pt>
                <c:pt idx="149">
                  <c:v>0.33159455156052825</c:v>
                </c:pt>
                <c:pt idx="150">
                  <c:v>0.32652638720586441</c:v>
                </c:pt>
                <c:pt idx="151">
                  <c:v>0.32133765215946308</c:v>
                </c:pt>
                <c:pt idx="152">
                  <c:v>0.31603660306984621</c:v>
                </c:pt>
                <c:pt idx="153">
                  <c:v>0.31063156872665471</c:v>
                </c:pt>
                <c:pt idx="154">
                  <c:v>0.30513092852481932</c:v>
                </c:pt>
                <c:pt idx="155">
                  <c:v>0.29954309113595246</c:v>
                </c:pt>
                <c:pt idx="156">
                  <c:v>0.29387647346152368</c:v>
                </c:pt>
                <c:pt idx="157">
                  <c:v>0.28813947993989791</c:v>
                </c:pt>
                <c:pt idx="158">
                  <c:v>0.28234048227649011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D7-4ECF-BD88-F85B0B00D0E9}"/>
            </c:ext>
          </c:extLst>
        </c:ser>
        <c:ser>
          <c:idx val="1"/>
          <c:order val="1"/>
          <c:tx>
            <c:strRef>
              <c:f>Sandsynlighed!$Q$10</c:f>
              <c:strCache>
                <c:ptCount val="1"/>
                <c:pt idx="0">
                  <c:v>20%
større end
66.83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[0]!SlG</c:f>
              <c:strCache>
                <c:ptCount val="250"/>
                <c:pt idx="0">
                  <c:v>-11.8</c:v>
                </c:pt>
                <c:pt idx="25">
                  <c:v>0.61</c:v>
                </c:pt>
                <c:pt idx="50">
                  <c:v>13.02</c:v>
                </c:pt>
                <c:pt idx="75">
                  <c:v>25.43</c:v>
                </c:pt>
                <c:pt idx="100">
                  <c:v>37.84</c:v>
                </c:pt>
                <c:pt idx="125">
                  <c:v>50.25</c:v>
                </c:pt>
                <c:pt idx="150">
                  <c:v>62.66</c:v>
                </c:pt>
                <c:pt idx="175">
                  <c:v>75.07</c:v>
                </c:pt>
                <c:pt idx="200">
                  <c:v>87.48</c:v>
                </c:pt>
                <c:pt idx="225">
                  <c:v>99.89</c:v>
                </c:pt>
                <c:pt idx="249">
                  <c:v>111.8</c:v>
                </c:pt>
              </c:strCache>
            </c:strRef>
          </c:cat>
          <c:val>
            <c:numRef>
              <c:f>[0]!SyGh</c:f>
              <c:numCache>
                <c:formatCode>General</c:formatCode>
                <c:ptCount val="2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0.27648779966320658</c:v>
                </c:pt>
                <c:pt idx="160">
                  <c:v>0.27058967954997637</c:v>
                </c:pt>
                <c:pt idx="161">
                  <c:v>0.26465427902758476</c:v>
                </c:pt>
                <c:pt idx="162">
                  <c:v>0.25868964687719065</c:v>
                </c:pt>
                <c:pt idx="163">
                  <c:v>0.25270370633791855</c:v>
                </c:pt>
                <c:pt idx="164">
                  <c:v>0.24670423863973279</c:v>
                </c:pt>
                <c:pt idx="165">
                  <c:v>0.24069886734449414</c:v>
                </c:pt>
                <c:pt idx="166">
                  <c:v>0.23469504353367868</c:v>
                </c:pt>
                <c:pt idx="167">
                  <c:v>0.22870003187672769</c:v>
                </c:pt>
                <c:pt idx="168">
                  <c:v>0.22272089760943931</c:v>
                </c:pt>
                <c:pt idx="169">
                  <c:v>0.21676449444720089</c:v>
                </c:pt>
                <c:pt idx="170">
                  <c:v>0.21083745345327698</c:v>
                </c:pt>
                <c:pt idx="171">
                  <c:v>0.20494617287776634</c:v>
                </c:pt>
                <c:pt idx="172">
                  <c:v>0.19909680897830789</c:v>
                </c:pt>
                <c:pt idx="173">
                  <c:v>0.19329526782914908</c:v>
                </c:pt>
                <c:pt idx="174">
                  <c:v>0.1875471981207929</c:v>
                </c:pt>
                <c:pt idx="175">
                  <c:v>0.18185798494818547</c:v>
                </c:pt>
                <c:pt idx="176">
                  <c:v>0.17623274458125057</c:v>
                </c:pt>
                <c:pt idx="177">
                  <c:v>0.17067632020760465</c:v>
                </c:pt>
                <c:pt idx="178">
                  <c:v>0.16519327863345165</c:v>
                </c:pt>
                <c:pt idx="179">
                  <c:v>0.15978790792502937</c:v>
                </c:pt>
                <c:pt idx="180">
                  <c:v>0.15446421596953344</c:v>
                </c:pt>
                <c:pt idx="181">
                  <c:v>0.14922592993122322</c:v>
                </c:pt>
                <c:pt idx="182">
                  <c:v>0.14407649657540025</c:v>
                </c:pt>
                <c:pt idx="183">
                  <c:v>0.13901908343017472</c:v>
                </c:pt>
                <c:pt idx="184">
                  <c:v>0.13405658075340421</c:v>
                </c:pt>
                <c:pt idx="185">
                  <c:v>0.12919160426988183</c:v>
                </c:pt>
                <c:pt idx="186">
                  <c:v>0.1244264986418164</c:v>
                </c:pt>
                <c:pt idx="187">
                  <c:v>0.11976334163384346</c:v>
                </c:pt>
                <c:pt idx="188">
                  <c:v>0.11520394893226817</c:v>
                </c:pt>
                <c:pt idx="189">
                  <c:v>0.11074987957693934</c:v>
                </c:pt>
                <c:pt idx="190">
                  <c:v>0.10640244196312039</c:v>
                </c:pt>
                <c:pt idx="191">
                  <c:v>0.10216270036991239</c:v>
                </c:pt>
                <c:pt idx="192">
                  <c:v>9.8031481971232889E-2</c:v>
                </c:pt>
                <c:pt idx="193">
                  <c:v>9.4009384285025213E-2</c:v>
                </c:pt>
                <c:pt idx="194">
                  <c:v>9.009678301627555E-2</c:v>
                </c:pt>
                <c:pt idx="195">
                  <c:v>8.6293840249536694E-2</c:v>
                </c:pt>
                <c:pt idx="196">
                  <c:v>8.2600512946980065E-2</c:v>
                </c:pt>
                <c:pt idx="197">
                  <c:v>7.9016561708534841E-2</c:v>
                </c:pt>
                <c:pt idx="198">
                  <c:v>7.5541559751377427E-2</c:v>
                </c:pt>
                <c:pt idx="199">
                  <c:v>7.2174902066932334E-2</c:v>
                </c:pt>
                <c:pt idx="200">
                  <c:v>6.8915814714596221E-2</c:v>
                </c:pt>
                <c:pt idx="201">
                  <c:v>6.5763364212604133E-2</c:v>
                </c:pt>
                <c:pt idx="202">
                  <c:v>6.2716466987796121E-2</c:v>
                </c:pt>
                <c:pt idx="203">
                  <c:v>5.9773898847512365E-2</c:v>
                </c:pt>
                <c:pt idx="204">
                  <c:v>5.6934304438421797E-2</c:v>
                </c:pt>
                <c:pt idx="205">
                  <c:v>5.4196206658762222E-2</c:v>
                </c:pt>
                <c:pt idx="206">
                  <c:v>5.1558015992230748E-2</c:v>
                </c:pt>
                <c:pt idx="207">
                  <c:v>4.9018039733589508E-2</c:v>
                </c:pt>
                <c:pt idx="208">
                  <c:v>4.6574491077940997E-2</c:v>
                </c:pt>
                <c:pt idx="209">
                  <c:v>4.4225498047551264E-2</c:v>
                </c:pt>
                <c:pt idx="210">
                  <c:v>4.1969112232068333E-2</c:v>
                </c:pt>
                <c:pt idx="211">
                  <c:v>3.9803317319956046E-2</c:v>
                </c:pt>
                <c:pt idx="212">
                  <c:v>3.7726037400958284E-2</c:v>
                </c:pt>
                <c:pt idx="213">
                  <c:v>3.5735145021390198E-2</c:v>
                </c:pt>
                <c:pt idx="214">
                  <c:v>3.3828468976025428E-2</c:v>
                </c:pt>
                <c:pt idx="215">
                  <c:v>3.2003801822296514E-2</c:v>
                </c:pt>
                <c:pt idx="216">
                  <c:v>3.0258907104437256E-2</c:v>
                </c:pt>
                <c:pt idx="217">
                  <c:v>2.8591526277073009E-2</c:v>
                </c:pt>
                <c:pt idx="218">
                  <c:v>2.6999385319583014E-2</c:v>
                </c:pt>
                <c:pt idx="219">
                  <c:v>2.5480201034328333E-2</c:v>
                </c:pt>
                <c:pt idx="220">
                  <c:v>2.403168702354121E-2</c:v>
                </c:pt>
                <c:pt idx="221">
                  <c:v>2.2651559341306103E-2</c:v>
                </c:pt>
                <c:pt idx="222">
                  <c:v>2.1337541818621984E-2</c:v>
                </c:pt>
                <c:pt idx="223">
                  <c:v>2.008737106101895E-2</c:v>
                </c:pt>
                <c:pt idx="224">
                  <c:v>1.8898801119602578E-2</c:v>
                </c:pt>
                <c:pt idx="225">
                  <c:v>1.7769607837714141E-2</c:v>
                </c:pt>
                <c:pt idx="226">
                  <c:v>1.6697592876625755E-2</c:v>
                </c:pt>
                <c:pt idx="227">
                  <c:v>1.5680587424828311E-2</c:v>
                </c:pt>
                <c:pt idx="228">
                  <c:v>1.4716455596524172E-2</c:v>
                </c:pt>
                <c:pt idx="229">
                  <c:v>1.3803097525895824E-2</c:v>
                </c:pt>
                <c:pt idx="230">
                  <c:v>1.2938452164596234E-2</c:v>
                </c:pt>
                <c:pt idx="231">
                  <c:v>1.212049979068994E-2</c:v>
                </c:pt>
                <c:pt idx="232">
                  <c:v>1.1347264237970188E-2</c:v>
                </c:pt>
                <c:pt idx="233">
                  <c:v>1.0616814855188403E-2</c:v>
                </c:pt>
                <c:pt idx="234">
                  <c:v>9.9272682052590697E-3</c:v>
                </c:pt>
                <c:pt idx="235">
                  <c:v>9.2767895149492557E-3</c:v>
                </c:pt>
                <c:pt idx="236">
                  <c:v>8.6635938859280798E-3</c:v>
                </c:pt>
                <c:pt idx="237">
                  <c:v>8.0859472783450948E-3</c:v>
                </c:pt>
                <c:pt idx="238">
                  <c:v>7.5421672783237727E-3</c:v>
                </c:pt>
                <c:pt idx="239">
                  <c:v>7.0306236609098431E-3</c:v>
                </c:pt>
                <c:pt idx="240">
                  <c:v>6.5497387600978929E-3</c:v>
                </c:pt>
                <c:pt idx="241">
                  <c:v>6.0979876575868661E-3</c:v>
                </c:pt>
                <c:pt idx="242">
                  <c:v>5.6738982018815585E-3</c:v>
                </c:pt>
                <c:pt idx="243">
                  <c:v>5.2760508692726331E-3</c:v>
                </c:pt>
                <c:pt idx="244">
                  <c:v>4.9030784780939377E-3</c:v>
                </c:pt>
                <c:pt idx="245">
                  <c:v>4.5536657674760447E-3</c:v>
                </c:pt>
                <c:pt idx="246">
                  <c:v>4.2265488515956899E-3</c:v>
                </c:pt>
                <c:pt idx="247">
                  <c:v>3.9205145601637383E-3</c:v>
                </c:pt>
                <c:pt idx="248">
                  <c:v>3.634399675604996E-3</c:v>
                </c:pt>
                <c:pt idx="249">
                  <c:v>3.3670900770639959E-3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D7-4ECF-BD88-F85B0B00D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993312"/>
        <c:axId val="2125624672"/>
      </c:areaChart>
      <c:scatterChart>
        <c:scatterStyle val="lineMarker"/>
        <c:varyColors val="0"/>
        <c:ser>
          <c:idx val="3"/>
          <c:order val="2"/>
          <c:tx>
            <c:strRef>
              <c:f>Sandsynlighed!$Q$12</c:f>
              <c:strCache>
                <c:ptCount val="1"/>
                <c:pt idx="0">
                  <c:v>Normalfordeling (50 ; 20)</c:v>
                </c:pt>
              </c:strCache>
            </c:strRef>
          </c:tx>
          <c:spPr>
            <a:ln w="28575" cap="rnd">
              <a:solidFill>
                <a:schemeClr val="bg1"/>
              </a:solidFill>
              <a:round/>
            </a:ln>
            <a:effectLst/>
          </c:spPr>
          <c:marker>
            <c:symbol val="none"/>
          </c:marker>
          <c:xVal>
            <c:numRef>
              <c:f>[0]!SxG</c:f>
              <c:numCache>
                <c:formatCode>General</c:formatCode>
                <c:ptCount val="2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</c:numCache>
            </c:numRef>
          </c:xVal>
          <c:yVal>
            <c:numRef>
              <c:f>[0]!SyGs</c:f>
              <c:numCache>
                <c:formatCode>General</c:formatCode>
                <c:ptCount val="250"/>
                <c:pt idx="0">
                  <c:v>3.3670900770639959E-3</c:v>
                </c:pt>
                <c:pt idx="1">
                  <c:v>3.634399675604996E-3</c:v>
                </c:pt>
                <c:pt idx="2">
                  <c:v>3.9205145601637383E-3</c:v>
                </c:pt>
                <c:pt idx="3">
                  <c:v>4.2265488515956821E-3</c:v>
                </c:pt>
                <c:pt idx="4">
                  <c:v>4.5536657674760525E-3</c:v>
                </c:pt>
                <c:pt idx="5">
                  <c:v>4.9030784780939377E-3</c:v>
                </c:pt>
                <c:pt idx="6">
                  <c:v>5.2760508692726331E-3</c:v>
                </c:pt>
                <c:pt idx="7">
                  <c:v>5.6738982018815585E-3</c:v>
                </c:pt>
                <c:pt idx="8">
                  <c:v>6.0979876575868825E-3</c:v>
                </c:pt>
                <c:pt idx="9">
                  <c:v>6.5497387600978859E-3</c:v>
                </c:pt>
                <c:pt idx="10">
                  <c:v>7.0306236609098431E-3</c:v>
                </c:pt>
                <c:pt idx="11">
                  <c:v>7.5421672783237822E-3</c:v>
                </c:pt>
                <c:pt idx="12">
                  <c:v>8.085947278345074E-3</c:v>
                </c:pt>
                <c:pt idx="13">
                  <c:v>8.6635938859280798E-3</c:v>
                </c:pt>
                <c:pt idx="14">
                  <c:v>9.2767895149492557E-3</c:v>
                </c:pt>
                <c:pt idx="15">
                  <c:v>9.9272682052590783E-3</c:v>
                </c:pt>
                <c:pt idx="16">
                  <c:v>1.0616814855188389E-2</c:v>
                </c:pt>
                <c:pt idx="17">
                  <c:v>1.1347264237970188E-2</c:v>
                </c:pt>
                <c:pt idx="18">
                  <c:v>1.212049979068994E-2</c:v>
                </c:pt>
                <c:pt idx="19">
                  <c:v>1.2938452164596234E-2</c:v>
                </c:pt>
                <c:pt idx="20">
                  <c:v>1.3803097525895824E-2</c:v>
                </c:pt>
                <c:pt idx="21">
                  <c:v>1.4716455596524172E-2</c:v>
                </c:pt>
                <c:pt idx="22">
                  <c:v>1.5680587424828297E-2</c:v>
                </c:pt>
                <c:pt idx="23">
                  <c:v>1.6697592876625731E-2</c:v>
                </c:pt>
                <c:pt idx="24">
                  <c:v>1.7769607837714165E-2</c:v>
                </c:pt>
                <c:pt idx="25">
                  <c:v>1.8898801119602578E-2</c:v>
                </c:pt>
                <c:pt idx="26">
                  <c:v>2.008737106101895E-2</c:v>
                </c:pt>
                <c:pt idx="27">
                  <c:v>2.1337541818621984E-2</c:v>
                </c:pt>
                <c:pt idx="28">
                  <c:v>2.265155934130612E-2</c:v>
                </c:pt>
                <c:pt idx="29">
                  <c:v>2.403168702354121E-2</c:v>
                </c:pt>
                <c:pt idx="30">
                  <c:v>2.5480201034328312E-2</c:v>
                </c:pt>
                <c:pt idx="31">
                  <c:v>2.6999385319583014E-2</c:v>
                </c:pt>
                <c:pt idx="32">
                  <c:v>2.8591526277073009E-2</c:v>
                </c:pt>
                <c:pt idx="33">
                  <c:v>3.0258907104437256E-2</c:v>
                </c:pt>
                <c:pt idx="34">
                  <c:v>3.2003801822296514E-2</c:v>
                </c:pt>
                <c:pt idx="35">
                  <c:v>3.382846897602549E-2</c:v>
                </c:pt>
                <c:pt idx="36">
                  <c:v>3.573514502139017E-2</c:v>
                </c:pt>
                <c:pt idx="37">
                  <c:v>3.7726037400958284E-2</c:v>
                </c:pt>
                <c:pt idx="38">
                  <c:v>3.9803317319956046E-2</c:v>
                </c:pt>
                <c:pt idx="39">
                  <c:v>4.1969112232068333E-2</c:v>
                </c:pt>
                <c:pt idx="40">
                  <c:v>4.4225498047551264E-2</c:v>
                </c:pt>
                <c:pt idx="41">
                  <c:v>4.6574491077940997E-2</c:v>
                </c:pt>
                <c:pt idx="42">
                  <c:v>4.9018039733589557E-2</c:v>
                </c:pt>
                <c:pt idx="43">
                  <c:v>5.1558015992230706E-2</c:v>
                </c:pt>
                <c:pt idx="44">
                  <c:v>5.4196206658762222E-2</c:v>
                </c:pt>
                <c:pt idx="45">
                  <c:v>5.6934304438421797E-2</c:v>
                </c:pt>
                <c:pt idx="46">
                  <c:v>5.9773898847512365E-2</c:v>
                </c:pt>
                <c:pt idx="47">
                  <c:v>6.2716466987796121E-2</c:v>
                </c:pt>
                <c:pt idx="48">
                  <c:v>6.5763364212604189E-2</c:v>
                </c:pt>
                <c:pt idx="49">
                  <c:v>6.8915814714596207E-2</c:v>
                </c:pt>
                <c:pt idx="50">
                  <c:v>7.2174902066932223E-2</c:v>
                </c:pt>
                <c:pt idx="51">
                  <c:v>7.5541559751377427E-2</c:v>
                </c:pt>
                <c:pt idx="52">
                  <c:v>7.9016561708534841E-2</c:v>
                </c:pt>
                <c:pt idx="53">
                  <c:v>8.2600512946980065E-2</c:v>
                </c:pt>
                <c:pt idx="54">
                  <c:v>8.6293840249536694E-2</c:v>
                </c:pt>
                <c:pt idx="55">
                  <c:v>9.0096783016275647E-2</c:v>
                </c:pt>
                <c:pt idx="56">
                  <c:v>9.4009384285025158E-2</c:v>
                </c:pt>
                <c:pt idx="57">
                  <c:v>9.8031481971232889E-2</c:v>
                </c:pt>
                <c:pt idx="58">
                  <c:v>0.10216270036991239</c:v>
                </c:pt>
                <c:pt idx="59">
                  <c:v>0.10640244196312039</c:v>
                </c:pt>
                <c:pt idx="60">
                  <c:v>0.11074987957693934</c:v>
                </c:pt>
                <c:pt idx="61">
                  <c:v>0.11520394893226815</c:v>
                </c:pt>
                <c:pt idx="62">
                  <c:v>0.1197633416338435</c:v>
                </c:pt>
                <c:pt idx="63">
                  <c:v>0.12442649864181629</c:v>
                </c:pt>
                <c:pt idx="64">
                  <c:v>0.12919160426988183</c:v>
                </c:pt>
                <c:pt idx="65">
                  <c:v>0.13405658075340429</c:v>
                </c:pt>
                <c:pt idx="66">
                  <c:v>0.13901908343017472</c:v>
                </c:pt>
                <c:pt idx="67">
                  <c:v>0.14407649657540025</c:v>
                </c:pt>
                <c:pt idx="68">
                  <c:v>0.1492259299312233</c:v>
                </c:pt>
                <c:pt idx="69">
                  <c:v>0.15446421596953333</c:v>
                </c:pt>
                <c:pt idx="70">
                  <c:v>0.15978790792502925</c:v>
                </c:pt>
                <c:pt idx="71">
                  <c:v>0.16519327863345165</c:v>
                </c:pt>
                <c:pt idx="72">
                  <c:v>0.17067632020760465</c:v>
                </c:pt>
                <c:pt idx="73">
                  <c:v>0.17623274458125046</c:v>
                </c:pt>
                <c:pt idx="74">
                  <c:v>0.18185798494818542</c:v>
                </c:pt>
                <c:pt idx="75">
                  <c:v>0.18754719812079304</c:v>
                </c:pt>
                <c:pt idx="76">
                  <c:v>0.19329526782914905</c:v>
                </c:pt>
                <c:pt idx="77">
                  <c:v>0.199096808978308</c:v>
                </c:pt>
                <c:pt idx="78">
                  <c:v>0.20494617287776634</c:v>
                </c:pt>
                <c:pt idx="79">
                  <c:v>0.21083745345327712</c:v>
                </c:pt>
                <c:pt idx="80">
                  <c:v>0.21676449444720089</c:v>
                </c:pt>
                <c:pt idx="81">
                  <c:v>0.22272089760943917</c:v>
                </c:pt>
                <c:pt idx="82">
                  <c:v>0.2287000318767278</c:v>
                </c:pt>
                <c:pt idx="83">
                  <c:v>0.23469504353367848</c:v>
                </c:pt>
                <c:pt idx="84">
                  <c:v>0.24069886734449414</c:v>
                </c:pt>
                <c:pt idx="85">
                  <c:v>0.24670423863973287</c:v>
                </c:pt>
                <c:pt idx="86">
                  <c:v>0.25270370633791855</c:v>
                </c:pt>
                <c:pt idx="87">
                  <c:v>0.25868964687719065</c:v>
                </c:pt>
                <c:pt idx="88">
                  <c:v>0.26465427902758482</c:v>
                </c:pt>
                <c:pt idx="89">
                  <c:v>0.27058967954997648</c:v>
                </c:pt>
                <c:pt idx="90">
                  <c:v>0.27648779966320636</c:v>
                </c:pt>
                <c:pt idx="91">
                  <c:v>0.28234048227649011</c:v>
                </c:pt>
                <c:pt idx="92">
                  <c:v>0.28813947993989791</c:v>
                </c:pt>
                <c:pt idx="93">
                  <c:v>0.29387647346152357</c:v>
                </c:pt>
                <c:pt idx="94">
                  <c:v>0.29954309113595234</c:v>
                </c:pt>
                <c:pt idx="95">
                  <c:v>0.30513092852481938</c:v>
                </c:pt>
                <c:pt idx="96">
                  <c:v>0.31063156872665459</c:v>
                </c:pt>
                <c:pt idx="97">
                  <c:v>0.31603660306984627</c:v>
                </c:pt>
                <c:pt idx="98">
                  <c:v>0.32133765215946308</c:v>
                </c:pt>
                <c:pt idx="99">
                  <c:v>0.32652638720586452</c:v>
                </c:pt>
                <c:pt idx="100">
                  <c:v>0.33159455156052819</c:v>
                </c:pt>
                <c:pt idx="101">
                  <c:v>0.33653398238234966</c:v>
                </c:pt>
                <c:pt idx="102">
                  <c:v>0.34133663235583905</c:v>
                </c:pt>
                <c:pt idx="103">
                  <c:v>0.34599459138117061</c:v>
                </c:pt>
                <c:pt idx="104">
                  <c:v>0.35050010815494687</c:v>
                </c:pt>
                <c:pt idx="105">
                  <c:v>0.35484561155982908</c:v>
                </c:pt>
                <c:pt idx="106">
                  <c:v>0.35902373178087493</c:v>
                </c:pt>
                <c:pt idx="107">
                  <c:v>0.36302732106651397</c:v>
                </c:pt>
                <c:pt idx="108">
                  <c:v>0.36684947405258844</c:v>
                </c:pt>
                <c:pt idx="109">
                  <c:v>0.37048354756879887</c:v>
                </c:pt>
                <c:pt idx="110">
                  <c:v>0.37392317984820889</c:v>
                </c:pt>
                <c:pt idx="111">
                  <c:v>0.37716230906219395</c:v>
                </c:pt>
                <c:pt idx="112">
                  <c:v>0.38019519110534461</c:v>
                </c:pt>
                <c:pt idx="113">
                  <c:v>0.38301641655736096</c:v>
                </c:pt>
                <c:pt idx="114">
                  <c:v>0.38562092675188125</c:v>
                </c:pt>
                <c:pt idx="115">
                  <c:v>0.38800402888546742</c:v>
                </c:pt>
                <c:pt idx="116">
                  <c:v>0.39016141010360739</c:v>
                </c:pt>
                <c:pt idx="117">
                  <c:v>0.39208915050456949</c:v>
                </c:pt>
                <c:pt idx="118">
                  <c:v>0.39378373500623565</c:v>
                </c:pt>
                <c:pt idx="119">
                  <c:v>0.39524206402563766</c:v>
                </c:pt>
                <c:pt idx="120">
                  <c:v>0.39646146292578138</c:v>
                </c:pt>
                <c:pt idx="121">
                  <c:v>0.39743969018946163</c:v>
                </c:pt>
                <c:pt idx="122">
                  <c:v>0.3981749442851033</c:v>
                </c:pt>
                <c:pt idx="123">
                  <c:v>0.39866586919519387</c:v>
                </c:pt>
                <c:pt idx="124">
                  <c:v>0.39891155858355937</c:v>
                </c:pt>
                <c:pt idx="125">
                  <c:v>0.39891155858355937</c:v>
                </c:pt>
                <c:pt idx="126">
                  <c:v>0.39866586919519387</c:v>
                </c:pt>
                <c:pt idx="127">
                  <c:v>0.3981749442851033</c:v>
                </c:pt>
                <c:pt idx="128">
                  <c:v>0.39743969018946163</c:v>
                </c:pt>
                <c:pt idx="129">
                  <c:v>0.39646146292578144</c:v>
                </c:pt>
                <c:pt idx="130">
                  <c:v>0.39524206402563761</c:v>
                </c:pt>
                <c:pt idx="131">
                  <c:v>0.39378373500623565</c:v>
                </c:pt>
                <c:pt idx="132">
                  <c:v>0.39208915050456949</c:v>
                </c:pt>
                <c:pt idx="133">
                  <c:v>0.39016141010360739</c:v>
                </c:pt>
                <c:pt idx="134">
                  <c:v>0.38800402888546737</c:v>
                </c:pt>
                <c:pt idx="135">
                  <c:v>0.38562092675188131</c:v>
                </c:pt>
                <c:pt idx="136">
                  <c:v>0.38301641655736102</c:v>
                </c:pt>
                <c:pt idx="137">
                  <c:v>0.38019519110534461</c:v>
                </c:pt>
                <c:pt idx="138">
                  <c:v>0.37716230906219395</c:v>
                </c:pt>
                <c:pt idx="139">
                  <c:v>0.373923179848209</c:v>
                </c:pt>
                <c:pt idx="140">
                  <c:v>0.37048354756879887</c:v>
                </c:pt>
                <c:pt idx="141">
                  <c:v>0.36684947405258839</c:v>
                </c:pt>
                <c:pt idx="142">
                  <c:v>0.36302732106651397</c:v>
                </c:pt>
                <c:pt idx="143">
                  <c:v>0.35902373178087493</c:v>
                </c:pt>
                <c:pt idx="144">
                  <c:v>0.35484561155982908</c:v>
                </c:pt>
                <c:pt idx="145">
                  <c:v>0.35050010815494687</c:v>
                </c:pt>
                <c:pt idx="146">
                  <c:v>0.34599459138117078</c:v>
                </c:pt>
                <c:pt idx="147">
                  <c:v>0.341336632355839</c:v>
                </c:pt>
                <c:pt idx="148">
                  <c:v>0.33653398238234977</c:v>
                </c:pt>
                <c:pt idx="149">
                  <c:v>0.33159455156052825</c:v>
                </c:pt>
                <c:pt idx="150">
                  <c:v>0.32652638720586441</c:v>
                </c:pt>
                <c:pt idx="151">
                  <c:v>0.32133765215946308</c:v>
                </c:pt>
                <c:pt idx="152">
                  <c:v>0.31603660306984621</c:v>
                </c:pt>
                <c:pt idx="153">
                  <c:v>0.31063156872665471</c:v>
                </c:pt>
                <c:pt idx="154">
                  <c:v>0.30513092852481932</c:v>
                </c:pt>
                <c:pt idx="155">
                  <c:v>0.29954309113595246</c:v>
                </c:pt>
                <c:pt idx="156">
                  <c:v>0.29387647346152368</c:v>
                </c:pt>
                <c:pt idx="157">
                  <c:v>0.28813947993989791</c:v>
                </c:pt>
                <c:pt idx="158">
                  <c:v>0.28234048227649011</c:v>
                </c:pt>
                <c:pt idx="159">
                  <c:v>0.27648779966320658</c:v>
                </c:pt>
                <c:pt idx="160">
                  <c:v>0.27058967954997637</c:v>
                </c:pt>
                <c:pt idx="161">
                  <c:v>0.26465427902758476</c:v>
                </c:pt>
                <c:pt idx="162">
                  <c:v>0.25868964687719065</c:v>
                </c:pt>
                <c:pt idx="163">
                  <c:v>0.25270370633791855</c:v>
                </c:pt>
                <c:pt idx="164">
                  <c:v>0.24670423863973279</c:v>
                </c:pt>
                <c:pt idx="165">
                  <c:v>0.24069886734449414</c:v>
                </c:pt>
                <c:pt idx="166">
                  <c:v>0.23469504353367868</c:v>
                </c:pt>
                <c:pt idx="167">
                  <c:v>0.22870003187672769</c:v>
                </c:pt>
                <c:pt idx="168">
                  <c:v>0.22272089760943931</c:v>
                </c:pt>
                <c:pt idx="169">
                  <c:v>0.21676449444720089</c:v>
                </c:pt>
                <c:pt idx="170">
                  <c:v>0.21083745345327698</c:v>
                </c:pt>
                <c:pt idx="171">
                  <c:v>0.20494617287776634</c:v>
                </c:pt>
                <c:pt idx="172">
                  <c:v>0.19909680897830789</c:v>
                </c:pt>
                <c:pt idx="173">
                  <c:v>0.19329526782914908</c:v>
                </c:pt>
                <c:pt idx="174">
                  <c:v>0.1875471981207929</c:v>
                </c:pt>
                <c:pt idx="175">
                  <c:v>0.18185798494818547</c:v>
                </c:pt>
                <c:pt idx="176">
                  <c:v>0.17623274458125057</c:v>
                </c:pt>
                <c:pt idx="177">
                  <c:v>0.17067632020760465</c:v>
                </c:pt>
                <c:pt idx="178">
                  <c:v>0.16519327863345165</c:v>
                </c:pt>
                <c:pt idx="179">
                  <c:v>0.15978790792502937</c:v>
                </c:pt>
                <c:pt idx="180">
                  <c:v>0.15446421596953344</c:v>
                </c:pt>
                <c:pt idx="181">
                  <c:v>0.14922592993122322</c:v>
                </c:pt>
                <c:pt idx="182">
                  <c:v>0.14407649657540025</c:v>
                </c:pt>
                <c:pt idx="183">
                  <c:v>0.13901908343017472</c:v>
                </c:pt>
                <c:pt idx="184">
                  <c:v>0.13405658075340421</c:v>
                </c:pt>
                <c:pt idx="185">
                  <c:v>0.12919160426988183</c:v>
                </c:pt>
                <c:pt idx="186">
                  <c:v>0.1244264986418164</c:v>
                </c:pt>
                <c:pt idx="187">
                  <c:v>0.11976334163384346</c:v>
                </c:pt>
                <c:pt idx="188">
                  <c:v>0.11520394893226817</c:v>
                </c:pt>
                <c:pt idx="189">
                  <c:v>0.11074987957693934</c:v>
                </c:pt>
                <c:pt idx="190">
                  <c:v>0.10640244196312039</c:v>
                </c:pt>
                <c:pt idx="191">
                  <c:v>0.10216270036991239</c:v>
                </c:pt>
                <c:pt idx="192">
                  <c:v>9.8031481971232889E-2</c:v>
                </c:pt>
                <c:pt idx="193">
                  <c:v>9.4009384285025213E-2</c:v>
                </c:pt>
                <c:pt idx="194">
                  <c:v>9.009678301627555E-2</c:v>
                </c:pt>
                <c:pt idx="195">
                  <c:v>8.6293840249536694E-2</c:v>
                </c:pt>
                <c:pt idx="196">
                  <c:v>8.2600512946980065E-2</c:v>
                </c:pt>
                <c:pt idx="197">
                  <c:v>7.9016561708534841E-2</c:v>
                </c:pt>
                <c:pt idx="198">
                  <c:v>7.5541559751377427E-2</c:v>
                </c:pt>
                <c:pt idx="199">
                  <c:v>7.2174902066932334E-2</c:v>
                </c:pt>
                <c:pt idx="200">
                  <c:v>6.8915814714596221E-2</c:v>
                </c:pt>
                <c:pt idx="201">
                  <c:v>6.5763364212604133E-2</c:v>
                </c:pt>
                <c:pt idx="202">
                  <c:v>6.2716466987796121E-2</c:v>
                </c:pt>
                <c:pt idx="203">
                  <c:v>5.9773898847512365E-2</c:v>
                </c:pt>
                <c:pt idx="204">
                  <c:v>5.6934304438421797E-2</c:v>
                </c:pt>
                <c:pt idx="205">
                  <c:v>5.4196206658762222E-2</c:v>
                </c:pt>
                <c:pt idx="206">
                  <c:v>5.1558015992230748E-2</c:v>
                </c:pt>
                <c:pt idx="207">
                  <c:v>4.9018039733589508E-2</c:v>
                </c:pt>
                <c:pt idx="208">
                  <c:v>4.6574491077940997E-2</c:v>
                </c:pt>
                <c:pt idx="209">
                  <c:v>4.4225498047551264E-2</c:v>
                </c:pt>
                <c:pt idx="210">
                  <c:v>4.1969112232068333E-2</c:v>
                </c:pt>
                <c:pt idx="211">
                  <c:v>3.9803317319956046E-2</c:v>
                </c:pt>
                <c:pt idx="212">
                  <c:v>3.7726037400958284E-2</c:v>
                </c:pt>
                <c:pt idx="213">
                  <c:v>3.5735145021390198E-2</c:v>
                </c:pt>
                <c:pt idx="214">
                  <c:v>3.3828468976025428E-2</c:v>
                </c:pt>
                <c:pt idx="215">
                  <c:v>3.2003801822296514E-2</c:v>
                </c:pt>
                <c:pt idx="216">
                  <c:v>3.0258907104437256E-2</c:v>
                </c:pt>
                <c:pt idx="217">
                  <c:v>2.8591526277073009E-2</c:v>
                </c:pt>
                <c:pt idx="218">
                  <c:v>2.6999385319583014E-2</c:v>
                </c:pt>
                <c:pt idx="219">
                  <c:v>2.5480201034328333E-2</c:v>
                </c:pt>
                <c:pt idx="220">
                  <c:v>2.403168702354121E-2</c:v>
                </c:pt>
                <c:pt idx="221">
                  <c:v>2.2651559341306103E-2</c:v>
                </c:pt>
                <c:pt idx="222">
                  <c:v>2.1337541818621984E-2</c:v>
                </c:pt>
                <c:pt idx="223">
                  <c:v>2.008737106101895E-2</c:v>
                </c:pt>
                <c:pt idx="224">
                  <c:v>1.8898801119602578E-2</c:v>
                </c:pt>
                <c:pt idx="225">
                  <c:v>1.7769607837714141E-2</c:v>
                </c:pt>
                <c:pt idx="226">
                  <c:v>1.6697592876625755E-2</c:v>
                </c:pt>
                <c:pt idx="227">
                  <c:v>1.5680587424828311E-2</c:v>
                </c:pt>
                <c:pt idx="228">
                  <c:v>1.4716455596524172E-2</c:v>
                </c:pt>
                <c:pt idx="229">
                  <c:v>1.3803097525895824E-2</c:v>
                </c:pt>
                <c:pt idx="230">
                  <c:v>1.2938452164596234E-2</c:v>
                </c:pt>
                <c:pt idx="231">
                  <c:v>1.212049979068994E-2</c:v>
                </c:pt>
                <c:pt idx="232">
                  <c:v>1.1347264237970188E-2</c:v>
                </c:pt>
                <c:pt idx="233">
                  <c:v>1.0616814855188403E-2</c:v>
                </c:pt>
                <c:pt idx="234">
                  <c:v>9.9272682052590697E-3</c:v>
                </c:pt>
                <c:pt idx="235">
                  <c:v>9.2767895149492557E-3</c:v>
                </c:pt>
                <c:pt idx="236">
                  <c:v>8.6635938859280798E-3</c:v>
                </c:pt>
                <c:pt idx="237">
                  <c:v>8.0859472783450948E-3</c:v>
                </c:pt>
                <c:pt idx="238">
                  <c:v>7.5421672783237727E-3</c:v>
                </c:pt>
                <c:pt idx="239">
                  <c:v>7.0306236609098431E-3</c:v>
                </c:pt>
                <c:pt idx="240">
                  <c:v>6.5497387600978929E-3</c:v>
                </c:pt>
                <c:pt idx="241">
                  <c:v>6.0979876575868661E-3</c:v>
                </c:pt>
                <c:pt idx="242">
                  <c:v>5.6738982018815585E-3</c:v>
                </c:pt>
                <c:pt idx="243">
                  <c:v>5.2760508692726331E-3</c:v>
                </c:pt>
                <c:pt idx="244">
                  <c:v>4.9030784780939377E-3</c:v>
                </c:pt>
                <c:pt idx="245">
                  <c:v>4.5536657674760447E-3</c:v>
                </c:pt>
                <c:pt idx="246">
                  <c:v>4.2265488515956899E-3</c:v>
                </c:pt>
                <c:pt idx="247">
                  <c:v>3.9205145601637383E-3</c:v>
                </c:pt>
                <c:pt idx="248">
                  <c:v>3.634399675604996E-3</c:v>
                </c:pt>
                <c:pt idx="249">
                  <c:v>3.3670900770639959E-3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D7-4ECF-BD88-F85B0B00D0E9}"/>
            </c:ext>
          </c:extLst>
        </c:ser>
        <c:ser>
          <c:idx val="2"/>
          <c:order val="3"/>
          <c:tx>
            <c:strRef>
              <c:f>Sandsynlighed!$Q$8</c:f>
              <c:strCache>
                <c:ptCount val="1"/>
                <c:pt idx="0">
                  <c:v>80%
mindre end
66.83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Sandsynlighed!$Q$42</c:f>
              <c:numCache>
                <c:formatCode>General</c:formatCode>
                <c:ptCount val="1"/>
                <c:pt idx="0">
                  <c:v>80</c:v>
                </c:pt>
              </c:numCache>
            </c:numRef>
          </c:xVal>
          <c:yVal>
            <c:numRef>
              <c:f>Sandsynlighed!$Q$46</c:f>
              <c:numCache>
                <c:formatCode>General</c:formatCode>
                <c:ptCount val="1"/>
                <c:pt idx="0">
                  <c:v>0.21083745345327712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D7-4ECF-BD88-F85B0B00D0E9}"/>
            </c:ext>
          </c:extLst>
        </c:ser>
        <c:ser>
          <c:idx val="4"/>
          <c:order val="4"/>
          <c:tx>
            <c:strRef>
              <c:f>Sandsynlighed!$Q$10</c:f>
              <c:strCache>
                <c:ptCount val="1"/>
                <c:pt idx="0">
                  <c:v>20%
større end
66.83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Sandsynlighed!$Q$44</c:f>
              <c:numCache>
                <c:formatCode>General</c:formatCode>
                <c:ptCount val="1"/>
                <c:pt idx="0">
                  <c:v>205</c:v>
                </c:pt>
              </c:numCache>
            </c:numRef>
          </c:xVal>
          <c:yVal>
            <c:numRef>
              <c:f>Sandsynlighed!$Q$48</c:f>
              <c:numCache>
                <c:formatCode>General</c:formatCode>
                <c:ptCount val="1"/>
                <c:pt idx="0">
                  <c:v>5.6934304438421797E-2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D7-4ECF-BD88-F85B0B00D0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993312"/>
        <c:axId val="2125624672"/>
      </c:scatterChart>
      <c:catAx>
        <c:axId val="208599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9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125624672"/>
        <c:crosses val="autoZero"/>
        <c:auto val="1"/>
        <c:lblAlgn val="ctr"/>
        <c:lblOffset val="100"/>
        <c:tickLblSkip val="1"/>
        <c:noMultiLvlLbl val="0"/>
      </c:catAx>
      <c:valAx>
        <c:axId val="21256246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085993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Sandsynlighed!$Y$6</c:f>
          <c:strCache>
            <c:ptCount val="1"/>
            <c:pt idx="0">
              <c:v>Binomialfordeling
(Antal forsøg = 6 ; Sandsynlighed = 80%)
P(antal successer &lt; 4) = 9.888%
P(antal successer = 4) = 24.576%
P(antal successer &gt; 4) = 65.536%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084952005756373"/>
          <c:y val="0.42989578094346714"/>
          <c:w val="0.7982489213142222"/>
          <c:h val="0.45645915006011989"/>
        </c:manualLayout>
      </c:layout>
      <c:areaChart>
        <c:grouping val="standard"/>
        <c:varyColors val="0"/>
        <c:ser>
          <c:idx val="0"/>
          <c:order val="0"/>
          <c:tx>
            <c:strRef>
              <c:f>Sandsynlighed!$Y$8</c:f>
              <c:strCache>
                <c:ptCount val="1"/>
                <c:pt idx="0">
                  <c:v>9.888%
mindre end
4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[0]!SlB</c:f>
              <c:strCache>
                <c:ptCount val="229"/>
                <c:pt idx="18">
                  <c:v>0</c:v>
                </c:pt>
                <c:pt idx="53">
                  <c:v>1</c:v>
                </c:pt>
                <c:pt idx="88">
                  <c:v>2</c:v>
                </c:pt>
                <c:pt idx="123">
                  <c:v>3</c:v>
                </c:pt>
                <c:pt idx="158">
                  <c:v>4</c:v>
                </c:pt>
                <c:pt idx="193">
                  <c:v>5</c:v>
                </c:pt>
                <c:pt idx="228">
                  <c:v>6</c:v>
                </c:pt>
              </c:strCache>
            </c:strRef>
          </c:cat>
          <c:val>
            <c:numRef>
              <c:f>[0]!SyBv</c:f>
              <c:numCache>
                <c:formatCode>General</c:formatCode>
                <c:ptCount val="250"/>
                <c:pt idx="0">
                  <c:v>#N/A</c:v>
                </c:pt>
                <c:pt idx="1">
                  <c:v>6.3999999999999956E-5</c:v>
                </c:pt>
                <c:pt idx="2">
                  <c:v>6.3999999999999956E-5</c:v>
                </c:pt>
                <c:pt idx="3">
                  <c:v>6.3999999999999956E-5</c:v>
                </c:pt>
                <c:pt idx="4">
                  <c:v>6.3999999999999956E-5</c:v>
                </c:pt>
                <c:pt idx="5">
                  <c:v>6.3999999999999956E-5</c:v>
                </c:pt>
                <c:pt idx="6">
                  <c:v>6.3999999999999956E-5</c:v>
                </c:pt>
                <c:pt idx="7">
                  <c:v>6.3999999999999956E-5</c:v>
                </c:pt>
                <c:pt idx="8">
                  <c:v>6.3999999999999956E-5</c:v>
                </c:pt>
                <c:pt idx="9">
                  <c:v>6.3999999999999956E-5</c:v>
                </c:pt>
                <c:pt idx="10">
                  <c:v>6.3999999999999956E-5</c:v>
                </c:pt>
                <c:pt idx="11">
                  <c:v>6.3999999999999956E-5</c:v>
                </c:pt>
                <c:pt idx="12">
                  <c:v>6.3999999999999956E-5</c:v>
                </c:pt>
                <c:pt idx="13">
                  <c:v>6.3999999999999956E-5</c:v>
                </c:pt>
                <c:pt idx="14">
                  <c:v>6.3999999999999956E-5</c:v>
                </c:pt>
                <c:pt idx="15">
                  <c:v>6.3999999999999956E-5</c:v>
                </c:pt>
                <c:pt idx="16">
                  <c:v>6.3999999999999956E-5</c:v>
                </c:pt>
                <c:pt idx="17">
                  <c:v>6.3999999999999956E-5</c:v>
                </c:pt>
                <c:pt idx="18">
                  <c:v>6.3999999999999956E-5</c:v>
                </c:pt>
                <c:pt idx="19">
                  <c:v>6.3999999999999956E-5</c:v>
                </c:pt>
                <c:pt idx="20">
                  <c:v>6.3999999999999956E-5</c:v>
                </c:pt>
                <c:pt idx="21">
                  <c:v>6.3999999999999956E-5</c:v>
                </c:pt>
                <c:pt idx="22">
                  <c:v>6.3999999999999956E-5</c:v>
                </c:pt>
                <c:pt idx="23">
                  <c:v>6.3999999999999956E-5</c:v>
                </c:pt>
                <c:pt idx="24">
                  <c:v>6.3999999999999956E-5</c:v>
                </c:pt>
                <c:pt idx="25">
                  <c:v>6.3999999999999956E-5</c:v>
                </c:pt>
                <c:pt idx="26">
                  <c:v>6.3999999999999956E-5</c:v>
                </c:pt>
                <c:pt idx="27">
                  <c:v>6.3999999999999956E-5</c:v>
                </c:pt>
                <c:pt idx="28">
                  <c:v>6.3999999999999956E-5</c:v>
                </c:pt>
                <c:pt idx="29">
                  <c:v>6.3999999999999956E-5</c:v>
                </c:pt>
                <c:pt idx="30">
                  <c:v>6.3999999999999956E-5</c:v>
                </c:pt>
                <c:pt idx="31">
                  <c:v>6.3999999999999956E-5</c:v>
                </c:pt>
                <c:pt idx="32">
                  <c:v>6.3999999999999956E-5</c:v>
                </c:pt>
                <c:pt idx="33">
                  <c:v>6.3999999999999956E-5</c:v>
                </c:pt>
                <c:pt idx="34">
                  <c:v>6.3999999999999956E-5</c:v>
                </c:pt>
                <c:pt idx="35">
                  <c:v>#N/A</c:v>
                </c:pt>
                <c:pt idx="36">
                  <c:v>1.5359999999999961E-3</c:v>
                </c:pt>
                <c:pt idx="37">
                  <c:v>1.5359999999999961E-3</c:v>
                </c:pt>
                <c:pt idx="38">
                  <c:v>1.5359999999999961E-3</c:v>
                </c:pt>
                <c:pt idx="39">
                  <c:v>1.5359999999999961E-3</c:v>
                </c:pt>
                <c:pt idx="40">
                  <c:v>1.5359999999999961E-3</c:v>
                </c:pt>
                <c:pt idx="41">
                  <c:v>1.5359999999999961E-3</c:v>
                </c:pt>
                <c:pt idx="42">
                  <c:v>1.5359999999999961E-3</c:v>
                </c:pt>
                <c:pt idx="43">
                  <c:v>1.5359999999999961E-3</c:v>
                </c:pt>
                <c:pt idx="44">
                  <c:v>1.5359999999999961E-3</c:v>
                </c:pt>
                <c:pt idx="45">
                  <c:v>1.5359999999999961E-3</c:v>
                </c:pt>
                <c:pt idx="46">
                  <c:v>1.5359999999999961E-3</c:v>
                </c:pt>
                <c:pt idx="47">
                  <c:v>1.5359999999999961E-3</c:v>
                </c:pt>
                <c:pt idx="48">
                  <c:v>1.5359999999999961E-3</c:v>
                </c:pt>
                <c:pt idx="49">
                  <c:v>1.5359999999999961E-3</c:v>
                </c:pt>
                <c:pt idx="50">
                  <c:v>1.5359999999999961E-3</c:v>
                </c:pt>
                <c:pt idx="51">
                  <c:v>1.5359999999999961E-3</c:v>
                </c:pt>
                <c:pt idx="52">
                  <c:v>1.5359999999999961E-3</c:v>
                </c:pt>
                <c:pt idx="53">
                  <c:v>1.5359999999999961E-3</c:v>
                </c:pt>
                <c:pt idx="54">
                  <c:v>1.5359999999999961E-3</c:v>
                </c:pt>
                <c:pt idx="55">
                  <c:v>1.5359999999999961E-3</c:v>
                </c:pt>
                <c:pt idx="56">
                  <c:v>1.5359999999999961E-3</c:v>
                </c:pt>
                <c:pt idx="57">
                  <c:v>1.5359999999999961E-3</c:v>
                </c:pt>
                <c:pt idx="58">
                  <c:v>1.5359999999999961E-3</c:v>
                </c:pt>
                <c:pt idx="59">
                  <c:v>1.5359999999999961E-3</c:v>
                </c:pt>
                <c:pt idx="60">
                  <c:v>1.5359999999999961E-3</c:v>
                </c:pt>
                <c:pt idx="61">
                  <c:v>1.5359999999999961E-3</c:v>
                </c:pt>
                <c:pt idx="62">
                  <c:v>1.5359999999999961E-3</c:v>
                </c:pt>
                <c:pt idx="63">
                  <c:v>1.5359999999999961E-3</c:v>
                </c:pt>
                <c:pt idx="64">
                  <c:v>1.5359999999999961E-3</c:v>
                </c:pt>
                <c:pt idx="65">
                  <c:v>1.5359999999999961E-3</c:v>
                </c:pt>
                <c:pt idx="66">
                  <c:v>1.5359999999999961E-3</c:v>
                </c:pt>
                <c:pt idx="67">
                  <c:v>1.5359999999999961E-3</c:v>
                </c:pt>
                <c:pt idx="68">
                  <c:v>1.5359999999999961E-3</c:v>
                </c:pt>
                <c:pt idx="69">
                  <c:v>1.5359999999999961E-3</c:v>
                </c:pt>
                <c:pt idx="70">
                  <c:v>#N/A</c:v>
                </c:pt>
                <c:pt idx="71">
                  <c:v>1.535999999999999E-2</c:v>
                </c:pt>
                <c:pt idx="72">
                  <c:v>1.535999999999999E-2</c:v>
                </c:pt>
                <c:pt idx="73">
                  <c:v>1.535999999999999E-2</c:v>
                </c:pt>
                <c:pt idx="74">
                  <c:v>1.535999999999999E-2</c:v>
                </c:pt>
                <c:pt idx="75">
                  <c:v>1.535999999999999E-2</c:v>
                </c:pt>
                <c:pt idx="76">
                  <c:v>1.535999999999999E-2</c:v>
                </c:pt>
                <c:pt idx="77">
                  <c:v>1.535999999999999E-2</c:v>
                </c:pt>
                <c:pt idx="78">
                  <c:v>1.535999999999999E-2</c:v>
                </c:pt>
                <c:pt idx="79">
                  <c:v>1.535999999999999E-2</c:v>
                </c:pt>
                <c:pt idx="80">
                  <c:v>1.535999999999999E-2</c:v>
                </c:pt>
                <c:pt idx="81">
                  <c:v>1.535999999999999E-2</c:v>
                </c:pt>
                <c:pt idx="82">
                  <c:v>1.535999999999999E-2</c:v>
                </c:pt>
                <c:pt idx="83">
                  <c:v>1.535999999999999E-2</c:v>
                </c:pt>
                <c:pt idx="84">
                  <c:v>1.535999999999999E-2</c:v>
                </c:pt>
                <c:pt idx="85">
                  <c:v>1.535999999999999E-2</c:v>
                </c:pt>
                <c:pt idx="86">
                  <c:v>1.535999999999999E-2</c:v>
                </c:pt>
                <c:pt idx="87">
                  <c:v>1.535999999999999E-2</c:v>
                </c:pt>
                <c:pt idx="88">
                  <c:v>1.535999999999999E-2</c:v>
                </c:pt>
                <c:pt idx="89">
                  <c:v>1.535999999999999E-2</c:v>
                </c:pt>
                <c:pt idx="90">
                  <c:v>1.535999999999999E-2</c:v>
                </c:pt>
                <c:pt idx="91">
                  <c:v>1.535999999999999E-2</c:v>
                </c:pt>
                <c:pt idx="92">
                  <c:v>1.535999999999999E-2</c:v>
                </c:pt>
                <c:pt idx="93">
                  <c:v>1.535999999999999E-2</c:v>
                </c:pt>
                <c:pt idx="94">
                  <c:v>1.535999999999999E-2</c:v>
                </c:pt>
                <c:pt idx="95">
                  <c:v>1.535999999999999E-2</c:v>
                </c:pt>
                <c:pt idx="96">
                  <c:v>1.535999999999999E-2</c:v>
                </c:pt>
                <c:pt idx="97">
                  <c:v>1.535999999999999E-2</c:v>
                </c:pt>
                <c:pt idx="98">
                  <c:v>1.535999999999999E-2</c:v>
                </c:pt>
                <c:pt idx="99">
                  <c:v>1.535999999999999E-2</c:v>
                </c:pt>
                <c:pt idx="100">
                  <c:v>1.535999999999999E-2</c:v>
                </c:pt>
                <c:pt idx="101">
                  <c:v>1.535999999999999E-2</c:v>
                </c:pt>
                <c:pt idx="102">
                  <c:v>1.535999999999999E-2</c:v>
                </c:pt>
                <c:pt idx="103">
                  <c:v>1.535999999999999E-2</c:v>
                </c:pt>
                <c:pt idx="104">
                  <c:v>1.535999999999999E-2</c:v>
                </c:pt>
                <c:pt idx="105">
                  <c:v>#N/A</c:v>
                </c:pt>
                <c:pt idx="106">
                  <c:v>8.1919999999999951E-2</c:v>
                </c:pt>
                <c:pt idx="107">
                  <c:v>8.1919999999999951E-2</c:v>
                </c:pt>
                <c:pt idx="108">
                  <c:v>8.1919999999999951E-2</c:v>
                </c:pt>
                <c:pt idx="109">
                  <c:v>8.1919999999999951E-2</c:v>
                </c:pt>
                <c:pt idx="110">
                  <c:v>8.1919999999999951E-2</c:v>
                </c:pt>
                <c:pt idx="111">
                  <c:v>8.1919999999999951E-2</c:v>
                </c:pt>
                <c:pt idx="112">
                  <c:v>8.1919999999999951E-2</c:v>
                </c:pt>
                <c:pt idx="113">
                  <c:v>8.1919999999999951E-2</c:v>
                </c:pt>
                <c:pt idx="114">
                  <c:v>8.1919999999999951E-2</c:v>
                </c:pt>
                <c:pt idx="115">
                  <c:v>8.1919999999999951E-2</c:v>
                </c:pt>
                <c:pt idx="116">
                  <c:v>8.1919999999999951E-2</c:v>
                </c:pt>
                <c:pt idx="117">
                  <c:v>8.1919999999999951E-2</c:v>
                </c:pt>
                <c:pt idx="118">
                  <c:v>8.1919999999999951E-2</c:v>
                </c:pt>
                <c:pt idx="119">
                  <c:v>8.1919999999999951E-2</c:v>
                </c:pt>
                <c:pt idx="120">
                  <c:v>8.1919999999999951E-2</c:v>
                </c:pt>
                <c:pt idx="121">
                  <c:v>8.1919999999999951E-2</c:v>
                </c:pt>
                <c:pt idx="122">
                  <c:v>8.1919999999999951E-2</c:v>
                </c:pt>
                <c:pt idx="123">
                  <c:v>8.1919999999999951E-2</c:v>
                </c:pt>
                <c:pt idx="124">
                  <c:v>8.1919999999999951E-2</c:v>
                </c:pt>
                <c:pt idx="125">
                  <c:v>8.1919999999999951E-2</c:v>
                </c:pt>
                <c:pt idx="126">
                  <c:v>8.1919999999999951E-2</c:v>
                </c:pt>
                <c:pt idx="127">
                  <c:v>8.1919999999999951E-2</c:v>
                </c:pt>
                <c:pt idx="128">
                  <c:v>8.1919999999999951E-2</c:v>
                </c:pt>
                <c:pt idx="129">
                  <c:v>8.1919999999999951E-2</c:v>
                </c:pt>
                <c:pt idx="130">
                  <c:v>8.1919999999999951E-2</c:v>
                </c:pt>
                <c:pt idx="131">
                  <c:v>8.1919999999999951E-2</c:v>
                </c:pt>
                <c:pt idx="132">
                  <c:v>8.1919999999999951E-2</c:v>
                </c:pt>
                <c:pt idx="133">
                  <c:v>8.1919999999999951E-2</c:v>
                </c:pt>
                <c:pt idx="134">
                  <c:v>8.1919999999999951E-2</c:v>
                </c:pt>
                <c:pt idx="135">
                  <c:v>8.1919999999999951E-2</c:v>
                </c:pt>
                <c:pt idx="136">
                  <c:v>8.1919999999999951E-2</c:v>
                </c:pt>
                <c:pt idx="137">
                  <c:v>8.1919999999999951E-2</c:v>
                </c:pt>
                <c:pt idx="138">
                  <c:v>8.1919999999999951E-2</c:v>
                </c:pt>
                <c:pt idx="139">
                  <c:v>8.1919999999999951E-2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A9-4687-8A02-286CB2506A3A}"/>
            </c:ext>
          </c:extLst>
        </c:ser>
        <c:ser>
          <c:idx val="3"/>
          <c:order val="1"/>
          <c:tx>
            <c:strRef>
              <c:f>Sandsynlighed!$Y$10</c:f>
              <c:strCache>
                <c:ptCount val="1"/>
                <c:pt idx="0">
                  <c:v>24.576%
lig med
4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strRef>
              <c:f>[0]!SlB</c:f>
              <c:strCache>
                <c:ptCount val="229"/>
                <c:pt idx="18">
                  <c:v>0</c:v>
                </c:pt>
                <c:pt idx="53">
                  <c:v>1</c:v>
                </c:pt>
                <c:pt idx="88">
                  <c:v>2</c:v>
                </c:pt>
                <c:pt idx="123">
                  <c:v>3</c:v>
                </c:pt>
                <c:pt idx="158">
                  <c:v>4</c:v>
                </c:pt>
                <c:pt idx="193">
                  <c:v>5</c:v>
                </c:pt>
                <c:pt idx="228">
                  <c:v>6</c:v>
                </c:pt>
              </c:strCache>
            </c:strRef>
          </c:cat>
          <c:val>
            <c:numRef>
              <c:f>[0]!SyBp</c:f>
              <c:numCache>
                <c:formatCode>General</c:formatCode>
                <c:ptCount val="2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0.24575999999999998</c:v>
                </c:pt>
                <c:pt idx="142">
                  <c:v>0.24575999999999998</c:v>
                </c:pt>
                <c:pt idx="143">
                  <c:v>0.24575999999999998</c:v>
                </c:pt>
                <c:pt idx="144">
                  <c:v>0.24575999999999998</c:v>
                </c:pt>
                <c:pt idx="145">
                  <c:v>0.24575999999999998</c:v>
                </c:pt>
                <c:pt idx="146">
                  <c:v>0.24575999999999998</c:v>
                </c:pt>
                <c:pt idx="147">
                  <c:v>0.24575999999999998</c:v>
                </c:pt>
                <c:pt idx="148">
                  <c:v>0.24575999999999998</c:v>
                </c:pt>
                <c:pt idx="149">
                  <c:v>0.24575999999999998</c:v>
                </c:pt>
                <c:pt idx="150">
                  <c:v>0.24575999999999998</c:v>
                </c:pt>
                <c:pt idx="151">
                  <c:v>0.24575999999999998</c:v>
                </c:pt>
                <c:pt idx="152">
                  <c:v>0.24575999999999998</c:v>
                </c:pt>
                <c:pt idx="153">
                  <c:v>0.24575999999999998</c:v>
                </c:pt>
                <c:pt idx="154">
                  <c:v>0.24575999999999998</c:v>
                </c:pt>
                <c:pt idx="155">
                  <c:v>0.24575999999999998</c:v>
                </c:pt>
                <c:pt idx="156">
                  <c:v>0.24575999999999998</c:v>
                </c:pt>
                <c:pt idx="157">
                  <c:v>0.24575999999999998</c:v>
                </c:pt>
                <c:pt idx="158">
                  <c:v>0.24575999999999998</c:v>
                </c:pt>
                <c:pt idx="159">
                  <c:v>0.24575999999999998</c:v>
                </c:pt>
                <c:pt idx="160">
                  <c:v>0.24575999999999998</c:v>
                </c:pt>
                <c:pt idx="161">
                  <c:v>0.24575999999999998</c:v>
                </c:pt>
                <c:pt idx="162">
                  <c:v>0.24575999999999998</c:v>
                </c:pt>
                <c:pt idx="163">
                  <c:v>0.24575999999999998</c:v>
                </c:pt>
                <c:pt idx="164">
                  <c:v>0.24575999999999998</c:v>
                </c:pt>
                <c:pt idx="165">
                  <c:v>0.24575999999999998</c:v>
                </c:pt>
                <c:pt idx="166">
                  <c:v>0.24575999999999998</c:v>
                </c:pt>
                <c:pt idx="167">
                  <c:v>0.24575999999999998</c:v>
                </c:pt>
                <c:pt idx="168">
                  <c:v>0.24575999999999998</c:v>
                </c:pt>
                <c:pt idx="169">
                  <c:v>0.24575999999999998</c:v>
                </c:pt>
                <c:pt idx="170">
                  <c:v>0.24575999999999998</c:v>
                </c:pt>
                <c:pt idx="171">
                  <c:v>0.24575999999999998</c:v>
                </c:pt>
                <c:pt idx="172">
                  <c:v>0.24575999999999998</c:v>
                </c:pt>
                <c:pt idx="173">
                  <c:v>0.24575999999999998</c:v>
                </c:pt>
                <c:pt idx="174">
                  <c:v>0.24575999999999998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5A9-4687-8A02-286CB2506A3A}"/>
            </c:ext>
          </c:extLst>
        </c:ser>
        <c:ser>
          <c:idx val="1"/>
          <c:order val="2"/>
          <c:tx>
            <c:strRef>
              <c:f>Sandsynlighed!$Y$12</c:f>
              <c:strCache>
                <c:ptCount val="1"/>
                <c:pt idx="0">
                  <c:v>65.536%
større end
4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[0]!SlB</c:f>
              <c:strCache>
                <c:ptCount val="229"/>
                <c:pt idx="18">
                  <c:v>0</c:v>
                </c:pt>
                <c:pt idx="53">
                  <c:v>1</c:v>
                </c:pt>
                <c:pt idx="88">
                  <c:v>2</c:v>
                </c:pt>
                <c:pt idx="123">
                  <c:v>3</c:v>
                </c:pt>
                <c:pt idx="158">
                  <c:v>4</c:v>
                </c:pt>
                <c:pt idx="193">
                  <c:v>5</c:v>
                </c:pt>
                <c:pt idx="228">
                  <c:v>6</c:v>
                </c:pt>
              </c:strCache>
            </c:strRef>
          </c:cat>
          <c:val>
            <c:numRef>
              <c:f>[0]!SyBh</c:f>
              <c:numCache>
                <c:formatCode>General</c:formatCode>
                <c:ptCount val="2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0.39321600000000007</c:v>
                </c:pt>
                <c:pt idx="177">
                  <c:v>0.39321600000000007</c:v>
                </c:pt>
                <c:pt idx="178">
                  <c:v>0.39321600000000007</c:v>
                </c:pt>
                <c:pt idx="179">
                  <c:v>0.39321600000000007</c:v>
                </c:pt>
                <c:pt idx="180">
                  <c:v>0.39321600000000007</c:v>
                </c:pt>
                <c:pt idx="181">
                  <c:v>0.39321600000000007</c:v>
                </c:pt>
                <c:pt idx="182">
                  <c:v>0.39321600000000007</c:v>
                </c:pt>
                <c:pt idx="183">
                  <c:v>0.39321600000000007</c:v>
                </c:pt>
                <c:pt idx="184">
                  <c:v>0.39321600000000007</c:v>
                </c:pt>
                <c:pt idx="185">
                  <c:v>0.39321600000000007</c:v>
                </c:pt>
                <c:pt idx="186">
                  <c:v>0.39321600000000007</c:v>
                </c:pt>
                <c:pt idx="187">
                  <c:v>0.39321600000000007</c:v>
                </c:pt>
                <c:pt idx="188">
                  <c:v>0.39321600000000007</c:v>
                </c:pt>
                <c:pt idx="189">
                  <c:v>0.39321600000000007</c:v>
                </c:pt>
                <c:pt idx="190">
                  <c:v>0.39321600000000007</c:v>
                </c:pt>
                <c:pt idx="191">
                  <c:v>0.39321600000000007</c:v>
                </c:pt>
                <c:pt idx="192">
                  <c:v>0.39321600000000007</c:v>
                </c:pt>
                <c:pt idx="193">
                  <c:v>0.39321600000000007</c:v>
                </c:pt>
                <c:pt idx="194">
                  <c:v>0.39321600000000007</c:v>
                </c:pt>
                <c:pt idx="195">
                  <c:v>0.39321600000000007</c:v>
                </c:pt>
                <c:pt idx="196">
                  <c:v>0.39321600000000007</c:v>
                </c:pt>
                <c:pt idx="197">
                  <c:v>0.39321600000000007</c:v>
                </c:pt>
                <c:pt idx="198">
                  <c:v>0.39321600000000007</c:v>
                </c:pt>
                <c:pt idx="199">
                  <c:v>0.39321600000000007</c:v>
                </c:pt>
                <c:pt idx="200">
                  <c:v>0.39321600000000007</c:v>
                </c:pt>
                <c:pt idx="201">
                  <c:v>0.39321600000000007</c:v>
                </c:pt>
                <c:pt idx="202">
                  <c:v>0.39321600000000007</c:v>
                </c:pt>
                <c:pt idx="203">
                  <c:v>0.39321600000000007</c:v>
                </c:pt>
                <c:pt idx="204">
                  <c:v>0.39321600000000007</c:v>
                </c:pt>
                <c:pt idx="205">
                  <c:v>0.39321600000000007</c:v>
                </c:pt>
                <c:pt idx="206">
                  <c:v>0.39321600000000007</c:v>
                </c:pt>
                <c:pt idx="207">
                  <c:v>0.39321600000000007</c:v>
                </c:pt>
                <c:pt idx="208">
                  <c:v>0.39321600000000007</c:v>
                </c:pt>
                <c:pt idx="209">
                  <c:v>0.39321600000000007</c:v>
                </c:pt>
                <c:pt idx="210">
                  <c:v>#N/A</c:v>
                </c:pt>
                <c:pt idx="211">
                  <c:v>0.2621440000000001</c:v>
                </c:pt>
                <c:pt idx="212">
                  <c:v>0.2621440000000001</c:v>
                </c:pt>
                <c:pt idx="213">
                  <c:v>0.2621440000000001</c:v>
                </c:pt>
                <c:pt idx="214">
                  <c:v>0.2621440000000001</c:v>
                </c:pt>
                <c:pt idx="215">
                  <c:v>0.2621440000000001</c:v>
                </c:pt>
                <c:pt idx="216">
                  <c:v>0.2621440000000001</c:v>
                </c:pt>
                <c:pt idx="217">
                  <c:v>0.2621440000000001</c:v>
                </c:pt>
                <c:pt idx="218">
                  <c:v>0.2621440000000001</c:v>
                </c:pt>
                <c:pt idx="219">
                  <c:v>0.2621440000000001</c:v>
                </c:pt>
                <c:pt idx="220">
                  <c:v>0.2621440000000001</c:v>
                </c:pt>
                <c:pt idx="221">
                  <c:v>0.2621440000000001</c:v>
                </c:pt>
                <c:pt idx="222">
                  <c:v>0.2621440000000001</c:v>
                </c:pt>
                <c:pt idx="223">
                  <c:v>0.2621440000000001</c:v>
                </c:pt>
                <c:pt idx="224">
                  <c:v>0.2621440000000001</c:v>
                </c:pt>
                <c:pt idx="225">
                  <c:v>0.2621440000000001</c:v>
                </c:pt>
                <c:pt idx="226">
                  <c:v>0.2621440000000001</c:v>
                </c:pt>
                <c:pt idx="227">
                  <c:v>0.2621440000000001</c:v>
                </c:pt>
                <c:pt idx="228">
                  <c:v>0.2621440000000001</c:v>
                </c:pt>
                <c:pt idx="229">
                  <c:v>0.2621440000000001</c:v>
                </c:pt>
                <c:pt idx="230">
                  <c:v>0.2621440000000001</c:v>
                </c:pt>
                <c:pt idx="231">
                  <c:v>0.2621440000000001</c:v>
                </c:pt>
                <c:pt idx="232">
                  <c:v>0.2621440000000001</c:v>
                </c:pt>
                <c:pt idx="233">
                  <c:v>0.2621440000000001</c:v>
                </c:pt>
                <c:pt idx="234">
                  <c:v>0.2621440000000001</c:v>
                </c:pt>
                <c:pt idx="235">
                  <c:v>0.2621440000000001</c:v>
                </c:pt>
                <c:pt idx="236">
                  <c:v>0.2621440000000001</c:v>
                </c:pt>
                <c:pt idx="237">
                  <c:v>0.2621440000000001</c:v>
                </c:pt>
                <c:pt idx="238">
                  <c:v>0.2621440000000001</c:v>
                </c:pt>
                <c:pt idx="239">
                  <c:v>0.2621440000000001</c:v>
                </c:pt>
                <c:pt idx="240">
                  <c:v>0.2621440000000001</c:v>
                </c:pt>
                <c:pt idx="241">
                  <c:v>0.2621440000000001</c:v>
                </c:pt>
                <c:pt idx="242">
                  <c:v>0.2621440000000001</c:v>
                </c:pt>
                <c:pt idx="243">
                  <c:v>0.2621440000000001</c:v>
                </c:pt>
                <c:pt idx="244">
                  <c:v>0.2621440000000001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5A9-4687-8A02-286CB2506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993312"/>
        <c:axId val="2125624672"/>
      </c:areaChart>
      <c:scatterChart>
        <c:scatterStyle val="lineMarker"/>
        <c:varyColors val="0"/>
        <c:ser>
          <c:idx val="2"/>
          <c:order val="3"/>
          <c:tx>
            <c:strRef>
              <c:f>Sandsynlighed!$Y$8</c:f>
              <c:strCache>
                <c:ptCount val="1"/>
                <c:pt idx="0">
                  <c:v>9.888%
mindre end
4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Sandsynlighed!$Y$40</c:f>
              <c:numCache>
                <c:formatCode>General</c:formatCode>
                <c:ptCount val="1"/>
                <c:pt idx="0">
                  <c:v>88</c:v>
                </c:pt>
              </c:numCache>
            </c:numRef>
          </c:xVal>
          <c:yVal>
            <c:numRef>
              <c:f>Sandsynlighed!$Y$46</c:f>
              <c:numCache>
                <c:formatCode>General</c:formatCode>
                <c:ptCount val="1"/>
                <c:pt idx="0">
                  <c:v>1.535999999999999E-2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A9-4687-8A02-286CB2506A3A}"/>
            </c:ext>
          </c:extLst>
        </c:ser>
        <c:ser>
          <c:idx val="5"/>
          <c:order val="4"/>
          <c:tx>
            <c:strRef>
              <c:f>Sandsynlighed!$Y$10</c:f>
              <c:strCache>
                <c:ptCount val="1"/>
                <c:pt idx="0">
                  <c:v>24.576%
lig med
4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Sandsynlighed!$Y$42</c:f>
              <c:numCache>
                <c:formatCode>General</c:formatCode>
                <c:ptCount val="1"/>
                <c:pt idx="0">
                  <c:v>158</c:v>
                </c:pt>
              </c:numCache>
            </c:numRef>
          </c:xVal>
          <c:yVal>
            <c:numRef>
              <c:f>Sandsynlighed!$Y$48</c:f>
              <c:numCache>
                <c:formatCode>General</c:formatCode>
                <c:ptCount val="1"/>
                <c:pt idx="0">
                  <c:v>0.24575999999999998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A9-4687-8A02-286CB2506A3A}"/>
            </c:ext>
          </c:extLst>
        </c:ser>
        <c:ser>
          <c:idx val="4"/>
          <c:order val="5"/>
          <c:tx>
            <c:strRef>
              <c:f>Sandsynlighed!$Y$12</c:f>
              <c:strCache>
                <c:ptCount val="1"/>
                <c:pt idx="0">
                  <c:v>65.536%
større end
4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ysClr val="window" lastClr="FFFFFF"/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Sandsynlighed!$Y$44</c:f>
              <c:numCache>
                <c:formatCode>General</c:formatCode>
                <c:ptCount val="1"/>
                <c:pt idx="0">
                  <c:v>193</c:v>
                </c:pt>
              </c:numCache>
            </c:numRef>
          </c:xVal>
          <c:yVal>
            <c:numRef>
              <c:f>Sandsynlighed!$Y$50</c:f>
              <c:numCache>
                <c:formatCode>General</c:formatCode>
                <c:ptCount val="1"/>
                <c:pt idx="0">
                  <c:v>0.39321600000000007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A9-4687-8A02-286CB2506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993312"/>
        <c:axId val="2125624672"/>
      </c:scatterChart>
      <c:catAx>
        <c:axId val="208599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9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125624672"/>
        <c:crosses val="autoZero"/>
        <c:auto val="1"/>
        <c:lblAlgn val="ctr"/>
        <c:lblOffset val="100"/>
        <c:tickLblSkip val="1"/>
        <c:noMultiLvlLbl val="0"/>
      </c:catAx>
      <c:valAx>
        <c:axId val="21256246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085993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Sandsynlighed!$AH$6</c:f>
          <c:strCache>
            <c:ptCount val="1"/>
            <c:pt idx="0">
              <c:v>Poissonfordeling
(Intensitet = 2)
P(antal hændelser &lt; 1) = 13.534%
P(antal hændelser = 1) = 27.067%
P(antal hændelser &gt; 1) = 59.399%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a-DK"/>
        </a:p>
      </c:txPr>
    </c:title>
    <c:autoTitleDeleted val="0"/>
    <c:plotArea>
      <c:layout>
        <c:manualLayout>
          <c:layoutTarget val="inner"/>
          <c:xMode val="edge"/>
          <c:yMode val="edge"/>
          <c:x val="0.10084952005756373"/>
          <c:y val="0.42989578094346714"/>
          <c:w val="0.7982489213142222"/>
          <c:h val="0.45645915006011989"/>
        </c:manualLayout>
      </c:layout>
      <c:areaChart>
        <c:grouping val="standard"/>
        <c:varyColors val="0"/>
        <c:ser>
          <c:idx val="0"/>
          <c:order val="0"/>
          <c:tx>
            <c:strRef>
              <c:f>Sandsynlighed!$AH$8</c:f>
              <c:strCache>
                <c:ptCount val="1"/>
                <c:pt idx="0">
                  <c:v>13.534%
mindre end
1</c:v>
                </c:pt>
              </c:strCache>
            </c:strRef>
          </c:tx>
          <c:spPr>
            <a:solidFill>
              <a:schemeClr val="accent1"/>
            </a:solidFill>
            <a:ln w="25400">
              <a:noFill/>
            </a:ln>
            <a:effectLst/>
          </c:spPr>
          <c:cat>
            <c:strRef>
              <c:f>[0]!SlP</c:f>
              <c:strCache>
                <c:ptCount val="231"/>
                <c:pt idx="10">
                  <c:v>0</c:v>
                </c:pt>
                <c:pt idx="30">
                  <c:v>1</c:v>
                </c:pt>
                <c:pt idx="50">
                  <c:v>2</c:v>
                </c:pt>
                <c:pt idx="70">
                  <c:v>3</c:v>
                </c:pt>
                <c:pt idx="90">
                  <c:v>4</c:v>
                </c:pt>
                <c:pt idx="110">
                  <c:v>5</c:v>
                </c:pt>
                <c:pt idx="130">
                  <c:v>6</c:v>
                </c:pt>
                <c:pt idx="150">
                  <c:v>7</c:v>
                </c:pt>
                <c:pt idx="170">
                  <c:v>8</c:v>
                </c:pt>
                <c:pt idx="190">
                  <c:v>9</c:v>
                </c:pt>
                <c:pt idx="210">
                  <c:v>10</c:v>
                </c:pt>
                <c:pt idx="230">
                  <c:v>11</c:v>
                </c:pt>
              </c:strCache>
            </c:strRef>
          </c:cat>
          <c:val>
            <c:numRef>
              <c:f>[0]!SyPv</c:f>
              <c:numCache>
                <c:formatCode>General</c:formatCode>
                <c:ptCount val="250"/>
                <c:pt idx="0">
                  <c:v>#N/A</c:v>
                </c:pt>
                <c:pt idx="1">
                  <c:v>0.1353352832366127</c:v>
                </c:pt>
                <c:pt idx="2">
                  <c:v>0.1353352832366127</c:v>
                </c:pt>
                <c:pt idx="3">
                  <c:v>0.1353352832366127</c:v>
                </c:pt>
                <c:pt idx="4">
                  <c:v>0.1353352832366127</c:v>
                </c:pt>
                <c:pt idx="5">
                  <c:v>0.1353352832366127</c:v>
                </c:pt>
                <c:pt idx="6">
                  <c:v>0.1353352832366127</c:v>
                </c:pt>
                <c:pt idx="7">
                  <c:v>0.1353352832366127</c:v>
                </c:pt>
                <c:pt idx="8">
                  <c:v>0.1353352832366127</c:v>
                </c:pt>
                <c:pt idx="9">
                  <c:v>0.1353352832366127</c:v>
                </c:pt>
                <c:pt idx="10">
                  <c:v>0.1353352832366127</c:v>
                </c:pt>
                <c:pt idx="11">
                  <c:v>0.1353352832366127</c:v>
                </c:pt>
                <c:pt idx="12">
                  <c:v>0.1353352832366127</c:v>
                </c:pt>
                <c:pt idx="13">
                  <c:v>0.1353352832366127</c:v>
                </c:pt>
                <c:pt idx="14">
                  <c:v>0.1353352832366127</c:v>
                </c:pt>
                <c:pt idx="15">
                  <c:v>0.1353352832366127</c:v>
                </c:pt>
                <c:pt idx="16">
                  <c:v>0.1353352832366127</c:v>
                </c:pt>
                <c:pt idx="17">
                  <c:v>0.1353352832366127</c:v>
                </c:pt>
                <c:pt idx="18">
                  <c:v>0.1353352832366127</c:v>
                </c:pt>
                <c:pt idx="19">
                  <c:v>0.1353352832366127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93-43E7-B522-A2FEC9747AA8}"/>
            </c:ext>
          </c:extLst>
        </c:ser>
        <c:ser>
          <c:idx val="3"/>
          <c:order val="1"/>
          <c:tx>
            <c:strRef>
              <c:f>Sandsynlighed!$AH$10</c:f>
              <c:strCache>
                <c:ptCount val="1"/>
                <c:pt idx="0">
                  <c:v>27.067%
lig med
1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cat>
            <c:strRef>
              <c:f>[0]!SlP</c:f>
              <c:strCache>
                <c:ptCount val="231"/>
                <c:pt idx="10">
                  <c:v>0</c:v>
                </c:pt>
                <c:pt idx="30">
                  <c:v>1</c:v>
                </c:pt>
                <c:pt idx="50">
                  <c:v>2</c:v>
                </c:pt>
                <c:pt idx="70">
                  <c:v>3</c:v>
                </c:pt>
                <c:pt idx="90">
                  <c:v>4</c:v>
                </c:pt>
                <c:pt idx="110">
                  <c:v>5</c:v>
                </c:pt>
                <c:pt idx="130">
                  <c:v>6</c:v>
                </c:pt>
                <c:pt idx="150">
                  <c:v>7</c:v>
                </c:pt>
                <c:pt idx="170">
                  <c:v>8</c:v>
                </c:pt>
                <c:pt idx="190">
                  <c:v>9</c:v>
                </c:pt>
                <c:pt idx="210">
                  <c:v>10</c:v>
                </c:pt>
                <c:pt idx="230">
                  <c:v>11</c:v>
                </c:pt>
              </c:strCache>
            </c:strRef>
          </c:cat>
          <c:val>
            <c:numRef>
              <c:f>[0]!SyPp</c:f>
              <c:numCache>
                <c:formatCode>General</c:formatCode>
                <c:ptCount val="2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0.27067056647322535</c:v>
                </c:pt>
                <c:pt idx="22">
                  <c:v>0.27067056647322535</c:v>
                </c:pt>
                <c:pt idx="23">
                  <c:v>0.27067056647322535</c:v>
                </c:pt>
                <c:pt idx="24">
                  <c:v>0.27067056647322535</c:v>
                </c:pt>
                <c:pt idx="25">
                  <c:v>0.27067056647322535</c:v>
                </c:pt>
                <c:pt idx="26">
                  <c:v>0.27067056647322535</c:v>
                </c:pt>
                <c:pt idx="27">
                  <c:v>0.27067056647322535</c:v>
                </c:pt>
                <c:pt idx="28">
                  <c:v>0.27067056647322535</c:v>
                </c:pt>
                <c:pt idx="29">
                  <c:v>0.27067056647322535</c:v>
                </c:pt>
                <c:pt idx="30">
                  <c:v>0.27067056647322535</c:v>
                </c:pt>
                <c:pt idx="31">
                  <c:v>0.27067056647322535</c:v>
                </c:pt>
                <c:pt idx="32">
                  <c:v>0.27067056647322535</c:v>
                </c:pt>
                <c:pt idx="33">
                  <c:v>0.27067056647322535</c:v>
                </c:pt>
                <c:pt idx="34">
                  <c:v>0.27067056647322535</c:v>
                </c:pt>
                <c:pt idx="35">
                  <c:v>0.27067056647322535</c:v>
                </c:pt>
                <c:pt idx="36">
                  <c:v>0.27067056647322535</c:v>
                </c:pt>
                <c:pt idx="37">
                  <c:v>0.27067056647322535</c:v>
                </c:pt>
                <c:pt idx="38">
                  <c:v>0.27067056647322535</c:v>
                </c:pt>
                <c:pt idx="39">
                  <c:v>0.27067056647322535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93-43E7-B522-A2FEC9747AA8}"/>
            </c:ext>
          </c:extLst>
        </c:ser>
        <c:ser>
          <c:idx val="1"/>
          <c:order val="2"/>
          <c:tx>
            <c:strRef>
              <c:f>Sandsynlighed!$AH$12</c:f>
              <c:strCache>
                <c:ptCount val="1"/>
                <c:pt idx="0">
                  <c:v>59.399%
større end
1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cat>
            <c:strRef>
              <c:f>[0]!SlP</c:f>
              <c:strCache>
                <c:ptCount val="231"/>
                <c:pt idx="10">
                  <c:v>0</c:v>
                </c:pt>
                <c:pt idx="30">
                  <c:v>1</c:v>
                </c:pt>
                <c:pt idx="50">
                  <c:v>2</c:v>
                </c:pt>
                <c:pt idx="70">
                  <c:v>3</c:v>
                </c:pt>
                <c:pt idx="90">
                  <c:v>4</c:v>
                </c:pt>
                <c:pt idx="110">
                  <c:v>5</c:v>
                </c:pt>
                <c:pt idx="130">
                  <c:v>6</c:v>
                </c:pt>
                <c:pt idx="150">
                  <c:v>7</c:v>
                </c:pt>
                <c:pt idx="170">
                  <c:v>8</c:v>
                </c:pt>
                <c:pt idx="190">
                  <c:v>9</c:v>
                </c:pt>
                <c:pt idx="210">
                  <c:v>10</c:v>
                </c:pt>
                <c:pt idx="230">
                  <c:v>11</c:v>
                </c:pt>
              </c:strCache>
            </c:strRef>
          </c:cat>
          <c:val>
            <c:numRef>
              <c:f>[0]!SyPh</c:f>
              <c:numCache>
                <c:formatCode>General</c:formatCode>
                <c:ptCount val="25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0.27067056647322546</c:v>
                </c:pt>
                <c:pt idx="42">
                  <c:v>0.27067056647322546</c:v>
                </c:pt>
                <c:pt idx="43">
                  <c:v>0.27067056647322546</c:v>
                </c:pt>
                <c:pt idx="44">
                  <c:v>0.27067056647322546</c:v>
                </c:pt>
                <c:pt idx="45">
                  <c:v>0.27067056647322546</c:v>
                </c:pt>
                <c:pt idx="46">
                  <c:v>0.27067056647322546</c:v>
                </c:pt>
                <c:pt idx="47">
                  <c:v>0.27067056647322546</c:v>
                </c:pt>
                <c:pt idx="48">
                  <c:v>0.27067056647322546</c:v>
                </c:pt>
                <c:pt idx="49">
                  <c:v>0.27067056647322546</c:v>
                </c:pt>
                <c:pt idx="50">
                  <c:v>0.27067056647322546</c:v>
                </c:pt>
                <c:pt idx="51">
                  <c:v>0.27067056647322546</c:v>
                </c:pt>
                <c:pt idx="52">
                  <c:v>0.27067056647322546</c:v>
                </c:pt>
                <c:pt idx="53">
                  <c:v>0.27067056647322546</c:v>
                </c:pt>
                <c:pt idx="54">
                  <c:v>0.27067056647322546</c:v>
                </c:pt>
                <c:pt idx="55">
                  <c:v>0.27067056647322546</c:v>
                </c:pt>
                <c:pt idx="56">
                  <c:v>0.27067056647322546</c:v>
                </c:pt>
                <c:pt idx="57">
                  <c:v>0.27067056647322546</c:v>
                </c:pt>
                <c:pt idx="58">
                  <c:v>0.27067056647322546</c:v>
                </c:pt>
                <c:pt idx="59">
                  <c:v>0.27067056647322546</c:v>
                </c:pt>
                <c:pt idx="60">
                  <c:v>#N/A</c:v>
                </c:pt>
                <c:pt idx="61">
                  <c:v>0.18044704431548364</c:v>
                </c:pt>
                <c:pt idx="62">
                  <c:v>0.18044704431548364</c:v>
                </c:pt>
                <c:pt idx="63">
                  <c:v>0.18044704431548364</c:v>
                </c:pt>
                <c:pt idx="64">
                  <c:v>0.18044704431548364</c:v>
                </c:pt>
                <c:pt idx="65">
                  <c:v>0.18044704431548364</c:v>
                </c:pt>
                <c:pt idx="66">
                  <c:v>0.18044704431548364</c:v>
                </c:pt>
                <c:pt idx="67">
                  <c:v>0.18044704431548364</c:v>
                </c:pt>
                <c:pt idx="68">
                  <c:v>0.18044704431548364</c:v>
                </c:pt>
                <c:pt idx="69">
                  <c:v>0.18044704431548364</c:v>
                </c:pt>
                <c:pt idx="70">
                  <c:v>0.18044704431548364</c:v>
                </c:pt>
                <c:pt idx="71">
                  <c:v>0.18044704431548364</c:v>
                </c:pt>
                <c:pt idx="72">
                  <c:v>0.18044704431548364</c:v>
                </c:pt>
                <c:pt idx="73">
                  <c:v>0.18044704431548364</c:v>
                </c:pt>
                <c:pt idx="74">
                  <c:v>0.18044704431548364</c:v>
                </c:pt>
                <c:pt idx="75">
                  <c:v>0.18044704431548364</c:v>
                </c:pt>
                <c:pt idx="76">
                  <c:v>0.18044704431548364</c:v>
                </c:pt>
                <c:pt idx="77">
                  <c:v>0.18044704431548364</c:v>
                </c:pt>
                <c:pt idx="78">
                  <c:v>0.18044704431548364</c:v>
                </c:pt>
                <c:pt idx="79">
                  <c:v>0.18044704431548364</c:v>
                </c:pt>
                <c:pt idx="80">
                  <c:v>#N/A</c:v>
                </c:pt>
                <c:pt idx="81">
                  <c:v>9.022352215774182E-2</c:v>
                </c:pt>
                <c:pt idx="82">
                  <c:v>9.022352215774182E-2</c:v>
                </c:pt>
                <c:pt idx="83">
                  <c:v>9.022352215774182E-2</c:v>
                </c:pt>
                <c:pt idx="84">
                  <c:v>9.022352215774182E-2</c:v>
                </c:pt>
                <c:pt idx="85">
                  <c:v>9.022352215774182E-2</c:v>
                </c:pt>
                <c:pt idx="86">
                  <c:v>9.022352215774182E-2</c:v>
                </c:pt>
                <c:pt idx="87">
                  <c:v>9.022352215774182E-2</c:v>
                </c:pt>
                <c:pt idx="88">
                  <c:v>9.022352215774182E-2</c:v>
                </c:pt>
                <c:pt idx="89">
                  <c:v>9.022352215774182E-2</c:v>
                </c:pt>
                <c:pt idx="90">
                  <c:v>9.022352215774182E-2</c:v>
                </c:pt>
                <c:pt idx="91">
                  <c:v>9.022352215774182E-2</c:v>
                </c:pt>
                <c:pt idx="92">
                  <c:v>9.022352215774182E-2</c:v>
                </c:pt>
                <c:pt idx="93">
                  <c:v>9.022352215774182E-2</c:v>
                </c:pt>
                <c:pt idx="94">
                  <c:v>9.022352215774182E-2</c:v>
                </c:pt>
                <c:pt idx="95">
                  <c:v>9.022352215774182E-2</c:v>
                </c:pt>
                <c:pt idx="96">
                  <c:v>9.022352215774182E-2</c:v>
                </c:pt>
                <c:pt idx="97">
                  <c:v>9.022352215774182E-2</c:v>
                </c:pt>
                <c:pt idx="98">
                  <c:v>9.022352215774182E-2</c:v>
                </c:pt>
                <c:pt idx="99">
                  <c:v>9.022352215774182E-2</c:v>
                </c:pt>
                <c:pt idx="100">
                  <c:v>#N/A</c:v>
                </c:pt>
                <c:pt idx="101">
                  <c:v>3.6089408863096716E-2</c:v>
                </c:pt>
                <c:pt idx="102">
                  <c:v>3.6089408863096716E-2</c:v>
                </c:pt>
                <c:pt idx="103">
                  <c:v>3.6089408863096716E-2</c:v>
                </c:pt>
                <c:pt idx="104">
                  <c:v>3.6089408863096716E-2</c:v>
                </c:pt>
                <c:pt idx="105">
                  <c:v>3.6089408863096716E-2</c:v>
                </c:pt>
                <c:pt idx="106">
                  <c:v>3.6089408863096716E-2</c:v>
                </c:pt>
                <c:pt idx="107">
                  <c:v>3.6089408863096716E-2</c:v>
                </c:pt>
                <c:pt idx="108">
                  <c:v>3.6089408863096716E-2</c:v>
                </c:pt>
                <c:pt idx="109">
                  <c:v>3.6089408863096716E-2</c:v>
                </c:pt>
                <c:pt idx="110">
                  <c:v>3.6089408863096716E-2</c:v>
                </c:pt>
                <c:pt idx="111">
                  <c:v>3.6089408863096716E-2</c:v>
                </c:pt>
                <c:pt idx="112">
                  <c:v>3.6089408863096716E-2</c:v>
                </c:pt>
                <c:pt idx="113">
                  <c:v>3.6089408863096716E-2</c:v>
                </c:pt>
                <c:pt idx="114">
                  <c:v>3.6089408863096716E-2</c:v>
                </c:pt>
                <c:pt idx="115">
                  <c:v>3.6089408863096716E-2</c:v>
                </c:pt>
                <c:pt idx="116">
                  <c:v>3.6089408863096716E-2</c:v>
                </c:pt>
                <c:pt idx="117">
                  <c:v>3.6089408863096716E-2</c:v>
                </c:pt>
                <c:pt idx="118">
                  <c:v>3.6089408863096716E-2</c:v>
                </c:pt>
                <c:pt idx="119">
                  <c:v>3.6089408863096716E-2</c:v>
                </c:pt>
                <c:pt idx="120">
                  <c:v>#N/A</c:v>
                </c:pt>
                <c:pt idx="121">
                  <c:v>1.2029802954365572E-2</c:v>
                </c:pt>
                <c:pt idx="122">
                  <c:v>1.2029802954365572E-2</c:v>
                </c:pt>
                <c:pt idx="123">
                  <c:v>1.2029802954365572E-2</c:v>
                </c:pt>
                <c:pt idx="124">
                  <c:v>1.2029802954365572E-2</c:v>
                </c:pt>
                <c:pt idx="125">
                  <c:v>1.2029802954365572E-2</c:v>
                </c:pt>
                <c:pt idx="126">
                  <c:v>1.2029802954365572E-2</c:v>
                </c:pt>
                <c:pt idx="127">
                  <c:v>1.2029802954365572E-2</c:v>
                </c:pt>
                <c:pt idx="128">
                  <c:v>1.2029802954365572E-2</c:v>
                </c:pt>
                <c:pt idx="129">
                  <c:v>1.2029802954365572E-2</c:v>
                </c:pt>
                <c:pt idx="130">
                  <c:v>1.2029802954365572E-2</c:v>
                </c:pt>
                <c:pt idx="131">
                  <c:v>1.2029802954365572E-2</c:v>
                </c:pt>
                <c:pt idx="132">
                  <c:v>1.2029802954365572E-2</c:v>
                </c:pt>
                <c:pt idx="133">
                  <c:v>1.2029802954365572E-2</c:v>
                </c:pt>
                <c:pt idx="134">
                  <c:v>1.2029802954365572E-2</c:v>
                </c:pt>
                <c:pt idx="135">
                  <c:v>1.2029802954365572E-2</c:v>
                </c:pt>
                <c:pt idx="136">
                  <c:v>1.2029802954365572E-2</c:v>
                </c:pt>
                <c:pt idx="137">
                  <c:v>1.2029802954365572E-2</c:v>
                </c:pt>
                <c:pt idx="138">
                  <c:v>1.2029802954365572E-2</c:v>
                </c:pt>
                <c:pt idx="139">
                  <c:v>1.2029802954365572E-2</c:v>
                </c:pt>
                <c:pt idx="140">
                  <c:v>#N/A</c:v>
                </c:pt>
                <c:pt idx="141">
                  <c:v>3.4370865583901629E-3</c:v>
                </c:pt>
                <c:pt idx="142">
                  <c:v>3.4370865583901629E-3</c:v>
                </c:pt>
                <c:pt idx="143">
                  <c:v>3.4370865583901629E-3</c:v>
                </c:pt>
                <c:pt idx="144">
                  <c:v>3.4370865583901629E-3</c:v>
                </c:pt>
                <c:pt idx="145">
                  <c:v>3.4370865583901629E-3</c:v>
                </c:pt>
                <c:pt idx="146">
                  <c:v>3.4370865583901629E-3</c:v>
                </c:pt>
                <c:pt idx="147">
                  <c:v>3.4370865583901629E-3</c:v>
                </c:pt>
                <c:pt idx="148">
                  <c:v>3.4370865583901629E-3</c:v>
                </c:pt>
                <c:pt idx="149">
                  <c:v>3.4370865583901629E-3</c:v>
                </c:pt>
                <c:pt idx="150">
                  <c:v>3.4370865583901629E-3</c:v>
                </c:pt>
                <c:pt idx="151">
                  <c:v>3.4370865583901629E-3</c:v>
                </c:pt>
                <c:pt idx="152">
                  <c:v>3.4370865583901629E-3</c:v>
                </c:pt>
                <c:pt idx="153">
                  <c:v>3.4370865583901629E-3</c:v>
                </c:pt>
                <c:pt idx="154">
                  <c:v>3.4370865583901629E-3</c:v>
                </c:pt>
                <c:pt idx="155">
                  <c:v>3.4370865583901629E-3</c:v>
                </c:pt>
                <c:pt idx="156">
                  <c:v>3.4370865583901629E-3</c:v>
                </c:pt>
                <c:pt idx="157">
                  <c:v>3.4370865583901629E-3</c:v>
                </c:pt>
                <c:pt idx="158">
                  <c:v>3.4370865583901629E-3</c:v>
                </c:pt>
                <c:pt idx="159">
                  <c:v>3.4370865583901629E-3</c:v>
                </c:pt>
                <c:pt idx="160">
                  <c:v>#N/A</c:v>
                </c:pt>
                <c:pt idx="161">
                  <c:v>8.5927163959754148E-4</c:v>
                </c:pt>
                <c:pt idx="162">
                  <c:v>8.5927163959754148E-4</c:v>
                </c:pt>
                <c:pt idx="163">
                  <c:v>8.5927163959754148E-4</c:v>
                </c:pt>
                <c:pt idx="164">
                  <c:v>8.5927163959754148E-4</c:v>
                </c:pt>
                <c:pt idx="165">
                  <c:v>8.5927163959754148E-4</c:v>
                </c:pt>
                <c:pt idx="166">
                  <c:v>8.5927163959754148E-4</c:v>
                </c:pt>
                <c:pt idx="167">
                  <c:v>8.5927163959754148E-4</c:v>
                </c:pt>
                <c:pt idx="168">
                  <c:v>8.5927163959754148E-4</c:v>
                </c:pt>
                <c:pt idx="169">
                  <c:v>8.5927163959754148E-4</c:v>
                </c:pt>
                <c:pt idx="170">
                  <c:v>8.5927163959754148E-4</c:v>
                </c:pt>
                <c:pt idx="171">
                  <c:v>8.5927163959754148E-4</c:v>
                </c:pt>
                <c:pt idx="172">
                  <c:v>8.5927163959754148E-4</c:v>
                </c:pt>
                <c:pt idx="173">
                  <c:v>8.5927163959754148E-4</c:v>
                </c:pt>
                <c:pt idx="174">
                  <c:v>8.5927163959754148E-4</c:v>
                </c:pt>
                <c:pt idx="175">
                  <c:v>8.5927163959754148E-4</c:v>
                </c:pt>
                <c:pt idx="176">
                  <c:v>8.5927163959754148E-4</c:v>
                </c:pt>
                <c:pt idx="177">
                  <c:v>8.5927163959754148E-4</c:v>
                </c:pt>
                <c:pt idx="178">
                  <c:v>8.5927163959754148E-4</c:v>
                </c:pt>
                <c:pt idx="179">
                  <c:v>8.5927163959754148E-4</c:v>
                </c:pt>
                <c:pt idx="180">
                  <c:v>#N/A</c:v>
                </c:pt>
                <c:pt idx="181">
                  <c:v>1.9094925324389769E-4</c:v>
                </c:pt>
                <c:pt idx="182">
                  <c:v>1.9094925324389769E-4</c:v>
                </c:pt>
                <c:pt idx="183">
                  <c:v>1.9094925324389769E-4</c:v>
                </c:pt>
                <c:pt idx="184">
                  <c:v>1.9094925324389769E-4</c:v>
                </c:pt>
                <c:pt idx="185">
                  <c:v>1.9094925324389769E-4</c:v>
                </c:pt>
                <c:pt idx="186">
                  <c:v>1.9094925324389769E-4</c:v>
                </c:pt>
                <c:pt idx="187">
                  <c:v>1.9094925324389769E-4</c:v>
                </c:pt>
                <c:pt idx="188">
                  <c:v>1.9094925324389769E-4</c:v>
                </c:pt>
                <c:pt idx="189">
                  <c:v>1.9094925324389769E-4</c:v>
                </c:pt>
                <c:pt idx="190">
                  <c:v>1.9094925324389769E-4</c:v>
                </c:pt>
                <c:pt idx="191">
                  <c:v>1.9094925324389769E-4</c:v>
                </c:pt>
                <c:pt idx="192">
                  <c:v>1.9094925324389769E-4</c:v>
                </c:pt>
                <c:pt idx="193">
                  <c:v>1.9094925324389769E-4</c:v>
                </c:pt>
                <c:pt idx="194">
                  <c:v>1.9094925324389769E-4</c:v>
                </c:pt>
                <c:pt idx="195">
                  <c:v>1.9094925324389769E-4</c:v>
                </c:pt>
                <c:pt idx="196">
                  <c:v>1.9094925324389769E-4</c:v>
                </c:pt>
                <c:pt idx="197">
                  <c:v>1.9094925324389769E-4</c:v>
                </c:pt>
                <c:pt idx="198">
                  <c:v>1.9094925324389769E-4</c:v>
                </c:pt>
                <c:pt idx="199">
                  <c:v>1.9094925324389769E-4</c:v>
                </c:pt>
                <c:pt idx="200">
                  <c:v>#N/A</c:v>
                </c:pt>
                <c:pt idx="201">
                  <c:v>3.8189850648779602E-5</c:v>
                </c:pt>
                <c:pt idx="202">
                  <c:v>3.8189850648779602E-5</c:v>
                </c:pt>
                <c:pt idx="203">
                  <c:v>3.8189850648779602E-5</c:v>
                </c:pt>
                <c:pt idx="204">
                  <c:v>3.8189850648779602E-5</c:v>
                </c:pt>
                <c:pt idx="205">
                  <c:v>3.8189850648779602E-5</c:v>
                </c:pt>
                <c:pt idx="206">
                  <c:v>3.8189850648779602E-5</c:v>
                </c:pt>
                <c:pt idx="207">
                  <c:v>3.8189850648779602E-5</c:v>
                </c:pt>
                <c:pt idx="208">
                  <c:v>3.8189850648779602E-5</c:v>
                </c:pt>
                <c:pt idx="209">
                  <c:v>3.8189850648779602E-5</c:v>
                </c:pt>
                <c:pt idx="210">
                  <c:v>3.8189850648779602E-5</c:v>
                </c:pt>
                <c:pt idx="211">
                  <c:v>3.8189850648779602E-5</c:v>
                </c:pt>
                <c:pt idx="212">
                  <c:v>3.8189850648779602E-5</c:v>
                </c:pt>
                <c:pt idx="213">
                  <c:v>3.8189850648779602E-5</c:v>
                </c:pt>
                <c:pt idx="214">
                  <c:v>3.8189850648779602E-5</c:v>
                </c:pt>
                <c:pt idx="215">
                  <c:v>3.8189850648779602E-5</c:v>
                </c:pt>
                <c:pt idx="216">
                  <c:v>3.8189850648779602E-5</c:v>
                </c:pt>
                <c:pt idx="217">
                  <c:v>3.8189850648779602E-5</c:v>
                </c:pt>
                <c:pt idx="218">
                  <c:v>3.8189850648779602E-5</c:v>
                </c:pt>
                <c:pt idx="219">
                  <c:v>3.8189850648779602E-5</c:v>
                </c:pt>
                <c:pt idx="220">
                  <c:v>#N/A</c:v>
                </c:pt>
                <c:pt idx="221">
                  <c:v>6.9436092088690095E-6</c:v>
                </c:pt>
                <c:pt idx="222">
                  <c:v>6.9436092088690095E-6</c:v>
                </c:pt>
                <c:pt idx="223">
                  <c:v>6.9436092088690095E-6</c:v>
                </c:pt>
                <c:pt idx="224">
                  <c:v>6.9436092088690095E-6</c:v>
                </c:pt>
                <c:pt idx="225">
                  <c:v>6.9436092088690095E-6</c:v>
                </c:pt>
                <c:pt idx="226">
                  <c:v>6.9436092088690095E-6</c:v>
                </c:pt>
                <c:pt idx="227">
                  <c:v>6.9436092088690095E-6</c:v>
                </c:pt>
                <c:pt idx="228">
                  <c:v>6.9436092088690095E-6</c:v>
                </c:pt>
                <c:pt idx="229">
                  <c:v>6.9436092088690095E-6</c:v>
                </c:pt>
                <c:pt idx="230">
                  <c:v>6.9436092088690095E-6</c:v>
                </c:pt>
                <c:pt idx="231">
                  <c:v>6.9436092088690095E-6</c:v>
                </c:pt>
                <c:pt idx="232">
                  <c:v>6.9436092088690095E-6</c:v>
                </c:pt>
                <c:pt idx="233">
                  <c:v>6.9436092088690095E-6</c:v>
                </c:pt>
                <c:pt idx="234">
                  <c:v>6.9436092088690095E-6</c:v>
                </c:pt>
                <c:pt idx="235">
                  <c:v>6.9436092088690095E-6</c:v>
                </c:pt>
                <c:pt idx="236">
                  <c:v>6.9436092088690095E-6</c:v>
                </c:pt>
                <c:pt idx="237">
                  <c:v>6.9436092088690095E-6</c:v>
                </c:pt>
                <c:pt idx="238">
                  <c:v>6.9436092088690095E-6</c:v>
                </c:pt>
                <c:pt idx="239">
                  <c:v>6.9436092088690095E-6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93-43E7-B522-A2FEC9747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993312"/>
        <c:axId val="2125624672"/>
      </c:areaChart>
      <c:scatterChart>
        <c:scatterStyle val="lineMarker"/>
        <c:varyColors val="0"/>
        <c:ser>
          <c:idx val="2"/>
          <c:order val="3"/>
          <c:tx>
            <c:strRef>
              <c:f>Sandsynlighed!$AH$8</c:f>
              <c:strCache>
                <c:ptCount val="1"/>
                <c:pt idx="0">
                  <c:v>13.534%
mindre end
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Sandsynlighed!$AH$38</c:f>
              <c:numCache>
                <c:formatCode>General</c:formatCode>
                <c:ptCount val="1"/>
                <c:pt idx="0">
                  <c:v>11</c:v>
                </c:pt>
              </c:numCache>
            </c:numRef>
          </c:xVal>
          <c:yVal>
            <c:numRef>
              <c:f>Sandsynlighed!$AH$44</c:f>
              <c:numCache>
                <c:formatCode>General</c:formatCode>
                <c:ptCount val="1"/>
                <c:pt idx="0">
                  <c:v>0.1353352832366127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893-43E7-B522-A2FEC9747AA8}"/>
            </c:ext>
          </c:extLst>
        </c:ser>
        <c:ser>
          <c:idx val="5"/>
          <c:order val="4"/>
          <c:tx>
            <c:strRef>
              <c:f>Sandsynlighed!$AH$10</c:f>
              <c:strCache>
                <c:ptCount val="1"/>
                <c:pt idx="0">
                  <c:v>27.067%
lig med
1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Sandsynlighed!$AH$40</c:f>
              <c:numCache>
                <c:formatCode>General</c:formatCode>
                <c:ptCount val="1"/>
                <c:pt idx="0">
                  <c:v>31</c:v>
                </c:pt>
              </c:numCache>
            </c:numRef>
          </c:xVal>
          <c:yVal>
            <c:numRef>
              <c:f>Sandsynlighed!$AH$46</c:f>
              <c:numCache>
                <c:formatCode>General</c:formatCode>
                <c:ptCount val="1"/>
                <c:pt idx="0">
                  <c:v>0.27067056647322535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893-43E7-B522-A2FEC9747AA8}"/>
            </c:ext>
          </c:extLst>
        </c:ser>
        <c:ser>
          <c:idx val="4"/>
          <c:order val="5"/>
          <c:tx>
            <c:strRef>
              <c:f>Sandsynlighed!$AH$12</c:f>
              <c:strCache>
                <c:ptCount val="1"/>
                <c:pt idx="0">
                  <c:v>59.399%
større end
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solidFill>
                <a:schemeClr val="bg1"/>
              </a:solidFill>
              <a:ln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a-DK"/>
              </a:p>
            </c:txPr>
            <c:dLblPos val="t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Sandsynlighed!$AH$42</c:f>
              <c:numCache>
                <c:formatCode>General</c:formatCode>
                <c:ptCount val="1"/>
                <c:pt idx="0">
                  <c:v>131</c:v>
                </c:pt>
              </c:numCache>
            </c:numRef>
          </c:xVal>
          <c:yVal>
            <c:numRef>
              <c:f>Sandsynlighed!$AH$48</c:f>
              <c:numCache>
                <c:formatCode>General</c:formatCode>
                <c:ptCount val="1"/>
                <c:pt idx="0">
                  <c:v>1.2029802954365572E-2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893-43E7-B522-A2FEC9747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5993312"/>
        <c:axId val="2125624672"/>
      </c:scatterChart>
      <c:catAx>
        <c:axId val="20859933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9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a-DK"/>
          </a:p>
        </c:txPr>
        <c:crossAx val="2125624672"/>
        <c:crosses val="autoZero"/>
        <c:auto val="1"/>
        <c:lblAlgn val="ctr"/>
        <c:lblOffset val="100"/>
        <c:tickLblSkip val="1"/>
        <c:noMultiLvlLbl val="0"/>
      </c:catAx>
      <c:valAx>
        <c:axId val="212562467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2085993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ysClr val="window" lastClr="FFFFFF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a-D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://creativecommons.org/licenses/by-sa/4.0/" TargetMode="Externa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37</xdr:row>
      <xdr:rowOff>0</xdr:rowOff>
    </xdr:from>
    <xdr:to>
      <xdr:col>2</xdr:col>
      <xdr:colOff>599359</xdr:colOff>
      <xdr:row>54</xdr:row>
      <xdr:rowOff>28187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92021025"/>
          <a:ext cx="5723809" cy="310476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56</xdr:row>
      <xdr:rowOff>123825</xdr:rowOff>
    </xdr:from>
    <xdr:to>
      <xdr:col>2</xdr:col>
      <xdr:colOff>580312</xdr:colOff>
      <xdr:row>74</xdr:row>
      <xdr:rowOff>18656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95583375"/>
          <a:ext cx="5704762" cy="3152381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9525</xdr:rowOff>
    </xdr:from>
    <xdr:to>
      <xdr:col>0</xdr:col>
      <xdr:colOff>1000430</xdr:colOff>
      <xdr:row>24</xdr:row>
      <xdr:rowOff>0</xdr:rowOff>
    </xdr:to>
    <xdr:pic>
      <xdr:nvPicPr>
        <xdr:cNvPr id="11" name="Pictur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048125"/>
          <a:ext cx="1000430" cy="3524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10</xdr:row>
      <xdr:rowOff>0</xdr:rowOff>
    </xdr:from>
    <xdr:to>
      <xdr:col>2</xdr:col>
      <xdr:colOff>62753</xdr:colOff>
      <xdr:row>27</xdr:row>
      <xdr:rowOff>22910</xdr:rowOff>
    </xdr:to>
    <xdr:graphicFrame macro="">
      <xdr:nvGraphicFramePr>
        <xdr:cNvPr id="8" name="Normalfordeling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3</xdr:col>
      <xdr:colOff>0</xdr:colOff>
      <xdr:row>10</xdr:row>
      <xdr:rowOff>0</xdr:rowOff>
    </xdr:from>
    <xdr:to>
      <xdr:col>5</xdr:col>
      <xdr:colOff>62753</xdr:colOff>
      <xdr:row>27</xdr:row>
      <xdr:rowOff>22910</xdr:rowOff>
    </xdr:to>
    <xdr:graphicFrame macro="">
      <xdr:nvGraphicFramePr>
        <xdr:cNvPr id="6" name="Binomialfordeling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6</xdr:col>
      <xdr:colOff>0</xdr:colOff>
      <xdr:row>10</xdr:row>
      <xdr:rowOff>0</xdr:rowOff>
    </xdr:from>
    <xdr:ext cx="5663453" cy="3099485"/>
    <xdr:graphicFrame macro="">
      <xdr:nvGraphicFramePr>
        <xdr:cNvPr id="10" name="Binomialfordeling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Business Academy Aarhus, 2017, Danish">
  <a:themeElements>
    <a:clrScheme name="Custom 1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62B2C4"/>
      </a:accent1>
      <a:accent2>
        <a:srgbClr val="FF7000"/>
      </a:accent2>
      <a:accent3>
        <a:srgbClr val="79B57F"/>
      </a:accent3>
      <a:accent4>
        <a:srgbClr val="B52933"/>
      </a:accent4>
      <a:accent5>
        <a:srgbClr val="613C8D"/>
      </a:accent5>
      <a:accent6>
        <a:srgbClr val="FDD100"/>
      </a:accent6>
      <a:hlink>
        <a:srgbClr val="1F497D"/>
      </a:hlink>
      <a:folHlink>
        <a:srgbClr val="7030A0"/>
      </a:folHlink>
    </a:clrScheme>
    <a:fontScheme name="Tw Cen MT">
      <a:majorFont>
        <a:latin typeface="Tw Cen MT"/>
        <a:ea typeface=""/>
        <a:cs typeface=""/>
      </a:majorFont>
      <a:minorFont>
        <a:latin typeface="Tw Cen MT"/>
        <a:ea typeface=""/>
        <a:cs typeface="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usiness Academy Aarhus, 2017, Danish" id="{554348F3-738D-4A8D-BE87-7A68E9448968}" vid="{932C7983-0D3C-4E06-B35C-E8232403A98B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creativecommons.org/licenses/by-sa/4.0/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4993A-409D-44F9-8542-1665387421B3}">
  <sheetPr codeName="Sheet2">
    <tabColor theme="0"/>
  </sheetPr>
  <dimension ref="A1:D76"/>
  <sheetViews>
    <sheetView showGridLines="0" tabSelected="1" zoomScaleNormal="100" workbookViewId="0"/>
  </sheetViews>
  <sheetFormatPr defaultRowHeight="14.25" x14ac:dyDescent="0.2"/>
  <cols>
    <col min="1" max="1" width="64.5" customWidth="1"/>
    <col min="2" max="2" width="2.75" customWidth="1"/>
    <col min="3" max="4" width="41.125" customWidth="1"/>
    <col min="5" max="5" width="32.125" customWidth="1"/>
  </cols>
  <sheetData>
    <row r="1" spans="1:4" s="1" customFormat="1" ht="18.75" x14ac:dyDescent="0.2">
      <c r="A1" s="1" t="s">
        <v>6</v>
      </c>
      <c r="C1" s="1" t="s">
        <v>92</v>
      </c>
    </row>
    <row r="2" spans="1:4" x14ac:dyDescent="0.2">
      <c r="A2" s="4" t="s">
        <v>7</v>
      </c>
      <c r="B2" s="4"/>
    </row>
    <row r="3" spans="1:4" x14ac:dyDescent="0.2">
      <c r="A3" s="4" t="s">
        <v>3</v>
      </c>
      <c r="B3" s="4"/>
    </row>
    <row r="4" spans="1:4" x14ac:dyDescent="0.2">
      <c r="A4" s="4"/>
      <c r="B4" s="4"/>
    </row>
    <row r="5" spans="1:4" x14ac:dyDescent="0.2">
      <c r="B5" s="4"/>
    </row>
    <row r="6" spans="1:4" x14ac:dyDescent="0.2">
      <c r="B6" s="4"/>
    </row>
    <row r="7" spans="1:4" x14ac:dyDescent="0.2">
      <c r="B7" s="4"/>
    </row>
    <row r="8" spans="1:4" x14ac:dyDescent="0.2">
      <c r="B8" s="4"/>
    </row>
    <row r="9" spans="1:4" x14ac:dyDescent="0.2">
      <c r="A9" s="3" t="s">
        <v>91</v>
      </c>
      <c r="B9" s="4"/>
    </row>
    <row r="10" spans="1:4" x14ac:dyDescent="0.2">
      <c r="A10" t="s">
        <v>15</v>
      </c>
      <c r="B10" s="4"/>
      <c r="C10" s="18" t="s">
        <v>16</v>
      </c>
      <c r="D10" s="26" t="s">
        <v>17</v>
      </c>
    </row>
    <row r="15" spans="1:4" x14ac:dyDescent="0.2">
      <c r="B15" s="4"/>
    </row>
    <row r="17" spans="1:2" x14ac:dyDescent="0.2">
      <c r="B17" s="4"/>
    </row>
    <row r="18" spans="1:2" x14ac:dyDescent="0.2">
      <c r="B18" s="4"/>
    </row>
    <row r="21" spans="1:2" x14ac:dyDescent="0.2">
      <c r="B21" s="4"/>
    </row>
    <row r="22" spans="1:2" x14ac:dyDescent="0.2">
      <c r="B22" s="4"/>
    </row>
    <row r="23" spans="1:2" x14ac:dyDescent="0.2">
      <c r="B23" s="4"/>
    </row>
    <row r="24" spans="1:2" x14ac:dyDescent="0.2">
      <c r="B24" s="4"/>
    </row>
    <row r="25" spans="1:2" x14ac:dyDescent="0.2">
      <c r="A25" s="5" t="s">
        <v>23</v>
      </c>
      <c r="B25" s="4"/>
    </row>
    <row r="26" spans="1:2" x14ac:dyDescent="0.2">
      <c r="B26" s="4"/>
    </row>
    <row r="29" spans="1:2" s="20" customFormat="1" ht="18.75" x14ac:dyDescent="0.2">
      <c r="A29" s="20" t="s">
        <v>18</v>
      </c>
    </row>
    <row r="30" spans="1:2" x14ac:dyDescent="0.2">
      <c r="A30" s="4" t="s">
        <v>19</v>
      </c>
      <c r="B30" s="4"/>
    </row>
    <row r="31" spans="1:2" x14ac:dyDescent="0.2">
      <c r="B31" s="4"/>
    </row>
    <row r="32" spans="1:2" ht="18.75" x14ac:dyDescent="0.2">
      <c r="A32" s="19" t="s">
        <v>20</v>
      </c>
      <c r="B32" s="4"/>
    </row>
    <row r="33" spans="1:2" x14ac:dyDescent="0.2">
      <c r="A33" s="3" t="s">
        <v>21</v>
      </c>
      <c r="B33" s="4"/>
    </row>
    <row r="34" spans="1:2" x14ac:dyDescent="0.2">
      <c r="A34" s="2" t="s">
        <v>5</v>
      </c>
      <c r="B34" s="4"/>
    </row>
    <row r="35" spans="1:2" x14ac:dyDescent="0.2">
      <c r="B35" s="4"/>
    </row>
    <row r="36" spans="1:2" x14ac:dyDescent="0.2">
      <c r="B36" s="4"/>
    </row>
    <row r="37" spans="1:2" x14ac:dyDescent="0.2">
      <c r="A37" s="3" t="s">
        <v>22</v>
      </c>
      <c r="B37" s="4"/>
    </row>
    <row r="38" spans="1:2" x14ac:dyDescent="0.2">
      <c r="B38" s="4"/>
    </row>
    <row r="39" spans="1:2" x14ac:dyDescent="0.2">
      <c r="B39" s="4"/>
    </row>
    <row r="40" spans="1:2" x14ac:dyDescent="0.2">
      <c r="B40" s="4"/>
    </row>
    <row r="41" spans="1:2" x14ac:dyDescent="0.2">
      <c r="B41" s="4"/>
    </row>
    <row r="42" spans="1:2" x14ac:dyDescent="0.2">
      <c r="B42" s="4"/>
    </row>
    <row r="43" spans="1:2" x14ac:dyDescent="0.2">
      <c r="B43" s="4"/>
    </row>
    <row r="44" spans="1:2" x14ac:dyDescent="0.2">
      <c r="B44" s="4"/>
    </row>
    <row r="45" spans="1:2" x14ac:dyDescent="0.2">
      <c r="B45" s="4"/>
    </row>
    <row r="46" spans="1:2" x14ac:dyDescent="0.2">
      <c r="B46" s="4"/>
    </row>
    <row r="47" spans="1:2" x14ac:dyDescent="0.2">
      <c r="B47" s="4"/>
    </row>
    <row r="48" spans="1:2" x14ac:dyDescent="0.2">
      <c r="B48" s="4"/>
    </row>
    <row r="76" s="25" customFormat="1" x14ac:dyDescent="0.2"/>
  </sheetData>
  <phoneticPr fontId="15" type="noConversion"/>
  <hyperlinks>
    <hyperlink ref="A25" r:id="rId1" xr:uid="{CE916863-CD22-4D14-AD70-B2D06A131314}"/>
    <hyperlink ref="C10" location="Sandsynlighed!A1" display="Gå til Sandsynlighed                                                                     " xr:uid="{6E2ADE61-E0D0-470B-AD45-9A743423AD1E}"/>
    <hyperlink ref="D10" location="V_Manual_Sandsynlighed" display="Gå til Manual i brug af Sandsynlighed arket                                      " xr:uid="{C21451CB-2EB3-48FD-B13F-310C0947B0A4}"/>
    <hyperlink ref="A32" location="Sandsynlighed!A1" display="Gå til Sandsynlighed                                                                      " xr:uid="{E0AE7AFC-F5A8-4227-9D62-9B191C35B86C}"/>
  </hyperlinks>
  <pageMargins left="0.7" right="0.7" top="0.75" bottom="0.75" header="0.3" footer="0.3"/>
  <pageSetup paperSize="9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1D040-3D04-489D-B764-A336F025847F}">
  <sheetPr codeName="Sheet8">
    <tabColor theme="5"/>
  </sheetPr>
  <dimension ref="A1:AX255"/>
  <sheetViews>
    <sheetView showGridLines="0" zoomScaleNormal="100" workbookViewId="0"/>
  </sheetViews>
  <sheetFormatPr defaultColWidth="9" defaultRowHeight="14.25" x14ac:dyDescent="0.2"/>
  <cols>
    <col min="1" max="2" width="36.75" style="6" customWidth="1"/>
    <col min="3" max="3" width="4.75" style="6" customWidth="1"/>
    <col min="4" max="5" width="36.75" style="6" customWidth="1"/>
    <col min="6" max="6" width="4.75" style="6" customWidth="1"/>
    <col min="7" max="8" width="36.75" style="6" customWidth="1"/>
    <col min="9" max="9" width="9" style="6"/>
    <col min="10" max="10" width="18.625" style="6" customWidth="1"/>
    <col min="11" max="16" width="9" style="6"/>
    <col min="17" max="17" width="44.875" style="6" customWidth="1"/>
    <col min="18" max="18" width="16.75" style="6" customWidth="1"/>
    <col min="19" max="19" width="12.75" style="6" customWidth="1"/>
    <col min="20" max="20" width="15.75" style="6" customWidth="1"/>
    <col min="21" max="21" width="15.875" style="6" bestFit="1" customWidth="1"/>
    <col min="22" max="22" width="20.875" style="6" bestFit="1" customWidth="1"/>
    <col min="23" max="23" width="14.125" style="6" bestFit="1" customWidth="1"/>
    <col min="24" max="24" width="9" style="6"/>
    <col min="25" max="25" width="44.875" style="6" customWidth="1"/>
    <col min="26" max="26" width="16.75" style="6" customWidth="1"/>
    <col min="27" max="27" width="12.75" style="6" customWidth="1"/>
    <col min="28" max="28" width="15.75" style="6" customWidth="1"/>
    <col min="29" max="29" width="15.875" style="6" bestFit="1" customWidth="1"/>
    <col min="30" max="30" width="20.875" style="6" bestFit="1" customWidth="1"/>
    <col min="31" max="31" width="14.125" style="6" bestFit="1" customWidth="1"/>
    <col min="32" max="33" width="9" style="6"/>
    <col min="34" max="34" width="36.125" style="6" customWidth="1"/>
    <col min="35" max="35" width="16.125" style="6" bestFit="1" customWidth="1"/>
    <col min="36" max="36" width="6.625" style="6" bestFit="1" customWidth="1"/>
    <col min="37" max="41" width="14.5" style="10" customWidth="1"/>
    <col min="42" max="42" width="9" style="10" customWidth="1"/>
    <col min="43" max="46" width="16.25" style="10" customWidth="1"/>
    <col min="47" max="50" width="9" style="10" customWidth="1"/>
    <col min="51" max="16384" width="9" style="6"/>
  </cols>
  <sheetData>
    <row r="1" spans="1:50" s="7" customFormat="1" ht="18.75" x14ac:dyDescent="0.2">
      <c r="A1" s="16" t="s">
        <v>9</v>
      </c>
      <c r="B1" s="17" t="s">
        <v>13</v>
      </c>
      <c r="C1" s="6"/>
      <c r="D1" s="6"/>
      <c r="G1" s="6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</row>
    <row r="2" spans="1:50" x14ac:dyDescent="0.2">
      <c r="A2" s="8" t="s">
        <v>27</v>
      </c>
    </row>
    <row r="4" spans="1:50" x14ac:dyDescent="0.2">
      <c r="A4" s="3" t="s">
        <v>11</v>
      </c>
      <c r="D4" s="3" t="s">
        <v>12</v>
      </c>
      <c r="E4"/>
      <c r="G4" s="3" t="s">
        <v>28</v>
      </c>
      <c r="H4"/>
      <c r="AP4" s="12" t="s">
        <v>83</v>
      </c>
    </row>
    <row r="5" spans="1:50" x14ac:dyDescent="0.2">
      <c r="A5" s="11" t="s">
        <v>0</v>
      </c>
      <c r="B5" s="14">
        <v>50</v>
      </c>
      <c r="D5" s="11" t="s">
        <v>14</v>
      </c>
      <c r="E5" s="21">
        <v>6</v>
      </c>
      <c r="G5" s="11" t="s">
        <v>2</v>
      </c>
      <c r="H5" s="14">
        <v>2</v>
      </c>
      <c r="Q5" s="22" t="s">
        <v>37</v>
      </c>
      <c r="R5" s="37" t="s">
        <v>46</v>
      </c>
      <c r="S5" s="37" t="s">
        <v>4</v>
      </c>
      <c r="T5" s="37" t="s">
        <v>47</v>
      </c>
      <c r="U5" s="37" t="s">
        <v>53</v>
      </c>
      <c r="V5" s="37" t="s">
        <v>54</v>
      </c>
      <c r="W5" s="37" t="s">
        <v>55</v>
      </c>
      <c r="Y5" s="22" t="s">
        <v>56</v>
      </c>
      <c r="Z5" s="37" t="s">
        <v>67</v>
      </c>
      <c r="AA5" s="37" t="s">
        <v>4</v>
      </c>
      <c r="AB5" s="37" t="s">
        <v>72</v>
      </c>
      <c r="AC5" s="37" t="s">
        <v>68</v>
      </c>
      <c r="AD5" s="37" t="s">
        <v>71</v>
      </c>
      <c r="AE5" s="37" t="s">
        <v>70</v>
      </c>
      <c r="AF5" s="37" t="s">
        <v>69</v>
      </c>
      <c r="AH5" s="22" t="s">
        <v>75</v>
      </c>
      <c r="AI5" s="37" t="s">
        <v>84</v>
      </c>
      <c r="AJ5" s="37" t="s">
        <v>4</v>
      </c>
      <c r="AK5" s="37" t="s">
        <v>90</v>
      </c>
      <c r="AL5" s="37" t="s">
        <v>85</v>
      </c>
      <c r="AM5" s="37" t="s">
        <v>86</v>
      </c>
      <c r="AN5" s="37" t="s">
        <v>87</v>
      </c>
      <c r="AO5" s="37" t="s">
        <v>88</v>
      </c>
      <c r="AP5" s="27" t="s">
        <v>79</v>
      </c>
      <c r="AQ5" s="27" t="s">
        <v>80</v>
      </c>
      <c r="AR5" s="27" t="s">
        <v>82</v>
      </c>
      <c r="AS5" s="27" t="s">
        <v>81</v>
      </c>
    </row>
    <row r="6" spans="1:50" x14ac:dyDescent="0.2">
      <c r="A6" s="11" t="s">
        <v>1</v>
      </c>
      <c r="B6" s="14">
        <v>20</v>
      </c>
      <c r="D6" s="11" t="s">
        <v>9</v>
      </c>
      <c r="E6" s="15">
        <v>0.8</v>
      </c>
      <c r="G6" s="11" t="s">
        <v>8</v>
      </c>
      <c r="H6" s="21"/>
      <c r="Q6" s="24" t="str">
        <f>IFERROR("Normalfordeling
(Gennemsnit = "&amp;Q32&amp;" ; Standardafvigelse = "&amp;Q34&amp;")
P(observation &lt; "&amp;Q36&amp;") = "&amp;Q38&amp;"
P(observation &gt; "&amp;Q36&amp;") = "&amp;Q40,"Normalfordeling kan ikke vises")</f>
        <v>Normalfordeling
(Gennemsnit = 50 ; Standardafvigelse = 20)
P(observation &lt; 66.83) = 80%
P(observation &gt; 66.83) = 20%</v>
      </c>
      <c r="R6" cm="1">
        <f t="array" ref="R6:R255">_xlfn.SEQUENCE(Q22)</f>
        <v>1</v>
      </c>
      <c r="S6" cm="1">
        <f t="array" ref="S6:S255">(_xlfn.ANCHORARRAY(R6)-1)/(Q22-1)*(Q26-Q28)+Q28</f>
        <v>-11.804646123356264</v>
      </c>
      <c r="T6" cm="1">
        <f t="array" ref="T6:T255">_xlfn.NORM.DIST((_xlfn.ANCHORARRAY(S6)-Q14)/Q16,0,1,FALSE)</f>
        <v>3.3670900770639959E-3</v>
      </c>
      <c r="U6" cm="1">
        <f t="array" ref="U6:U255">IF(_xlfn.ANCHORARRAY(S6)&lt;Q18,_xlfn.ANCHORARRAY(T6),NA())</f>
        <v>3.3670900770639959E-3</v>
      </c>
      <c r="V6" t="e" cm="1">
        <f t="array" ref="V6:V255">IF(_xlfn.ANCHORARRAY(S6)&gt;Q18,_xlfn.ANCHORARRAY(T6),NA())</f>
        <v>#N/A</v>
      </c>
      <c r="W6" cm="1">
        <f t="array" ref="W6:W255">_xlfn.LET(_xlpm.a,ROUND(_xlfn.ANCHORARRAY(S6),Q30),IF(_xlfn.ANCHORARRAY(R6)=Q22,_xlpm.a,IF(MOD(_xlfn.ANCHORARRAY(R6)-1,Q24)=0,_xlpm.a,"")))</f>
        <v>-11.8</v>
      </c>
      <c r="Y6" s="24" t="str">
        <f>IFERROR("Binomialfordeling
(Antal forsøg = "&amp;Y14&amp;" ; Sandsynlighed = "&amp;Y32&amp;")
P(antal successer &lt; "&amp;Y18&amp;") = "&amp;Y34&amp;"
P(antal successer = "&amp;Y18&amp;") = "&amp;Y36&amp;"
P(antal successer &gt; "&amp;Y18&amp;") = "&amp;Y38,"Binomialfordeling kan ikke vises")</f>
        <v>Binomialfordeling
(Antal forsøg = 6 ; Sandsynlighed = 80%)
P(antal successer &lt; 4) = 9.888%
P(antal successer = 4) = 24.576%
P(antal successer &gt; 4) = 65.536%</v>
      </c>
      <c r="Z6" cm="1">
        <f t="array" ref="Z6:Z255">_xlfn.SEQUENCE(Y22)</f>
        <v>1</v>
      </c>
      <c r="AA6" t="e" cm="1">
        <f t="array" ref="AA6:AA255">IF(MOD(_xlfn.ANCHORARRAY(Z6)-1,Y24)=0,NA(),IF(_xlfn.ANCHORARRAY(Z6)&gt;(Y24*(Y14+1)),NA(),ROUNDDOWN((_xlfn.ANCHORARRAY(Z6)-1)/Y24,0)))</f>
        <v>#N/A</v>
      </c>
      <c r="AB6" t="e" cm="1">
        <f t="array" ref="AB6:AB255">_xlfn.BINOM.DIST(_xlfn.ANCHORARRAY(AA6),Y14,Y16,FALSE)</f>
        <v>#N/A</v>
      </c>
      <c r="AC6" t="e" cm="1">
        <f t="array" ref="AC6:AC255">IF(_xlfn.ANCHORARRAY(AA6)&lt;Y18,_xlfn.ANCHORARRAY(AB6),NA())</f>
        <v>#N/A</v>
      </c>
      <c r="AD6" t="e" cm="1">
        <f t="array" ref="AD6:AD255">IF(_xlfn.ANCHORARRAY(AA6)=Y18,_xlfn.ANCHORARRAY(AB6),NA())</f>
        <v>#N/A</v>
      </c>
      <c r="AE6" t="e" cm="1">
        <f t="array" ref="AE6:AE255">IF(_xlfn.ANCHORARRAY(AA6)&gt;Y18,_xlfn.ANCHORARRAY(AB6),NA())</f>
        <v>#N/A</v>
      </c>
      <c r="AF6" t="str" cm="1">
        <f t="array" ref="AF6:AF255">IF(MOD(_xlfn.ANCHORARRAY(Z6)-1,Y24)=ROUND(Y24/2,0),_xlfn.IFNA(_xlfn.ANCHORARRAY(AA6),""),"")</f>
        <v/>
      </c>
      <c r="AH6" s="24" t="str">
        <f>IFERROR("Poissonfordeling
(Intensitet = "&amp;AH14&amp;")
P(antal hændelser &lt; "&amp;AH18&amp;") = "&amp;AH32&amp;"
P(antal hændelser = "&amp;AH18&amp;") = "&amp;AH34&amp;"
P(antal hændelser &gt; "&amp;AH18&amp;") = "&amp;AH36,"Poissonfordeling kan ikke vises")</f>
        <v>Poissonfordeling
(Intensitet = 2)
P(antal hændelser &lt; 1) = 13.534%
P(antal hændelser = 1) = 27.067%
P(antal hændelser &gt; 1) = 59.399%</v>
      </c>
      <c r="AI6" cm="1">
        <f t="array" ref="AI6:AI255">_xlfn.SEQUENCE(AH22)</f>
        <v>1</v>
      </c>
      <c r="AJ6" t="e" cm="1">
        <f t="array" ref="AJ6:AJ255">IF(MOD(_xlfn.ANCHORARRAY(AI6)-1,AH24)=0,NA(),IF(_xlfn.ANCHORARRAY(AI6)&gt;(AH24*(AH16+1)),NA(),ROUNDDOWN((_xlfn.ANCHORARRAY(AI6)-1)/AH24,0)))</f>
        <v>#N/A</v>
      </c>
      <c r="AK6" t="e" cm="1">
        <f t="array" ref="AK6:AK255">_xlfn.POISSON.DIST(_xlfn.ANCHORARRAY(AJ6),AH14,FALSE)</f>
        <v>#N/A</v>
      </c>
      <c r="AL6" t="e" cm="1">
        <f t="array" ref="AL6:AL255">IF(_xlfn.ANCHORARRAY(AJ6)&lt;AH18,_xlfn.ANCHORARRAY(AK6),NA())</f>
        <v>#N/A</v>
      </c>
      <c r="AM6" t="e" cm="1">
        <f t="array" ref="AM6:AM255">IF(_xlfn.ANCHORARRAY(AJ6)=AH18,_xlfn.ANCHORARRAY(AK6),NA())</f>
        <v>#N/A</v>
      </c>
      <c r="AN6" t="e" cm="1">
        <f t="array" ref="AN6:AN255">IF(_xlfn.ANCHORARRAY(AJ6)&gt;AH18,_xlfn.ANCHORARRAY(AK6),NA())</f>
        <v>#N/A</v>
      </c>
      <c r="AO6" t="str" cm="1">
        <f t="array" ref="AO6:AO255">IF(MOD(_xlfn.ANCHORARRAY(AI6)-1,AH24)=ROUNDDOWN(AH24/2,0),_xlfn.IFNA(_xlfn.ANCHORARRAY(AJ6),""),"")</f>
        <v/>
      </c>
      <c r="AP6" s="47">
        <f>ROUNDUP(50+1.5*$AH$14,0)</f>
        <v>53</v>
      </c>
      <c r="AQ6" s="35" t="b">
        <f>_xlfn.POISSON.DIST(AP6,$AH$14,TRUE)&gt;$AH$20</f>
        <v>1</v>
      </c>
      <c r="AR6" s="33">
        <v>0</v>
      </c>
      <c r="AS6" s="48">
        <f>AP6</f>
        <v>53</v>
      </c>
    </row>
    <row r="7" spans="1:50" x14ac:dyDescent="0.2">
      <c r="A7" s="11" t="s">
        <v>8</v>
      </c>
      <c r="B7" s="14"/>
      <c r="D7" s="11" t="s">
        <v>8</v>
      </c>
      <c r="E7" s="21">
        <v>4</v>
      </c>
      <c r="G7" s="11" t="s">
        <v>10</v>
      </c>
      <c r="H7" s="15">
        <v>0.2</v>
      </c>
      <c r="Q7" s="22" t="s">
        <v>38</v>
      </c>
      <c r="R7" s="6">
        <v>2</v>
      </c>
      <c r="S7" s="6">
        <v>-11.308223262927699</v>
      </c>
      <c r="T7" s="6">
        <v>3.634399675604996E-3</v>
      </c>
      <c r="U7" s="6">
        <v>3.634399675604996E-3</v>
      </c>
      <c r="V7" s="6" t="e">
        <v>#N/A</v>
      </c>
      <c r="W7" s="6" t="str">
        <v/>
      </c>
      <c r="Y7" s="22" t="s">
        <v>57</v>
      </c>
      <c r="Z7" s="6">
        <v>2</v>
      </c>
      <c r="AA7" s="6">
        <v>0</v>
      </c>
      <c r="AB7" s="6">
        <v>6.3999999999999956E-5</v>
      </c>
      <c r="AC7" s="6">
        <v>6.3999999999999956E-5</v>
      </c>
      <c r="AD7" s="6" t="e">
        <v>#N/A</v>
      </c>
      <c r="AE7" s="6" t="e">
        <v>#N/A</v>
      </c>
      <c r="AF7" s="6" t="str">
        <v/>
      </c>
      <c r="AH7" s="22" t="s">
        <v>76</v>
      </c>
      <c r="AI7" s="6">
        <v>2</v>
      </c>
      <c r="AJ7" s="6">
        <v>0</v>
      </c>
      <c r="AK7" s="6">
        <v>0.1353352832366127</v>
      </c>
      <c r="AL7" s="6">
        <v>0.1353352832366127</v>
      </c>
      <c r="AM7" s="6" t="e">
        <v>#N/A</v>
      </c>
      <c r="AN7" s="6" t="e">
        <v>#N/A</v>
      </c>
      <c r="AO7" s="6" t="str">
        <v/>
      </c>
      <c r="AP7" s="23">
        <f t="shared" ref="AP7:AP34" si="0">IF(AQ6,ROUNDUP(AR6+(AP6-AR6)/2,0),ROUNDUP(AP6+(AS6-AP6)/2,0))</f>
        <v>27</v>
      </c>
      <c r="AQ7" s="35" t="b">
        <f t="shared" ref="AQ7:AQ34" si="1">_xlfn.POISSON.DIST(AP7,$AH$14,TRUE)&gt;$AH$20</f>
        <v>1</v>
      </c>
      <c r="AR7" s="24">
        <f t="shared" ref="AR7:AR34" si="2">IF(AQ7,AR6,AP7)</f>
        <v>0</v>
      </c>
      <c r="AS7" s="43">
        <f t="shared" ref="AS7:AS33" si="3">IF(AQ7,AP7,AS6)</f>
        <v>27</v>
      </c>
    </row>
    <row r="8" spans="1:50" x14ac:dyDescent="0.2">
      <c r="A8" s="11" t="s">
        <v>10</v>
      </c>
      <c r="B8" s="15">
        <v>0.8</v>
      </c>
      <c r="D8" s="11" t="s">
        <v>10</v>
      </c>
      <c r="E8" s="15"/>
      <c r="Q8" s="24" t="str">
        <f>Q38&amp;"
mindre end
"&amp;Q36</f>
        <v>80%
mindre end
66.83</v>
      </c>
      <c r="R8" s="6">
        <v>3</v>
      </c>
      <c r="S8" s="6">
        <v>-10.811800402499134</v>
      </c>
      <c r="T8" s="6">
        <v>3.9205145601637383E-3</v>
      </c>
      <c r="U8" s="6">
        <v>3.9205145601637383E-3</v>
      </c>
      <c r="V8" s="6" t="e">
        <v>#N/A</v>
      </c>
      <c r="W8" s="6" t="str">
        <v/>
      </c>
      <c r="Y8" s="24" t="str">
        <f>Y34&amp;"
mindre end
"&amp;Y18</f>
        <v>9.888%
mindre end
4</v>
      </c>
      <c r="Z8" s="6">
        <v>3</v>
      </c>
      <c r="AA8" s="6">
        <v>0</v>
      </c>
      <c r="AB8" s="6">
        <v>6.3999999999999956E-5</v>
      </c>
      <c r="AC8" s="6">
        <v>6.3999999999999956E-5</v>
      </c>
      <c r="AD8" s="6" t="e">
        <v>#N/A</v>
      </c>
      <c r="AE8" s="6" t="e">
        <v>#N/A</v>
      </c>
      <c r="AF8" s="6" t="str">
        <v/>
      </c>
      <c r="AH8" s="24" t="str">
        <f>AH32&amp;"
mindre end
"&amp;AH18</f>
        <v>13.534%
mindre end
1</v>
      </c>
      <c r="AI8" s="6">
        <v>3</v>
      </c>
      <c r="AJ8" s="6">
        <v>0</v>
      </c>
      <c r="AK8" s="6">
        <v>0.1353352832366127</v>
      </c>
      <c r="AL8" s="6">
        <v>0.1353352832366127</v>
      </c>
      <c r="AM8" s="6" t="e">
        <v>#N/A</v>
      </c>
      <c r="AN8" s="6" t="e">
        <v>#N/A</v>
      </c>
      <c r="AO8" s="6" t="str">
        <v/>
      </c>
      <c r="AP8" s="23">
        <f t="shared" si="0"/>
        <v>14</v>
      </c>
      <c r="AQ8" s="35" t="b">
        <f t="shared" si="1"/>
        <v>1</v>
      </c>
      <c r="AR8" s="24">
        <f t="shared" si="2"/>
        <v>0</v>
      </c>
      <c r="AS8" s="43">
        <f t="shared" si="3"/>
        <v>14</v>
      </c>
    </row>
    <row r="9" spans="1:50" x14ac:dyDescent="0.2">
      <c r="Q9" s="22" t="s">
        <v>39</v>
      </c>
      <c r="R9" s="6">
        <v>4</v>
      </c>
      <c r="S9" s="6">
        <v>-10.315377542070571</v>
      </c>
      <c r="T9" s="6">
        <v>4.2265488515956821E-3</v>
      </c>
      <c r="U9" s="6">
        <v>4.2265488515956821E-3</v>
      </c>
      <c r="V9" s="6" t="e">
        <v>#N/A</v>
      </c>
      <c r="W9" s="6" t="str">
        <v/>
      </c>
      <c r="Y9" s="22" t="s">
        <v>58</v>
      </c>
      <c r="Z9" s="6">
        <v>4</v>
      </c>
      <c r="AA9" s="6">
        <v>0</v>
      </c>
      <c r="AB9" s="6">
        <v>6.3999999999999956E-5</v>
      </c>
      <c r="AC9" s="6">
        <v>6.3999999999999956E-5</v>
      </c>
      <c r="AD9" s="6" t="e">
        <v>#N/A</v>
      </c>
      <c r="AE9" s="6" t="e">
        <v>#N/A</v>
      </c>
      <c r="AF9" s="6" t="str">
        <v/>
      </c>
      <c r="AH9" s="22" t="s">
        <v>77</v>
      </c>
      <c r="AI9" s="6">
        <v>4</v>
      </c>
      <c r="AJ9" s="6">
        <v>0</v>
      </c>
      <c r="AK9" s="6">
        <v>0.1353352832366127</v>
      </c>
      <c r="AL9" s="6">
        <v>0.1353352832366127</v>
      </c>
      <c r="AM9" s="6" t="e">
        <v>#N/A</v>
      </c>
      <c r="AN9" s="6" t="e">
        <v>#N/A</v>
      </c>
      <c r="AO9" s="6" t="str">
        <v/>
      </c>
      <c r="AP9" s="23">
        <f t="shared" si="0"/>
        <v>7</v>
      </c>
      <c r="AQ9" s="35" t="b">
        <f t="shared" si="1"/>
        <v>1</v>
      </c>
      <c r="AR9" s="24">
        <f t="shared" si="2"/>
        <v>0</v>
      </c>
      <c r="AS9" s="43">
        <f t="shared" si="3"/>
        <v>7</v>
      </c>
    </row>
    <row r="10" spans="1:50" x14ac:dyDescent="0.2">
      <c r="Q10" s="24" t="str">
        <f>Q40&amp;"
større end
"&amp;Q36</f>
        <v>20%
større end
66.83</v>
      </c>
      <c r="R10" s="6">
        <v>5</v>
      </c>
      <c r="S10" s="6">
        <v>-9.8189546816420066</v>
      </c>
      <c r="T10" s="6">
        <v>4.5536657674760525E-3</v>
      </c>
      <c r="U10" s="6">
        <v>4.5536657674760525E-3</v>
      </c>
      <c r="V10" s="6" t="e">
        <v>#N/A</v>
      </c>
      <c r="W10" s="6" t="str">
        <v/>
      </c>
      <c r="Y10" s="24" t="str">
        <f>Y36&amp;"
lig med
"&amp;Y18</f>
        <v>24.576%
lig med
4</v>
      </c>
      <c r="Z10" s="6">
        <v>5</v>
      </c>
      <c r="AA10" s="6">
        <v>0</v>
      </c>
      <c r="AB10" s="6">
        <v>6.3999999999999956E-5</v>
      </c>
      <c r="AC10" s="6">
        <v>6.3999999999999956E-5</v>
      </c>
      <c r="AD10" s="6" t="e">
        <v>#N/A</v>
      </c>
      <c r="AE10" s="6" t="e">
        <v>#N/A</v>
      </c>
      <c r="AF10" s="6" t="str">
        <v/>
      </c>
      <c r="AH10" s="24" t="str">
        <f>AH34&amp;"
lig med
"&amp;AH18</f>
        <v>27.067%
lig med
1</v>
      </c>
      <c r="AI10" s="6">
        <v>5</v>
      </c>
      <c r="AJ10" s="6">
        <v>0</v>
      </c>
      <c r="AK10" s="6">
        <v>0.1353352832366127</v>
      </c>
      <c r="AL10" s="6">
        <v>0.1353352832366127</v>
      </c>
      <c r="AM10" s="6" t="e">
        <v>#N/A</v>
      </c>
      <c r="AN10" s="6" t="e">
        <v>#N/A</v>
      </c>
      <c r="AO10" s="6" t="str">
        <v/>
      </c>
      <c r="AP10" s="23">
        <f t="shared" si="0"/>
        <v>4</v>
      </c>
      <c r="AQ10" s="35" t="b">
        <f t="shared" si="1"/>
        <v>1</v>
      </c>
      <c r="AR10" s="24">
        <f t="shared" si="2"/>
        <v>0</v>
      </c>
      <c r="AS10" s="43">
        <f t="shared" si="3"/>
        <v>4</v>
      </c>
    </row>
    <row r="11" spans="1:50" x14ac:dyDescent="0.2">
      <c r="Q11" s="22" t="s">
        <v>40</v>
      </c>
      <c r="R11" s="6">
        <v>6</v>
      </c>
      <c r="S11" s="6">
        <v>-9.3225318212134418</v>
      </c>
      <c r="T11" s="6">
        <v>4.9030784780939377E-3</v>
      </c>
      <c r="U11" s="6">
        <v>4.9030784780939377E-3</v>
      </c>
      <c r="V11" s="6" t="e">
        <v>#N/A</v>
      </c>
      <c r="W11" s="6" t="str">
        <v/>
      </c>
      <c r="Y11" s="22" t="s">
        <v>59</v>
      </c>
      <c r="Z11" s="6">
        <v>6</v>
      </c>
      <c r="AA11" s="6">
        <v>0</v>
      </c>
      <c r="AB11" s="6">
        <v>6.3999999999999956E-5</v>
      </c>
      <c r="AC11" s="6">
        <v>6.3999999999999956E-5</v>
      </c>
      <c r="AD11" s="6" t="e">
        <v>#N/A</v>
      </c>
      <c r="AE11" s="6" t="e">
        <v>#N/A</v>
      </c>
      <c r="AF11" s="6" t="str">
        <v/>
      </c>
      <c r="AH11" s="22" t="s">
        <v>78</v>
      </c>
      <c r="AI11" s="6">
        <v>6</v>
      </c>
      <c r="AJ11" s="6">
        <v>0</v>
      </c>
      <c r="AK11" s="6">
        <v>0.1353352832366127</v>
      </c>
      <c r="AL11" s="6">
        <v>0.1353352832366127</v>
      </c>
      <c r="AM11" s="6" t="e">
        <v>#N/A</v>
      </c>
      <c r="AN11" s="6" t="e">
        <v>#N/A</v>
      </c>
      <c r="AO11" s="6" t="str">
        <v/>
      </c>
      <c r="AP11" s="23">
        <f t="shared" si="0"/>
        <v>2</v>
      </c>
      <c r="AQ11" s="35" t="b">
        <f t="shared" si="1"/>
        <v>1</v>
      </c>
      <c r="AR11" s="24">
        <f t="shared" si="2"/>
        <v>0</v>
      </c>
      <c r="AS11" s="43">
        <f t="shared" si="3"/>
        <v>2</v>
      </c>
    </row>
    <row r="12" spans="1:50" x14ac:dyDescent="0.2">
      <c r="Q12" s="24" t="str">
        <f>"Normalfordeling ("&amp;Q32&amp;" ; "&amp;Q34&amp;")"</f>
        <v>Normalfordeling (50 ; 20)</v>
      </c>
      <c r="R12" s="6">
        <v>7</v>
      </c>
      <c r="S12" s="6">
        <v>-8.8261089607848771</v>
      </c>
      <c r="T12" s="6">
        <v>5.2760508692726331E-3</v>
      </c>
      <c r="U12" s="6">
        <v>5.2760508692726331E-3</v>
      </c>
      <c r="V12" s="6" t="e">
        <v>#N/A</v>
      </c>
      <c r="W12" s="6" t="str">
        <v/>
      </c>
      <c r="Y12" s="24" t="str">
        <f>Y38&amp;"
større end
"&amp;Y18</f>
        <v>65.536%
større end
4</v>
      </c>
      <c r="Z12" s="6">
        <v>7</v>
      </c>
      <c r="AA12" s="6">
        <v>0</v>
      </c>
      <c r="AB12" s="6">
        <v>6.3999999999999956E-5</v>
      </c>
      <c r="AC12" s="6">
        <v>6.3999999999999956E-5</v>
      </c>
      <c r="AD12" s="6" t="e">
        <v>#N/A</v>
      </c>
      <c r="AE12" s="6" t="e">
        <v>#N/A</v>
      </c>
      <c r="AF12" s="6" t="str">
        <v/>
      </c>
      <c r="AH12" s="24" t="str">
        <f>AH36&amp;"
større end
"&amp;AH18</f>
        <v>59.399%
større end
1</v>
      </c>
      <c r="AI12" s="6">
        <v>7</v>
      </c>
      <c r="AJ12" s="6">
        <v>0</v>
      </c>
      <c r="AK12" s="6">
        <v>0.1353352832366127</v>
      </c>
      <c r="AL12" s="6">
        <v>0.1353352832366127</v>
      </c>
      <c r="AM12" s="6" t="e">
        <v>#N/A</v>
      </c>
      <c r="AN12" s="6" t="e">
        <v>#N/A</v>
      </c>
      <c r="AO12" s="6" t="str">
        <v/>
      </c>
      <c r="AP12" s="23">
        <f t="shared" si="0"/>
        <v>1</v>
      </c>
      <c r="AQ12" s="35" t="b">
        <f t="shared" si="1"/>
        <v>1</v>
      </c>
      <c r="AR12" s="24">
        <f t="shared" si="2"/>
        <v>0</v>
      </c>
      <c r="AS12" s="43">
        <f t="shared" si="3"/>
        <v>1</v>
      </c>
    </row>
    <row r="13" spans="1:50" x14ac:dyDescent="0.2">
      <c r="Q13" s="11" t="s">
        <v>0</v>
      </c>
      <c r="R13" s="6">
        <v>8</v>
      </c>
      <c r="S13" s="6">
        <v>-8.3296861003563123</v>
      </c>
      <c r="T13" s="6">
        <v>5.6738982018815585E-3</v>
      </c>
      <c r="U13" s="6">
        <v>5.6738982018815585E-3</v>
      </c>
      <c r="V13" s="6" t="e">
        <v>#N/A</v>
      </c>
      <c r="W13" s="6" t="str">
        <v/>
      </c>
      <c r="Y13" s="11" t="s">
        <v>14</v>
      </c>
      <c r="Z13" s="6">
        <v>8</v>
      </c>
      <c r="AA13" s="6">
        <v>0</v>
      </c>
      <c r="AB13" s="6">
        <v>6.3999999999999956E-5</v>
      </c>
      <c r="AC13" s="6">
        <v>6.3999999999999956E-5</v>
      </c>
      <c r="AD13" s="6" t="e">
        <v>#N/A</v>
      </c>
      <c r="AE13" s="6" t="e">
        <v>#N/A</v>
      </c>
      <c r="AF13" s="6" t="str">
        <v/>
      </c>
      <c r="AH13" s="11" t="s">
        <v>2</v>
      </c>
      <c r="AI13" s="6">
        <v>8</v>
      </c>
      <c r="AJ13" s="6">
        <v>0</v>
      </c>
      <c r="AK13" s="6">
        <v>0.1353352832366127</v>
      </c>
      <c r="AL13" s="6">
        <v>0.1353352832366127</v>
      </c>
      <c r="AM13" s="6" t="e">
        <v>#N/A</v>
      </c>
      <c r="AN13" s="6" t="e">
        <v>#N/A</v>
      </c>
      <c r="AO13" s="6" t="str">
        <v/>
      </c>
      <c r="AP13" s="23">
        <f t="shared" si="0"/>
        <v>1</v>
      </c>
      <c r="AQ13" s="35" t="b">
        <f t="shared" si="1"/>
        <v>1</v>
      </c>
      <c r="AR13" s="24">
        <f t="shared" si="2"/>
        <v>0</v>
      </c>
      <c r="AS13" s="43">
        <f t="shared" si="3"/>
        <v>1</v>
      </c>
    </row>
    <row r="14" spans="1:50" x14ac:dyDescent="0.2">
      <c r="Q14" s="24">
        <f>B5</f>
        <v>50</v>
      </c>
      <c r="R14" s="6">
        <v>9</v>
      </c>
      <c r="S14" s="6">
        <v>-7.8332632399277493</v>
      </c>
      <c r="T14" s="6">
        <v>6.0979876575868825E-3</v>
      </c>
      <c r="U14" s="6">
        <v>6.0979876575868825E-3</v>
      </c>
      <c r="V14" s="6" t="e">
        <v>#N/A</v>
      </c>
      <c r="W14" s="6" t="str">
        <v/>
      </c>
      <c r="Y14" s="38">
        <f>E5</f>
        <v>6</v>
      </c>
      <c r="Z14" s="6">
        <v>9</v>
      </c>
      <c r="AA14" s="6">
        <v>0</v>
      </c>
      <c r="AB14" s="6">
        <v>6.3999999999999956E-5</v>
      </c>
      <c r="AC14" s="6">
        <v>6.3999999999999956E-5</v>
      </c>
      <c r="AD14" s="6" t="e">
        <v>#N/A</v>
      </c>
      <c r="AE14" s="6" t="e">
        <v>#N/A</v>
      </c>
      <c r="AF14" s="6" t="str">
        <v/>
      </c>
      <c r="AH14" s="38">
        <f>H5</f>
        <v>2</v>
      </c>
      <c r="AI14" s="6">
        <v>9</v>
      </c>
      <c r="AJ14" s="6">
        <v>0</v>
      </c>
      <c r="AK14" s="6">
        <v>0.1353352832366127</v>
      </c>
      <c r="AL14" s="6">
        <v>0.1353352832366127</v>
      </c>
      <c r="AM14" s="6" t="e">
        <v>#N/A</v>
      </c>
      <c r="AN14" s="6" t="e">
        <v>#N/A</v>
      </c>
      <c r="AO14" s="6" t="str">
        <v/>
      </c>
      <c r="AP14" s="23">
        <f t="shared" si="0"/>
        <v>1</v>
      </c>
      <c r="AQ14" s="35" t="b">
        <f t="shared" si="1"/>
        <v>1</v>
      </c>
      <c r="AR14" s="24">
        <f t="shared" si="2"/>
        <v>0</v>
      </c>
      <c r="AS14" s="43">
        <f t="shared" si="3"/>
        <v>1</v>
      </c>
    </row>
    <row r="15" spans="1:50" x14ac:dyDescent="0.2">
      <c r="Q15" s="11" t="s">
        <v>1</v>
      </c>
      <c r="R15" s="6">
        <v>10</v>
      </c>
      <c r="S15" s="6">
        <v>-7.3368403794991846</v>
      </c>
      <c r="T15" s="6">
        <v>6.5497387600978859E-3</v>
      </c>
      <c r="U15" s="6">
        <v>6.5497387600978859E-3</v>
      </c>
      <c r="V15" s="6" t="e">
        <v>#N/A</v>
      </c>
      <c r="W15" s="6" t="str">
        <v/>
      </c>
      <c r="Y15" s="11" t="s">
        <v>9</v>
      </c>
      <c r="Z15" s="6">
        <v>10</v>
      </c>
      <c r="AA15" s="6">
        <v>0</v>
      </c>
      <c r="AB15" s="6">
        <v>6.3999999999999956E-5</v>
      </c>
      <c r="AC15" s="6">
        <v>6.3999999999999956E-5</v>
      </c>
      <c r="AD15" s="6" t="e">
        <v>#N/A</v>
      </c>
      <c r="AE15" s="6" t="e">
        <v>#N/A</v>
      </c>
      <c r="AF15" s="6" t="str">
        <v/>
      </c>
      <c r="AH15" s="11" t="s">
        <v>89</v>
      </c>
      <c r="AI15" s="6">
        <v>10</v>
      </c>
      <c r="AJ15" s="6">
        <v>0</v>
      </c>
      <c r="AK15" s="6">
        <v>0.1353352832366127</v>
      </c>
      <c r="AL15" s="6">
        <v>0.1353352832366127</v>
      </c>
      <c r="AM15" s="6" t="e">
        <v>#N/A</v>
      </c>
      <c r="AN15" s="6" t="e">
        <v>#N/A</v>
      </c>
      <c r="AO15" s="6" t="str">
        <v/>
      </c>
      <c r="AP15" s="23">
        <f t="shared" si="0"/>
        <v>1</v>
      </c>
      <c r="AQ15" s="35" t="b">
        <f t="shared" si="1"/>
        <v>1</v>
      </c>
      <c r="AR15" s="24">
        <f t="shared" si="2"/>
        <v>0</v>
      </c>
      <c r="AS15" s="43">
        <f t="shared" si="3"/>
        <v>1</v>
      </c>
    </row>
    <row r="16" spans="1:50" x14ac:dyDescent="0.2">
      <c r="Q16" s="24">
        <f>B6</f>
        <v>20</v>
      </c>
      <c r="R16" s="6">
        <v>11</v>
      </c>
      <c r="S16" s="6">
        <v>-6.8404175190706198</v>
      </c>
      <c r="T16" s="6">
        <v>7.0306236609098431E-3</v>
      </c>
      <c r="U16" s="6">
        <v>7.0306236609098431E-3</v>
      </c>
      <c r="V16" s="6" t="e">
        <v>#N/A</v>
      </c>
      <c r="W16" s="6" t="str">
        <v/>
      </c>
      <c r="Y16" s="41">
        <f>E6</f>
        <v>0.8</v>
      </c>
      <c r="Z16" s="6">
        <v>11</v>
      </c>
      <c r="AA16" s="6">
        <v>0</v>
      </c>
      <c r="AB16" s="6">
        <v>6.3999999999999956E-5</v>
      </c>
      <c r="AC16" s="6">
        <v>6.3999999999999956E-5</v>
      </c>
      <c r="AD16" s="6" t="e">
        <v>#N/A</v>
      </c>
      <c r="AE16" s="6" t="e">
        <v>#N/A</v>
      </c>
      <c r="AF16" s="6" t="str">
        <v/>
      </c>
      <c r="AH16" s="38">
        <f>MAX(ROUNDUP(8+1.5*AH14,0),AH18)</f>
        <v>11</v>
      </c>
      <c r="AI16" s="6">
        <v>11</v>
      </c>
      <c r="AJ16" s="6">
        <v>0</v>
      </c>
      <c r="AK16" s="6">
        <v>0.1353352832366127</v>
      </c>
      <c r="AL16" s="6">
        <v>0.1353352832366127</v>
      </c>
      <c r="AM16" s="6" t="e">
        <v>#N/A</v>
      </c>
      <c r="AN16" s="6" t="e">
        <v>#N/A</v>
      </c>
      <c r="AO16" s="6">
        <v>0</v>
      </c>
      <c r="AP16" s="23">
        <f t="shared" si="0"/>
        <v>1</v>
      </c>
      <c r="AQ16" s="35" t="b">
        <f t="shared" si="1"/>
        <v>1</v>
      </c>
      <c r="AR16" s="24">
        <f t="shared" si="2"/>
        <v>0</v>
      </c>
      <c r="AS16" s="43">
        <f t="shared" si="3"/>
        <v>1</v>
      </c>
    </row>
    <row r="17" spans="1:45" x14ac:dyDescent="0.2">
      <c r="Q17" s="11" t="s">
        <v>8</v>
      </c>
      <c r="R17" s="6">
        <v>12</v>
      </c>
      <c r="S17" s="6">
        <v>-6.3439946586420559</v>
      </c>
      <c r="T17" s="6">
        <v>7.5421672783237822E-3</v>
      </c>
      <c r="U17" s="6">
        <v>7.5421672783237822E-3</v>
      </c>
      <c r="V17" s="6" t="e">
        <v>#N/A</v>
      </c>
      <c r="W17" s="6" t="str">
        <v/>
      </c>
      <c r="Y17" s="11" t="s">
        <v>8</v>
      </c>
      <c r="Z17" s="6">
        <v>12</v>
      </c>
      <c r="AA17" s="6">
        <v>0</v>
      </c>
      <c r="AB17" s="6">
        <v>6.3999999999999956E-5</v>
      </c>
      <c r="AC17" s="6">
        <v>6.3999999999999956E-5</v>
      </c>
      <c r="AD17" s="6" t="e">
        <v>#N/A</v>
      </c>
      <c r="AE17" s="6" t="e">
        <v>#N/A</v>
      </c>
      <c r="AF17" s="6" t="str">
        <v/>
      </c>
      <c r="AH17" s="11" t="s">
        <v>8</v>
      </c>
      <c r="AI17" s="6">
        <v>12</v>
      </c>
      <c r="AJ17" s="6">
        <v>0</v>
      </c>
      <c r="AK17" s="10">
        <v>0.1353352832366127</v>
      </c>
      <c r="AL17" s="10">
        <v>0.1353352832366127</v>
      </c>
      <c r="AM17" s="10" t="e">
        <v>#N/A</v>
      </c>
      <c r="AN17" s="10" t="e">
        <v>#N/A</v>
      </c>
      <c r="AO17" s="10" t="str">
        <v/>
      </c>
      <c r="AP17" s="23">
        <f t="shared" si="0"/>
        <v>1</v>
      </c>
      <c r="AQ17" s="35" t="b">
        <f t="shared" si="1"/>
        <v>1</v>
      </c>
      <c r="AR17" s="24">
        <f t="shared" si="2"/>
        <v>0</v>
      </c>
      <c r="AS17" s="43">
        <f t="shared" si="3"/>
        <v>1</v>
      </c>
    </row>
    <row r="18" spans="1:45" x14ac:dyDescent="0.2">
      <c r="Q18" s="23">
        <f>IF(ISBLANK(B8),B7,IF(ISBLANK(B7),_xlfn.NORM.INV(B8,Q14,Q16),NA()))</f>
        <v>66.832424671458298</v>
      </c>
      <c r="R18" s="6">
        <v>13</v>
      </c>
      <c r="S18" s="6">
        <v>-5.8475717982134912</v>
      </c>
      <c r="T18" s="6">
        <v>8.085947278345074E-3</v>
      </c>
      <c r="U18" s="6">
        <v>8.085947278345074E-3</v>
      </c>
      <c r="V18" s="6" t="e">
        <v>#N/A</v>
      </c>
      <c r="W18" s="6" t="str">
        <v/>
      </c>
      <c r="Y18" s="23">
        <f>IF(ISBLANK(E8),E7,IF(ISBLANK(E7),_xlfn.BINOM.INV(E5,E6,E8),NA()))</f>
        <v>4</v>
      </c>
      <c r="Z18" s="6">
        <v>13</v>
      </c>
      <c r="AA18" s="6">
        <v>0</v>
      </c>
      <c r="AB18" s="6">
        <v>6.3999999999999956E-5</v>
      </c>
      <c r="AC18" s="6">
        <v>6.3999999999999956E-5</v>
      </c>
      <c r="AD18" s="6" t="e">
        <v>#N/A</v>
      </c>
      <c r="AE18" s="6" t="e">
        <v>#N/A</v>
      </c>
      <c r="AF18" s="6" t="str">
        <v/>
      </c>
      <c r="AH18" s="42">
        <f>IF(ISBLANK(H7),H6,IF(ISBLANK(H6),AS34,NA()))</f>
        <v>1</v>
      </c>
      <c r="AI18" s="6">
        <v>13</v>
      </c>
      <c r="AJ18" s="6">
        <v>0</v>
      </c>
      <c r="AK18" s="10">
        <v>0.1353352832366127</v>
      </c>
      <c r="AL18" s="10">
        <v>0.1353352832366127</v>
      </c>
      <c r="AM18" s="10" t="e">
        <v>#N/A</v>
      </c>
      <c r="AN18" s="10" t="e">
        <v>#N/A</v>
      </c>
      <c r="AO18" s="10" t="str">
        <v/>
      </c>
      <c r="AP18" s="23">
        <f t="shared" si="0"/>
        <v>1</v>
      </c>
      <c r="AQ18" s="35" t="b">
        <f t="shared" si="1"/>
        <v>1</v>
      </c>
      <c r="AR18" s="24">
        <f t="shared" si="2"/>
        <v>0</v>
      </c>
      <c r="AS18" s="43">
        <f t="shared" si="3"/>
        <v>1</v>
      </c>
    </row>
    <row r="19" spans="1:45" x14ac:dyDescent="0.2">
      <c r="Q19" s="11" t="s">
        <v>10</v>
      </c>
      <c r="R19" s="6">
        <v>14</v>
      </c>
      <c r="S19" s="6">
        <v>-5.3511489377849273</v>
      </c>
      <c r="T19" s="6">
        <v>8.6635938859280798E-3</v>
      </c>
      <c r="U19" s="6">
        <v>8.6635938859280798E-3</v>
      </c>
      <c r="V19" s="6" t="e">
        <v>#N/A</v>
      </c>
      <c r="W19" s="6" t="str">
        <v/>
      </c>
      <c r="Y19" s="11" t="s">
        <v>10</v>
      </c>
      <c r="Z19" s="6">
        <v>14</v>
      </c>
      <c r="AA19" s="6">
        <v>0</v>
      </c>
      <c r="AB19" s="6">
        <v>6.3999999999999956E-5</v>
      </c>
      <c r="AC19" s="6">
        <v>6.3999999999999956E-5</v>
      </c>
      <c r="AD19" s="6" t="e">
        <v>#N/A</v>
      </c>
      <c r="AE19" s="6" t="e">
        <v>#N/A</v>
      </c>
      <c r="AF19" s="6" t="str">
        <v/>
      </c>
      <c r="AH19" s="11" t="s">
        <v>10</v>
      </c>
      <c r="AI19" s="6">
        <v>14</v>
      </c>
      <c r="AJ19" s="6">
        <v>0</v>
      </c>
      <c r="AK19" s="10">
        <v>0.1353352832366127</v>
      </c>
      <c r="AL19" s="10">
        <v>0.1353352832366127</v>
      </c>
      <c r="AM19" s="10" t="e">
        <v>#N/A</v>
      </c>
      <c r="AN19" s="10" t="e">
        <v>#N/A</v>
      </c>
      <c r="AO19" s="10" t="str">
        <v/>
      </c>
      <c r="AP19" s="23">
        <f t="shared" si="0"/>
        <v>1</v>
      </c>
      <c r="AQ19" s="35" t="b">
        <f t="shared" si="1"/>
        <v>1</v>
      </c>
      <c r="AR19" s="24">
        <f t="shared" si="2"/>
        <v>0</v>
      </c>
      <c r="AS19" s="43">
        <f t="shared" si="3"/>
        <v>1</v>
      </c>
    </row>
    <row r="20" spans="1:45" x14ac:dyDescent="0.2">
      <c r="Q20" s="39">
        <f>IF(ISBLANK(B8),_xlfn.NORM.DIST(B7,B5,B6,TRUE),IF(ISBLANK(B7),B8,NA()))</f>
        <v>0.8</v>
      </c>
      <c r="R20" s="6">
        <v>15</v>
      </c>
      <c r="S20" s="6">
        <v>-4.8547260773563625</v>
      </c>
      <c r="T20" s="6">
        <v>9.2767895149492557E-3</v>
      </c>
      <c r="U20" s="6">
        <v>9.2767895149492557E-3</v>
      </c>
      <c r="V20" s="6" t="e">
        <v>#N/A</v>
      </c>
      <c r="W20" s="6" t="str">
        <v/>
      </c>
      <c r="Y20" s="34">
        <f>IF(ISBLANK(E8),_xlfn.BINOM.DIST(E7,E5,E6,TRUE),IF(ISBLANK(E7),E8,NA()))</f>
        <v>0.34463999999999995</v>
      </c>
      <c r="Z20" s="6">
        <v>15</v>
      </c>
      <c r="AA20" s="6">
        <v>0</v>
      </c>
      <c r="AB20" s="6">
        <v>6.3999999999999956E-5</v>
      </c>
      <c r="AC20" s="6">
        <v>6.3999999999999956E-5</v>
      </c>
      <c r="AD20" s="6" t="e">
        <v>#N/A</v>
      </c>
      <c r="AE20" s="6" t="e">
        <v>#N/A</v>
      </c>
      <c r="AF20" s="6" t="str">
        <v/>
      </c>
      <c r="AH20" s="34">
        <f>IF(ISBLANK(H7),_xlfn.POISSON.DIST(H6,H5,TRUE),IF(ISBLANK(H6),H7,NA()))</f>
        <v>0.2</v>
      </c>
      <c r="AI20" s="6">
        <v>15</v>
      </c>
      <c r="AJ20" s="6">
        <v>0</v>
      </c>
      <c r="AK20" s="10">
        <v>0.1353352832366127</v>
      </c>
      <c r="AL20" s="10">
        <v>0.1353352832366127</v>
      </c>
      <c r="AM20" s="10" t="e">
        <v>#N/A</v>
      </c>
      <c r="AN20" s="10" t="e">
        <v>#N/A</v>
      </c>
      <c r="AO20" s="10" t="str">
        <v/>
      </c>
      <c r="AP20" s="23">
        <f t="shared" si="0"/>
        <v>1</v>
      </c>
      <c r="AQ20" s="35" t="b">
        <f t="shared" si="1"/>
        <v>1</v>
      </c>
      <c r="AR20" s="24">
        <f t="shared" si="2"/>
        <v>0</v>
      </c>
      <c r="AS20" s="43">
        <f t="shared" si="3"/>
        <v>1</v>
      </c>
    </row>
    <row r="21" spans="1:45" x14ac:dyDescent="0.2">
      <c r="Q21" s="22" t="s">
        <v>32</v>
      </c>
      <c r="R21" s="6">
        <v>16</v>
      </c>
      <c r="S21" s="6">
        <v>-4.3583032169277987</v>
      </c>
      <c r="T21" s="6">
        <v>9.9272682052590783E-3</v>
      </c>
      <c r="U21" s="6">
        <v>9.9272682052590783E-3</v>
      </c>
      <c r="V21" s="6" t="e">
        <v>#N/A</v>
      </c>
      <c r="W21" s="6" t="str">
        <v/>
      </c>
      <c r="Y21" s="22" t="s">
        <v>32</v>
      </c>
      <c r="Z21" s="6">
        <v>16</v>
      </c>
      <c r="AA21" s="6">
        <v>0</v>
      </c>
      <c r="AB21" s="6">
        <v>6.3999999999999956E-5</v>
      </c>
      <c r="AC21" s="6">
        <v>6.3999999999999956E-5</v>
      </c>
      <c r="AD21" s="6" t="e">
        <v>#N/A</v>
      </c>
      <c r="AE21" s="6" t="e">
        <v>#N/A</v>
      </c>
      <c r="AF21" s="6" t="str">
        <v/>
      </c>
      <c r="AH21" s="22" t="s">
        <v>32</v>
      </c>
      <c r="AI21" s="6">
        <v>16</v>
      </c>
      <c r="AJ21" s="6">
        <v>0</v>
      </c>
      <c r="AK21" s="10">
        <v>0.1353352832366127</v>
      </c>
      <c r="AL21" s="10">
        <v>0.1353352832366127</v>
      </c>
      <c r="AM21" s="10" t="e">
        <v>#N/A</v>
      </c>
      <c r="AN21" s="10" t="e">
        <v>#N/A</v>
      </c>
      <c r="AO21" s="10" t="str">
        <v/>
      </c>
      <c r="AP21" s="23">
        <f t="shared" si="0"/>
        <v>1</v>
      </c>
      <c r="AQ21" s="35" t="b">
        <f t="shared" si="1"/>
        <v>1</v>
      </c>
      <c r="AR21" s="24">
        <f t="shared" si="2"/>
        <v>0</v>
      </c>
      <c r="AS21" s="43">
        <f t="shared" si="3"/>
        <v>1</v>
      </c>
    </row>
    <row r="22" spans="1:45" x14ac:dyDescent="0.2">
      <c r="Q22" s="24">
        <v>250</v>
      </c>
      <c r="R22" s="6">
        <v>17</v>
      </c>
      <c r="S22" s="6">
        <v>-3.8618803564992348</v>
      </c>
      <c r="T22" s="6">
        <v>1.0616814855188389E-2</v>
      </c>
      <c r="U22" s="6">
        <v>1.0616814855188389E-2</v>
      </c>
      <c r="V22" s="6" t="e">
        <v>#N/A</v>
      </c>
      <c r="W22" s="6" t="str">
        <v/>
      </c>
      <c r="Y22" s="24">
        <f>MIN(ROUNDUP(Y14/30,0)*250,2500)</f>
        <v>250</v>
      </c>
      <c r="Z22" s="6">
        <v>17</v>
      </c>
      <c r="AA22" s="6">
        <v>0</v>
      </c>
      <c r="AB22" s="6">
        <v>6.3999999999999956E-5</v>
      </c>
      <c r="AC22" s="6">
        <v>6.3999999999999956E-5</v>
      </c>
      <c r="AD22" s="6" t="e">
        <v>#N/A</v>
      </c>
      <c r="AE22" s="6" t="e">
        <v>#N/A</v>
      </c>
      <c r="AF22" s="6" t="str">
        <v/>
      </c>
      <c r="AH22" s="24">
        <f>MIN(ROUNDUP(AH16/30,0)*250,2500)</f>
        <v>250</v>
      </c>
      <c r="AI22" s="6">
        <v>17</v>
      </c>
      <c r="AJ22" s="6">
        <v>0</v>
      </c>
      <c r="AK22" s="10">
        <v>0.1353352832366127</v>
      </c>
      <c r="AL22" s="10">
        <v>0.1353352832366127</v>
      </c>
      <c r="AM22" s="10" t="e">
        <v>#N/A</v>
      </c>
      <c r="AN22" s="10" t="e">
        <v>#N/A</v>
      </c>
      <c r="AO22" s="10" t="str">
        <v/>
      </c>
      <c r="AP22" s="23">
        <f t="shared" si="0"/>
        <v>1</v>
      </c>
      <c r="AQ22" s="35" t="b">
        <f t="shared" si="1"/>
        <v>1</v>
      </c>
      <c r="AR22" s="24">
        <f t="shared" si="2"/>
        <v>0</v>
      </c>
      <c r="AS22" s="43">
        <f t="shared" si="3"/>
        <v>1</v>
      </c>
    </row>
    <row r="23" spans="1:45" x14ac:dyDescent="0.2">
      <c r="Q23" s="22" t="s">
        <v>48</v>
      </c>
      <c r="R23" s="6">
        <v>18</v>
      </c>
      <c r="S23" s="6">
        <v>-3.36545749607067</v>
      </c>
      <c r="T23" s="6">
        <v>1.1347264237970188E-2</v>
      </c>
      <c r="U23" s="6">
        <v>1.1347264237970188E-2</v>
      </c>
      <c r="V23" s="6" t="e">
        <v>#N/A</v>
      </c>
      <c r="W23" s="6" t="str">
        <v/>
      </c>
      <c r="Y23" s="22" t="s">
        <v>48</v>
      </c>
      <c r="Z23" s="6">
        <v>18</v>
      </c>
      <c r="AA23" s="6">
        <v>0</v>
      </c>
      <c r="AB23" s="6">
        <v>6.3999999999999956E-5</v>
      </c>
      <c r="AC23" s="6">
        <v>6.3999999999999956E-5</v>
      </c>
      <c r="AD23" s="6" t="e">
        <v>#N/A</v>
      </c>
      <c r="AE23" s="6" t="e">
        <v>#N/A</v>
      </c>
      <c r="AF23" s="6" t="str">
        <v/>
      </c>
      <c r="AH23" s="22" t="s">
        <v>48</v>
      </c>
      <c r="AI23" s="6">
        <v>18</v>
      </c>
      <c r="AJ23" s="6">
        <v>0</v>
      </c>
      <c r="AK23" s="10">
        <v>0.1353352832366127</v>
      </c>
      <c r="AL23" s="10">
        <v>0.1353352832366127</v>
      </c>
      <c r="AM23" s="10" t="e">
        <v>#N/A</v>
      </c>
      <c r="AN23" s="10" t="e">
        <v>#N/A</v>
      </c>
      <c r="AO23" s="10" t="str">
        <v/>
      </c>
      <c r="AP23" s="23">
        <f t="shared" si="0"/>
        <v>1</v>
      </c>
      <c r="AQ23" s="35" t="b">
        <f t="shared" si="1"/>
        <v>1</v>
      </c>
      <c r="AR23" s="24">
        <f t="shared" si="2"/>
        <v>0</v>
      </c>
      <c r="AS23" s="43">
        <f t="shared" si="3"/>
        <v>1</v>
      </c>
    </row>
    <row r="24" spans="1:45" x14ac:dyDescent="0.2">
      <c r="Q24" s="23">
        <v>25</v>
      </c>
      <c r="R24" s="6">
        <v>19</v>
      </c>
      <c r="S24" s="6">
        <v>-2.8690346356421053</v>
      </c>
      <c r="T24" s="6">
        <v>1.212049979068994E-2</v>
      </c>
      <c r="U24" s="6">
        <v>1.212049979068994E-2</v>
      </c>
      <c r="V24" s="6" t="e">
        <v>#N/A</v>
      </c>
      <c r="W24" s="6" t="str">
        <v/>
      </c>
      <c r="Y24" s="23">
        <f>ROUNDDOWN(Y22/(Y14+1),0)</f>
        <v>35</v>
      </c>
      <c r="Z24" s="6">
        <v>19</v>
      </c>
      <c r="AA24" s="6">
        <v>0</v>
      </c>
      <c r="AB24" s="6">
        <v>6.3999999999999956E-5</v>
      </c>
      <c r="AC24" s="6">
        <v>6.3999999999999956E-5</v>
      </c>
      <c r="AD24" s="6" t="e">
        <v>#N/A</v>
      </c>
      <c r="AE24" s="6" t="e">
        <v>#N/A</v>
      </c>
      <c r="AF24" s="6">
        <v>0</v>
      </c>
      <c r="AH24" s="23">
        <f>ROUNDDOWN(AH22/(AH16+1),0)</f>
        <v>20</v>
      </c>
      <c r="AI24" s="6">
        <v>19</v>
      </c>
      <c r="AJ24" s="6">
        <v>0</v>
      </c>
      <c r="AK24" s="10">
        <v>0.1353352832366127</v>
      </c>
      <c r="AL24" s="10">
        <v>0.1353352832366127</v>
      </c>
      <c r="AM24" s="10" t="e">
        <v>#N/A</v>
      </c>
      <c r="AN24" s="10" t="e">
        <v>#N/A</v>
      </c>
      <c r="AO24" s="10" t="str">
        <v/>
      </c>
      <c r="AP24" s="23">
        <f t="shared" si="0"/>
        <v>1</v>
      </c>
      <c r="AQ24" s="35" t="b">
        <f t="shared" si="1"/>
        <v>1</v>
      </c>
      <c r="AR24" s="24">
        <f t="shared" si="2"/>
        <v>0</v>
      </c>
      <c r="AS24" s="43">
        <f t="shared" si="3"/>
        <v>1</v>
      </c>
    </row>
    <row r="25" spans="1:45" x14ac:dyDescent="0.2">
      <c r="Q25" s="22" t="s">
        <v>33</v>
      </c>
      <c r="R25" s="6">
        <v>20</v>
      </c>
      <c r="S25" s="6">
        <v>-2.3726117752135405</v>
      </c>
      <c r="T25" s="6">
        <v>1.2938452164596234E-2</v>
      </c>
      <c r="U25" s="6">
        <v>1.2938452164596234E-2</v>
      </c>
      <c r="V25" s="6" t="e">
        <v>#N/A</v>
      </c>
      <c r="W25" s="6" t="str">
        <v/>
      </c>
      <c r="Y25" s="11" t="s">
        <v>64</v>
      </c>
      <c r="Z25" s="6">
        <v>20</v>
      </c>
      <c r="AA25" s="6">
        <v>0</v>
      </c>
      <c r="AB25" s="6">
        <v>6.3999999999999956E-5</v>
      </c>
      <c r="AC25" s="6">
        <v>6.3999999999999956E-5</v>
      </c>
      <c r="AD25" s="6" t="e">
        <v>#N/A</v>
      </c>
      <c r="AE25" s="6" t="e">
        <v>#N/A</v>
      </c>
      <c r="AF25" s="6" t="str">
        <v/>
      </c>
      <c r="AH25" s="11" t="s">
        <v>64</v>
      </c>
      <c r="AI25" s="6">
        <v>20</v>
      </c>
      <c r="AJ25" s="6">
        <v>0</v>
      </c>
      <c r="AK25" s="10">
        <v>0.1353352832366127</v>
      </c>
      <c r="AL25" s="10">
        <v>0.1353352832366127</v>
      </c>
      <c r="AM25" s="10" t="e">
        <v>#N/A</v>
      </c>
      <c r="AN25" s="10" t="e">
        <v>#N/A</v>
      </c>
      <c r="AO25" s="10" t="str">
        <v/>
      </c>
      <c r="AP25" s="23">
        <f t="shared" si="0"/>
        <v>1</v>
      </c>
      <c r="AQ25" s="35" t="b">
        <f t="shared" si="1"/>
        <v>1</v>
      </c>
      <c r="AR25" s="24">
        <f t="shared" si="2"/>
        <v>0</v>
      </c>
      <c r="AS25" s="43">
        <f t="shared" si="3"/>
        <v>1</v>
      </c>
    </row>
    <row r="26" spans="1:45" x14ac:dyDescent="0.2">
      <c r="Q26" s="24">
        <f>_xlfn.NORM.INV(0.999,Q14,Q16)</f>
        <v>111.80464612335626</v>
      </c>
      <c r="R26" s="6">
        <v>21</v>
      </c>
      <c r="S26" s="6">
        <v>-1.8761889147849757</v>
      </c>
      <c r="T26" s="6">
        <v>1.3803097525895824E-2</v>
      </c>
      <c r="U26" s="6">
        <v>1.3803097525895824E-2</v>
      </c>
      <c r="V26" s="6" t="e">
        <v>#N/A</v>
      </c>
      <c r="W26" s="6" t="str">
        <v/>
      </c>
      <c r="Y26" s="24">
        <f>_xlfn.BINOM.DIST(Y18,E5,E6,TRUE)-_xlfn.BINOM.DIST(Y18,E5,E6,FALSE)</f>
        <v>9.8879999999999968E-2</v>
      </c>
      <c r="Z26" s="6">
        <v>21</v>
      </c>
      <c r="AA26" s="6">
        <v>0</v>
      </c>
      <c r="AB26" s="6">
        <v>6.3999999999999956E-5</v>
      </c>
      <c r="AC26" s="6">
        <v>6.3999999999999956E-5</v>
      </c>
      <c r="AD26" s="6" t="e">
        <v>#N/A</v>
      </c>
      <c r="AE26" s="6" t="e">
        <v>#N/A</v>
      </c>
      <c r="AF26" s="6" t="str">
        <v/>
      </c>
      <c r="AH26" s="45">
        <f>_xlfn.POISSON.DIST(AH18,AH14,TRUE)-_xlfn.POISSON.DIST(AH18,AH14,FALSE)</f>
        <v>0.13533528323661276</v>
      </c>
      <c r="AI26" s="6">
        <v>21</v>
      </c>
      <c r="AJ26" s="6" t="e">
        <v>#N/A</v>
      </c>
      <c r="AK26" s="10" t="e">
        <v>#N/A</v>
      </c>
      <c r="AL26" s="10" t="e">
        <v>#N/A</v>
      </c>
      <c r="AM26" s="10" t="e">
        <v>#N/A</v>
      </c>
      <c r="AN26" s="10" t="e">
        <v>#N/A</v>
      </c>
      <c r="AO26" s="10" t="str">
        <v/>
      </c>
      <c r="AP26" s="23">
        <f t="shared" si="0"/>
        <v>1</v>
      </c>
      <c r="AQ26" s="35" t="b">
        <f t="shared" si="1"/>
        <v>1</v>
      </c>
      <c r="AR26" s="24">
        <f t="shared" si="2"/>
        <v>0</v>
      </c>
      <c r="AS26" s="43">
        <f t="shared" si="3"/>
        <v>1</v>
      </c>
    </row>
    <row r="27" spans="1:45" x14ac:dyDescent="0.2">
      <c r="Q27" s="22" t="s">
        <v>41</v>
      </c>
      <c r="R27" s="6">
        <v>22</v>
      </c>
      <c r="S27" s="6">
        <v>-1.3797660543564128</v>
      </c>
      <c r="T27" s="6">
        <v>1.4716455596524172E-2</v>
      </c>
      <c r="U27" s="6">
        <v>1.4716455596524172E-2</v>
      </c>
      <c r="V27" s="6" t="e">
        <v>#N/A</v>
      </c>
      <c r="W27" s="6" t="str">
        <v/>
      </c>
      <c r="Y27" s="11" t="s">
        <v>65</v>
      </c>
      <c r="Z27" s="6">
        <v>22</v>
      </c>
      <c r="AA27" s="6">
        <v>0</v>
      </c>
      <c r="AB27" s="6">
        <v>6.3999999999999956E-5</v>
      </c>
      <c r="AC27" s="6">
        <v>6.3999999999999956E-5</v>
      </c>
      <c r="AD27" s="6" t="e">
        <v>#N/A</v>
      </c>
      <c r="AE27" s="6" t="e">
        <v>#N/A</v>
      </c>
      <c r="AF27" s="6" t="str">
        <v/>
      </c>
      <c r="AH27" s="11" t="s">
        <v>65</v>
      </c>
      <c r="AI27" s="6">
        <v>22</v>
      </c>
      <c r="AJ27" s="6">
        <v>1</v>
      </c>
      <c r="AK27" s="10">
        <v>0.27067056647322535</v>
      </c>
      <c r="AL27" s="10" t="e">
        <v>#N/A</v>
      </c>
      <c r="AM27" s="10">
        <v>0.27067056647322535</v>
      </c>
      <c r="AN27" s="10" t="e">
        <v>#N/A</v>
      </c>
      <c r="AO27" s="10" t="str">
        <v/>
      </c>
      <c r="AP27" s="23">
        <f t="shared" si="0"/>
        <v>1</v>
      </c>
      <c r="AQ27" s="35" t="b">
        <f t="shared" si="1"/>
        <v>1</v>
      </c>
      <c r="AR27" s="24">
        <f t="shared" si="2"/>
        <v>0</v>
      </c>
      <c r="AS27" s="43">
        <f t="shared" si="3"/>
        <v>1</v>
      </c>
    </row>
    <row r="28" spans="1:45" x14ac:dyDescent="0.2">
      <c r="Q28" s="24">
        <f>_xlfn.NORM.INV(0.001,Q14,Q16)</f>
        <v>-11.804646123356264</v>
      </c>
      <c r="R28" s="6">
        <v>23</v>
      </c>
      <c r="S28" s="6">
        <v>-0.88334319392784799</v>
      </c>
      <c r="T28" s="6">
        <v>1.5680587424828297E-2</v>
      </c>
      <c r="U28" s="6">
        <v>1.5680587424828297E-2</v>
      </c>
      <c r="V28" s="6" t="e">
        <v>#N/A</v>
      </c>
      <c r="W28" s="6" t="str">
        <v/>
      </c>
      <c r="Y28" s="24">
        <f>_xlfn.BINOM.DIST(Y18,E5,E6,FALSE)</f>
        <v>0.24575999999999998</v>
      </c>
      <c r="Z28" s="6">
        <v>23</v>
      </c>
      <c r="AA28" s="6">
        <v>0</v>
      </c>
      <c r="AB28" s="6">
        <v>6.3999999999999956E-5</v>
      </c>
      <c r="AC28" s="6">
        <v>6.3999999999999956E-5</v>
      </c>
      <c r="AD28" s="6" t="e">
        <v>#N/A</v>
      </c>
      <c r="AE28" s="6" t="e">
        <v>#N/A</v>
      </c>
      <c r="AF28" s="6" t="str">
        <v/>
      </c>
      <c r="AH28" s="24">
        <f>_xlfn.POISSON.DIST(AH18,AH14,FALSE)</f>
        <v>0.27067056647322535</v>
      </c>
      <c r="AI28" s="6">
        <v>23</v>
      </c>
      <c r="AJ28" s="6">
        <v>1</v>
      </c>
      <c r="AK28" s="10">
        <v>0.27067056647322535</v>
      </c>
      <c r="AL28" s="10" t="e">
        <v>#N/A</v>
      </c>
      <c r="AM28" s="10">
        <v>0.27067056647322535</v>
      </c>
      <c r="AN28" s="10" t="e">
        <v>#N/A</v>
      </c>
      <c r="AO28" s="10" t="str">
        <v/>
      </c>
      <c r="AP28" s="23">
        <f t="shared" si="0"/>
        <v>1</v>
      </c>
      <c r="AQ28" s="35" t="b">
        <f t="shared" si="1"/>
        <v>1</v>
      </c>
      <c r="AR28" s="24">
        <f t="shared" si="2"/>
        <v>0</v>
      </c>
      <c r="AS28" s="43">
        <f t="shared" si="3"/>
        <v>1</v>
      </c>
    </row>
    <row r="29" spans="1:45" x14ac:dyDescent="0.2">
      <c r="A29" s="3" t="s">
        <v>34</v>
      </c>
      <c r="B29"/>
      <c r="D29" s="3" t="s">
        <v>35</v>
      </c>
      <c r="E29"/>
      <c r="G29" s="3" t="s">
        <v>36</v>
      </c>
      <c r="H29"/>
      <c r="Q29" s="11" t="s">
        <v>42</v>
      </c>
      <c r="R29" s="6">
        <v>24</v>
      </c>
      <c r="S29" s="6">
        <v>-0.38692033349928323</v>
      </c>
      <c r="T29" s="6">
        <v>1.6697592876625731E-2</v>
      </c>
      <c r="U29" s="6">
        <v>1.6697592876625731E-2</v>
      </c>
      <c r="V29" s="6" t="e">
        <v>#N/A</v>
      </c>
      <c r="W29" s="6" t="str">
        <v/>
      </c>
      <c r="Y29" s="11" t="s">
        <v>66</v>
      </c>
      <c r="Z29" s="6">
        <v>24</v>
      </c>
      <c r="AA29" s="6">
        <v>0</v>
      </c>
      <c r="AB29" s="6">
        <v>6.3999999999999956E-5</v>
      </c>
      <c r="AC29" s="6">
        <v>6.3999999999999956E-5</v>
      </c>
      <c r="AD29" s="6" t="e">
        <v>#N/A</v>
      </c>
      <c r="AE29" s="6" t="e">
        <v>#N/A</v>
      </c>
      <c r="AF29" s="6" t="str">
        <v/>
      </c>
      <c r="AH29" s="11" t="s">
        <v>66</v>
      </c>
      <c r="AI29" s="6">
        <v>24</v>
      </c>
      <c r="AJ29" s="6">
        <v>1</v>
      </c>
      <c r="AK29" s="10">
        <v>0.27067056647322535</v>
      </c>
      <c r="AL29" s="10" t="e">
        <v>#N/A</v>
      </c>
      <c r="AM29" s="10">
        <v>0.27067056647322535</v>
      </c>
      <c r="AN29" s="10" t="e">
        <v>#N/A</v>
      </c>
      <c r="AO29" s="10" t="str">
        <v/>
      </c>
      <c r="AP29" s="23">
        <f t="shared" si="0"/>
        <v>1</v>
      </c>
      <c r="AQ29" s="35" t="b">
        <f t="shared" si="1"/>
        <v>1</v>
      </c>
      <c r="AR29" s="24">
        <f t="shared" si="2"/>
        <v>0</v>
      </c>
      <c r="AS29" s="43">
        <f t="shared" si="3"/>
        <v>1</v>
      </c>
    </row>
    <row r="30" spans="1:45" x14ac:dyDescent="0.2">
      <c r="A30" s="11" t="s">
        <v>0</v>
      </c>
      <c r="B30" s="29">
        <f>B5</f>
        <v>50</v>
      </c>
      <c r="D30" s="11" t="s">
        <v>14</v>
      </c>
      <c r="E30" s="30">
        <f>E5</f>
        <v>6</v>
      </c>
      <c r="G30" s="11" t="s">
        <v>2</v>
      </c>
      <c r="H30" s="32">
        <f>H5</f>
        <v>2</v>
      </c>
      <c r="Q30" s="24" cm="1">
        <f t="array" ref="Q30">MAX(0,MIN(3,5-MAX(LEN(ROUND(ABS(Q14),0)),LEN(ROUND(ABS(Q16),0)),LEN(ROUND(ABS(_xlfn.ANCHORARRAY(S6)),0)))))</f>
        <v>2</v>
      </c>
      <c r="R30" s="6">
        <v>25</v>
      </c>
      <c r="S30" s="6">
        <v>0.10950252692928153</v>
      </c>
      <c r="T30" s="6">
        <v>1.7769607837714165E-2</v>
      </c>
      <c r="U30" s="6">
        <v>1.7769607837714165E-2</v>
      </c>
      <c r="V30" s="6" t="e">
        <v>#N/A</v>
      </c>
      <c r="W30" s="6" t="str">
        <v/>
      </c>
      <c r="Y30" s="24">
        <f>1-_xlfn.BINOM.DIST(Y18,E5,E6,TRUE)</f>
        <v>0.65536000000000005</v>
      </c>
      <c r="Z30" s="6">
        <v>25</v>
      </c>
      <c r="AA30" s="6">
        <v>0</v>
      </c>
      <c r="AB30" s="6">
        <v>6.3999999999999956E-5</v>
      </c>
      <c r="AC30" s="6">
        <v>6.3999999999999956E-5</v>
      </c>
      <c r="AD30" s="6" t="e">
        <v>#N/A</v>
      </c>
      <c r="AE30" s="6" t="e">
        <v>#N/A</v>
      </c>
      <c r="AF30" s="6" t="str">
        <v/>
      </c>
      <c r="AH30" s="46">
        <f>1-_xlfn.POISSON.DIST(AH18,AH14,TRUE)</f>
        <v>0.59399415029016189</v>
      </c>
      <c r="AI30" s="6">
        <v>25</v>
      </c>
      <c r="AJ30" s="6">
        <v>1</v>
      </c>
      <c r="AK30" s="10">
        <v>0.27067056647322535</v>
      </c>
      <c r="AL30" s="10" t="e">
        <v>#N/A</v>
      </c>
      <c r="AM30" s="10">
        <v>0.27067056647322535</v>
      </c>
      <c r="AN30" s="10" t="e">
        <v>#N/A</v>
      </c>
      <c r="AO30" s="10" t="str">
        <v/>
      </c>
      <c r="AP30" s="23">
        <f t="shared" si="0"/>
        <v>1</v>
      </c>
      <c r="AQ30" s="35" t="b">
        <f t="shared" si="1"/>
        <v>1</v>
      </c>
      <c r="AR30" s="24">
        <f t="shared" si="2"/>
        <v>0</v>
      </c>
      <c r="AS30" s="43">
        <f t="shared" si="3"/>
        <v>1</v>
      </c>
    </row>
    <row r="31" spans="1:45" x14ac:dyDescent="0.2">
      <c r="A31" s="11" t="s">
        <v>1</v>
      </c>
      <c r="B31" s="29">
        <f>B6</f>
        <v>20</v>
      </c>
      <c r="D31" s="11" t="s">
        <v>9</v>
      </c>
      <c r="E31" s="28">
        <f>E6</f>
        <v>0.8</v>
      </c>
      <c r="G31" s="11" t="s">
        <v>8</v>
      </c>
      <c r="H31" s="30">
        <f>AH18</f>
        <v>1</v>
      </c>
      <c r="Q31" s="11" t="s">
        <v>30</v>
      </c>
      <c r="R31" s="6">
        <v>26</v>
      </c>
      <c r="S31" s="6">
        <v>0.60592538735784451</v>
      </c>
      <c r="T31" s="6">
        <v>1.8898801119602578E-2</v>
      </c>
      <c r="U31" s="6">
        <v>1.8898801119602578E-2</v>
      </c>
      <c r="V31" s="6" t="e">
        <v>#N/A</v>
      </c>
      <c r="W31" s="6">
        <v>0.61</v>
      </c>
      <c r="Y31" s="11" t="s">
        <v>60</v>
      </c>
      <c r="Z31" s="6">
        <v>26</v>
      </c>
      <c r="AA31" s="6">
        <v>0</v>
      </c>
      <c r="AB31" s="6">
        <v>6.3999999999999956E-5</v>
      </c>
      <c r="AC31" s="6">
        <v>6.3999999999999956E-5</v>
      </c>
      <c r="AD31" s="6" t="e">
        <v>#N/A</v>
      </c>
      <c r="AE31" s="6" t="e">
        <v>#N/A</v>
      </c>
      <c r="AF31" s="6" t="str">
        <v/>
      </c>
      <c r="AH31" s="11" t="s">
        <v>61</v>
      </c>
      <c r="AI31" s="6">
        <v>26</v>
      </c>
      <c r="AJ31" s="6">
        <v>1</v>
      </c>
      <c r="AK31" s="10">
        <v>0.27067056647322535</v>
      </c>
      <c r="AL31" s="10" t="e">
        <v>#N/A</v>
      </c>
      <c r="AM31" s="10">
        <v>0.27067056647322535</v>
      </c>
      <c r="AN31" s="10" t="e">
        <v>#N/A</v>
      </c>
      <c r="AO31" s="10" t="str">
        <v/>
      </c>
      <c r="AP31" s="23">
        <f t="shared" si="0"/>
        <v>1</v>
      </c>
      <c r="AQ31" s="35" t="b">
        <f t="shared" si="1"/>
        <v>1</v>
      </c>
      <c r="AR31" s="24">
        <f t="shared" si="2"/>
        <v>0</v>
      </c>
      <c r="AS31" s="43">
        <f t="shared" si="3"/>
        <v>1</v>
      </c>
    </row>
    <row r="32" spans="1:45" x14ac:dyDescent="0.2">
      <c r="A32" s="13" t="s">
        <v>29</v>
      </c>
      <c r="B32" s="32">
        <f>Q18</f>
        <v>66.832424671458298</v>
      </c>
      <c r="D32" s="11" t="s">
        <v>8</v>
      </c>
      <c r="E32" s="30">
        <f>Y18</f>
        <v>4</v>
      </c>
      <c r="G32" s="13" t="s">
        <v>24</v>
      </c>
      <c r="H32" s="31">
        <f>Y26</f>
        <v>9.8879999999999968E-2</v>
      </c>
      <c r="Q32" s="24">
        <f>ROUND(Q14,Q30)</f>
        <v>50</v>
      </c>
      <c r="R32" s="6">
        <v>27</v>
      </c>
      <c r="S32" s="6">
        <v>1.1023482477864093</v>
      </c>
      <c r="T32" s="6">
        <v>2.008737106101895E-2</v>
      </c>
      <c r="U32" s="6">
        <v>2.008737106101895E-2</v>
      </c>
      <c r="V32" s="6" t="e">
        <v>#N/A</v>
      </c>
      <c r="W32" s="6" t="str">
        <v/>
      </c>
      <c r="Y32" s="40" t="str">
        <f>ROUND(Y16,5)*100&amp;"%"</f>
        <v>80%</v>
      </c>
      <c r="Z32" s="6">
        <v>27</v>
      </c>
      <c r="AA32" s="6">
        <v>0</v>
      </c>
      <c r="AB32" s="6">
        <v>6.3999999999999956E-5</v>
      </c>
      <c r="AC32" s="6">
        <v>6.3999999999999956E-5</v>
      </c>
      <c r="AD32" s="6" t="e">
        <v>#N/A</v>
      </c>
      <c r="AE32" s="6" t="e">
        <v>#N/A</v>
      </c>
      <c r="AF32" s="6" t="str">
        <v/>
      </c>
      <c r="AH32" s="40" t="str">
        <f>ROUND(AH26,5)*100&amp;"%"</f>
        <v>13.534%</v>
      </c>
      <c r="AI32" s="6">
        <v>27</v>
      </c>
      <c r="AJ32" s="6">
        <v>1</v>
      </c>
      <c r="AK32" s="10">
        <v>0.27067056647322535</v>
      </c>
      <c r="AL32" s="10" t="e">
        <v>#N/A</v>
      </c>
      <c r="AM32" s="10">
        <v>0.27067056647322535</v>
      </c>
      <c r="AN32" s="10" t="e">
        <v>#N/A</v>
      </c>
      <c r="AO32" s="10" t="str">
        <v/>
      </c>
      <c r="AP32" s="23">
        <f t="shared" si="0"/>
        <v>1</v>
      </c>
      <c r="AQ32" s="35" t="b">
        <f t="shared" si="1"/>
        <v>1</v>
      </c>
      <c r="AR32" s="24">
        <f t="shared" si="2"/>
        <v>0</v>
      </c>
      <c r="AS32" s="43">
        <f t="shared" si="3"/>
        <v>1</v>
      </c>
    </row>
    <row r="33" spans="1:45" x14ac:dyDescent="0.2">
      <c r="A33" s="13" t="s">
        <v>24</v>
      </c>
      <c r="B33" s="28">
        <f>Q20</f>
        <v>0.8</v>
      </c>
      <c r="D33" s="13" t="s">
        <v>24</v>
      </c>
      <c r="E33" s="31">
        <f>Y26</f>
        <v>9.8879999999999968E-2</v>
      </c>
      <c r="G33" s="13" t="s">
        <v>26</v>
      </c>
      <c r="H33" s="31">
        <f>Y28</f>
        <v>0.24575999999999998</v>
      </c>
      <c r="Q33" s="11" t="s">
        <v>31</v>
      </c>
      <c r="R33" s="6">
        <v>28</v>
      </c>
      <c r="S33" s="6">
        <v>1.598771108214974</v>
      </c>
      <c r="T33" s="6">
        <v>2.1337541818621984E-2</v>
      </c>
      <c r="U33" s="6">
        <v>2.1337541818621984E-2</v>
      </c>
      <c r="V33" s="6" t="e">
        <v>#N/A</v>
      </c>
      <c r="W33" s="6" t="str">
        <v/>
      </c>
      <c r="Y33" s="11" t="s">
        <v>61</v>
      </c>
      <c r="Z33" s="6">
        <v>28</v>
      </c>
      <c r="AA33" s="6">
        <v>0</v>
      </c>
      <c r="AB33" s="6">
        <v>6.3999999999999956E-5</v>
      </c>
      <c r="AC33" s="6">
        <v>6.3999999999999956E-5</v>
      </c>
      <c r="AD33" s="6" t="e">
        <v>#N/A</v>
      </c>
      <c r="AE33" s="6" t="e">
        <v>#N/A</v>
      </c>
      <c r="AF33" s="6" t="str">
        <v/>
      </c>
      <c r="AH33" s="11" t="s">
        <v>62</v>
      </c>
      <c r="AI33" s="6">
        <v>28</v>
      </c>
      <c r="AJ33" s="6">
        <v>1</v>
      </c>
      <c r="AK33" s="10">
        <v>0.27067056647322535</v>
      </c>
      <c r="AL33" s="10" t="e">
        <v>#N/A</v>
      </c>
      <c r="AM33" s="10">
        <v>0.27067056647322535</v>
      </c>
      <c r="AN33" s="10" t="e">
        <v>#N/A</v>
      </c>
      <c r="AO33" s="10" t="str">
        <v/>
      </c>
      <c r="AP33" s="23">
        <f t="shared" si="0"/>
        <v>1</v>
      </c>
      <c r="AQ33" s="35" t="b">
        <f t="shared" si="1"/>
        <v>1</v>
      </c>
      <c r="AR33" s="24">
        <f t="shared" si="2"/>
        <v>0</v>
      </c>
      <c r="AS33" s="43">
        <f t="shared" si="3"/>
        <v>1</v>
      </c>
    </row>
    <row r="34" spans="1:45" x14ac:dyDescent="0.2">
      <c r="A34" s="13" t="s">
        <v>25</v>
      </c>
      <c r="B34" s="28">
        <f>1-B33</f>
        <v>0.19999999999999996</v>
      </c>
      <c r="D34" s="13" t="s">
        <v>26</v>
      </c>
      <c r="E34" s="31">
        <f>Y28</f>
        <v>0.24575999999999998</v>
      </c>
      <c r="G34" s="13" t="s">
        <v>25</v>
      </c>
      <c r="H34" s="31">
        <f>Y30</f>
        <v>0.65536000000000005</v>
      </c>
      <c r="Q34" s="36">
        <f>ROUND(Q16,Q30)</f>
        <v>20</v>
      </c>
      <c r="R34" s="6">
        <v>29</v>
      </c>
      <c r="S34" s="6">
        <v>2.0951939686435388</v>
      </c>
      <c r="T34" s="6">
        <v>2.265155934130612E-2</v>
      </c>
      <c r="U34" s="6">
        <v>2.265155934130612E-2</v>
      </c>
      <c r="V34" s="6" t="e">
        <v>#N/A</v>
      </c>
      <c r="W34" s="6" t="str">
        <v/>
      </c>
      <c r="Y34" s="40" t="str">
        <f>ROUND(Y26,5)*100&amp;"%"</f>
        <v>9.888%</v>
      </c>
      <c r="Z34" s="6">
        <v>29</v>
      </c>
      <c r="AA34" s="6">
        <v>0</v>
      </c>
      <c r="AB34" s="6">
        <v>6.3999999999999956E-5</v>
      </c>
      <c r="AC34" s="6">
        <v>6.3999999999999956E-5</v>
      </c>
      <c r="AD34" s="6" t="e">
        <v>#N/A</v>
      </c>
      <c r="AE34" s="6" t="e">
        <v>#N/A</v>
      </c>
      <c r="AF34" s="6" t="str">
        <v/>
      </c>
      <c r="AH34" s="40" t="str">
        <f>ROUND(AH28,5)*100&amp;"%"</f>
        <v>27.067%</v>
      </c>
      <c r="AI34" s="6">
        <v>29</v>
      </c>
      <c r="AJ34" s="6">
        <v>1</v>
      </c>
      <c r="AK34" s="10">
        <v>0.27067056647322535</v>
      </c>
      <c r="AL34" s="10" t="e">
        <v>#N/A</v>
      </c>
      <c r="AM34" s="10">
        <v>0.27067056647322535</v>
      </c>
      <c r="AN34" s="10" t="e">
        <v>#N/A</v>
      </c>
      <c r="AO34" s="10" t="str">
        <v/>
      </c>
      <c r="AP34" s="23">
        <f t="shared" si="0"/>
        <v>1</v>
      </c>
      <c r="AQ34" s="35" t="b">
        <f t="shared" si="1"/>
        <v>1</v>
      </c>
      <c r="AR34" s="24">
        <f t="shared" si="2"/>
        <v>0</v>
      </c>
      <c r="AS34" s="44">
        <f>IF(_xlfn.POISSON.DIST(AR34,$AH$14,TRUE)&gt;$AH$20,AR34,IF(AQ34,AP34,AS33))</f>
        <v>1</v>
      </c>
    </row>
    <row r="35" spans="1:45" x14ac:dyDescent="0.2">
      <c r="D35" s="13" t="s">
        <v>25</v>
      </c>
      <c r="E35" s="31">
        <f>Y30</f>
        <v>0.65536000000000005</v>
      </c>
      <c r="Q35" s="11" t="s">
        <v>43</v>
      </c>
      <c r="R35" s="6">
        <v>30</v>
      </c>
      <c r="S35" s="6">
        <v>2.5916168290721036</v>
      </c>
      <c r="T35" s="6">
        <v>2.403168702354121E-2</v>
      </c>
      <c r="U35" s="6">
        <v>2.403168702354121E-2</v>
      </c>
      <c r="V35" s="6" t="e">
        <v>#N/A</v>
      </c>
      <c r="W35" s="6" t="str">
        <v/>
      </c>
      <c r="Y35" s="11" t="s">
        <v>62</v>
      </c>
      <c r="Z35" s="6">
        <v>30</v>
      </c>
      <c r="AA35" s="6">
        <v>0</v>
      </c>
      <c r="AB35" s="6">
        <v>6.3999999999999956E-5</v>
      </c>
      <c r="AC35" s="6">
        <v>6.3999999999999956E-5</v>
      </c>
      <c r="AD35" s="6" t="e">
        <v>#N/A</v>
      </c>
      <c r="AE35" s="6" t="e">
        <v>#N/A</v>
      </c>
      <c r="AF35" s="6" t="str">
        <v/>
      </c>
      <c r="AH35" s="11" t="s">
        <v>63</v>
      </c>
      <c r="AI35" s="6">
        <v>30</v>
      </c>
      <c r="AJ35" s="6">
        <v>1</v>
      </c>
      <c r="AK35" s="10">
        <v>0.27067056647322535</v>
      </c>
      <c r="AL35" s="10" t="e">
        <v>#N/A</v>
      </c>
      <c r="AM35" s="10">
        <v>0.27067056647322535</v>
      </c>
      <c r="AN35" s="10" t="e">
        <v>#N/A</v>
      </c>
      <c r="AO35" s="10" t="str">
        <v/>
      </c>
    </row>
    <row r="36" spans="1:45" x14ac:dyDescent="0.2">
      <c r="Q36" s="36">
        <f>ROUND(Q18,Q30)</f>
        <v>66.83</v>
      </c>
      <c r="R36" s="6">
        <v>31</v>
      </c>
      <c r="S36" s="6">
        <v>3.0880396895006665</v>
      </c>
      <c r="T36" s="6">
        <v>2.5480201034328312E-2</v>
      </c>
      <c r="U36" s="6">
        <v>2.5480201034328312E-2</v>
      </c>
      <c r="V36" s="6" t="e">
        <v>#N/A</v>
      </c>
      <c r="W36" s="6" t="str">
        <v/>
      </c>
      <c r="Y36" s="40" t="str">
        <f>ROUND(Y28,5)*100&amp;"%"</f>
        <v>24.576%</v>
      </c>
      <c r="Z36" s="6">
        <v>31</v>
      </c>
      <c r="AA36" s="6">
        <v>0</v>
      </c>
      <c r="AB36" s="6">
        <v>6.3999999999999956E-5</v>
      </c>
      <c r="AC36" s="6">
        <v>6.3999999999999956E-5</v>
      </c>
      <c r="AD36" s="6" t="e">
        <v>#N/A</v>
      </c>
      <c r="AE36" s="6" t="e">
        <v>#N/A</v>
      </c>
      <c r="AF36" s="6" t="str">
        <v/>
      </c>
      <c r="AH36" s="40" t="str">
        <f>ROUND(AH30,5)*100&amp;"%"</f>
        <v>59.399%</v>
      </c>
      <c r="AI36" s="6">
        <v>31</v>
      </c>
      <c r="AJ36" s="6">
        <v>1</v>
      </c>
      <c r="AK36" s="10">
        <v>0.27067056647322535</v>
      </c>
      <c r="AL36" s="10" t="e">
        <v>#N/A</v>
      </c>
      <c r="AM36" s="10">
        <v>0.27067056647322535</v>
      </c>
      <c r="AN36" s="10" t="e">
        <v>#N/A</v>
      </c>
      <c r="AO36" s="10">
        <v>1</v>
      </c>
    </row>
    <row r="37" spans="1:45" x14ac:dyDescent="0.2">
      <c r="Q37" s="11" t="s">
        <v>44</v>
      </c>
      <c r="R37" s="6">
        <v>32</v>
      </c>
      <c r="S37" s="6">
        <v>3.5844625499292313</v>
      </c>
      <c r="T37" s="6">
        <v>2.6999385319583014E-2</v>
      </c>
      <c r="U37" s="6">
        <v>2.6999385319583014E-2</v>
      </c>
      <c r="V37" s="6" t="e">
        <v>#N/A</v>
      </c>
      <c r="W37" s="6" t="str">
        <v/>
      </c>
      <c r="Y37" s="11" t="s">
        <v>63</v>
      </c>
      <c r="Z37" s="6">
        <v>32</v>
      </c>
      <c r="AA37" s="6">
        <v>0</v>
      </c>
      <c r="AB37" s="6">
        <v>6.3999999999999956E-5</v>
      </c>
      <c r="AC37" s="6">
        <v>6.3999999999999956E-5</v>
      </c>
      <c r="AD37" s="6" t="e">
        <v>#N/A</v>
      </c>
      <c r="AE37" s="6" t="e">
        <v>#N/A</v>
      </c>
      <c r="AF37" s="6" t="str">
        <v/>
      </c>
      <c r="AH37" s="11" t="s">
        <v>49</v>
      </c>
      <c r="AI37" s="6">
        <v>32</v>
      </c>
      <c r="AJ37" s="6">
        <v>1</v>
      </c>
      <c r="AK37" s="10">
        <v>0.27067056647322535</v>
      </c>
      <c r="AL37" s="10" t="e">
        <v>#N/A</v>
      </c>
      <c r="AM37" s="10">
        <v>0.27067056647322535</v>
      </c>
      <c r="AN37" s="10" t="e">
        <v>#N/A</v>
      </c>
      <c r="AO37" s="10" t="str">
        <v/>
      </c>
    </row>
    <row r="38" spans="1:45" x14ac:dyDescent="0.2">
      <c r="Q38" s="40" t="str">
        <f>ROUND(Q20,Q30+2)*100&amp;"%"</f>
        <v>80%</v>
      </c>
      <c r="R38" s="6">
        <v>33</v>
      </c>
      <c r="S38" s="6">
        <v>4.0808854103577943</v>
      </c>
      <c r="T38" s="6">
        <v>2.8591526277073009E-2</v>
      </c>
      <c r="U38" s="6">
        <v>2.8591526277073009E-2</v>
      </c>
      <c r="V38" s="6" t="e">
        <v>#N/A</v>
      </c>
      <c r="W38" s="6" t="str">
        <v/>
      </c>
      <c r="Y38" s="40" t="str">
        <f>ROUND(Y30,5)*100&amp;"%"</f>
        <v>65.536%</v>
      </c>
      <c r="Z38" s="6">
        <v>33</v>
      </c>
      <c r="AA38" s="6">
        <v>0</v>
      </c>
      <c r="AB38" s="6">
        <v>6.3999999999999956E-5</v>
      </c>
      <c r="AC38" s="6">
        <v>6.3999999999999956E-5</v>
      </c>
      <c r="AD38" s="6" t="e">
        <v>#N/A</v>
      </c>
      <c r="AE38" s="6" t="e">
        <v>#N/A</v>
      </c>
      <c r="AF38" s="6" t="str">
        <v/>
      </c>
      <c r="AH38" s="24">
        <f>ROUND((AH18-1)/2,0)*AH24+ROUND(0.5*(AH24+1),0)</f>
        <v>11</v>
      </c>
      <c r="AI38" s="6">
        <v>33</v>
      </c>
      <c r="AJ38" s="6">
        <v>1</v>
      </c>
      <c r="AK38" s="10">
        <v>0.27067056647322535</v>
      </c>
      <c r="AL38" s="10" t="e">
        <v>#N/A</v>
      </c>
      <c r="AM38" s="10">
        <v>0.27067056647322535</v>
      </c>
      <c r="AN38" s="10" t="e">
        <v>#N/A</v>
      </c>
      <c r="AO38" s="10" t="str">
        <v/>
      </c>
    </row>
    <row r="39" spans="1:45" x14ac:dyDescent="0.2">
      <c r="Q39" s="11" t="s">
        <v>45</v>
      </c>
      <c r="R39" s="6">
        <v>34</v>
      </c>
      <c r="S39" s="6">
        <v>4.5773082707863608</v>
      </c>
      <c r="T39" s="6">
        <v>3.0258907104437256E-2</v>
      </c>
      <c r="U39" s="6">
        <v>3.0258907104437256E-2</v>
      </c>
      <c r="V39" s="6" t="e">
        <v>#N/A</v>
      </c>
      <c r="W39" s="6" t="str">
        <v/>
      </c>
      <c r="Y39" s="11" t="s">
        <v>49</v>
      </c>
      <c r="Z39" s="6">
        <v>34</v>
      </c>
      <c r="AA39" s="6">
        <v>0</v>
      </c>
      <c r="AB39" s="6">
        <v>6.3999999999999956E-5</v>
      </c>
      <c r="AC39" s="6">
        <v>6.3999999999999956E-5</v>
      </c>
      <c r="AD39" s="6" t="e">
        <v>#N/A</v>
      </c>
      <c r="AE39" s="6" t="e">
        <v>#N/A</v>
      </c>
      <c r="AF39" s="6" t="str">
        <v/>
      </c>
      <c r="AH39" s="11" t="s">
        <v>50</v>
      </c>
      <c r="AI39" s="6">
        <v>34</v>
      </c>
      <c r="AJ39" s="6">
        <v>1</v>
      </c>
      <c r="AK39" s="10">
        <v>0.27067056647322535</v>
      </c>
      <c r="AL39" s="10" t="e">
        <v>#N/A</v>
      </c>
      <c r="AM39" s="10">
        <v>0.27067056647322535</v>
      </c>
      <c r="AN39" s="10" t="e">
        <v>#N/A</v>
      </c>
      <c r="AO39" s="10" t="str">
        <v/>
      </c>
    </row>
    <row r="40" spans="1:45" x14ac:dyDescent="0.2">
      <c r="Q40" s="40" t="str">
        <f>ROUND(1-Q20,Q30+2)*100&amp;"%"</f>
        <v>20%</v>
      </c>
      <c r="R40" s="6">
        <v>35</v>
      </c>
      <c r="S40" s="6">
        <v>5.0737311312149238</v>
      </c>
      <c r="T40" s="6">
        <v>3.2003801822296514E-2</v>
      </c>
      <c r="U40" s="6">
        <v>3.2003801822296514E-2</v>
      </c>
      <c r="V40" s="6" t="e">
        <v>#N/A</v>
      </c>
      <c r="W40" s="6" t="str">
        <v/>
      </c>
      <c r="Y40" s="24">
        <f>ROUND((Y18-1)/2,0)*Y24+ROUND(0.5*(Y24+1),0)</f>
        <v>88</v>
      </c>
      <c r="Z40" s="6">
        <v>35</v>
      </c>
      <c r="AA40" s="6">
        <v>0</v>
      </c>
      <c r="AB40" s="6">
        <v>6.3999999999999956E-5</v>
      </c>
      <c r="AC40" s="6">
        <v>6.3999999999999956E-5</v>
      </c>
      <c r="AD40" s="6" t="e">
        <v>#N/A</v>
      </c>
      <c r="AE40" s="6" t="e">
        <v>#N/A</v>
      </c>
      <c r="AF40" s="6" t="str">
        <v/>
      </c>
      <c r="AH40" s="24">
        <f>AH18*AH24+ROUND(0.5*(AH24+1),0)</f>
        <v>31</v>
      </c>
      <c r="AI40" s="6">
        <v>35</v>
      </c>
      <c r="AJ40" s="6">
        <v>1</v>
      </c>
      <c r="AK40" s="10">
        <v>0.27067056647322535</v>
      </c>
      <c r="AL40" s="10" t="e">
        <v>#N/A</v>
      </c>
      <c r="AM40" s="10">
        <v>0.27067056647322535</v>
      </c>
      <c r="AN40" s="10" t="e">
        <v>#N/A</v>
      </c>
      <c r="AO40" s="10" t="str">
        <v/>
      </c>
    </row>
    <row r="41" spans="1:45" x14ac:dyDescent="0.2">
      <c r="Q41" s="11" t="s">
        <v>49</v>
      </c>
      <c r="R41" s="6">
        <v>36</v>
      </c>
      <c r="S41" s="6">
        <v>5.5701539916434903</v>
      </c>
      <c r="T41" s="6">
        <v>3.382846897602549E-2</v>
      </c>
      <c r="U41" s="6">
        <v>3.382846897602549E-2</v>
      </c>
      <c r="V41" s="6" t="e">
        <v>#N/A</v>
      </c>
      <c r="W41" s="6" t="str">
        <v/>
      </c>
      <c r="Y41" s="11" t="s">
        <v>50</v>
      </c>
      <c r="Z41" s="6">
        <v>36</v>
      </c>
      <c r="AA41" s="6" t="e">
        <v>#N/A</v>
      </c>
      <c r="AB41" s="6" t="e">
        <v>#N/A</v>
      </c>
      <c r="AC41" s="6" t="e">
        <v>#N/A</v>
      </c>
      <c r="AD41" s="6" t="e">
        <v>#N/A</v>
      </c>
      <c r="AE41" s="6" t="e">
        <v>#N/A</v>
      </c>
      <c r="AF41" s="6" t="str">
        <v/>
      </c>
      <c r="AH41" s="11" t="s">
        <v>73</v>
      </c>
      <c r="AI41" s="6">
        <v>36</v>
      </c>
      <c r="AJ41" s="6">
        <v>1</v>
      </c>
      <c r="AK41" s="10">
        <v>0.27067056647322535</v>
      </c>
      <c r="AL41" s="10" t="e">
        <v>#N/A</v>
      </c>
      <c r="AM41" s="10">
        <v>0.27067056647322535</v>
      </c>
      <c r="AN41" s="10" t="e">
        <v>#N/A</v>
      </c>
      <c r="AO41" s="10" t="str">
        <v/>
      </c>
    </row>
    <row r="42" spans="1:45" x14ac:dyDescent="0.2">
      <c r="Q42" s="24" cm="1">
        <f t="array" ref="Q42">MAX(1,ROUND((Q22-SUM(--ISNA(_xlfn.ANCHORARRAY(U6))))/2,0))</f>
        <v>80</v>
      </c>
      <c r="R42" s="6">
        <v>37</v>
      </c>
      <c r="S42" s="6">
        <v>6.0665768520720533</v>
      </c>
      <c r="T42" s="6">
        <v>3.573514502139017E-2</v>
      </c>
      <c r="U42" s="6">
        <v>3.573514502139017E-2</v>
      </c>
      <c r="V42" s="6" t="e">
        <v>#N/A</v>
      </c>
      <c r="W42" s="6" t="str">
        <v/>
      </c>
      <c r="Y42" s="24">
        <f>Y18*Y24+ROUND(0.5*(Y24+1),0)</f>
        <v>158</v>
      </c>
      <c r="Z42" s="6">
        <v>37</v>
      </c>
      <c r="AA42" s="6">
        <v>1</v>
      </c>
      <c r="AB42" s="6">
        <v>1.5359999999999961E-3</v>
      </c>
      <c r="AC42" s="6">
        <v>1.5359999999999961E-3</v>
      </c>
      <c r="AD42" s="6" t="e">
        <v>#N/A</v>
      </c>
      <c r="AE42" s="6" t="e">
        <v>#N/A</v>
      </c>
      <c r="AF42" s="6" t="str">
        <v/>
      </c>
      <c r="AH42" s="24">
        <f>ROUND(AH16-(AH16-AH18)/2,0)*AH24+ROUND(0.5*(AH24+1),0)</f>
        <v>131</v>
      </c>
      <c r="AI42" s="6">
        <v>37</v>
      </c>
      <c r="AJ42" s="6">
        <v>1</v>
      </c>
      <c r="AK42" s="10">
        <v>0.27067056647322535</v>
      </c>
      <c r="AL42" s="10" t="e">
        <v>#N/A</v>
      </c>
      <c r="AM42" s="10">
        <v>0.27067056647322535</v>
      </c>
      <c r="AN42" s="10" t="e">
        <v>#N/A</v>
      </c>
      <c r="AO42" s="10" t="str">
        <v/>
      </c>
    </row>
    <row r="43" spans="1:45" x14ac:dyDescent="0.2">
      <c r="Q43" s="11" t="s">
        <v>50</v>
      </c>
      <c r="R43" s="6">
        <v>38</v>
      </c>
      <c r="S43" s="6">
        <v>6.5629997125006163</v>
      </c>
      <c r="T43" s="6">
        <v>3.7726037400958284E-2</v>
      </c>
      <c r="U43" s="6">
        <v>3.7726037400958284E-2</v>
      </c>
      <c r="V43" s="6" t="e">
        <v>#N/A</v>
      </c>
      <c r="W43" s="6" t="str">
        <v/>
      </c>
      <c r="Y43" s="11" t="s">
        <v>73</v>
      </c>
      <c r="Z43" s="6">
        <v>38</v>
      </c>
      <c r="AA43" s="6">
        <v>1</v>
      </c>
      <c r="AB43" s="6">
        <v>1.5359999999999961E-3</v>
      </c>
      <c r="AC43" s="6">
        <v>1.5359999999999961E-3</v>
      </c>
      <c r="AD43" s="6" t="e">
        <v>#N/A</v>
      </c>
      <c r="AE43" s="6" t="e">
        <v>#N/A</v>
      </c>
      <c r="AF43" s="6" t="str">
        <v/>
      </c>
      <c r="AH43" s="11" t="s">
        <v>51</v>
      </c>
      <c r="AI43" s="6">
        <v>38</v>
      </c>
      <c r="AJ43" s="6">
        <v>1</v>
      </c>
      <c r="AK43" s="10">
        <v>0.27067056647322535</v>
      </c>
      <c r="AL43" s="10" t="e">
        <v>#N/A</v>
      </c>
      <c r="AM43" s="10">
        <v>0.27067056647322535</v>
      </c>
      <c r="AN43" s="10" t="e">
        <v>#N/A</v>
      </c>
      <c r="AO43" s="10" t="str">
        <v/>
      </c>
    </row>
    <row r="44" spans="1:45" x14ac:dyDescent="0.2">
      <c r="Q44" s="24" cm="1">
        <f t="array" ref="Q44">ROUND(Q22-SUM(--ISNA(_xlfn.ANCHORARRAY(U6)))/2,0)</f>
        <v>205</v>
      </c>
      <c r="R44" s="6">
        <v>39</v>
      </c>
      <c r="S44" s="6">
        <v>7.0594225729291828</v>
      </c>
      <c r="T44" s="6">
        <v>3.9803317319956046E-2</v>
      </c>
      <c r="U44" s="6">
        <v>3.9803317319956046E-2</v>
      </c>
      <c r="V44" s="6" t="e">
        <v>#N/A</v>
      </c>
      <c r="W44" s="6" t="str">
        <v/>
      </c>
      <c r="Y44" s="24">
        <f>ROUND(Y14-(Y14-Y18)/2,0)*Y24+ROUND(0.5*(Y24+1),0)</f>
        <v>193</v>
      </c>
      <c r="Z44" s="6">
        <v>39</v>
      </c>
      <c r="AA44" s="6">
        <v>1</v>
      </c>
      <c r="AB44" s="6">
        <v>1.5359999999999961E-3</v>
      </c>
      <c r="AC44" s="6">
        <v>1.5359999999999961E-3</v>
      </c>
      <c r="AD44" s="6" t="e">
        <v>#N/A</v>
      </c>
      <c r="AE44" s="6" t="e">
        <v>#N/A</v>
      </c>
      <c r="AF44" s="6" t="str">
        <v/>
      </c>
      <c r="AH44" s="24" cm="1">
        <f t="array" ref="AH44">INDEX(_xlfn.ANCHORARRAY(AK6),AH38)</f>
        <v>0.1353352832366127</v>
      </c>
      <c r="AI44" s="6">
        <v>39</v>
      </c>
      <c r="AJ44" s="6">
        <v>1</v>
      </c>
      <c r="AK44" s="10">
        <v>0.27067056647322535</v>
      </c>
      <c r="AL44" s="10" t="e">
        <v>#N/A</v>
      </c>
      <c r="AM44" s="10">
        <v>0.27067056647322535</v>
      </c>
      <c r="AN44" s="10" t="e">
        <v>#N/A</v>
      </c>
      <c r="AO44" s="10" t="str">
        <v/>
      </c>
    </row>
    <row r="45" spans="1:45" x14ac:dyDescent="0.2">
      <c r="Q45" s="11" t="s">
        <v>51</v>
      </c>
      <c r="R45" s="6">
        <v>40</v>
      </c>
      <c r="S45" s="6">
        <v>7.5558454333577458</v>
      </c>
      <c r="T45" s="6">
        <v>4.1969112232068333E-2</v>
      </c>
      <c r="U45" s="6">
        <v>4.1969112232068333E-2</v>
      </c>
      <c r="V45" s="6" t="e">
        <v>#N/A</v>
      </c>
      <c r="W45" s="6" t="str">
        <v/>
      </c>
      <c r="Y45" s="11" t="s">
        <v>51</v>
      </c>
      <c r="Z45" s="6">
        <v>40</v>
      </c>
      <c r="AA45" s="6">
        <v>1</v>
      </c>
      <c r="AB45" s="6">
        <v>1.5359999999999961E-3</v>
      </c>
      <c r="AC45" s="6">
        <v>1.5359999999999961E-3</v>
      </c>
      <c r="AD45" s="6" t="e">
        <v>#N/A</v>
      </c>
      <c r="AE45" s="6" t="e">
        <v>#N/A</v>
      </c>
      <c r="AF45" s="6" t="str">
        <v/>
      </c>
      <c r="AH45" s="11" t="s">
        <v>52</v>
      </c>
      <c r="AI45" s="6">
        <v>40</v>
      </c>
      <c r="AJ45" s="6">
        <v>1</v>
      </c>
      <c r="AK45" s="10">
        <v>0.27067056647322535</v>
      </c>
      <c r="AL45" s="10" t="e">
        <v>#N/A</v>
      </c>
      <c r="AM45" s="10">
        <v>0.27067056647322535</v>
      </c>
      <c r="AN45" s="10" t="e">
        <v>#N/A</v>
      </c>
      <c r="AO45" s="10" t="str">
        <v/>
      </c>
    </row>
    <row r="46" spans="1:45" x14ac:dyDescent="0.2">
      <c r="Q46" s="24" cm="1">
        <f t="array" ref="Q46">INDEX(_xlfn.ANCHORARRAY(T6),Q42)</f>
        <v>0.21083745345327712</v>
      </c>
      <c r="R46" s="6">
        <v>41</v>
      </c>
      <c r="S46" s="6">
        <v>8.0522682937863124</v>
      </c>
      <c r="T46" s="6">
        <v>4.4225498047551264E-2</v>
      </c>
      <c r="U46" s="6">
        <v>4.4225498047551264E-2</v>
      </c>
      <c r="V46" s="6" t="e">
        <v>#N/A</v>
      </c>
      <c r="W46" s="6" t="str">
        <v/>
      </c>
      <c r="Y46" s="24" cm="1">
        <f t="array" ref="Y46">INDEX(_xlfn.ANCHORARRAY(AB6),Y40)</f>
        <v>1.535999999999999E-2</v>
      </c>
      <c r="Z46" s="6">
        <v>41</v>
      </c>
      <c r="AA46" s="6">
        <v>1</v>
      </c>
      <c r="AB46" s="6">
        <v>1.5359999999999961E-3</v>
      </c>
      <c r="AC46" s="6">
        <v>1.5359999999999961E-3</v>
      </c>
      <c r="AD46" s="6" t="e">
        <v>#N/A</v>
      </c>
      <c r="AE46" s="6" t="e">
        <v>#N/A</v>
      </c>
      <c r="AF46" s="6" t="str">
        <v/>
      </c>
      <c r="AH46" s="24" cm="1">
        <f t="array" ref="AH46">INDEX(_xlfn.ANCHORARRAY(AK6),AH40)</f>
        <v>0.27067056647322535</v>
      </c>
      <c r="AI46" s="6">
        <v>41</v>
      </c>
      <c r="AJ46" s="6" t="e">
        <v>#N/A</v>
      </c>
      <c r="AK46" s="10" t="e">
        <v>#N/A</v>
      </c>
      <c r="AL46" s="10" t="e">
        <v>#N/A</v>
      </c>
      <c r="AM46" s="10" t="e">
        <v>#N/A</v>
      </c>
      <c r="AN46" s="10" t="e">
        <v>#N/A</v>
      </c>
      <c r="AO46" s="10" t="str">
        <v/>
      </c>
    </row>
    <row r="47" spans="1:45" x14ac:dyDescent="0.2">
      <c r="Q47" s="11" t="s">
        <v>52</v>
      </c>
      <c r="R47" s="6">
        <v>42</v>
      </c>
      <c r="S47" s="6">
        <v>8.5486911542148754</v>
      </c>
      <c r="T47" s="6">
        <v>4.6574491077940997E-2</v>
      </c>
      <c r="U47" s="6">
        <v>4.6574491077940997E-2</v>
      </c>
      <c r="V47" s="6" t="e">
        <v>#N/A</v>
      </c>
      <c r="W47" s="6" t="str">
        <v/>
      </c>
      <c r="Y47" s="11" t="s">
        <v>52</v>
      </c>
      <c r="Z47" s="6">
        <v>42</v>
      </c>
      <c r="AA47" s="6">
        <v>1</v>
      </c>
      <c r="AB47" s="6">
        <v>1.5359999999999961E-3</v>
      </c>
      <c r="AC47" s="6">
        <v>1.5359999999999961E-3</v>
      </c>
      <c r="AD47" s="6" t="e">
        <v>#N/A</v>
      </c>
      <c r="AE47" s="6" t="e">
        <v>#N/A</v>
      </c>
      <c r="AF47" s="6" t="str">
        <v/>
      </c>
      <c r="AH47" s="11" t="s">
        <v>74</v>
      </c>
      <c r="AI47" s="6">
        <v>42</v>
      </c>
      <c r="AJ47" s="6">
        <v>2</v>
      </c>
      <c r="AK47" s="10">
        <v>0.27067056647322546</v>
      </c>
      <c r="AL47" s="10" t="e">
        <v>#N/A</v>
      </c>
      <c r="AM47" s="10" t="e">
        <v>#N/A</v>
      </c>
      <c r="AN47" s="10">
        <v>0.27067056647322546</v>
      </c>
      <c r="AO47" s="10" t="str">
        <v/>
      </c>
    </row>
    <row r="48" spans="1:45" x14ac:dyDescent="0.2">
      <c r="Q48" s="24" cm="1">
        <f t="array" ref="Q48">INDEX(_xlfn.ANCHORARRAY(T6),Q44)</f>
        <v>5.6934304438421797E-2</v>
      </c>
      <c r="R48" s="6">
        <v>43</v>
      </c>
      <c r="S48" s="6">
        <v>9.0451140146434383</v>
      </c>
      <c r="T48" s="6">
        <v>4.9018039733589557E-2</v>
      </c>
      <c r="U48" s="6">
        <v>4.9018039733589557E-2</v>
      </c>
      <c r="V48" s="6" t="e">
        <v>#N/A</v>
      </c>
      <c r="W48" s="6" t="str">
        <v/>
      </c>
      <c r="Y48" s="24" cm="1">
        <f t="array" ref="Y48">INDEX(_xlfn.ANCHORARRAY(AB6),Y42)</f>
        <v>0.24575999999999998</v>
      </c>
      <c r="Z48" s="6">
        <v>43</v>
      </c>
      <c r="AA48" s="6">
        <v>1</v>
      </c>
      <c r="AB48" s="6">
        <v>1.5359999999999961E-3</v>
      </c>
      <c r="AC48" s="6">
        <v>1.5359999999999961E-3</v>
      </c>
      <c r="AD48" s="6" t="e">
        <v>#N/A</v>
      </c>
      <c r="AE48" s="6" t="e">
        <v>#N/A</v>
      </c>
      <c r="AF48" s="6" t="str">
        <v/>
      </c>
      <c r="AH48" s="24" cm="1">
        <f t="array" ref="AH48">INDEX(_xlfn.ANCHORARRAY(AK6),AH42)</f>
        <v>1.2029802954365572E-2</v>
      </c>
      <c r="AI48" s="6">
        <v>43</v>
      </c>
      <c r="AJ48" s="6">
        <v>2</v>
      </c>
      <c r="AK48" s="10">
        <v>0.27067056647322546</v>
      </c>
      <c r="AL48" s="10" t="e">
        <v>#N/A</v>
      </c>
      <c r="AM48" s="10" t="e">
        <v>#N/A</v>
      </c>
      <c r="AN48" s="10">
        <v>0.27067056647322546</v>
      </c>
      <c r="AO48" s="10" t="str">
        <v/>
      </c>
    </row>
    <row r="49" spans="18:41" x14ac:dyDescent="0.2">
      <c r="R49" s="6">
        <v>44</v>
      </c>
      <c r="S49" s="6">
        <v>9.5415368750720049</v>
      </c>
      <c r="T49" s="6">
        <v>5.1558015992230706E-2</v>
      </c>
      <c r="U49" s="6">
        <v>5.1558015992230706E-2</v>
      </c>
      <c r="V49" s="6" t="e">
        <v>#N/A</v>
      </c>
      <c r="W49" s="6" t="str">
        <v/>
      </c>
      <c r="Y49" s="11" t="s">
        <v>74</v>
      </c>
      <c r="Z49" s="6">
        <v>44</v>
      </c>
      <c r="AA49" s="6">
        <v>1</v>
      </c>
      <c r="AB49" s="6">
        <v>1.5359999999999961E-3</v>
      </c>
      <c r="AC49" s="6">
        <v>1.5359999999999961E-3</v>
      </c>
      <c r="AD49" s="6" t="e">
        <v>#N/A</v>
      </c>
      <c r="AE49" s="6" t="e">
        <v>#N/A</v>
      </c>
      <c r="AF49" s="6" t="str">
        <v/>
      </c>
      <c r="AI49" s="6">
        <v>44</v>
      </c>
      <c r="AJ49" s="6">
        <v>2</v>
      </c>
      <c r="AK49" s="10">
        <v>0.27067056647322546</v>
      </c>
      <c r="AL49" s="10" t="e">
        <v>#N/A</v>
      </c>
      <c r="AM49" s="10" t="e">
        <v>#N/A</v>
      </c>
      <c r="AN49" s="10">
        <v>0.27067056647322546</v>
      </c>
      <c r="AO49" s="10" t="str">
        <v/>
      </c>
    </row>
    <row r="50" spans="18:41" x14ac:dyDescent="0.2">
      <c r="R50" s="6">
        <v>45</v>
      </c>
      <c r="S50" s="6">
        <v>10.037959735500568</v>
      </c>
      <c r="T50" s="6">
        <v>5.4196206658762222E-2</v>
      </c>
      <c r="U50" s="6">
        <v>5.4196206658762222E-2</v>
      </c>
      <c r="V50" s="6" t="e">
        <v>#N/A</v>
      </c>
      <c r="W50" s="6" t="str">
        <v/>
      </c>
      <c r="Y50" s="24" cm="1">
        <f t="array" ref="Y50">INDEX(_xlfn.ANCHORARRAY(AB6),Y44)</f>
        <v>0.39321600000000007</v>
      </c>
      <c r="Z50" s="6">
        <v>45</v>
      </c>
      <c r="AA50" s="6">
        <v>1</v>
      </c>
      <c r="AB50" s="6">
        <v>1.5359999999999961E-3</v>
      </c>
      <c r="AC50" s="6">
        <v>1.5359999999999961E-3</v>
      </c>
      <c r="AD50" s="6" t="e">
        <v>#N/A</v>
      </c>
      <c r="AE50" s="6" t="e">
        <v>#N/A</v>
      </c>
      <c r="AF50" s="6" t="str">
        <v/>
      </c>
      <c r="AI50" s="6">
        <v>45</v>
      </c>
      <c r="AJ50" s="6">
        <v>2</v>
      </c>
      <c r="AK50" s="10">
        <v>0.27067056647322546</v>
      </c>
      <c r="AL50" s="10" t="e">
        <v>#N/A</v>
      </c>
      <c r="AM50" s="10" t="e">
        <v>#N/A</v>
      </c>
      <c r="AN50" s="10">
        <v>0.27067056647322546</v>
      </c>
      <c r="AO50" s="10" t="str">
        <v/>
      </c>
    </row>
    <row r="51" spans="18:41" x14ac:dyDescent="0.2">
      <c r="R51" s="6">
        <v>46</v>
      </c>
      <c r="S51" s="6">
        <v>10.534382595929131</v>
      </c>
      <c r="T51" s="6">
        <v>5.6934304438421797E-2</v>
      </c>
      <c r="U51" s="6">
        <v>5.6934304438421797E-2</v>
      </c>
      <c r="V51" s="6" t="e">
        <v>#N/A</v>
      </c>
      <c r="W51" s="6" t="str">
        <v/>
      </c>
      <c r="Z51" s="6">
        <v>46</v>
      </c>
      <c r="AA51" s="6">
        <v>1</v>
      </c>
      <c r="AB51" s="6">
        <v>1.5359999999999961E-3</v>
      </c>
      <c r="AC51" s="6">
        <v>1.5359999999999961E-3</v>
      </c>
      <c r="AD51" s="6" t="e">
        <v>#N/A</v>
      </c>
      <c r="AE51" s="6" t="e">
        <v>#N/A</v>
      </c>
      <c r="AF51" s="6" t="str">
        <v/>
      </c>
      <c r="AI51" s="6">
        <v>46</v>
      </c>
      <c r="AJ51" s="6">
        <v>2</v>
      </c>
      <c r="AK51" s="10">
        <v>0.27067056647322546</v>
      </c>
      <c r="AL51" s="10" t="e">
        <v>#N/A</v>
      </c>
      <c r="AM51" s="10" t="e">
        <v>#N/A</v>
      </c>
      <c r="AN51" s="10">
        <v>0.27067056647322546</v>
      </c>
      <c r="AO51" s="10" t="str">
        <v/>
      </c>
    </row>
    <row r="52" spans="18:41" x14ac:dyDescent="0.2">
      <c r="R52" s="6">
        <v>47</v>
      </c>
      <c r="S52" s="6">
        <v>11.030805456357697</v>
      </c>
      <c r="T52" s="6">
        <v>5.9773898847512365E-2</v>
      </c>
      <c r="U52" s="6">
        <v>5.9773898847512365E-2</v>
      </c>
      <c r="V52" s="6" t="e">
        <v>#N/A</v>
      </c>
      <c r="W52" s="6" t="str">
        <v/>
      </c>
      <c r="Z52" s="6">
        <v>47</v>
      </c>
      <c r="AA52" s="6">
        <v>1</v>
      </c>
      <c r="AB52" s="6">
        <v>1.5359999999999961E-3</v>
      </c>
      <c r="AC52" s="6">
        <v>1.5359999999999961E-3</v>
      </c>
      <c r="AD52" s="6" t="e">
        <v>#N/A</v>
      </c>
      <c r="AE52" s="6" t="e">
        <v>#N/A</v>
      </c>
      <c r="AF52" s="6" t="str">
        <v/>
      </c>
      <c r="AI52" s="6">
        <v>47</v>
      </c>
      <c r="AJ52" s="6">
        <v>2</v>
      </c>
      <c r="AK52" s="10">
        <v>0.27067056647322546</v>
      </c>
      <c r="AL52" s="10" t="e">
        <v>#N/A</v>
      </c>
      <c r="AM52" s="10" t="e">
        <v>#N/A</v>
      </c>
      <c r="AN52" s="10">
        <v>0.27067056647322546</v>
      </c>
      <c r="AO52" s="10" t="str">
        <v/>
      </c>
    </row>
    <row r="53" spans="18:41" x14ac:dyDescent="0.2">
      <c r="R53" s="6">
        <v>48</v>
      </c>
      <c r="S53" s="6">
        <v>11.52722831678626</v>
      </c>
      <c r="T53" s="6">
        <v>6.2716466987796121E-2</v>
      </c>
      <c r="U53" s="6">
        <v>6.2716466987796121E-2</v>
      </c>
      <c r="V53" s="6" t="e">
        <v>#N/A</v>
      </c>
      <c r="W53" s="6" t="str">
        <v/>
      </c>
      <c r="Z53" s="6">
        <v>48</v>
      </c>
      <c r="AA53" s="6">
        <v>1</v>
      </c>
      <c r="AB53" s="6">
        <v>1.5359999999999961E-3</v>
      </c>
      <c r="AC53" s="6">
        <v>1.5359999999999961E-3</v>
      </c>
      <c r="AD53" s="6" t="e">
        <v>#N/A</v>
      </c>
      <c r="AE53" s="6" t="e">
        <v>#N/A</v>
      </c>
      <c r="AF53" s="6" t="str">
        <v/>
      </c>
      <c r="AI53" s="6">
        <v>48</v>
      </c>
      <c r="AJ53" s="6">
        <v>2</v>
      </c>
      <c r="AK53" s="10">
        <v>0.27067056647322546</v>
      </c>
      <c r="AL53" s="10" t="e">
        <v>#N/A</v>
      </c>
      <c r="AM53" s="10" t="e">
        <v>#N/A</v>
      </c>
      <c r="AN53" s="10">
        <v>0.27067056647322546</v>
      </c>
      <c r="AO53" s="10" t="str">
        <v/>
      </c>
    </row>
    <row r="54" spans="18:41" x14ac:dyDescent="0.2">
      <c r="R54" s="6">
        <v>49</v>
      </c>
      <c r="S54" s="6">
        <v>12.023651177214827</v>
      </c>
      <c r="T54" s="6">
        <v>6.5763364212604189E-2</v>
      </c>
      <c r="U54" s="6">
        <v>6.5763364212604189E-2</v>
      </c>
      <c r="V54" s="6" t="e">
        <v>#N/A</v>
      </c>
      <c r="W54" s="6" t="str">
        <v/>
      </c>
      <c r="Z54" s="6">
        <v>49</v>
      </c>
      <c r="AA54" s="6">
        <v>1</v>
      </c>
      <c r="AB54" s="6">
        <v>1.5359999999999961E-3</v>
      </c>
      <c r="AC54" s="6">
        <v>1.5359999999999961E-3</v>
      </c>
      <c r="AD54" s="6" t="e">
        <v>#N/A</v>
      </c>
      <c r="AE54" s="6" t="e">
        <v>#N/A</v>
      </c>
      <c r="AF54" s="6" t="str">
        <v/>
      </c>
      <c r="AI54" s="6">
        <v>49</v>
      </c>
      <c r="AJ54" s="6">
        <v>2</v>
      </c>
      <c r="AK54" s="10">
        <v>0.27067056647322546</v>
      </c>
      <c r="AL54" s="10" t="e">
        <v>#N/A</v>
      </c>
      <c r="AM54" s="10" t="e">
        <v>#N/A</v>
      </c>
      <c r="AN54" s="10">
        <v>0.27067056647322546</v>
      </c>
      <c r="AO54" s="10" t="str">
        <v/>
      </c>
    </row>
    <row r="55" spans="18:41" x14ac:dyDescent="0.2">
      <c r="R55" s="6">
        <v>50</v>
      </c>
      <c r="S55" s="6">
        <v>12.52007403764339</v>
      </c>
      <c r="T55" s="6">
        <v>6.8915814714596207E-2</v>
      </c>
      <c r="U55" s="6">
        <v>6.8915814714596207E-2</v>
      </c>
      <c r="V55" s="6" t="e">
        <v>#N/A</v>
      </c>
      <c r="W55" s="6" t="str">
        <v/>
      </c>
      <c r="Z55" s="6">
        <v>50</v>
      </c>
      <c r="AA55" s="6">
        <v>1</v>
      </c>
      <c r="AB55" s="6">
        <v>1.5359999999999961E-3</v>
      </c>
      <c r="AC55" s="6">
        <v>1.5359999999999961E-3</v>
      </c>
      <c r="AD55" s="6" t="e">
        <v>#N/A</v>
      </c>
      <c r="AE55" s="6" t="e">
        <v>#N/A</v>
      </c>
      <c r="AF55" s="6" t="str">
        <v/>
      </c>
      <c r="AI55" s="6">
        <v>50</v>
      </c>
      <c r="AJ55" s="6">
        <v>2</v>
      </c>
      <c r="AK55" s="10">
        <v>0.27067056647322546</v>
      </c>
      <c r="AL55" s="10" t="e">
        <v>#N/A</v>
      </c>
      <c r="AM55" s="10" t="e">
        <v>#N/A</v>
      </c>
      <c r="AN55" s="10">
        <v>0.27067056647322546</v>
      </c>
      <c r="AO55" s="10" t="str">
        <v/>
      </c>
    </row>
    <row r="56" spans="18:41" x14ac:dyDescent="0.2">
      <c r="R56" s="6">
        <v>51</v>
      </c>
      <c r="S56" s="6">
        <v>13.016496898071953</v>
      </c>
      <c r="T56" s="6">
        <v>7.2174902066932223E-2</v>
      </c>
      <c r="U56" s="6">
        <v>7.2174902066932223E-2</v>
      </c>
      <c r="V56" s="6" t="e">
        <v>#N/A</v>
      </c>
      <c r="W56" s="6">
        <v>13.02</v>
      </c>
      <c r="Z56" s="6">
        <v>51</v>
      </c>
      <c r="AA56" s="6">
        <v>1</v>
      </c>
      <c r="AB56" s="6">
        <v>1.5359999999999961E-3</v>
      </c>
      <c r="AC56" s="6">
        <v>1.5359999999999961E-3</v>
      </c>
      <c r="AD56" s="6" t="e">
        <v>#N/A</v>
      </c>
      <c r="AE56" s="6" t="e">
        <v>#N/A</v>
      </c>
      <c r="AF56" s="6" t="str">
        <v/>
      </c>
      <c r="AI56" s="6">
        <v>51</v>
      </c>
      <c r="AJ56" s="6">
        <v>2</v>
      </c>
      <c r="AK56" s="10">
        <v>0.27067056647322546</v>
      </c>
      <c r="AL56" s="10" t="e">
        <v>#N/A</v>
      </c>
      <c r="AM56" s="10" t="e">
        <v>#N/A</v>
      </c>
      <c r="AN56" s="10">
        <v>0.27067056647322546</v>
      </c>
      <c r="AO56" s="10">
        <v>2</v>
      </c>
    </row>
    <row r="57" spans="18:41" x14ac:dyDescent="0.2">
      <c r="R57" s="6">
        <v>52</v>
      </c>
      <c r="S57" s="6">
        <v>13.512919758500519</v>
      </c>
      <c r="T57" s="6">
        <v>7.5541559751377427E-2</v>
      </c>
      <c r="U57" s="6">
        <v>7.5541559751377427E-2</v>
      </c>
      <c r="V57" s="6" t="e">
        <v>#N/A</v>
      </c>
      <c r="W57" s="6" t="str">
        <v/>
      </c>
      <c r="Z57" s="6">
        <v>52</v>
      </c>
      <c r="AA57" s="6">
        <v>1</v>
      </c>
      <c r="AB57" s="6">
        <v>1.5359999999999961E-3</v>
      </c>
      <c r="AC57" s="6">
        <v>1.5359999999999961E-3</v>
      </c>
      <c r="AD57" s="6" t="e">
        <v>#N/A</v>
      </c>
      <c r="AE57" s="6" t="e">
        <v>#N/A</v>
      </c>
      <c r="AF57" s="6" t="str">
        <v/>
      </c>
      <c r="AI57" s="6">
        <v>52</v>
      </c>
      <c r="AJ57" s="6">
        <v>2</v>
      </c>
      <c r="AK57" s="10">
        <v>0.27067056647322546</v>
      </c>
      <c r="AL57" s="10" t="e">
        <v>#N/A</v>
      </c>
      <c r="AM57" s="10" t="e">
        <v>#N/A</v>
      </c>
      <c r="AN57" s="10">
        <v>0.27067056647322546</v>
      </c>
      <c r="AO57" s="10" t="str">
        <v/>
      </c>
    </row>
    <row r="58" spans="18:41" x14ac:dyDescent="0.2">
      <c r="R58" s="6">
        <v>53</v>
      </c>
      <c r="S58" s="6">
        <v>14.009342618929082</v>
      </c>
      <c r="T58" s="6">
        <v>7.9016561708534841E-2</v>
      </c>
      <c r="U58" s="6">
        <v>7.9016561708534841E-2</v>
      </c>
      <c r="V58" s="6" t="e">
        <v>#N/A</v>
      </c>
      <c r="W58" s="6" t="str">
        <v/>
      </c>
      <c r="Z58" s="6">
        <v>53</v>
      </c>
      <c r="AA58" s="6">
        <v>1</v>
      </c>
      <c r="AB58" s="6">
        <v>1.5359999999999961E-3</v>
      </c>
      <c r="AC58" s="6">
        <v>1.5359999999999961E-3</v>
      </c>
      <c r="AD58" s="6" t="e">
        <v>#N/A</v>
      </c>
      <c r="AE58" s="6" t="e">
        <v>#N/A</v>
      </c>
      <c r="AF58" s="6" t="str">
        <v/>
      </c>
      <c r="AI58" s="6">
        <v>53</v>
      </c>
      <c r="AJ58" s="6">
        <v>2</v>
      </c>
      <c r="AK58" s="10">
        <v>0.27067056647322546</v>
      </c>
      <c r="AL58" s="10" t="e">
        <v>#N/A</v>
      </c>
      <c r="AM58" s="10" t="e">
        <v>#N/A</v>
      </c>
      <c r="AN58" s="10">
        <v>0.27067056647322546</v>
      </c>
      <c r="AO58" s="10" t="str">
        <v/>
      </c>
    </row>
    <row r="59" spans="18:41" x14ac:dyDescent="0.2">
      <c r="R59" s="6">
        <v>54</v>
      </c>
      <c r="S59" s="6">
        <v>14.505765479357649</v>
      </c>
      <c r="T59" s="6">
        <v>8.2600512946980065E-2</v>
      </c>
      <c r="U59" s="6">
        <v>8.2600512946980065E-2</v>
      </c>
      <c r="V59" s="6" t="e">
        <v>#N/A</v>
      </c>
      <c r="W59" s="6" t="str">
        <v/>
      </c>
      <c r="Z59" s="6">
        <v>54</v>
      </c>
      <c r="AA59" s="6">
        <v>1</v>
      </c>
      <c r="AB59" s="6">
        <v>1.5359999999999961E-3</v>
      </c>
      <c r="AC59" s="6">
        <v>1.5359999999999961E-3</v>
      </c>
      <c r="AD59" s="6" t="e">
        <v>#N/A</v>
      </c>
      <c r="AE59" s="6" t="e">
        <v>#N/A</v>
      </c>
      <c r="AF59" s="6">
        <v>1</v>
      </c>
      <c r="AI59" s="6">
        <v>54</v>
      </c>
      <c r="AJ59" s="6">
        <v>2</v>
      </c>
      <c r="AK59" s="10">
        <v>0.27067056647322546</v>
      </c>
      <c r="AL59" s="10" t="e">
        <v>#N/A</v>
      </c>
      <c r="AM59" s="10" t="e">
        <v>#N/A</v>
      </c>
      <c r="AN59" s="10">
        <v>0.27067056647322546</v>
      </c>
      <c r="AO59" s="10" t="str">
        <v/>
      </c>
    </row>
    <row r="60" spans="18:41" x14ac:dyDescent="0.2">
      <c r="R60" s="6">
        <v>55</v>
      </c>
      <c r="S60" s="6">
        <v>15.002188339786212</v>
      </c>
      <c r="T60" s="6">
        <v>8.6293840249536694E-2</v>
      </c>
      <c r="U60" s="6">
        <v>8.6293840249536694E-2</v>
      </c>
      <c r="V60" s="6" t="e">
        <v>#N/A</v>
      </c>
      <c r="W60" s="6" t="str">
        <v/>
      </c>
      <c r="Z60" s="6">
        <v>55</v>
      </c>
      <c r="AA60" s="6">
        <v>1</v>
      </c>
      <c r="AB60" s="6">
        <v>1.5359999999999961E-3</v>
      </c>
      <c r="AC60" s="6">
        <v>1.5359999999999961E-3</v>
      </c>
      <c r="AD60" s="6" t="e">
        <v>#N/A</v>
      </c>
      <c r="AE60" s="6" t="e">
        <v>#N/A</v>
      </c>
      <c r="AF60" s="6" t="str">
        <v/>
      </c>
      <c r="AI60" s="6">
        <v>55</v>
      </c>
      <c r="AJ60" s="6">
        <v>2</v>
      </c>
      <c r="AK60" s="10">
        <v>0.27067056647322546</v>
      </c>
      <c r="AL60" s="10" t="e">
        <v>#N/A</v>
      </c>
      <c r="AM60" s="10" t="e">
        <v>#N/A</v>
      </c>
      <c r="AN60" s="10">
        <v>0.27067056647322546</v>
      </c>
      <c r="AO60" s="10" t="str">
        <v/>
      </c>
    </row>
    <row r="61" spans="18:41" x14ac:dyDescent="0.2">
      <c r="R61" s="6">
        <v>56</v>
      </c>
      <c r="S61" s="6">
        <v>15.498611200214775</v>
      </c>
      <c r="T61" s="6">
        <v>9.0096783016275647E-2</v>
      </c>
      <c r="U61" s="6">
        <v>9.0096783016275647E-2</v>
      </c>
      <c r="V61" s="6" t="e">
        <v>#N/A</v>
      </c>
      <c r="W61" s="6" t="str">
        <v/>
      </c>
      <c r="Z61" s="6">
        <v>56</v>
      </c>
      <c r="AA61" s="6">
        <v>1</v>
      </c>
      <c r="AB61" s="6">
        <v>1.5359999999999961E-3</v>
      </c>
      <c r="AC61" s="6">
        <v>1.5359999999999961E-3</v>
      </c>
      <c r="AD61" s="6" t="e">
        <v>#N/A</v>
      </c>
      <c r="AE61" s="6" t="e">
        <v>#N/A</v>
      </c>
      <c r="AF61" s="6" t="str">
        <v/>
      </c>
      <c r="AI61" s="6">
        <v>56</v>
      </c>
      <c r="AJ61" s="6">
        <v>2</v>
      </c>
      <c r="AK61" s="10">
        <v>0.27067056647322546</v>
      </c>
      <c r="AL61" s="10" t="e">
        <v>#N/A</v>
      </c>
      <c r="AM61" s="10" t="e">
        <v>#N/A</v>
      </c>
      <c r="AN61" s="10">
        <v>0.27067056647322546</v>
      </c>
      <c r="AO61" s="10" t="str">
        <v/>
      </c>
    </row>
    <row r="62" spans="18:41" x14ac:dyDescent="0.2">
      <c r="R62" s="6">
        <v>57</v>
      </c>
      <c r="S62" s="6">
        <v>15.995034060643341</v>
      </c>
      <c r="T62" s="6">
        <v>9.4009384285025158E-2</v>
      </c>
      <c r="U62" s="6">
        <v>9.4009384285025158E-2</v>
      </c>
      <c r="V62" s="6" t="e">
        <v>#N/A</v>
      </c>
      <c r="W62" s="6" t="str">
        <v/>
      </c>
      <c r="Z62" s="6">
        <v>57</v>
      </c>
      <c r="AA62" s="6">
        <v>1</v>
      </c>
      <c r="AB62" s="6">
        <v>1.5359999999999961E-3</v>
      </c>
      <c r="AC62" s="6">
        <v>1.5359999999999961E-3</v>
      </c>
      <c r="AD62" s="6" t="e">
        <v>#N/A</v>
      </c>
      <c r="AE62" s="6" t="e">
        <v>#N/A</v>
      </c>
      <c r="AF62" s="6" t="str">
        <v/>
      </c>
      <c r="AI62" s="6">
        <v>57</v>
      </c>
      <c r="AJ62" s="6">
        <v>2</v>
      </c>
      <c r="AK62" s="10">
        <v>0.27067056647322546</v>
      </c>
      <c r="AL62" s="10" t="e">
        <v>#N/A</v>
      </c>
      <c r="AM62" s="10" t="e">
        <v>#N/A</v>
      </c>
      <c r="AN62" s="10">
        <v>0.27067056647322546</v>
      </c>
      <c r="AO62" s="10" t="str">
        <v/>
      </c>
    </row>
    <row r="63" spans="18:41" x14ac:dyDescent="0.2">
      <c r="R63" s="6">
        <v>58</v>
      </c>
      <c r="S63" s="6">
        <v>16.491456921071904</v>
      </c>
      <c r="T63" s="6">
        <v>9.8031481971232889E-2</v>
      </c>
      <c r="U63" s="6">
        <v>9.8031481971232889E-2</v>
      </c>
      <c r="V63" s="6" t="e">
        <v>#N/A</v>
      </c>
      <c r="W63" s="6" t="str">
        <v/>
      </c>
      <c r="Z63" s="6">
        <v>58</v>
      </c>
      <c r="AA63" s="6">
        <v>1</v>
      </c>
      <c r="AB63" s="6">
        <v>1.5359999999999961E-3</v>
      </c>
      <c r="AC63" s="6">
        <v>1.5359999999999961E-3</v>
      </c>
      <c r="AD63" s="6" t="e">
        <v>#N/A</v>
      </c>
      <c r="AE63" s="6" t="e">
        <v>#N/A</v>
      </c>
      <c r="AF63" s="6" t="str">
        <v/>
      </c>
      <c r="AI63" s="6">
        <v>58</v>
      </c>
      <c r="AJ63" s="6">
        <v>2</v>
      </c>
      <c r="AK63" s="10">
        <v>0.27067056647322546</v>
      </c>
      <c r="AL63" s="10" t="e">
        <v>#N/A</v>
      </c>
      <c r="AM63" s="10" t="e">
        <v>#N/A</v>
      </c>
      <c r="AN63" s="10">
        <v>0.27067056647322546</v>
      </c>
      <c r="AO63" s="10" t="str">
        <v/>
      </c>
    </row>
    <row r="64" spans="18:41" x14ac:dyDescent="0.2">
      <c r="R64" s="6">
        <v>59</v>
      </c>
      <c r="S64" s="6">
        <v>16.987879781500471</v>
      </c>
      <c r="T64" s="6">
        <v>0.10216270036991239</v>
      </c>
      <c r="U64" s="6">
        <v>0.10216270036991239</v>
      </c>
      <c r="V64" s="6" t="e">
        <v>#N/A</v>
      </c>
      <c r="W64" s="6" t="str">
        <v/>
      </c>
      <c r="Z64" s="6">
        <v>59</v>
      </c>
      <c r="AA64" s="6">
        <v>1</v>
      </c>
      <c r="AB64" s="6">
        <v>1.5359999999999961E-3</v>
      </c>
      <c r="AC64" s="6">
        <v>1.5359999999999961E-3</v>
      </c>
      <c r="AD64" s="6" t="e">
        <v>#N/A</v>
      </c>
      <c r="AE64" s="6" t="e">
        <v>#N/A</v>
      </c>
      <c r="AF64" s="6" t="str">
        <v/>
      </c>
      <c r="AI64" s="6">
        <v>59</v>
      </c>
      <c r="AJ64" s="6">
        <v>2</v>
      </c>
      <c r="AK64" s="10">
        <v>0.27067056647322546</v>
      </c>
      <c r="AL64" s="10" t="e">
        <v>#N/A</v>
      </c>
      <c r="AM64" s="10" t="e">
        <v>#N/A</v>
      </c>
      <c r="AN64" s="10">
        <v>0.27067056647322546</v>
      </c>
      <c r="AO64" s="10" t="str">
        <v/>
      </c>
    </row>
    <row r="65" spans="18:41" x14ac:dyDescent="0.2">
      <c r="R65" s="6">
        <v>60</v>
      </c>
      <c r="S65" s="6">
        <v>17.484302641929034</v>
      </c>
      <c r="T65" s="6">
        <v>0.10640244196312039</v>
      </c>
      <c r="U65" s="6">
        <v>0.10640244196312039</v>
      </c>
      <c r="V65" s="6" t="e">
        <v>#N/A</v>
      </c>
      <c r="W65" s="6" t="str">
        <v/>
      </c>
      <c r="Z65" s="6">
        <v>60</v>
      </c>
      <c r="AA65" s="6">
        <v>1</v>
      </c>
      <c r="AB65" s="6">
        <v>1.5359999999999961E-3</v>
      </c>
      <c r="AC65" s="6">
        <v>1.5359999999999961E-3</v>
      </c>
      <c r="AD65" s="6" t="e">
        <v>#N/A</v>
      </c>
      <c r="AE65" s="6" t="e">
        <v>#N/A</v>
      </c>
      <c r="AF65" s="6" t="str">
        <v/>
      </c>
      <c r="AI65" s="6">
        <v>60</v>
      </c>
      <c r="AJ65" s="6">
        <v>2</v>
      </c>
      <c r="AK65" s="10">
        <v>0.27067056647322546</v>
      </c>
      <c r="AL65" s="10" t="e">
        <v>#N/A</v>
      </c>
      <c r="AM65" s="10" t="e">
        <v>#N/A</v>
      </c>
      <c r="AN65" s="10">
        <v>0.27067056647322546</v>
      </c>
      <c r="AO65" s="10" t="str">
        <v/>
      </c>
    </row>
    <row r="66" spans="18:41" x14ac:dyDescent="0.2">
      <c r="R66" s="6">
        <v>61</v>
      </c>
      <c r="S66" s="6">
        <v>17.980725502357597</v>
      </c>
      <c r="T66" s="6">
        <v>0.11074987957693934</v>
      </c>
      <c r="U66" s="6">
        <v>0.11074987957693934</v>
      </c>
      <c r="V66" s="6" t="e">
        <v>#N/A</v>
      </c>
      <c r="W66" s="6" t="str">
        <v/>
      </c>
      <c r="Z66" s="6">
        <v>61</v>
      </c>
      <c r="AA66" s="6">
        <v>1</v>
      </c>
      <c r="AB66" s="6">
        <v>1.5359999999999961E-3</v>
      </c>
      <c r="AC66" s="6">
        <v>1.5359999999999961E-3</v>
      </c>
      <c r="AD66" s="6" t="e">
        <v>#N/A</v>
      </c>
      <c r="AE66" s="6" t="e">
        <v>#N/A</v>
      </c>
      <c r="AF66" s="6" t="str">
        <v/>
      </c>
      <c r="AI66" s="6">
        <v>61</v>
      </c>
      <c r="AJ66" s="6" t="e">
        <v>#N/A</v>
      </c>
      <c r="AK66" s="10" t="e">
        <v>#N/A</v>
      </c>
      <c r="AL66" s="10" t="e">
        <v>#N/A</v>
      </c>
      <c r="AM66" s="10" t="e">
        <v>#N/A</v>
      </c>
      <c r="AN66" s="10" t="e">
        <v>#N/A</v>
      </c>
      <c r="AO66" s="10" t="str">
        <v/>
      </c>
    </row>
    <row r="67" spans="18:41" x14ac:dyDescent="0.2">
      <c r="R67" s="6">
        <v>62</v>
      </c>
      <c r="S67" s="6">
        <v>18.477148362786163</v>
      </c>
      <c r="T67" s="6">
        <v>0.11520394893226815</v>
      </c>
      <c r="U67" s="6">
        <v>0.11520394893226815</v>
      </c>
      <c r="V67" s="6" t="e">
        <v>#N/A</v>
      </c>
      <c r="W67" s="6" t="str">
        <v/>
      </c>
      <c r="Z67" s="6">
        <v>62</v>
      </c>
      <c r="AA67" s="6">
        <v>1</v>
      </c>
      <c r="AB67" s="6">
        <v>1.5359999999999961E-3</v>
      </c>
      <c r="AC67" s="6">
        <v>1.5359999999999961E-3</v>
      </c>
      <c r="AD67" s="6" t="e">
        <v>#N/A</v>
      </c>
      <c r="AE67" s="6" t="e">
        <v>#N/A</v>
      </c>
      <c r="AF67" s="6" t="str">
        <v/>
      </c>
      <c r="AI67" s="6">
        <v>62</v>
      </c>
      <c r="AJ67" s="6">
        <v>3</v>
      </c>
      <c r="AK67" s="10">
        <v>0.18044704431548364</v>
      </c>
      <c r="AL67" s="10" t="e">
        <v>#N/A</v>
      </c>
      <c r="AM67" s="10" t="e">
        <v>#N/A</v>
      </c>
      <c r="AN67" s="10">
        <v>0.18044704431548364</v>
      </c>
      <c r="AO67" s="10" t="str">
        <v/>
      </c>
    </row>
    <row r="68" spans="18:41" x14ac:dyDescent="0.2">
      <c r="R68" s="6">
        <v>63</v>
      </c>
      <c r="S68" s="6">
        <v>18.973571223214726</v>
      </c>
      <c r="T68" s="6">
        <v>0.1197633416338435</v>
      </c>
      <c r="U68" s="6">
        <v>0.1197633416338435</v>
      </c>
      <c r="V68" s="6" t="e">
        <v>#N/A</v>
      </c>
      <c r="W68" s="6" t="str">
        <v/>
      </c>
      <c r="Z68" s="6">
        <v>63</v>
      </c>
      <c r="AA68" s="6">
        <v>1</v>
      </c>
      <c r="AB68" s="6">
        <v>1.5359999999999961E-3</v>
      </c>
      <c r="AC68" s="6">
        <v>1.5359999999999961E-3</v>
      </c>
      <c r="AD68" s="6" t="e">
        <v>#N/A</v>
      </c>
      <c r="AE68" s="6" t="e">
        <v>#N/A</v>
      </c>
      <c r="AF68" s="6" t="str">
        <v/>
      </c>
      <c r="AI68" s="6">
        <v>63</v>
      </c>
      <c r="AJ68" s="6">
        <v>3</v>
      </c>
      <c r="AK68" s="10">
        <v>0.18044704431548364</v>
      </c>
      <c r="AL68" s="10" t="e">
        <v>#N/A</v>
      </c>
      <c r="AM68" s="10" t="e">
        <v>#N/A</v>
      </c>
      <c r="AN68" s="10">
        <v>0.18044704431548364</v>
      </c>
      <c r="AO68" s="10" t="str">
        <v/>
      </c>
    </row>
    <row r="69" spans="18:41" x14ac:dyDescent="0.2">
      <c r="R69" s="6">
        <v>64</v>
      </c>
      <c r="S69" s="6">
        <v>19.469994083643289</v>
      </c>
      <c r="T69" s="6">
        <v>0.12442649864181629</v>
      </c>
      <c r="U69" s="6">
        <v>0.12442649864181629</v>
      </c>
      <c r="V69" s="6" t="e">
        <v>#N/A</v>
      </c>
      <c r="W69" s="6" t="str">
        <v/>
      </c>
      <c r="Z69" s="6">
        <v>64</v>
      </c>
      <c r="AA69" s="6">
        <v>1</v>
      </c>
      <c r="AB69" s="6">
        <v>1.5359999999999961E-3</v>
      </c>
      <c r="AC69" s="6">
        <v>1.5359999999999961E-3</v>
      </c>
      <c r="AD69" s="6" t="e">
        <v>#N/A</v>
      </c>
      <c r="AE69" s="6" t="e">
        <v>#N/A</v>
      </c>
      <c r="AF69" s="6" t="str">
        <v/>
      </c>
      <c r="AI69" s="6">
        <v>64</v>
      </c>
      <c r="AJ69" s="6">
        <v>3</v>
      </c>
      <c r="AK69" s="10">
        <v>0.18044704431548364</v>
      </c>
      <c r="AL69" s="10" t="e">
        <v>#N/A</v>
      </c>
      <c r="AM69" s="10" t="e">
        <v>#N/A</v>
      </c>
      <c r="AN69" s="10">
        <v>0.18044704431548364</v>
      </c>
      <c r="AO69" s="10" t="str">
        <v/>
      </c>
    </row>
    <row r="70" spans="18:41" x14ac:dyDescent="0.2">
      <c r="R70" s="6">
        <v>65</v>
      </c>
      <c r="S70" s="6">
        <v>19.966416944071852</v>
      </c>
      <c r="T70" s="6">
        <v>0.12919160426988183</v>
      </c>
      <c r="U70" s="6">
        <v>0.12919160426988183</v>
      </c>
      <c r="V70" s="6" t="e">
        <v>#N/A</v>
      </c>
      <c r="W70" s="6" t="str">
        <v/>
      </c>
      <c r="Z70" s="6">
        <v>65</v>
      </c>
      <c r="AA70" s="6">
        <v>1</v>
      </c>
      <c r="AB70" s="6">
        <v>1.5359999999999961E-3</v>
      </c>
      <c r="AC70" s="6">
        <v>1.5359999999999961E-3</v>
      </c>
      <c r="AD70" s="6" t="e">
        <v>#N/A</v>
      </c>
      <c r="AE70" s="6" t="e">
        <v>#N/A</v>
      </c>
      <c r="AF70" s="6" t="str">
        <v/>
      </c>
      <c r="AI70" s="6">
        <v>65</v>
      </c>
      <c r="AJ70" s="6">
        <v>3</v>
      </c>
      <c r="AK70" s="10">
        <v>0.18044704431548364</v>
      </c>
      <c r="AL70" s="10" t="e">
        <v>#N/A</v>
      </c>
      <c r="AM70" s="10" t="e">
        <v>#N/A</v>
      </c>
      <c r="AN70" s="10">
        <v>0.18044704431548364</v>
      </c>
      <c r="AO70" s="10" t="str">
        <v/>
      </c>
    </row>
    <row r="71" spans="18:41" x14ac:dyDescent="0.2">
      <c r="R71" s="6">
        <v>66</v>
      </c>
      <c r="S71" s="6">
        <v>20.462839804500426</v>
      </c>
      <c r="T71" s="6">
        <v>0.13405658075340429</v>
      </c>
      <c r="U71" s="6">
        <v>0.13405658075340429</v>
      </c>
      <c r="V71" s="6" t="e">
        <v>#N/A</v>
      </c>
      <c r="W71" s="6" t="str">
        <v/>
      </c>
      <c r="Z71" s="6">
        <v>66</v>
      </c>
      <c r="AA71" s="6">
        <v>1</v>
      </c>
      <c r="AB71" s="6">
        <v>1.5359999999999961E-3</v>
      </c>
      <c r="AC71" s="6">
        <v>1.5359999999999961E-3</v>
      </c>
      <c r="AD71" s="6" t="e">
        <v>#N/A</v>
      </c>
      <c r="AE71" s="6" t="e">
        <v>#N/A</v>
      </c>
      <c r="AF71" s="6" t="str">
        <v/>
      </c>
      <c r="AI71" s="6">
        <v>66</v>
      </c>
      <c r="AJ71" s="6">
        <v>3</v>
      </c>
      <c r="AK71" s="10">
        <v>0.18044704431548364</v>
      </c>
      <c r="AL71" s="10" t="e">
        <v>#N/A</v>
      </c>
      <c r="AM71" s="10" t="e">
        <v>#N/A</v>
      </c>
      <c r="AN71" s="10">
        <v>0.18044704431548364</v>
      </c>
      <c r="AO71" s="10" t="str">
        <v/>
      </c>
    </row>
    <row r="72" spans="18:41" x14ac:dyDescent="0.2">
      <c r="R72" s="6">
        <v>67</v>
      </c>
      <c r="S72" s="6">
        <v>20.959262664928985</v>
      </c>
      <c r="T72" s="6">
        <v>0.13901908343017472</v>
      </c>
      <c r="U72" s="6">
        <v>0.13901908343017472</v>
      </c>
      <c r="V72" s="6" t="e">
        <v>#N/A</v>
      </c>
      <c r="W72" s="6" t="str">
        <v/>
      </c>
      <c r="Z72" s="6">
        <v>67</v>
      </c>
      <c r="AA72" s="6">
        <v>1</v>
      </c>
      <c r="AB72" s="6">
        <v>1.5359999999999961E-3</v>
      </c>
      <c r="AC72" s="6">
        <v>1.5359999999999961E-3</v>
      </c>
      <c r="AD72" s="6" t="e">
        <v>#N/A</v>
      </c>
      <c r="AE72" s="6" t="e">
        <v>#N/A</v>
      </c>
      <c r="AF72" s="6" t="str">
        <v/>
      </c>
      <c r="AI72" s="6">
        <v>67</v>
      </c>
      <c r="AJ72" s="6">
        <v>3</v>
      </c>
      <c r="AK72" s="10">
        <v>0.18044704431548364</v>
      </c>
      <c r="AL72" s="10" t="e">
        <v>#N/A</v>
      </c>
      <c r="AM72" s="10" t="e">
        <v>#N/A</v>
      </c>
      <c r="AN72" s="10">
        <v>0.18044704431548364</v>
      </c>
      <c r="AO72" s="10" t="str">
        <v/>
      </c>
    </row>
    <row r="73" spans="18:41" x14ac:dyDescent="0.2">
      <c r="R73" s="6">
        <v>68</v>
      </c>
      <c r="S73" s="6">
        <v>21.455685525357552</v>
      </c>
      <c r="T73" s="6">
        <v>0.14407649657540025</v>
      </c>
      <c r="U73" s="6">
        <v>0.14407649657540025</v>
      </c>
      <c r="V73" s="6" t="e">
        <v>#N/A</v>
      </c>
      <c r="W73" s="6" t="str">
        <v/>
      </c>
      <c r="Z73" s="6">
        <v>68</v>
      </c>
      <c r="AA73" s="6">
        <v>1</v>
      </c>
      <c r="AB73" s="6">
        <v>1.5359999999999961E-3</v>
      </c>
      <c r="AC73" s="6">
        <v>1.5359999999999961E-3</v>
      </c>
      <c r="AD73" s="6" t="e">
        <v>#N/A</v>
      </c>
      <c r="AE73" s="6" t="e">
        <v>#N/A</v>
      </c>
      <c r="AF73" s="6" t="str">
        <v/>
      </c>
      <c r="AI73" s="6">
        <v>68</v>
      </c>
      <c r="AJ73" s="6">
        <v>3</v>
      </c>
      <c r="AK73" s="10">
        <v>0.18044704431548364</v>
      </c>
      <c r="AL73" s="10" t="e">
        <v>#N/A</v>
      </c>
      <c r="AM73" s="10" t="e">
        <v>#N/A</v>
      </c>
      <c r="AN73" s="10">
        <v>0.18044704431548364</v>
      </c>
      <c r="AO73" s="10" t="str">
        <v/>
      </c>
    </row>
    <row r="74" spans="18:41" x14ac:dyDescent="0.2">
      <c r="R74" s="6">
        <v>69</v>
      </c>
      <c r="S74" s="6">
        <v>21.952108385786111</v>
      </c>
      <c r="T74" s="6">
        <v>0.1492259299312233</v>
      </c>
      <c r="U74" s="6">
        <v>0.1492259299312233</v>
      </c>
      <c r="V74" s="6" t="e">
        <v>#N/A</v>
      </c>
      <c r="W74" s="6" t="str">
        <v/>
      </c>
      <c r="Z74" s="6">
        <v>69</v>
      </c>
      <c r="AA74" s="6">
        <v>1</v>
      </c>
      <c r="AB74" s="6">
        <v>1.5359999999999961E-3</v>
      </c>
      <c r="AC74" s="6">
        <v>1.5359999999999961E-3</v>
      </c>
      <c r="AD74" s="6" t="e">
        <v>#N/A</v>
      </c>
      <c r="AE74" s="6" t="e">
        <v>#N/A</v>
      </c>
      <c r="AF74" s="6" t="str">
        <v/>
      </c>
      <c r="AI74" s="6">
        <v>69</v>
      </c>
      <c r="AJ74" s="6">
        <v>3</v>
      </c>
      <c r="AK74" s="10">
        <v>0.18044704431548364</v>
      </c>
      <c r="AL74" s="10" t="e">
        <v>#N/A</v>
      </c>
      <c r="AM74" s="10" t="e">
        <v>#N/A</v>
      </c>
      <c r="AN74" s="10">
        <v>0.18044704431548364</v>
      </c>
      <c r="AO74" s="10" t="str">
        <v/>
      </c>
    </row>
    <row r="75" spans="18:41" x14ac:dyDescent="0.2">
      <c r="R75" s="6">
        <v>70</v>
      </c>
      <c r="S75" s="6">
        <v>22.448531246214678</v>
      </c>
      <c r="T75" s="6">
        <v>0.15446421596953333</v>
      </c>
      <c r="U75" s="6">
        <v>0.15446421596953333</v>
      </c>
      <c r="V75" s="6" t="e">
        <v>#N/A</v>
      </c>
      <c r="W75" s="6" t="str">
        <v/>
      </c>
      <c r="Z75" s="6">
        <v>70</v>
      </c>
      <c r="AA75" s="6">
        <v>1</v>
      </c>
      <c r="AB75" s="6">
        <v>1.5359999999999961E-3</v>
      </c>
      <c r="AC75" s="6">
        <v>1.5359999999999961E-3</v>
      </c>
      <c r="AD75" s="6" t="e">
        <v>#N/A</v>
      </c>
      <c r="AE75" s="6" t="e">
        <v>#N/A</v>
      </c>
      <c r="AF75" s="6" t="str">
        <v/>
      </c>
      <c r="AI75" s="6">
        <v>70</v>
      </c>
      <c r="AJ75" s="6">
        <v>3</v>
      </c>
      <c r="AK75" s="10">
        <v>0.18044704431548364</v>
      </c>
      <c r="AL75" s="10" t="e">
        <v>#N/A</v>
      </c>
      <c r="AM75" s="10" t="e">
        <v>#N/A</v>
      </c>
      <c r="AN75" s="10">
        <v>0.18044704431548364</v>
      </c>
      <c r="AO75" s="10" t="str">
        <v/>
      </c>
    </row>
    <row r="76" spans="18:41" x14ac:dyDescent="0.2">
      <c r="R76" s="6">
        <v>71</v>
      </c>
      <c r="S76" s="6">
        <v>22.944954106643245</v>
      </c>
      <c r="T76" s="6">
        <v>0.15978790792502925</v>
      </c>
      <c r="U76" s="6">
        <v>0.15978790792502925</v>
      </c>
      <c r="V76" s="6" t="e">
        <v>#N/A</v>
      </c>
      <c r="W76" s="6" t="str">
        <v/>
      </c>
      <c r="Z76" s="6">
        <v>71</v>
      </c>
      <c r="AA76" s="6" t="e">
        <v>#N/A</v>
      </c>
      <c r="AB76" s="6" t="e">
        <v>#N/A</v>
      </c>
      <c r="AC76" s="6" t="e">
        <v>#N/A</v>
      </c>
      <c r="AD76" s="6" t="e">
        <v>#N/A</v>
      </c>
      <c r="AE76" s="6" t="e">
        <v>#N/A</v>
      </c>
      <c r="AF76" s="6" t="str">
        <v/>
      </c>
      <c r="AI76" s="6">
        <v>71</v>
      </c>
      <c r="AJ76" s="6">
        <v>3</v>
      </c>
      <c r="AK76" s="10">
        <v>0.18044704431548364</v>
      </c>
      <c r="AL76" s="10" t="e">
        <v>#N/A</v>
      </c>
      <c r="AM76" s="10" t="e">
        <v>#N/A</v>
      </c>
      <c r="AN76" s="10">
        <v>0.18044704431548364</v>
      </c>
      <c r="AO76" s="10">
        <v>3</v>
      </c>
    </row>
    <row r="77" spans="18:41" x14ac:dyDescent="0.2">
      <c r="R77" s="6">
        <v>72</v>
      </c>
      <c r="S77" s="6">
        <v>23.441376967071804</v>
      </c>
      <c r="T77" s="6">
        <v>0.16519327863345165</v>
      </c>
      <c r="U77" s="6">
        <v>0.16519327863345165</v>
      </c>
      <c r="V77" s="6" t="e">
        <v>#N/A</v>
      </c>
      <c r="W77" s="6" t="str">
        <v/>
      </c>
      <c r="Z77" s="6">
        <v>72</v>
      </c>
      <c r="AA77" s="6">
        <v>2</v>
      </c>
      <c r="AB77" s="6">
        <v>1.535999999999999E-2</v>
      </c>
      <c r="AC77" s="6">
        <v>1.535999999999999E-2</v>
      </c>
      <c r="AD77" s="6" t="e">
        <v>#N/A</v>
      </c>
      <c r="AE77" s="6" t="e">
        <v>#N/A</v>
      </c>
      <c r="AF77" s="6" t="str">
        <v/>
      </c>
      <c r="AI77" s="6">
        <v>72</v>
      </c>
      <c r="AJ77" s="6">
        <v>3</v>
      </c>
      <c r="AK77" s="10">
        <v>0.18044704431548364</v>
      </c>
      <c r="AL77" s="10" t="e">
        <v>#N/A</v>
      </c>
      <c r="AM77" s="10" t="e">
        <v>#N/A</v>
      </c>
      <c r="AN77" s="10">
        <v>0.18044704431548364</v>
      </c>
      <c r="AO77" s="10" t="str">
        <v/>
      </c>
    </row>
    <row r="78" spans="18:41" x14ac:dyDescent="0.2">
      <c r="R78" s="6">
        <v>73</v>
      </c>
      <c r="S78" s="6">
        <v>23.93779982750037</v>
      </c>
      <c r="T78" s="6">
        <v>0.17067632020760465</v>
      </c>
      <c r="U78" s="6">
        <v>0.17067632020760465</v>
      </c>
      <c r="V78" s="6" t="e">
        <v>#N/A</v>
      </c>
      <c r="W78" s="6" t="str">
        <v/>
      </c>
      <c r="Z78" s="6">
        <v>73</v>
      </c>
      <c r="AA78" s="6">
        <v>2</v>
      </c>
      <c r="AB78" s="6">
        <v>1.535999999999999E-2</v>
      </c>
      <c r="AC78" s="6">
        <v>1.535999999999999E-2</v>
      </c>
      <c r="AD78" s="6" t="e">
        <v>#N/A</v>
      </c>
      <c r="AE78" s="6" t="e">
        <v>#N/A</v>
      </c>
      <c r="AF78" s="6" t="str">
        <v/>
      </c>
      <c r="AI78" s="6">
        <v>73</v>
      </c>
      <c r="AJ78" s="6">
        <v>3</v>
      </c>
      <c r="AK78" s="10">
        <v>0.18044704431548364</v>
      </c>
      <c r="AL78" s="10" t="e">
        <v>#N/A</v>
      </c>
      <c r="AM78" s="10" t="e">
        <v>#N/A</v>
      </c>
      <c r="AN78" s="10">
        <v>0.18044704431548364</v>
      </c>
      <c r="AO78" s="10" t="str">
        <v/>
      </c>
    </row>
    <row r="79" spans="18:41" x14ac:dyDescent="0.2">
      <c r="R79" s="6">
        <v>74</v>
      </c>
      <c r="S79" s="6">
        <v>24.43422268792893</v>
      </c>
      <c r="T79" s="6">
        <v>0.17623274458125046</v>
      </c>
      <c r="U79" s="6">
        <v>0.17623274458125046</v>
      </c>
      <c r="V79" s="6" t="e">
        <v>#N/A</v>
      </c>
      <c r="W79" s="6" t="str">
        <v/>
      </c>
      <c r="Z79" s="6">
        <v>74</v>
      </c>
      <c r="AA79" s="6">
        <v>2</v>
      </c>
      <c r="AB79" s="6">
        <v>1.535999999999999E-2</v>
      </c>
      <c r="AC79" s="6">
        <v>1.535999999999999E-2</v>
      </c>
      <c r="AD79" s="6" t="e">
        <v>#N/A</v>
      </c>
      <c r="AE79" s="6" t="e">
        <v>#N/A</v>
      </c>
      <c r="AF79" s="6" t="str">
        <v/>
      </c>
      <c r="AI79" s="6">
        <v>74</v>
      </c>
      <c r="AJ79" s="6">
        <v>3</v>
      </c>
      <c r="AK79" s="10">
        <v>0.18044704431548364</v>
      </c>
      <c r="AL79" s="10" t="e">
        <v>#N/A</v>
      </c>
      <c r="AM79" s="10" t="e">
        <v>#N/A</v>
      </c>
      <c r="AN79" s="10">
        <v>0.18044704431548364</v>
      </c>
      <c r="AO79" s="10" t="str">
        <v/>
      </c>
    </row>
    <row r="80" spans="18:41" x14ac:dyDescent="0.2">
      <c r="R80" s="6">
        <v>75</v>
      </c>
      <c r="S80" s="6">
        <v>24.930645548357496</v>
      </c>
      <c r="T80" s="6">
        <v>0.18185798494818542</v>
      </c>
      <c r="U80" s="6">
        <v>0.18185798494818542</v>
      </c>
      <c r="V80" s="6" t="e">
        <v>#N/A</v>
      </c>
      <c r="W80" s="6" t="str">
        <v/>
      </c>
      <c r="Z80" s="6">
        <v>75</v>
      </c>
      <c r="AA80" s="6">
        <v>2</v>
      </c>
      <c r="AB80" s="6">
        <v>1.535999999999999E-2</v>
      </c>
      <c r="AC80" s="6">
        <v>1.535999999999999E-2</v>
      </c>
      <c r="AD80" s="6" t="e">
        <v>#N/A</v>
      </c>
      <c r="AE80" s="6" t="e">
        <v>#N/A</v>
      </c>
      <c r="AF80" s="6" t="str">
        <v/>
      </c>
      <c r="AI80" s="6">
        <v>75</v>
      </c>
      <c r="AJ80" s="6">
        <v>3</v>
      </c>
      <c r="AK80" s="10">
        <v>0.18044704431548364</v>
      </c>
      <c r="AL80" s="10" t="e">
        <v>#N/A</v>
      </c>
      <c r="AM80" s="10" t="e">
        <v>#N/A</v>
      </c>
      <c r="AN80" s="10">
        <v>0.18044704431548364</v>
      </c>
      <c r="AO80" s="10" t="str">
        <v/>
      </c>
    </row>
    <row r="81" spans="18:41" x14ac:dyDescent="0.2">
      <c r="R81" s="6">
        <v>76</v>
      </c>
      <c r="S81" s="6">
        <v>25.42706840878607</v>
      </c>
      <c r="T81" s="6">
        <v>0.18754719812079304</v>
      </c>
      <c r="U81" s="6">
        <v>0.18754719812079304</v>
      </c>
      <c r="V81" s="6" t="e">
        <v>#N/A</v>
      </c>
      <c r="W81" s="6">
        <v>25.43</v>
      </c>
      <c r="Z81" s="6">
        <v>76</v>
      </c>
      <c r="AA81" s="6">
        <v>2</v>
      </c>
      <c r="AB81" s="6">
        <v>1.535999999999999E-2</v>
      </c>
      <c r="AC81" s="6">
        <v>1.535999999999999E-2</v>
      </c>
      <c r="AD81" s="6" t="e">
        <v>#N/A</v>
      </c>
      <c r="AE81" s="6" t="e">
        <v>#N/A</v>
      </c>
      <c r="AF81" s="6" t="str">
        <v/>
      </c>
      <c r="AI81" s="6">
        <v>76</v>
      </c>
      <c r="AJ81" s="6">
        <v>3</v>
      </c>
      <c r="AK81" s="10">
        <v>0.18044704431548364</v>
      </c>
      <c r="AL81" s="10" t="e">
        <v>#N/A</v>
      </c>
      <c r="AM81" s="10" t="e">
        <v>#N/A</v>
      </c>
      <c r="AN81" s="10">
        <v>0.18044704431548364</v>
      </c>
      <c r="AO81" s="10" t="str">
        <v/>
      </c>
    </row>
    <row r="82" spans="18:41" x14ac:dyDescent="0.2">
      <c r="R82" s="6">
        <v>77</v>
      </c>
      <c r="S82" s="6">
        <v>25.92349126921463</v>
      </c>
      <c r="T82" s="6">
        <v>0.19329526782914905</v>
      </c>
      <c r="U82" s="6">
        <v>0.19329526782914905</v>
      </c>
      <c r="V82" s="6" t="e">
        <v>#N/A</v>
      </c>
      <c r="W82" s="6" t="str">
        <v/>
      </c>
      <c r="Z82" s="6">
        <v>77</v>
      </c>
      <c r="AA82" s="6">
        <v>2</v>
      </c>
      <c r="AB82" s="6">
        <v>1.535999999999999E-2</v>
      </c>
      <c r="AC82" s="6">
        <v>1.535999999999999E-2</v>
      </c>
      <c r="AD82" s="6" t="e">
        <v>#N/A</v>
      </c>
      <c r="AE82" s="6" t="e">
        <v>#N/A</v>
      </c>
      <c r="AF82" s="6" t="str">
        <v/>
      </c>
      <c r="AI82" s="6">
        <v>77</v>
      </c>
      <c r="AJ82" s="6">
        <v>3</v>
      </c>
      <c r="AK82" s="10">
        <v>0.18044704431548364</v>
      </c>
      <c r="AL82" s="10" t="e">
        <v>#N/A</v>
      </c>
      <c r="AM82" s="10" t="e">
        <v>#N/A</v>
      </c>
      <c r="AN82" s="10">
        <v>0.18044704431548364</v>
      </c>
      <c r="AO82" s="10" t="str">
        <v/>
      </c>
    </row>
    <row r="83" spans="18:41" x14ac:dyDescent="0.2">
      <c r="R83" s="6">
        <v>78</v>
      </c>
      <c r="S83" s="6">
        <v>26.419914129643196</v>
      </c>
      <c r="T83" s="6">
        <v>0.199096808978308</v>
      </c>
      <c r="U83" s="6">
        <v>0.199096808978308</v>
      </c>
      <c r="V83" s="6" t="e">
        <v>#N/A</v>
      </c>
      <c r="W83" s="6" t="str">
        <v/>
      </c>
      <c r="Z83" s="6">
        <v>78</v>
      </c>
      <c r="AA83" s="6">
        <v>2</v>
      </c>
      <c r="AB83" s="6">
        <v>1.535999999999999E-2</v>
      </c>
      <c r="AC83" s="6">
        <v>1.535999999999999E-2</v>
      </c>
      <c r="AD83" s="6" t="e">
        <v>#N/A</v>
      </c>
      <c r="AE83" s="6" t="e">
        <v>#N/A</v>
      </c>
      <c r="AF83" s="6" t="str">
        <v/>
      </c>
      <c r="AI83" s="6">
        <v>78</v>
      </c>
      <c r="AJ83" s="6">
        <v>3</v>
      </c>
      <c r="AK83" s="10">
        <v>0.18044704431548364</v>
      </c>
      <c r="AL83" s="10" t="e">
        <v>#N/A</v>
      </c>
      <c r="AM83" s="10" t="e">
        <v>#N/A</v>
      </c>
      <c r="AN83" s="10">
        <v>0.18044704431548364</v>
      </c>
      <c r="AO83" s="10" t="str">
        <v/>
      </c>
    </row>
    <row r="84" spans="18:41" x14ac:dyDescent="0.2">
      <c r="R84" s="6">
        <v>79</v>
      </c>
      <c r="S84" s="6">
        <v>26.916336990071756</v>
      </c>
      <c r="T84" s="6">
        <v>0.20494617287776634</v>
      </c>
      <c r="U84" s="6">
        <v>0.20494617287776634</v>
      </c>
      <c r="V84" s="6" t="e">
        <v>#N/A</v>
      </c>
      <c r="W84" s="6" t="str">
        <v/>
      </c>
      <c r="Z84" s="6">
        <v>79</v>
      </c>
      <c r="AA84" s="6">
        <v>2</v>
      </c>
      <c r="AB84" s="6">
        <v>1.535999999999999E-2</v>
      </c>
      <c r="AC84" s="6">
        <v>1.535999999999999E-2</v>
      </c>
      <c r="AD84" s="6" t="e">
        <v>#N/A</v>
      </c>
      <c r="AE84" s="6" t="e">
        <v>#N/A</v>
      </c>
      <c r="AF84" s="6" t="str">
        <v/>
      </c>
      <c r="AI84" s="6">
        <v>79</v>
      </c>
      <c r="AJ84" s="6">
        <v>3</v>
      </c>
      <c r="AK84" s="10">
        <v>0.18044704431548364</v>
      </c>
      <c r="AL84" s="10" t="e">
        <v>#N/A</v>
      </c>
      <c r="AM84" s="10" t="e">
        <v>#N/A</v>
      </c>
      <c r="AN84" s="10">
        <v>0.18044704431548364</v>
      </c>
      <c r="AO84" s="10" t="str">
        <v/>
      </c>
    </row>
    <row r="85" spans="18:41" x14ac:dyDescent="0.2">
      <c r="R85" s="6">
        <v>80</v>
      </c>
      <c r="S85" s="6">
        <v>27.412759850500322</v>
      </c>
      <c r="T85" s="6">
        <v>0.21083745345327712</v>
      </c>
      <c r="U85" s="6">
        <v>0.21083745345327712</v>
      </c>
      <c r="V85" s="6" t="e">
        <v>#N/A</v>
      </c>
      <c r="W85" s="6" t="str">
        <v/>
      </c>
      <c r="Z85" s="6">
        <v>80</v>
      </c>
      <c r="AA85" s="6">
        <v>2</v>
      </c>
      <c r="AB85" s="6">
        <v>1.535999999999999E-2</v>
      </c>
      <c r="AC85" s="6">
        <v>1.535999999999999E-2</v>
      </c>
      <c r="AD85" s="6" t="e">
        <v>#N/A</v>
      </c>
      <c r="AE85" s="6" t="e">
        <v>#N/A</v>
      </c>
      <c r="AF85" s="6" t="str">
        <v/>
      </c>
      <c r="AI85" s="6">
        <v>80</v>
      </c>
      <c r="AJ85" s="6">
        <v>3</v>
      </c>
      <c r="AK85" s="10">
        <v>0.18044704431548364</v>
      </c>
      <c r="AL85" s="10" t="e">
        <v>#N/A</v>
      </c>
      <c r="AM85" s="10" t="e">
        <v>#N/A</v>
      </c>
      <c r="AN85" s="10">
        <v>0.18044704431548364</v>
      </c>
      <c r="AO85" s="10" t="str">
        <v/>
      </c>
    </row>
    <row r="86" spans="18:41" x14ac:dyDescent="0.2">
      <c r="R86" s="6">
        <v>81</v>
      </c>
      <c r="S86" s="6">
        <v>27.909182710928889</v>
      </c>
      <c r="T86" s="6">
        <v>0.21676449444720089</v>
      </c>
      <c r="U86" s="6">
        <v>0.21676449444720089</v>
      </c>
      <c r="V86" s="6" t="e">
        <v>#N/A</v>
      </c>
      <c r="W86" s="6" t="str">
        <v/>
      </c>
      <c r="Z86" s="6">
        <v>81</v>
      </c>
      <c r="AA86" s="6">
        <v>2</v>
      </c>
      <c r="AB86" s="6">
        <v>1.535999999999999E-2</v>
      </c>
      <c r="AC86" s="6">
        <v>1.535999999999999E-2</v>
      </c>
      <c r="AD86" s="6" t="e">
        <v>#N/A</v>
      </c>
      <c r="AE86" s="6" t="e">
        <v>#N/A</v>
      </c>
      <c r="AF86" s="6" t="str">
        <v/>
      </c>
      <c r="AI86" s="6">
        <v>81</v>
      </c>
      <c r="AJ86" s="6" t="e">
        <v>#N/A</v>
      </c>
      <c r="AK86" s="10" t="e">
        <v>#N/A</v>
      </c>
      <c r="AL86" s="10" t="e">
        <v>#N/A</v>
      </c>
      <c r="AM86" s="10" t="e">
        <v>#N/A</v>
      </c>
      <c r="AN86" s="10" t="e">
        <v>#N/A</v>
      </c>
      <c r="AO86" s="10" t="str">
        <v/>
      </c>
    </row>
    <row r="87" spans="18:41" x14ac:dyDescent="0.2">
      <c r="R87" s="6">
        <v>82</v>
      </c>
      <c r="S87" s="6">
        <v>28.405605571357448</v>
      </c>
      <c r="T87" s="6">
        <v>0.22272089760943917</v>
      </c>
      <c r="U87" s="6">
        <v>0.22272089760943917</v>
      </c>
      <c r="V87" s="6" t="e">
        <v>#N/A</v>
      </c>
      <c r="W87" s="6" t="str">
        <v/>
      </c>
      <c r="Z87" s="6">
        <v>82</v>
      </c>
      <c r="AA87" s="6">
        <v>2</v>
      </c>
      <c r="AB87" s="6">
        <v>1.535999999999999E-2</v>
      </c>
      <c r="AC87" s="6">
        <v>1.535999999999999E-2</v>
      </c>
      <c r="AD87" s="6" t="e">
        <v>#N/A</v>
      </c>
      <c r="AE87" s="6" t="e">
        <v>#N/A</v>
      </c>
      <c r="AF87" s="6" t="str">
        <v/>
      </c>
      <c r="AI87" s="6">
        <v>82</v>
      </c>
      <c r="AJ87" s="6">
        <v>4</v>
      </c>
      <c r="AK87" s="10">
        <v>9.022352215774182E-2</v>
      </c>
      <c r="AL87" s="10" t="e">
        <v>#N/A</v>
      </c>
      <c r="AM87" s="10" t="e">
        <v>#N/A</v>
      </c>
      <c r="AN87" s="10">
        <v>9.022352215774182E-2</v>
      </c>
      <c r="AO87" s="10" t="str">
        <v/>
      </c>
    </row>
    <row r="88" spans="18:41" x14ac:dyDescent="0.2">
      <c r="R88" s="6">
        <v>83</v>
      </c>
      <c r="S88" s="6">
        <v>28.902028431786015</v>
      </c>
      <c r="T88" s="6">
        <v>0.2287000318767278</v>
      </c>
      <c r="U88" s="6">
        <v>0.2287000318767278</v>
      </c>
      <c r="V88" s="6" t="e">
        <v>#N/A</v>
      </c>
      <c r="W88" s="6" t="str">
        <v/>
      </c>
      <c r="Z88" s="6">
        <v>83</v>
      </c>
      <c r="AA88" s="6">
        <v>2</v>
      </c>
      <c r="AB88" s="6">
        <v>1.535999999999999E-2</v>
      </c>
      <c r="AC88" s="6">
        <v>1.535999999999999E-2</v>
      </c>
      <c r="AD88" s="6" t="e">
        <v>#N/A</v>
      </c>
      <c r="AE88" s="6" t="e">
        <v>#N/A</v>
      </c>
      <c r="AF88" s="6" t="str">
        <v/>
      </c>
      <c r="AI88" s="6">
        <v>83</v>
      </c>
      <c r="AJ88" s="6">
        <v>4</v>
      </c>
      <c r="AK88" s="10">
        <v>9.022352215774182E-2</v>
      </c>
      <c r="AL88" s="10" t="e">
        <v>#N/A</v>
      </c>
      <c r="AM88" s="10" t="e">
        <v>#N/A</v>
      </c>
      <c r="AN88" s="10">
        <v>9.022352215774182E-2</v>
      </c>
      <c r="AO88" s="10" t="str">
        <v/>
      </c>
    </row>
    <row r="89" spans="18:41" x14ac:dyDescent="0.2">
      <c r="R89" s="6">
        <v>84</v>
      </c>
      <c r="S89" s="6">
        <v>29.398451292214574</v>
      </c>
      <c r="T89" s="6">
        <v>0.23469504353367848</v>
      </c>
      <c r="U89" s="6">
        <v>0.23469504353367848</v>
      </c>
      <c r="V89" s="6" t="e">
        <v>#N/A</v>
      </c>
      <c r="W89" s="6" t="str">
        <v/>
      </c>
      <c r="Z89" s="6">
        <v>84</v>
      </c>
      <c r="AA89" s="6">
        <v>2</v>
      </c>
      <c r="AB89" s="6">
        <v>1.535999999999999E-2</v>
      </c>
      <c r="AC89" s="6">
        <v>1.535999999999999E-2</v>
      </c>
      <c r="AD89" s="6" t="e">
        <v>#N/A</v>
      </c>
      <c r="AE89" s="6" t="e">
        <v>#N/A</v>
      </c>
      <c r="AF89" s="6" t="str">
        <v/>
      </c>
      <c r="AI89" s="6">
        <v>84</v>
      </c>
      <c r="AJ89" s="6">
        <v>4</v>
      </c>
      <c r="AK89" s="10">
        <v>9.022352215774182E-2</v>
      </c>
      <c r="AL89" s="10" t="e">
        <v>#N/A</v>
      </c>
      <c r="AM89" s="10" t="e">
        <v>#N/A</v>
      </c>
      <c r="AN89" s="10">
        <v>9.022352215774182E-2</v>
      </c>
      <c r="AO89" s="10" t="str">
        <v/>
      </c>
    </row>
    <row r="90" spans="18:41" x14ac:dyDescent="0.2">
      <c r="R90" s="6">
        <v>85</v>
      </c>
      <c r="S90" s="6">
        <v>29.894874152643141</v>
      </c>
      <c r="T90" s="6">
        <v>0.24069886734449414</v>
      </c>
      <c r="U90" s="6">
        <v>0.24069886734449414</v>
      </c>
      <c r="V90" s="6" t="e">
        <v>#N/A</v>
      </c>
      <c r="W90" s="6" t="str">
        <v/>
      </c>
      <c r="Z90" s="6">
        <v>85</v>
      </c>
      <c r="AA90" s="6">
        <v>2</v>
      </c>
      <c r="AB90" s="6">
        <v>1.535999999999999E-2</v>
      </c>
      <c r="AC90" s="6">
        <v>1.535999999999999E-2</v>
      </c>
      <c r="AD90" s="6" t="e">
        <v>#N/A</v>
      </c>
      <c r="AE90" s="6" t="e">
        <v>#N/A</v>
      </c>
      <c r="AF90" s="6" t="str">
        <v/>
      </c>
      <c r="AI90" s="6">
        <v>85</v>
      </c>
      <c r="AJ90" s="6">
        <v>4</v>
      </c>
      <c r="AK90" s="10">
        <v>9.022352215774182E-2</v>
      </c>
      <c r="AL90" s="10" t="e">
        <v>#N/A</v>
      </c>
      <c r="AM90" s="10" t="e">
        <v>#N/A</v>
      </c>
      <c r="AN90" s="10">
        <v>9.022352215774182E-2</v>
      </c>
      <c r="AO90" s="10" t="str">
        <v/>
      </c>
    </row>
    <row r="91" spans="18:41" x14ac:dyDescent="0.2">
      <c r="R91" s="6">
        <v>86</v>
      </c>
      <c r="S91" s="6">
        <v>30.391297013071714</v>
      </c>
      <c r="T91" s="6">
        <v>0.24670423863973287</v>
      </c>
      <c r="U91" s="6">
        <v>0.24670423863973287</v>
      </c>
      <c r="V91" s="6" t="e">
        <v>#N/A</v>
      </c>
      <c r="W91" s="6" t="str">
        <v/>
      </c>
      <c r="Z91" s="6">
        <v>86</v>
      </c>
      <c r="AA91" s="6">
        <v>2</v>
      </c>
      <c r="AB91" s="6">
        <v>1.535999999999999E-2</v>
      </c>
      <c r="AC91" s="6">
        <v>1.535999999999999E-2</v>
      </c>
      <c r="AD91" s="6" t="e">
        <v>#N/A</v>
      </c>
      <c r="AE91" s="6" t="e">
        <v>#N/A</v>
      </c>
      <c r="AF91" s="6" t="str">
        <v/>
      </c>
      <c r="AI91" s="6">
        <v>86</v>
      </c>
      <c r="AJ91" s="6">
        <v>4</v>
      </c>
      <c r="AK91" s="10">
        <v>9.022352215774182E-2</v>
      </c>
      <c r="AL91" s="10" t="e">
        <v>#N/A</v>
      </c>
      <c r="AM91" s="10" t="e">
        <v>#N/A</v>
      </c>
      <c r="AN91" s="10">
        <v>9.022352215774182E-2</v>
      </c>
      <c r="AO91" s="10" t="str">
        <v/>
      </c>
    </row>
    <row r="92" spans="18:41" x14ac:dyDescent="0.2">
      <c r="R92" s="6">
        <v>87</v>
      </c>
      <c r="S92" s="6">
        <v>30.887719873500274</v>
      </c>
      <c r="T92" s="6">
        <v>0.25270370633791855</v>
      </c>
      <c r="U92" s="6">
        <v>0.25270370633791855</v>
      </c>
      <c r="V92" s="6" t="e">
        <v>#N/A</v>
      </c>
      <c r="W92" s="6" t="str">
        <v/>
      </c>
      <c r="Z92" s="6">
        <v>87</v>
      </c>
      <c r="AA92" s="6">
        <v>2</v>
      </c>
      <c r="AB92" s="6">
        <v>1.535999999999999E-2</v>
      </c>
      <c r="AC92" s="6">
        <v>1.535999999999999E-2</v>
      </c>
      <c r="AD92" s="6" t="e">
        <v>#N/A</v>
      </c>
      <c r="AE92" s="6" t="e">
        <v>#N/A</v>
      </c>
      <c r="AF92" s="6" t="str">
        <v/>
      </c>
      <c r="AI92" s="6">
        <v>87</v>
      </c>
      <c r="AJ92" s="6">
        <v>4</v>
      </c>
      <c r="AK92" s="10">
        <v>9.022352215774182E-2</v>
      </c>
      <c r="AL92" s="10" t="e">
        <v>#N/A</v>
      </c>
      <c r="AM92" s="10" t="e">
        <v>#N/A</v>
      </c>
      <c r="AN92" s="10">
        <v>9.022352215774182E-2</v>
      </c>
      <c r="AO92" s="10" t="str">
        <v/>
      </c>
    </row>
    <row r="93" spans="18:41" x14ac:dyDescent="0.2">
      <c r="R93" s="6">
        <v>88</v>
      </c>
      <c r="S93" s="6">
        <v>31.38414273392884</v>
      </c>
      <c r="T93" s="6">
        <v>0.25868964687719065</v>
      </c>
      <c r="U93" s="6">
        <v>0.25868964687719065</v>
      </c>
      <c r="V93" s="6" t="e">
        <v>#N/A</v>
      </c>
      <c r="W93" s="6" t="str">
        <v/>
      </c>
      <c r="Z93" s="6">
        <v>88</v>
      </c>
      <c r="AA93" s="6">
        <v>2</v>
      </c>
      <c r="AB93" s="6">
        <v>1.535999999999999E-2</v>
      </c>
      <c r="AC93" s="6">
        <v>1.535999999999999E-2</v>
      </c>
      <c r="AD93" s="6" t="e">
        <v>#N/A</v>
      </c>
      <c r="AE93" s="6" t="e">
        <v>#N/A</v>
      </c>
      <c r="AF93" s="6" t="str">
        <v/>
      </c>
      <c r="AI93" s="6">
        <v>88</v>
      </c>
      <c r="AJ93" s="6">
        <v>4</v>
      </c>
      <c r="AK93" s="10">
        <v>9.022352215774182E-2</v>
      </c>
      <c r="AL93" s="10" t="e">
        <v>#N/A</v>
      </c>
      <c r="AM93" s="10" t="e">
        <v>#N/A</v>
      </c>
      <c r="AN93" s="10">
        <v>9.022352215774182E-2</v>
      </c>
      <c r="AO93" s="10" t="str">
        <v/>
      </c>
    </row>
    <row r="94" spans="18:41" x14ac:dyDescent="0.2">
      <c r="R94" s="6">
        <v>89</v>
      </c>
      <c r="S94" s="6">
        <v>31.8805655943574</v>
      </c>
      <c r="T94" s="6">
        <v>0.26465427902758482</v>
      </c>
      <c r="U94" s="6">
        <v>0.26465427902758482</v>
      </c>
      <c r="V94" s="6" t="e">
        <v>#N/A</v>
      </c>
      <c r="W94" s="6" t="str">
        <v/>
      </c>
      <c r="Z94" s="6">
        <v>89</v>
      </c>
      <c r="AA94" s="6">
        <v>2</v>
      </c>
      <c r="AB94" s="6">
        <v>1.535999999999999E-2</v>
      </c>
      <c r="AC94" s="6">
        <v>1.535999999999999E-2</v>
      </c>
      <c r="AD94" s="6" t="e">
        <v>#N/A</v>
      </c>
      <c r="AE94" s="6" t="e">
        <v>#N/A</v>
      </c>
      <c r="AF94" s="6">
        <v>2</v>
      </c>
      <c r="AI94" s="6">
        <v>89</v>
      </c>
      <c r="AJ94" s="6">
        <v>4</v>
      </c>
      <c r="AK94" s="10">
        <v>9.022352215774182E-2</v>
      </c>
      <c r="AL94" s="10" t="e">
        <v>#N/A</v>
      </c>
      <c r="AM94" s="10" t="e">
        <v>#N/A</v>
      </c>
      <c r="AN94" s="10">
        <v>9.022352215774182E-2</v>
      </c>
      <c r="AO94" s="10" t="str">
        <v/>
      </c>
    </row>
    <row r="95" spans="18:41" x14ac:dyDescent="0.2">
      <c r="R95" s="6">
        <v>90</v>
      </c>
      <c r="S95" s="6">
        <v>32.376988454785966</v>
      </c>
      <c r="T95" s="6">
        <v>0.27058967954997648</v>
      </c>
      <c r="U95" s="6">
        <v>0.27058967954997648</v>
      </c>
      <c r="V95" s="6" t="e">
        <v>#N/A</v>
      </c>
      <c r="W95" s="6" t="str">
        <v/>
      </c>
      <c r="Z95" s="6">
        <v>90</v>
      </c>
      <c r="AA95" s="6">
        <v>2</v>
      </c>
      <c r="AB95" s="6">
        <v>1.535999999999999E-2</v>
      </c>
      <c r="AC95" s="6">
        <v>1.535999999999999E-2</v>
      </c>
      <c r="AD95" s="6" t="e">
        <v>#N/A</v>
      </c>
      <c r="AE95" s="6" t="e">
        <v>#N/A</v>
      </c>
      <c r="AF95" s="6" t="str">
        <v/>
      </c>
      <c r="AI95" s="6">
        <v>90</v>
      </c>
      <c r="AJ95" s="6">
        <v>4</v>
      </c>
      <c r="AK95" s="10">
        <v>9.022352215774182E-2</v>
      </c>
      <c r="AL95" s="10" t="e">
        <v>#N/A</v>
      </c>
      <c r="AM95" s="10" t="e">
        <v>#N/A</v>
      </c>
      <c r="AN95" s="10">
        <v>9.022352215774182E-2</v>
      </c>
      <c r="AO95" s="10" t="str">
        <v/>
      </c>
    </row>
    <row r="96" spans="18:41" x14ac:dyDescent="0.2">
      <c r="R96" s="6">
        <v>91</v>
      </c>
      <c r="S96" s="6">
        <v>32.873411315214526</v>
      </c>
      <c r="T96" s="6">
        <v>0.27648779966320636</v>
      </c>
      <c r="U96" s="6">
        <v>0.27648779966320636</v>
      </c>
      <c r="V96" s="6" t="e">
        <v>#N/A</v>
      </c>
      <c r="W96" s="6" t="str">
        <v/>
      </c>
      <c r="Z96" s="6">
        <v>91</v>
      </c>
      <c r="AA96" s="6">
        <v>2</v>
      </c>
      <c r="AB96" s="6">
        <v>1.535999999999999E-2</v>
      </c>
      <c r="AC96" s="6">
        <v>1.535999999999999E-2</v>
      </c>
      <c r="AD96" s="6" t="e">
        <v>#N/A</v>
      </c>
      <c r="AE96" s="6" t="e">
        <v>#N/A</v>
      </c>
      <c r="AF96" s="6" t="str">
        <v/>
      </c>
      <c r="AI96" s="6">
        <v>91</v>
      </c>
      <c r="AJ96" s="6">
        <v>4</v>
      </c>
      <c r="AK96" s="10">
        <v>9.022352215774182E-2</v>
      </c>
      <c r="AL96" s="10" t="e">
        <v>#N/A</v>
      </c>
      <c r="AM96" s="10" t="e">
        <v>#N/A</v>
      </c>
      <c r="AN96" s="10">
        <v>9.022352215774182E-2</v>
      </c>
      <c r="AO96" s="10">
        <v>4</v>
      </c>
    </row>
    <row r="97" spans="18:41" x14ac:dyDescent="0.2">
      <c r="R97" s="6">
        <v>92</v>
      </c>
      <c r="S97" s="6">
        <v>33.369834175643092</v>
      </c>
      <c r="T97" s="6">
        <v>0.28234048227649011</v>
      </c>
      <c r="U97" s="6">
        <v>0.28234048227649011</v>
      </c>
      <c r="V97" s="6" t="e">
        <v>#N/A</v>
      </c>
      <c r="W97" s="6" t="str">
        <v/>
      </c>
      <c r="Z97" s="6">
        <v>92</v>
      </c>
      <c r="AA97" s="6">
        <v>2</v>
      </c>
      <c r="AB97" s="6">
        <v>1.535999999999999E-2</v>
      </c>
      <c r="AC97" s="6">
        <v>1.535999999999999E-2</v>
      </c>
      <c r="AD97" s="6" t="e">
        <v>#N/A</v>
      </c>
      <c r="AE97" s="6" t="e">
        <v>#N/A</v>
      </c>
      <c r="AF97" s="6" t="str">
        <v/>
      </c>
      <c r="AI97" s="6">
        <v>92</v>
      </c>
      <c r="AJ97" s="6">
        <v>4</v>
      </c>
      <c r="AK97" s="10">
        <v>9.022352215774182E-2</v>
      </c>
      <c r="AL97" s="10" t="e">
        <v>#N/A</v>
      </c>
      <c r="AM97" s="10" t="e">
        <v>#N/A</v>
      </c>
      <c r="AN97" s="10">
        <v>9.022352215774182E-2</v>
      </c>
      <c r="AO97" s="10" t="str">
        <v/>
      </c>
    </row>
    <row r="98" spans="18:41" x14ac:dyDescent="0.2">
      <c r="R98" s="6">
        <v>93</v>
      </c>
      <c r="S98" s="6">
        <v>33.866257036071659</v>
      </c>
      <c r="T98" s="6">
        <v>0.28813947993989791</v>
      </c>
      <c r="U98" s="6">
        <v>0.28813947993989791</v>
      </c>
      <c r="V98" s="6" t="e">
        <v>#N/A</v>
      </c>
      <c r="W98" s="6" t="str">
        <v/>
      </c>
      <c r="Z98" s="6">
        <v>93</v>
      </c>
      <c r="AA98" s="6">
        <v>2</v>
      </c>
      <c r="AB98" s="6">
        <v>1.535999999999999E-2</v>
      </c>
      <c r="AC98" s="6">
        <v>1.535999999999999E-2</v>
      </c>
      <c r="AD98" s="6" t="e">
        <v>#N/A</v>
      </c>
      <c r="AE98" s="6" t="e">
        <v>#N/A</v>
      </c>
      <c r="AF98" s="6" t="str">
        <v/>
      </c>
      <c r="AI98" s="6">
        <v>93</v>
      </c>
      <c r="AJ98" s="6">
        <v>4</v>
      </c>
      <c r="AK98" s="10">
        <v>9.022352215774182E-2</v>
      </c>
      <c r="AL98" s="10" t="e">
        <v>#N/A</v>
      </c>
      <c r="AM98" s="10" t="e">
        <v>#N/A</v>
      </c>
      <c r="AN98" s="10">
        <v>9.022352215774182E-2</v>
      </c>
      <c r="AO98" s="10" t="str">
        <v/>
      </c>
    </row>
    <row r="99" spans="18:41" x14ac:dyDescent="0.2">
      <c r="R99" s="6">
        <v>94</v>
      </c>
      <c r="S99" s="6">
        <v>34.362679896500218</v>
      </c>
      <c r="T99" s="6">
        <v>0.29387647346152357</v>
      </c>
      <c r="U99" s="6">
        <v>0.29387647346152357</v>
      </c>
      <c r="V99" s="6" t="e">
        <v>#N/A</v>
      </c>
      <c r="W99" s="6" t="str">
        <v/>
      </c>
      <c r="Z99" s="6">
        <v>94</v>
      </c>
      <c r="AA99" s="6">
        <v>2</v>
      </c>
      <c r="AB99" s="6">
        <v>1.535999999999999E-2</v>
      </c>
      <c r="AC99" s="6">
        <v>1.535999999999999E-2</v>
      </c>
      <c r="AD99" s="6" t="e">
        <v>#N/A</v>
      </c>
      <c r="AE99" s="6" t="e">
        <v>#N/A</v>
      </c>
      <c r="AF99" s="6" t="str">
        <v/>
      </c>
      <c r="AI99" s="6">
        <v>94</v>
      </c>
      <c r="AJ99" s="6">
        <v>4</v>
      </c>
      <c r="AK99" s="10">
        <v>9.022352215774182E-2</v>
      </c>
      <c r="AL99" s="10" t="e">
        <v>#N/A</v>
      </c>
      <c r="AM99" s="10" t="e">
        <v>#N/A</v>
      </c>
      <c r="AN99" s="10">
        <v>9.022352215774182E-2</v>
      </c>
      <c r="AO99" s="10" t="str">
        <v/>
      </c>
    </row>
    <row r="100" spans="18:41" x14ac:dyDescent="0.2">
      <c r="R100" s="6">
        <v>95</v>
      </c>
      <c r="S100" s="6">
        <v>34.859102756928785</v>
      </c>
      <c r="T100" s="6">
        <v>0.29954309113595234</v>
      </c>
      <c r="U100" s="6">
        <v>0.29954309113595234</v>
      </c>
      <c r="V100" s="6" t="e">
        <v>#N/A</v>
      </c>
      <c r="W100" s="6" t="str">
        <v/>
      </c>
      <c r="Z100" s="6">
        <v>95</v>
      </c>
      <c r="AA100" s="6">
        <v>2</v>
      </c>
      <c r="AB100" s="6">
        <v>1.535999999999999E-2</v>
      </c>
      <c r="AC100" s="6">
        <v>1.535999999999999E-2</v>
      </c>
      <c r="AD100" s="6" t="e">
        <v>#N/A</v>
      </c>
      <c r="AE100" s="6" t="e">
        <v>#N/A</v>
      </c>
      <c r="AF100" s="6" t="str">
        <v/>
      </c>
      <c r="AI100" s="6">
        <v>95</v>
      </c>
      <c r="AJ100" s="6">
        <v>4</v>
      </c>
      <c r="AK100" s="10">
        <v>9.022352215774182E-2</v>
      </c>
      <c r="AL100" s="10" t="e">
        <v>#N/A</v>
      </c>
      <c r="AM100" s="10" t="e">
        <v>#N/A</v>
      </c>
      <c r="AN100" s="10">
        <v>9.022352215774182E-2</v>
      </c>
      <c r="AO100" s="10" t="str">
        <v/>
      </c>
    </row>
    <row r="101" spans="18:41" x14ac:dyDescent="0.2">
      <c r="R101" s="6">
        <v>96</v>
      </c>
      <c r="S101" s="6">
        <v>35.355525617357351</v>
      </c>
      <c r="T101" s="6">
        <v>0.30513092852481938</v>
      </c>
      <c r="U101" s="6">
        <v>0.30513092852481938</v>
      </c>
      <c r="V101" s="6" t="e">
        <v>#N/A</v>
      </c>
      <c r="W101" s="6" t="str">
        <v/>
      </c>
      <c r="Z101" s="6">
        <v>96</v>
      </c>
      <c r="AA101" s="6">
        <v>2</v>
      </c>
      <c r="AB101" s="6">
        <v>1.535999999999999E-2</v>
      </c>
      <c r="AC101" s="6">
        <v>1.535999999999999E-2</v>
      </c>
      <c r="AD101" s="6" t="e">
        <v>#N/A</v>
      </c>
      <c r="AE101" s="6" t="e">
        <v>#N/A</v>
      </c>
      <c r="AF101" s="6" t="str">
        <v/>
      </c>
      <c r="AI101" s="6">
        <v>96</v>
      </c>
      <c r="AJ101" s="6">
        <v>4</v>
      </c>
      <c r="AK101" s="10">
        <v>9.022352215774182E-2</v>
      </c>
      <c r="AL101" s="10" t="e">
        <v>#N/A</v>
      </c>
      <c r="AM101" s="10" t="e">
        <v>#N/A</v>
      </c>
      <c r="AN101" s="10">
        <v>9.022352215774182E-2</v>
      </c>
      <c r="AO101" s="10" t="str">
        <v/>
      </c>
    </row>
    <row r="102" spans="18:41" x14ac:dyDescent="0.2">
      <c r="R102" s="6">
        <v>97</v>
      </c>
      <c r="S102" s="6">
        <v>35.851948477785918</v>
      </c>
      <c r="T102" s="6">
        <v>0.31063156872665459</v>
      </c>
      <c r="U102" s="6">
        <v>0.31063156872665459</v>
      </c>
      <c r="V102" s="6" t="e">
        <v>#N/A</v>
      </c>
      <c r="W102" s="6" t="str">
        <v/>
      </c>
      <c r="Z102" s="6">
        <v>97</v>
      </c>
      <c r="AA102" s="6">
        <v>2</v>
      </c>
      <c r="AB102" s="6">
        <v>1.535999999999999E-2</v>
      </c>
      <c r="AC102" s="6">
        <v>1.535999999999999E-2</v>
      </c>
      <c r="AD102" s="6" t="e">
        <v>#N/A</v>
      </c>
      <c r="AE102" s="6" t="e">
        <v>#N/A</v>
      </c>
      <c r="AF102" s="6" t="str">
        <v/>
      </c>
      <c r="AI102" s="6">
        <v>97</v>
      </c>
      <c r="AJ102" s="6">
        <v>4</v>
      </c>
      <c r="AK102" s="10">
        <v>9.022352215774182E-2</v>
      </c>
      <c r="AL102" s="10" t="e">
        <v>#N/A</v>
      </c>
      <c r="AM102" s="10" t="e">
        <v>#N/A</v>
      </c>
      <c r="AN102" s="10">
        <v>9.022352215774182E-2</v>
      </c>
      <c r="AO102" s="10" t="str">
        <v/>
      </c>
    </row>
    <row r="103" spans="18:41" x14ac:dyDescent="0.2">
      <c r="R103" s="6">
        <v>98</v>
      </c>
      <c r="S103" s="6">
        <v>36.348371338214484</v>
      </c>
      <c r="T103" s="6">
        <v>0.31603660306984627</v>
      </c>
      <c r="U103" s="6">
        <v>0.31603660306984627</v>
      </c>
      <c r="V103" s="6" t="e">
        <v>#N/A</v>
      </c>
      <c r="W103" s="6" t="str">
        <v/>
      </c>
      <c r="Z103" s="6">
        <v>98</v>
      </c>
      <c r="AA103" s="6">
        <v>2</v>
      </c>
      <c r="AB103" s="6">
        <v>1.535999999999999E-2</v>
      </c>
      <c r="AC103" s="6">
        <v>1.535999999999999E-2</v>
      </c>
      <c r="AD103" s="6" t="e">
        <v>#N/A</v>
      </c>
      <c r="AE103" s="6" t="e">
        <v>#N/A</v>
      </c>
      <c r="AF103" s="6" t="str">
        <v/>
      </c>
      <c r="AI103" s="6">
        <v>98</v>
      </c>
      <c r="AJ103" s="6">
        <v>4</v>
      </c>
      <c r="AK103" s="10">
        <v>9.022352215774182E-2</v>
      </c>
      <c r="AL103" s="10" t="e">
        <v>#N/A</v>
      </c>
      <c r="AM103" s="10" t="e">
        <v>#N/A</v>
      </c>
      <c r="AN103" s="10">
        <v>9.022352215774182E-2</v>
      </c>
      <c r="AO103" s="10" t="str">
        <v/>
      </c>
    </row>
    <row r="104" spans="18:41" x14ac:dyDescent="0.2">
      <c r="R104" s="6">
        <v>99</v>
      </c>
      <c r="S104" s="6">
        <v>36.844794198643044</v>
      </c>
      <c r="T104" s="6">
        <v>0.32133765215946308</v>
      </c>
      <c r="U104" s="6">
        <v>0.32133765215946308</v>
      </c>
      <c r="V104" s="6" t="e">
        <v>#N/A</v>
      </c>
      <c r="W104" s="6" t="str">
        <v/>
      </c>
      <c r="Z104" s="6">
        <v>99</v>
      </c>
      <c r="AA104" s="6">
        <v>2</v>
      </c>
      <c r="AB104" s="6">
        <v>1.535999999999999E-2</v>
      </c>
      <c r="AC104" s="6">
        <v>1.535999999999999E-2</v>
      </c>
      <c r="AD104" s="6" t="e">
        <v>#N/A</v>
      </c>
      <c r="AE104" s="6" t="e">
        <v>#N/A</v>
      </c>
      <c r="AF104" s="6" t="str">
        <v/>
      </c>
      <c r="AI104" s="6">
        <v>99</v>
      </c>
      <c r="AJ104" s="6">
        <v>4</v>
      </c>
      <c r="AK104" s="10">
        <v>9.022352215774182E-2</v>
      </c>
      <c r="AL104" s="10" t="e">
        <v>#N/A</v>
      </c>
      <c r="AM104" s="10" t="e">
        <v>#N/A</v>
      </c>
      <c r="AN104" s="10">
        <v>9.022352215774182E-2</v>
      </c>
      <c r="AO104" s="10" t="str">
        <v/>
      </c>
    </row>
    <row r="105" spans="18:41" x14ac:dyDescent="0.2">
      <c r="R105" s="6">
        <v>100</v>
      </c>
      <c r="S105" s="6">
        <v>37.34121705907161</v>
      </c>
      <c r="T105" s="6">
        <v>0.32652638720586452</v>
      </c>
      <c r="U105" s="6">
        <v>0.32652638720586452</v>
      </c>
      <c r="V105" s="6" t="e">
        <v>#N/A</v>
      </c>
      <c r="W105" s="6" t="str">
        <v/>
      </c>
      <c r="Z105" s="6">
        <v>100</v>
      </c>
      <c r="AA105" s="6">
        <v>2</v>
      </c>
      <c r="AB105" s="6">
        <v>1.535999999999999E-2</v>
      </c>
      <c r="AC105" s="6">
        <v>1.535999999999999E-2</v>
      </c>
      <c r="AD105" s="6" t="e">
        <v>#N/A</v>
      </c>
      <c r="AE105" s="6" t="e">
        <v>#N/A</v>
      </c>
      <c r="AF105" s="6" t="str">
        <v/>
      </c>
      <c r="AI105" s="6">
        <v>100</v>
      </c>
      <c r="AJ105" s="6">
        <v>4</v>
      </c>
      <c r="AK105" s="10">
        <v>9.022352215774182E-2</v>
      </c>
      <c r="AL105" s="10" t="e">
        <v>#N/A</v>
      </c>
      <c r="AM105" s="10" t="e">
        <v>#N/A</v>
      </c>
      <c r="AN105" s="10">
        <v>9.022352215774182E-2</v>
      </c>
      <c r="AO105" s="10" t="str">
        <v/>
      </c>
    </row>
    <row r="106" spans="18:41" x14ac:dyDescent="0.2">
      <c r="R106" s="6">
        <v>101</v>
      </c>
      <c r="S106" s="6">
        <v>37.83763991950017</v>
      </c>
      <c r="T106" s="6">
        <v>0.33159455156052819</v>
      </c>
      <c r="U106" s="6">
        <v>0.33159455156052819</v>
      </c>
      <c r="V106" s="6" t="e">
        <v>#N/A</v>
      </c>
      <c r="W106" s="6">
        <v>37.840000000000003</v>
      </c>
      <c r="Z106" s="6">
        <v>101</v>
      </c>
      <c r="AA106" s="6">
        <v>2</v>
      </c>
      <c r="AB106" s="6">
        <v>1.535999999999999E-2</v>
      </c>
      <c r="AC106" s="6">
        <v>1.535999999999999E-2</v>
      </c>
      <c r="AD106" s="6" t="e">
        <v>#N/A</v>
      </c>
      <c r="AE106" s="6" t="e">
        <v>#N/A</v>
      </c>
      <c r="AF106" s="6" t="str">
        <v/>
      </c>
      <c r="AI106" s="6">
        <v>101</v>
      </c>
      <c r="AJ106" s="6" t="e">
        <v>#N/A</v>
      </c>
      <c r="AK106" s="10" t="e">
        <v>#N/A</v>
      </c>
      <c r="AL106" s="10" t="e">
        <v>#N/A</v>
      </c>
      <c r="AM106" s="10" t="e">
        <v>#N/A</v>
      </c>
      <c r="AN106" s="10" t="e">
        <v>#N/A</v>
      </c>
      <c r="AO106" s="10" t="str">
        <v/>
      </c>
    </row>
    <row r="107" spans="18:41" x14ac:dyDescent="0.2">
      <c r="R107" s="6">
        <v>102</v>
      </c>
      <c r="S107" s="6">
        <v>38.334062779928736</v>
      </c>
      <c r="T107" s="6">
        <v>0.33653398238234966</v>
      </c>
      <c r="U107" s="6">
        <v>0.33653398238234966</v>
      </c>
      <c r="V107" s="6" t="e">
        <v>#N/A</v>
      </c>
      <c r="W107" s="6" t="str">
        <v/>
      </c>
      <c r="Z107" s="6">
        <v>102</v>
      </c>
      <c r="AA107" s="6">
        <v>2</v>
      </c>
      <c r="AB107" s="6">
        <v>1.535999999999999E-2</v>
      </c>
      <c r="AC107" s="6">
        <v>1.535999999999999E-2</v>
      </c>
      <c r="AD107" s="6" t="e">
        <v>#N/A</v>
      </c>
      <c r="AE107" s="6" t="e">
        <v>#N/A</v>
      </c>
      <c r="AF107" s="6" t="str">
        <v/>
      </c>
      <c r="AI107" s="6">
        <v>102</v>
      </c>
      <c r="AJ107" s="6">
        <v>5</v>
      </c>
      <c r="AK107" s="10">
        <v>3.6089408863096716E-2</v>
      </c>
      <c r="AL107" s="10" t="e">
        <v>#N/A</v>
      </c>
      <c r="AM107" s="10" t="e">
        <v>#N/A</v>
      </c>
      <c r="AN107" s="10">
        <v>3.6089408863096716E-2</v>
      </c>
      <c r="AO107" s="10" t="str">
        <v/>
      </c>
    </row>
    <row r="108" spans="18:41" x14ac:dyDescent="0.2">
      <c r="R108" s="6">
        <v>103</v>
      </c>
      <c r="S108" s="6">
        <v>38.830485640357303</v>
      </c>
      <c r="T108" s="6">
        <v>0.34133663235583905</v>
      </c>
      <c r="U108" s="6">
        <v>0.34133663235583905</v>
      </c>
      <c r="V108" s="6" t="e">
        <v>#N/A</v>
      </c>
      <c r="W108" s="6" t="str">
        <v/>
      </c>
      <c r="Z108" s="6">
        <v>103</v>
      </c>
      <c r="AA108" s="6">
        <v>2</v>
      </c>
      <c r="AB108" s="6">
        <v>1.535999999999999E-2</v>
      </c>
      <c r="AC108" s="6">
        <v>1.535999999999999E-2</v>
      </c>
      <c r="AD108" s="6" t="e">
        <v>#N/A</v>
      </c>
      <c r="AE108" s="6" t="e">
        <v>#N/A</v>
      </c>
      <c r="AF108" s="6" t="str">
        <v/>
      </c>
      <c r="AI108" s="6">
        <v>103</v>
      </c>
      <c r="AJ108" s="6">
        <v>5</v>
      </c>
      <c r="AK108" s="10">
        <v>3.6089408863096716E-2</v>
      </c>
      <c r="AL108" s="10" t="e">
        <v>#N/A</v>
      </c>
      <c r="AM108" s="10" t="e">
        <v>#N/A</v>
      </c>
      <c r="AN108" s="10">
        <v>3.6089408863096716E-2</v>
      </c>
      <c r="AO108" s="10" t="str">
        <v/>
      </c>
    </row>
    <row r="109" spans="18:41" x14ac:dyDescent="0.2">
      <c r="R109" s="6">
        <v>104</v>
      </c>
      <c r="S109" s="6">
        <v>39.326908500785862</v>
      </c>
      <c r="T109" s="6">
        <v>0.34599459138117061</v>
      </c>
      <c r="U109" s="6">
        <v>0.34599459138117061</v>
      </c>
      <c r="V109" s="6" t="e">
        <v>#N/A</v>
      </c>
      <c r="W109" s="6" t="str">
        <v/>
      </c>
      <c r="Z109" s="6">
        <v>104</v>
      </c>
      <c r="AA109" s="6">
        <v>2</v>
      </c>
      <c r="AB109" s="6">
        <v>1.535999999999999E-2</v>
      </c>
      <c r="AC109" s="6">
        <v>1.535999999999999E-2</v>
      </c>
      <c r="AD109" s="6" t="e">
        <v>#N/A</v>
      </c>
      <c r="AE109" s="6" t="e">
        <v>#N/A</v>
      </c>
      <c r="AF109" s="6" t="str">
        <v/>
      </c>
      <c r="AI109" s="6">
        <v>104</v>
      </c>
      <c r="AJ109" s="6">
        <v>5</v>
      </c>
      <c r="AK109" s="10">
        <v>3.6089408863096716E-2</v>
      </c>
      <c r="AL109" s="10" t="e">
        <v>#N/A</v>
      </c>
      <c r="AM109" s="10" t="e">
        <v>#N/A</v>
      </c>
      <c r="AN109" s="10">
        <v>3.6089408863096716E-2</v>
      </c>
      <c r="AO109" s="10" t="str">
        <v/>
      </c>
    </row>
    <row r="110" spans="18:41" x14ac:dyDescent="0.2">
      <c r="R110" s="6">
        <v>105</v>
      </c>
      <c r="S110" s="6">
        <v>39.823331361214429</v>
      </c>
      <c r="T110" s="6">
        <v>0.35050010815494687</v>
      </c>
      <c r="U110" s="6">
        <v>0.35050010815494687</v>
      </c>
      <c r="V110" s="6" t="e">
        <v>#N/A</v>
      </c>
      <c r="W110" s="6" t="str">
        <v/>
      </c>
      <c r="Z110" s="6">
        <v>105</v>
      </c>
      <c r="AA110" s="6">
        <v>2</v>
      </c>
      <c r="AB110" s="6">
        <v>1.535999999999999E-2</v>
      </c>
      <c r="AC110" s="6">
        <v>1.535999999999999E-2</v>
      </c>
      <c r="AD110" s="6" t="e">
        <v>#N/A</v>
      </c>
      <c r="AE110" s="6" t="e">
        <v>#N/A</v>
      </c>
      <c r="AF110" s="6" t="str">
        <v/>
      </c>
      <c r="AI110" s="6">
        <v>105</v>
      </c>
      <c r="AJ110" s="6">
        <v>5</v>
      </c>
      <c r="AK110" s="10">
        <v>3.6089408863096716E-2</v>
      </c>
      <c r="AL110" s="10" t="e">
        <v>#N/A</v>
      </c>
      <c r="AM110" s="10" t="e">
        <v>#N/A</v>
      </c>
      <c r="AN110" s="10">
        <v>3.6089408863096716E-2</v>
      </c>
      <c r="AO110" s="10" t="str">
        <v/>
      </c>
    </row>
    <row r="111" spans="18:41" x14ac:dyDescent="0.2">
      <c r="R111" s="6">
        <v>106</v>
      </c>
      <c r="S111" s="6">
        <v>40.319754221642995</v>
      </c>
      <c r="T111" s="6">
        <v>0.35484561155982908</v>
      </c>
      <c r="U111" s="6">
        <v>0.35484561155982908</v>
      </c>
      <c r="V111" s="6" t="e">
        <v>#N/A</v>
      </c>
      <c r="W111" s="6" t="str">
        <v/>
      </c>
      <c r="Z111" s="6">
        <v>106</v>
      </c>
      <c r="AA111" s="6" t="e">
        <v>#N/A</v>
      </c>
      <c r="AB111" s="6" t="e">
        <v>#N/A</v>
      </c>
      <c r="AC111" s="6" t="e">
        <v>#N/A</v>
      </c>
      <c r="AD111" s="6" t="e">
        <v>#N/A</v>
      </c>
      <c r="AE111" s="6" t="e">
        <v>#N/A</v>
      </c>
      <c r="AF111" s="6" t="str">
        <v/>
      </c>
      <c r="AI111" s="6">
        <v>106</v>
      </c>
      <c r="AJ111" s="6">
        <v>5</v>
      </c>
      <c r="AK111" s="10">
        <v>3.6089408863096716E-2</v>
      </c>
      <c r="AL111" s="10" t="e">
        <v>#N/A</v>
      </c>
      <c r="AM111" s="10" t="e">
        <v>#N/A</v>
      </c>
      <c r="AN111" s="10">
        <v>3.6089408863096716E-2</v>
      </c>
      <c r="AO111" s="10" t="str">
        <v/>
      </c>
    </row>
    <row r="112" spans="18:41" x14ac:dyDescent="0.2">
      <c r="R112" s="6">
        <v>107</v>
      </c>
      <c r="S112" s="6">
        <v>40.816177082071562</v>
      </c>
      <c r="T112" s="6">
        <v>0.35902373178087493</v>
      </c>
      <c r="U112" s="6">
        <v>0.35902373178087493</v>
      </c>
      <c r="V112" s="6" t="e">
        <v>#N/A</v>
      </c>
      <c r="W112" s="6" t="str">
        <v/>
      </c>
      <c r="Z112" s="6">
        <v>107</v>
      </c>
      <c r="AA112" s="6">
        <v>3</v>
      </c>
      <c r="AB112" s="6">
        <v>8.1919999999999951E-2</v>
      </c>
      <c r="AC112" s="6">
        <v>8.1919999999999951E-2</v>
      </c>
      <c r="AD112" s="6" t="e">
        <v>#N/A</v>
      </c>
      <c r="AE112" s="6" t="e">
        <v>#N/A</v>
      </c>
      <c r="AF112" s="6" t="str">
        <v/>
      </c>
      <c r="AI112" s="6">
        <v>107</v>
      </c>
      <c r="AJ112" s="6">
        <v>5</v>
      </c>
      <c r="AK112" s="10">
        <v>3.6089408863096716E-2</v>
      </c>
      <c r="AL112" s="10" t="e">
        <v>#N/A</v>
      </c>
      <c r="AM112" s="10" t="e">
        <v>#N/A</v>
      </c>
      <c r="AN112" s="10">
        <v>3.6089408863096716E-2</v>
      </c>
      <c r="AO112" s="10" t="str">
        <v/>
      </c>
    </row>
    <row r="113" spans="18:41" x14ac:dyDescent="0.2">
      <c r="R113" s="6">
        <v>108</v>
      </c>
      <c r="S113" s="6">
        <v>41.312599942500128</v>
      </c>
      <c r="T113" s="6">
        <v>0.36302732106651397</v>
      </c>
      <c r="U113" s="6">
        <v>0.36302732106651397</v>
      </c>
      <c r="V113" s="6" t="e">
        <v>#N/A</v>
      </c>
      <c r="W113" s="6" t="str">
        <v/>
      </c>
      <c r="Z113" s="6">
        <v>108</v>
      </c>
      <c r="AA113" s="6">
        <v>3</v>
      </c>
      <c r="AB113" s="6">
        <v>8.1919999999999951E-2</v>
      </c>
      <c r="AC113" s="6">
        <v>8.1919999999999951E-2</v>
      </c>
      <c r="AD113" s="6" t="e">
        <v>#N/A</v>
      </c>
      <c r="AE113" s="6" t="e">
        <v>#N/A</v>
      </c>
      <c r="AF113" s="6" t="str">
        <v/>
      </c>
      <c r="AI113" s="6">
        <v>108</v>
      </c>
      <c r="AJ113" s="6">
        <v>5</v>
      </c>
      <c r="AK113" s="10">
        <v>3.6089408863096716E-2</v>
      </c>
      <c r="AL113" s="10" t="e">
        <v>#N/A</v>
      </c>
      <c r="AM113" s="10" t="e">
        <v>#N/A</v>
      </c>
      <c r="AN113" s="10">
        <v>3.6089408863096716E-2</v>
      </c>
      <c r="AO113" s="10" t="str">
        <v/>
      </c>
    </row>
    <row r="114" spans="18:41" x14ac:dyDescent="0.2">
      <c r="R114" s="6">
        <v>109</v>
      </c>
      <c r="S114" s="6">
        <v>41.809022802928688</v>
      </c>
      <c r="T114" s="6">
        <v>0.36684947405258844</v>
      </c>
      <c r="U114" s="6">
        <v>0.36684947405258844</v>
      </c>
      <c r="V114" s="6" t="e">
        <v>#N/A</v>
      </c>
      <c r="W114" s="6" t="str">
        <v/>
      </c>
      <c r="Z114" s="6">
        <v>109</v>
      </c>
      <c r="AA114" s="6">
        <v>3</v>
      </c>
      <c r="AB114" s="6">
        <v>8.1919999999999951E-2</v>
      </c>
      <c r="AC114" s="6">
        <v>8.1919999999999951E-2</v>
      </c>
      <c r="AD114" s="6" t="e">
        <v>#N/A</v>
      </c>
      <c r="AE114" s="6" t="e">
        <v>#N/A</v>
      </c>
      <c r="AF114" s="6" t="str">
        <v/>
      </c>
      <c r="AI114" s="6">
        <v>109</v>
      </c>
      <c r="AJ114" s="6">
        <v>5</v>
      </c>
      <c r="AK114" s="10">
        <v>3.6089408863096716E-2</v>
      </c>
      <c r="AL114" s="10" t="e">
        <v>#N/A</v>
      </c>
      <c r="AM114" s="10" t="e">
        <v>#N/A</v>
      </c>
      <c r="AN114" s="10">
        <v>3.6089408863096716E-2</v>
      </c>
      <c r="AO114" s="10" t="str">
        <v/>
      </c>
    </row>
    <row r="115" spans="18:41" x14ac:dyDescent="0.2">
      <c r="R115" s="6">
        <v>110</v>
      </c>
      <c r="S115" s="6">
        <v>42.305445663357254</v>
      </c>
      <c r="T115" s="6">
        <v>0.37048354756879887</v>
      </c>
      <c r="U115" s="6">
        <v>0.37048354756879887</v>
      </c>
      <c r="V115" s="6" t="e">
        <v>#N/A</v>
      </c>
      <c r="W115" s="6" t="str">
        <v/>
      </c>
      <c r="Z115" s="6">
        <v>110</v>
      </c>
      <c r="AA115" s="6">
        <v>3</v>
      </c>
      <c r="AB115" s="6">
        <v>8.1919999999999951E-2</v>
      </c>
      <c r="AC115" s="6">
        <v>8.1919999999999951E-2</v>
      </c>
      <c r="AD115" s="6" t="e">
        <v>#N/A</v>
      </c>
      <c r="AE115" s="6" t="e">
        <v>#N/A</v>
      </c>
      <c r="AF115" s="6" t="str">
        <v/>
      </c>
      <c r="AI115" s="6">
        <v>110</v>
      </c>
      <c r="AJ115" s="6">
        <v>5</v>
      </c>
      <c r="AK115" s="10">
        <v>3.6089408863096716E-2</v>
      </c>
      <c r="AL115" s="10" t="e">
        <v>#N/A</v>
      </c>
      <c r="AM115" s="10" t="e">
        <v>#N/A</v>
      </c>
      <c r="AN115" s="10">
        <v>3.6089408863096716E-2</v>
      </c>
      <c r="AO115" s="10" t="str">
        <v/>
      </c>
    </row>
    <row r="116" spans="18:41" x14ac:dyDescent="0.2">
      <c r="R116" s="6">
        <v>111</v>
      </c>
      <c r="S116" s="6">
        <v>42.801868523785814</v>
      </c>
      <c r="T116" s="6">
        <v>0.37392317984820889</v>
      </c>
      <c r="U116" s="6">
        <v>0.37392317984820889</v>
      </c>
      <c r="V116" s="6" t="e">
        <v>#N/A</v>
      </c>
      <c r="W116" s="6" t="str">
        <v/>
      </c>
      <c r="Z116" s="6">
        <v>111</v>
      </c>
      <c r="AA116" s="6">
        <v>3</v>
      </c>
      <c r="AB116" s="6">
        <v>8.1919999999999951E-2</v>
      </c>
      <c r="AC116" s="6">
        <v>8.1919999999999951E-2</v>
      </c>
      <c r="AD116" s="6" t="e">
        <v>#N/A</v>
      </c>
      <c r="AE116" s="6" t="e">
        <v>#N/A</v>
      </c>
      <c r="AF116" s="6" t="str">
        <v/>
      </c>
      <c r="AI116" s="6">
        <v>111</v>
      </c>
      <c r="AJ116" s="6">
        <v>5</v>
      </c>
      <c r="AK116" s="10">
        <v>3.6089408863096716E-2</v>
      </c>
      <c r="AL116" s="10" t="e">
        <v>#N/A</v>
      </c>
      <c r="AM116" s="10" t="e">
        <v>#N/A</v>
      </c>
      <c r="AN116" s="10">
        <v>3.6089408863096716E-2</v>
      </c>
      <c r="AO116" s="10">
        <v>5</v>
      </c>
    </row>
    <row r="117" spans="18:41" x14ac:dyDescent="0.2">
      <c r="R117" s="6">
        <v>112</v>
      </c>
      <c r="S117" s="6">
        <v>43.29829138421438</v>
      </c>
      <c r="T117" s="6">
        <v>0.37716230906219395</v>
      </c>
      <c r="U117" s="6">
        <v>0.37716230906219395</v>
      </c>
      <c r="V117" s="6" t="e">
        <v>#N/A</v>
      </c>
      <c r="W117" s="6" t="str">
        <v/>
      </c>
      <c r="Z117" s="6">
        <v>112</v>
      </c>
      <c r="AA117" s="6">
        <v>3</v>
      </c>
      <c r="AB117" s="6">
        <v>8.1919999999999951E-2</v>
      </c>
      <c r="AC117" s="6">
        <v>8.1919999999999951E-2</v>
      </c>
      <c r="AD117" s="6" t="e">
        <v>#N/A</v>
      </c>
      <c r="AE117" s="6" t="e">
        <v>#N/A</v>
      </c>
      <c r="AF117" s="6" t="str">
        <v/>
      </c>
      <c r="AI117" s="6">
        <v>112</v>
      </c>
      <c r="AJ117" s="6">
        <v>5</v>
      </c>
      <c r="AK117" s="10">
        <v>3.6089408863096716E-2</v>
      </c>
      <c r="AL117" s="10" t="e">
        <v>#N/A</v>
      </c>
      <c r="AM117" s="10" t="e">
        <v>#N/A</v>
      </c>
      <c r="AN117" s="10">
        <v>3.6089408863096716E-2</v>
      </c>
      <c r="AO117" s="10" t="str">
        <v/>
      </c>
    </row>
    <row r="118" spans="18:41" x14ac:dyDescent="0.2">
      <c r="R118" s="6">
        <v>113</v>
      </c>
      <c r="S118" s="6">
        <v>43.794714244642947</v>
      </c>
      <c r="T118" s="6">
        <v>0.38019519110534461</v>
      </c>
      <c r="U118" s="6">
        <v>0.38019519110534461</v>
      </c>
      <c r="V118" s="6" t="e">
        <v>#N/A</v>
      </c>
      <c r="W118" s="6" t="str">
        <v/>
      </c>
      <c r="Z118" s="6">
        <v>113</v>
      </c>
      <c r="AA118" s="6">
        <v>3</v>
      </c>
      <c r="AB118" s="6">
        <v>8.1919999999999951E-2</v>
      </c>
      <c r="AC118" s="6">
        <v>8.1919999999999951E-2</v>
      </c>
      <c r="AD118" s="6" t="e">
        <v>#N/A</v>
      </c>
      <c r="AE118" s="6" t="e">
        <v>#N/A</v>
      </c>
      <c r="AF118" s="6" t="str">
        <v/>
      </c>
      <c r="AI118" s="6">
        <v>113</v>
      </c>
      <c r="AJ118" s="6">
        <v>5</v>
      </c>
      <c r="AK118" s="10">
        <v>3.6089408863096716E-2</v>
      </c>
      <c r="AL118" s="10" t="e">
        <v>#N/A</v>
      </c>
      <c r="AM118" s="10" t="e">
        <v>#N/A</v>
      </c>
      <c r="AN118" s="10">
        <v>3.6089408863096716E-2</v>
      </c>
      <c r="AO118" s="10" t="str">
        <v/>
      </c>
    </row>
    <row r="119" spans="18:41" x14ac:dyDescent="0.2">
      <c r="R119" s="6">
        <v>114</v>
      </c>
      <c r="S119" s="6">
        <v>44.291137105071506</v>
      </c>
      <c r="T119" s="6">
        <v>0.38301641655736096</v>
      </c>
      <c r="U119" s="6">
        <v>0.38301641655736096</v>
      </c>
      <c r="V119" s="6" t="e">
        <v>#N/A</v>
      </c>
      <c r="W119" s="6" t="str">
        <v/>
      </c>
      <c r="Z119" s="6">
        <v>114</v>
      </c>
      <c r="AA119" s="6">
        <v>3</v>
      </c>
      <c r="AB119" s="6">
        <v>8.1919999999999951E-2</v>
      </c>
      <c r="AC119" s="6">
        <v>8.1919999999999951E-2</v>
      </c>
      <c r="AD119" s="6" t="e">
        <v>#N/A</v>
      </c>
      <c r="AE119" s="6" t="e">
        <v>#N/A</v>
      </c>
      <c r="AF119" s="6" t="str">
        <v/>
      </c>
      <c r="AI119" s="6">
        <v>114</v>
      </c>
      <c r="AJ119" s="6">
        <v>5</v>
      </c>
      <c r="AK119" s="10">
        <v>3.6089408863096716E-2</v>
      </c>
      <c r="AL119" s="10" t="e">
        <v>#N/A</v>
      </c>
      <c r="AM119" s="10" t="e">
        <v>#N/A</v>
      </c>
      <c r="AN119" s="10">
        <v>3.6089408863096716E-2</v>
      </c>
      <c r="AO119" s="10" t="str">
        <v/>
      </c>
    </row>
    <row r="120" spans="18:41" x14ac:dyDescent="0.2">
      <c r="R120" s="6">
        <v>115</v>
      </c>
      <c r="S120" s="6">
        <v>44.787559965500073</v>
      </c>
      <c r="T120" s="6">
        <v>0.38562092675188125</v>
      </c>
      <c r="U120" s="6">
        <v>0.38562092675188125</v>
      </c>
      <c r="V120" s="6" t="e">
        <v>#N/A</v>
      </c>
      <c r="W120" s="6" t="str">
        <v/>
      </c>
      <c r="Z120" s="6">
        <v>115</v>
      </c>
      <c r="AA120" s="6">
        <v>3</v>
      </c>
      <c r="AB120" s="6">
        <v>8.1919999999999951E-2</v>
      </c>
      <c r="AC120" s="6">
        <v>8.1919999999999951E-2</v>
      </c>
      <c r="AD120" s="6" t="e">
        <v>#N/A</v>
      </c>
      <c r="AE120" s="6" t="e">
        <v>#N/A</v>
      </c>
      <c r="AF120" s="6" t="str">
        <v/>
      </c>
      <c r="AI120" s="6">
        <v>115</v>
      </c>
      <c r="AJ120" s="6">
        <v>5</v>
      </c>
      <c r="AK120" s="10">
        <v>3.6089408863096716E-2</v>
      </c>
      <c r="AL120" s="10" t="e">
        <v>#N/A</v>
      </c>
      <c r="AM120" s="10" t="e">
        <v>#N/A</v>
      </c>
      <c r="AN120" s="10">
        <v>3.6089408863096716E-2</v>
      </c>
      <c r="AO120" s="10" t="str">
        <v/>
      </c>
    </row>
    <row r="121" spans="18:41" x14ac:dyDescent="0.2">
      <c r="R121" s="6">
        <v>116</v>
      </c>
      <c r="S121" s="6">
        <v>45.283982825928639</v>
      </c>
      <c r="T121" s="6">
        <v>0.38800402888546742</v>
      </c>
      <c r="U121" s="6">
        <v>0.38800402888546742</v>
      </c>
      <c r="V121" s="6" t="e">
        <v>#N/A</v>
      </c>
      <c r="W121" s="6" t="str">
        <v/>
      </c>
      <c r="Z121" s="6">
        <v>116</v>
      </c>
      <c r="AA121" s="6">
        <v>3</v>
      </c>
      <c r="AB121" s="6">
        <v>8.1919999999999951E-2</v>
      </c>
      <c r="AC121" s="6">
        <v>8.1919999999999951E-2</v>
      </c>
      <c r="AD121" s="6" t="e">
        <v>#N/A</v>
      </c>
      <c r="AE121" s="6" t="e">
        <v>#N/A</v>
      </c>
      <c r="AF121" s="6" t="str">
        <v/>
      </c>
      <c r="AI121" s="6">
        <v>116</v>
      </c>
      <c r="AJ121" s="6">
        <v>5</v>
      </c>
      <c r="AK121" s="10">
        <v>3.6089408863096716E-2</v>
      </c>
      <c r="AL121" s="10" t="e">
        <v>#N/A</v>
      </c>
      <c r="AM121" s="10" t="e">
        <v>#N/A</v>
      </c>
      <c r="AN121" s="10">
        <v>3.6089408863096716E-2</v>
      </c>
      <c r="AO121" s="10" t="str">
        <v/>
      </c>
    </row>
    <row r="122" spans="18:41" x14ac:dyDescent="0.2">
      <c r="R122" s="6">
        <v>117</v>
      </c>
      <c r="S122" s="6">
        <v>45.780405686357206</v>
      </c>
      <c r="T122" s="6">
        <v>0.39016141010360739</v>
      </c>
      <c r="U122" s="6">
        <v>0.39016141010360739</v>
      </c>
      <c r="V122" s="6" t="e">
        <v>#N/A</v>
      </c>
      <c r="W122" s="6" t="str">
        <v/>
      </c>
      <c r="Z122" s="6">
        <v>117</v>
      </c>
      <c r="AA122" s="6">
        <v>3</v>
      </c>
      <c r="AB122" s="6">
        <v>8.1919999999999951E-2</v>
      </c>
      <c r="AC122" s="6">
        <v>8.1919999999999951E-2</v>
      </c>
      <c r="AD122" s="6" t="e">
        <v>#N/A</v>
      </c>
      <c r="AE122" s="6" t="e">
        <v>#N/A</v>
      </c>
      <c r="AF122" s="6" t="str">
        <v/>
      </c>
      <c r="AI122" s="6">
        <v>117</v>
      </c>
      <c r="AJ122" s="6">
        <v>5</v>
      </c>
      <c r="AK122" s="10">
        <v>3.6089408863096716E-2</v>
      </c>
      <c r="AL122" s="10" t="e">
        <v>#N/A</v>
      </c>
      <c r="AM122" s="10" t="e">
        <v>#N/A</v>
      </c>
      <c r="AN122" s="10">
        <v>3.6089408863096716E-2</v>
      </c>
      <c r="AO122" s="10" t="str">
        <v/>
      </c>
    </row>
    <row r="123" spans="18:41" x14ac:dyDescent="0.2">
      <c r="R123" s="6">
        <v>118</v>
      </c>
      <c r="S123" s="6">
        <v>46.276828546785772</v>
      </c>
      <c r="T123" s="6">
        <v>0.39208915050456949</v>
      </c>
      <c r="U123" s="6">
        <v>0.39208915050456949</v>
      </c>
      <c r="V123" s="6" t="e">
        <v>#N/A</v>
      </c>
      <c r="W123" s="6" t="str">
        <v/>
      </c>
      <c r="Z123" s="6">
        <v>118</v>
      </c>
      <c r="AA123" s="6">
        <v>3</v>
      </c>
      <c r="AB123" s="6">
        <v>8.1919999999999951E-2</v>
      </c>
      <c r="AC123" s="6">
        <v>8.1919999999999951E-2</v>
      </c>
      <c r="AD123" s="6" t="e">
        <v>#N/A</v>
      </c>
      <c r="AE123" s="6" t="e">
        <v>#N/A</v>
      </c>
      <c r="AF123" s="6" t="str">
        <v/>
      </c>
      <c r="AI123" s="6">
        <v>118</v>
      </c>
      <c r="AJ123" s="6">
        <v>5</v>
      </c>
      <c r="AK123" s="10">
        <v>3.6089408863096716E-2</v>
      </c>
      <c r="AL123" s="10" t="e">
        <v>#N/A</v>
      </c>
      <c r="AM123" s="10" t="e">
        <v>#N/A</v>
      </c>
      <c r="AN123" s="10">
        <v>3.6089408863096716E-2</v>
      </c>
      <c r="AO123" s="10" t="str">
        <v/>
      </c>
    </row>
    <row r="124" spans="18:41" x14ac:dyDescent="0.2">
      <c r="R124" s="6">
        <v>119</v>
      </c>
      <c r="S124" s="6">
        <v>46.773251407214332</v>
      </c>
      <c r="T124" s="6">
        <v>0.39378373500623565</v>
      </c>
      <c r="U124" s="6">
        <v>0.39378373500623565</v>
      </c>
      <c r="V124" s="6" t="e">
        <v>#N/A</v>
      </c>
      <c r="W124" s="6" t="str">
        <v/>
      </c>
      <c r="Z124" s="6">
        <v>119</v>
      </c>
      <c r="AA124" s="6">
        <v>3</v>
      </c>
      <c r="AB124" s="6">
        <v>8.1919999999999951E-2</v>
      </c>
      <c r="AC124" s="6">
        <v>8.1919999999999951E-2</v>
      </c>
      <c r="AD124" s="6" t="e">
        <v>#N/A</v>
      </c>
      <c r="AE124" s="6" t="e">
        <v>#N/A</v>
      </c>
      <c r="AF124" s="6" t="str">
        <v/>
      </c>
      <c r="AI124" s="6">
        <v>119</v>
      </c>
      <c r="AJ124" s="6">
        <v>5</v>
      </c>
      <c r="AK124" s="10">
        <v>3.6089408863096716E-2</v>
      </c>
      <c r="AL124" s="10" t="e">
        <v>#N/A</v>
      </c>
      <c r="AM124" s="10" t="e">
        <v>#N/A</v>
      </c>
      <c r="AN124" s="10">
        <v>3.6089408863096716E-2</v>
      </c>
      <c r="AO124" s="10" t="str">
        <v/>
      </c>
    </row>
    <row r="125" spans="18:41" x14ac:dyDescent="0.2">
      <c r="R125" s="6">
        <v>120</v>
      </c>
      <c r="S125" s="6">
        <v>47.269674267642898</v>
      </c>
      <c r="T125" s="6">
        <v>0.39524206402563766</v>
      </c>
      <c r="U125" s="6">
        <v>0.39524206402563766</v>
      </c>
      <c r="V125" s="6" t="e">
        <v>#N/A</v>
      </c>
      <c r="W125" s="6" t="str">
        <v/>
      </c>
      <c r="Z125" s="6">
        <v>120</v>
      </c>
      <c r="AA125" s="6">
        <v>3</v>
      </c>
      <c r="AB125" s="6">
        <v>8.1919999999999951E-2</v>
      </c>
      <c r="AC125" s="6">
        <v>8.1919999999999951E-2</v>
      </c>
      <c r="AD125" s="6" t="e">
        <v>#N/A</v>
      </c>
      <c r="AE125" s="6" t="e">
        <v>#N/A</v>
      </c>
      <c r="AF125" s="6" t="str">
        <v/>
      </c>
      <c r="AI125" s="6">
        <v>120</v>
      </c>
      <c r="AJ125" s="6">
        <v>5</v>
      </c>
      <c r="AK125" s="10">
        <v>3.6089408863096716E-2</v>
      </c>
      <c r="AL125" s="10" t="e">
        <v>#N/A</v>
      </c>
      <c r="AM125" s="10" t="e">
        <v>#N/A</v>
      </c>
      <c r="AN125" s="10">
        <v>3.6089408863096716E-2</v>
      </c>
      <c r="AO125" s="10" t="str">
        <v/>
      </c>
    </row>
    <row r="126" spans="18:41" x14ac:dyDescent="0.2">
      <c r="R126" s="6">
        <v>121</v>
      </c>
      <c r="S126" s="6">
        <v>47.766097128071458</v>
      </c>
      <c r="T126" s="6">
        <v>0.39646146292578138</v>
      </c>
      <c r="U126" s="6">
        <v>0.39646146292578138</v>
      </c>
      <c r="V126" s="6" t="e">
        <v>#N/A</v>
      </c>
      <c r="W126" s="6" t="str">
        <v/>
      </c>
      <c r="Z126" s="6">
        <v>121</v>
      </c>
      <c r="AA126" s="6">
        <v>3</v>
      </c>
      <c r="AB126" s="6">
        <v>8.1919999999999951E-2</v>
      </c>
      <c r="AC126" s="6">
        <v>8.1919999999999951E-2</v>
      </c>
      <c r="AD126" s="6" t="e">
        <v>#N/A</v>
      </c>
      <c r="AE126" s="6" t="e">
        <v>#N/A</v>
      </c>
      <c r="AF126" s="6" t="str">
        <v/>
      </c>
      <c r="AI126" s="6">
        <v>121</v>
      </c>
      <c r="AJ126" s="6" t="e">
        <v>#N/A</v>
      </c>
      <c r="AK126" s="10" t="e">
        <v>#N/A</v>
      </c>
      <c r="AL126" s="10" t="e">
        <v>#N/A</v>
      </c>
      <c r="AM126" s="10" t="e">
        <v>#N/A</v>
      </c>
      <c r="AN126" s="10" t="e">
        <v>#N/A</v>
      </c>
      <c r="AO126" s="10" t="str">
        <v/>
      </c>
    </row>
    <row r="127" spans="18:41" x14ac:dyDescent="0.2">
      <c r="R127" s="6">
        <v>122</v>
      </c>
      <c r="S127" s="6">
        <v>48.262519988500024</v>
      </c>
      <c r="T127" s="6">
        <v>0.39743969018946163</v>
      </c>
      <c r="U127" s="6">
        <v>0.39743969018946163</v>
      </c>
      <c r="V127" s="6" t="e">
        <v>#N/A</v>
      </c>
      <c r="W127" s="6" t="str">
        <v/>
      </c>
      <c r="Z127" s="6">
        <v>122</v>
      </c>
      <c r="AA127" s="6">
        <v>3</v>
      </c>
      <c r="AB127" s="6">
        <v>8.1919999999999951E-2</v>
      </c>
      <c r="AC127" s="6">
        <v>8.1919999999999951E-2</v>
      </c>
      <c r="AD127" s="6" t="e">
        <v>#N/A</v>
      </c>
      <c r="AE127" s="6" t="e">
        <v>#N/A</v>
      </c>
      <c r="AF127" s="6" t="str">
        <v/>
      </c>
      <c r="AI127" s="6">
        <v>122</v>
      </c>
      <c r="AJ127" s="6">
        <v>6</v>
      </c>
      <c r="AK127" s="10">
        <v>1.2029802954365572E-2</v>
      </c>
      <c r="AL127" s="10" t="e">
        <v>#N/A</v>
      </c>
      <c r="AM127" s="10" t="e">
        <v>#N/A</v>
      </c>
      <c r="AN127" s="10">
        <v>1.2029802954365572E-2</v>
      </c>
      <c r="AO127" s="10" t="str">
        <v/>
      </c>
    </row>
    <row r="128" spans="18:41" x14ac:dyDescent="0.2">
      <c r="R128" s="6">
        <v>123</v>
      </c>
      <c r="S128" s="6">
        <v>48.758942848928591</v>
      </c>
      <c r="T128" s="6">
        <v>0.3981749442851033</v>
      </c>
      <c r="U128" s="6">
        <v>0.3981749442851033</v>
      </c>
      <c r="V128" s="6" t="e">
        <v>#N/A</v>
      </c>
      <c r="W128" s="6" t="str">
        <v/>
      </c>
      <c r="Z128" s="6">
        <v>123</v>
      </c>
      <c r="AA128" s="6">
        <v>3</v>
      </c>
      <c r="AB128" s="6">
        <v>8.1919999999999951E-2</v>
      </c>
      <c r="AC128" s="6">
        <v>8.1919999999999951E-2</v>
      </c>
      <c r="AD128" s="6" t="e">
        <v>#N/A</v>
      </c>
      <c r="AE128" s="6" t="e">
        <v>#N/A</v>
      </c>
      <c r="AF128" s="6" t="str">
        <v/>
      </c>
      <c r="AI128" s="6">
        <v>123</v>
      </c>
      <c r="AJ128" s="6">
        <v>6</v>
      </c>
      <c r="AK128" s="10">
        <v>1.2029802954365572E-2</v>
      </c>
      <c r="AL128" s="10" t="e">
        <v>#N/A</v>
      </c>
      <c r="AM128" s="10" t="e">
        <v>#N/A</v>
      </c>
      <c r="AN128" s="10">
        <v>1.2029802954365572E-2</v>
      </c>
      <c r="AO128" s="10" t="str">
        <v/>
      </c>
    </row>
    <row r="129" spans="18:41" x14ac:dyDescent="0.2">
      <c r="R129" s="6">
        <v>124</v>
      </c>
      <c r="S129" s="6">
        <v>49.25536570935715</v>
      </c>
      <c r="T129" s="6">
        <v>0.39866586919519387</v>
      </c>
      <c r="U129" s="6">
        <v>0.39866586919519387</v>
      </c>
      <c r="V129" s="6" t="e">
        <v>#N/A</v>
      </c>
      <c r="W129" s="6" t="str">
        <v/>
      </c>
      <c r="Z129" s="6">
        <v>124</v>
      </c>
      <c r="AA129" s="6">
        <v>3</v>
      </c>
      <c r="AB129" s="6">
        <v>8.1919999999999951E-2</v>
      </c>
      <c r="AC129" s="6">
        <v>8.1919999999999951E-2</v>
      </c>
      <c r="AD129" s="6" t="e">
        <v>#N/A</v>
      </c>
      <c r="AE129" s="6" t="e">
        <v>#N/A</v>
      </c>
      <c r="AF129" s="6">
        <v>3</v>
      </c>
      <c r="AI129" s="6">
        <v>124</v>
      </c>
      <c r="AJ129" s="6">
        <v>6</v>
      </c>
      <c r="AK129" s="10">
        <v>1.2029802954365572E-2</v>
      </c>
      <c r="AL129" s="10" t="e">
        <v>#N/A</v>
      </c>
      <c r="AM129" s="10" t="e">
        <v>#N/A</v>
      </c>
      <c r="AN129" s="10">
        <v>1.2029802954365572E-2</v>
      </c>
      <c r="AO129" s="10" t="str">
        <v/>
      </c>
    </row>
    <row r="130" spans="18:41" x14ac:dyDescent="0.2">
      <c r="R130" s="6">
        <v>125</v>
      </c>
      <c r="S130" s="6">
        <v>49.751788569785717</v>
      </c>
      <c r="T130" s="6">
        <v>0.39891155858355937</v>
      </c>
      <c r="U130" s="6">
        <v>0.39891155858355937</v>
      </c>
      <c r="V130" s="6" t="e">
        <v>#N/A</v>
      </c>
      <c r="W130" s="6" t="str">
        <v/>
      </c>
      <c r="Z130" s="6">
        <v>125</v>
      </c>
      <c r="AA130" s="6">
        <v>3</v>
      </c>
      <c r="AB130" s="6">
        <v>8.1919999999999951E-2</v>
      </c>
      <c r="AC130" s="6">
        <v>8.1919999999999951E-2</v>
      </c>
      <c r="AD130" s="6" t="e">
        <v>#N/A</v>
      </c>
      <c r="AE130" s="6" t="e">
        <v>#N/A</v>
      </c>
      <c r="AF130" s="6" t="str">
        <v/>
      </c>
      <c r="AI130" s="6">
        <v>125</v>
      </c>
      <c r="AJ130" s="6">
        <v>6</v>
      </c>
      <c r="AK130" s="10">
        <v>1.2029802954365572E-2</v>
      </c>
      <c r="AL130" s="10" t="e">
        <v>#N/A</v>
      </c>
      <c r="AM130" s="10" t="e">
        <v>#N/A</v>
      </c>
      <c r="AN130" s="10">
        <v>1.2029802954365572E-2</v>
      </c>
      <c r="AO130" s="10" t="str">
        <v/>
      </c>
    </row>
    <row r="131" spans="18:41" x14ac:dyDescent="0.2">
      <c r="R131" s="6">
        <v>126</v>
      </c>
      <c r="S131" s="6">
        <v>50.248211430214283</v>
      </c>
      <c r="T131" s="6">
        <v>0.39891155858355937</v>
      </c>
      <c r="U131" s="6">
        <v>0.39891155858355937</v>
      </c>
      <c r="V131" s="6" t="e">
        <v>#N/A</v>
      </c>
      <c r="W131" s="6">
        <v>50.25</v>
      </c>
      <c r="Z131" s="6">
        <v>126</v>
      </c>
      <c r="AA131" s="6">
        <v>3</v>
      </c>
      <c r="AB131" s="6">
        <v>8.1919999999999951E-2</v>
      </c>
      <c r="AC131" s="6">
        <v>8.1919999999999951E-2</v>
      </c>
      <c r="AD131" s="6" t="e">
        <v>#N/A</v>
      </c>
      <c r="AE131" s="6" t="e">
        <v>#N/A</v>
      </c>
      <c r="AF131" s="6" t="str">
        <v/>
      </c>
      <c r="AI131" s="6">
        <v>126</v>
      </c>
      <c r="AJ131" s="6">
        <v>6</v>
      </c>
      <c r="AK131" s="10">
        <v>1.2029802954365572E-2</v>
      </c>
      <c r="AL131" s="10" t="e">
        <v>#N/A</v>
      </c>
      <c r="AM131" s="10" t="e">
        <v>#N/A</v>
      </c>
      <c r="AN131" s="10">
        <v>1.2029802954365572E-2</v>
      </c>
      <c r="AO131" s="10" t="str">
        <v/>
      </c>
    </row>
    <row r="132" spans="18:41" x14ac:dyDescent="0.2">
      <c r="R132" s="6">
        <v>127</v>
      </c>
      <c r="S132" s="6">
        <v>50.744634290642843</v>
      </c>
      <c r="T132" s="6">
        <v>0.39866586919519387</v>
      </c>
      <c r="U132" s="6">
        <v>0.39866586919519387</v>
      </c>
      <c r="V132" s="6" t="e">
        <v>#N/A</v>
      </c>
      <c r="W132" s="6" t="str">
        <v/>
      </c>
      <c r="Z132" s="6">
        <v>127</v>
      </c>
      <c r="AA132" s="6">
        <v>3</v>
      </c>
      <c r="AB132" s="6">
        <v>8.1919999999999951E-2</v>
      </c>
      <c r="AC132" s="6">
        <v>8.1919999999999951E-2</v>
      </c>
      <c r="AD132" s="6" t="e">
        <v>#N/A</v>
      </c>
      <c r="AE132" s="6" t="e">
        <v>#N/A</v>
      </c>
      <c r="AF132" s="6" t="str">
        <v/>
      </c>
      <c r="AI132" s="6">
        <v>127</v>
      </c>
      <c r="AJ132" s="6">
        <v>6</v>
      </c>
      <c r="AK132" s="10">
        <v>1.2029802954365572E-2</v>
      </c>
      <c r="AL132" s="10" t="e">
        <v>#N/A</v>
      </c>
      <c r="AM132" s="10" t="e">
        <v>#N/A</v>
      </c>
      <c r="AN132" s="10">
        <v>1.2029802954365572E-2</v>
      </c>
      <c r="AO132" s="10" t="str">
        <v/>
      </c>
    </row>
    <row r="133" spans="18:41" x14ac:dyDescent="0.2">
      <c r="R133" s="6">
        <v>128</v>
      </c>
      <c r="S133" s="6">
        <v>51.241057151071409</v>
      </c>
      <c r="T133" s="6">
        <v>0.3981749442851033</v>
      </c>
      <c r="U133" s="6">
        <v>0.3981749442851033</v>
      </c>
      <c r="V133" s="6" t="e">
        <v>#N/A</v>
      </c>
      <c r="W133" s="6" t="str">
        <v/>
      </c>
      <c r="Z133" s="6">
        <v>128</v>
      </c>
      <c r="AA133" s="6">
        <v>3</v>
      </c>
      <c r="AB133" s="6">
        <v>8.1919999999999951E-2</v>
      </c>
      <c r="AC133" s="6">
        <v>8.1919999999999951E-2</v>
      </c>
      <c r="AD133" s="6" t="e">
        <v>#N/A</v>
      </c>
      <c r="AE133" s="6" t="e">
        <v>#N/A</v>
      </c>
      <c r="AF133" s="6" t="str">
        <v/>
      </c>
      <c r="AI133" s="6">
        <v>128</v>
      </c>
      <c r="AJ133" s="6">
        <v>6</v>
      </c>
      <c r="AK133" s="10">
        <v>1.2029802954365572E-2</v>
      </c>
      <c r="AL133" s="10" t="e">
        <v>#N/A</v>
      </c>
      <c r="AM133" s="10" t="e">
        <v>#N/A</v>
      </c>
      <c r="AN133" s="10">
        <v>1.2029802954365572E-2</v>
      </c>
      <c r="AO133" s="10" t="str">
        <v/>
      </c>
    </row>
    <row r="134" spans="18:41" x14ac:dyDescent="0.2">
      <c r="R134" s="6">
        <v>129</v>
      </c>
      <c r="S134" s="6">
        <v>51.737480011499969</v>
      </c>
      <c r="T134" s="6">
        <v>0.39743969018946163</v>
      </c>
      <c r="U134" s="6">
        <v>0.39743969018946163</v>
      </c>
      <c r="V134" s="6" t="e">
        <v>#N/A</v>
      </c>
      <c r="W134" s="6" t="str">
        <v/>
      </c>
      <c r="Z134" s="6">
        <v>129</v>
      </c>
      <c r="AA134" s="6">
        <v>3</v>
      </c>
      <c r="AB134" s="6">
        <v>8.1919999999999951E-2</v>
      </c>
      <c r="AC134" s="6">
        <v>8.1919999999999951E-2</v>
      </c>
      <c r="AD134" s="6" t="e">
        <v>#N/A</v>
      </c>
      <c r="AE134" s="6" t="e">
        <v>#N/A</v>
      </c>
      <c r="AF134" s="6" t="str">
        <v/>
      </c>
      <c r="AI134" s="6">
        <v>129</v>
      </c>
      <c r="AJ134" s="6">
        <v>6</v>
      </c>
      <c r="AK134" s="10">
        <v>1.2029802954365572E-2</v>
      </c>
      <c r="AL134" s="10" t="e">
        <v>#N/A</v>
      </c>
      <c r="AM134" s="10" t="e">
        <v>#N/A</v>
      </c>
      <c r="AN134" s="10">
        <v>1.2029802954365572E-2</v>
      </c>
      <c r="AO134" s="10" t="str">
        <v/>
      </c>
    </row>
    <row r="135" spans="18:41" x14ac:dyDescent="0.2">
      <c r="R135" s="6">
        <v>130</v>
      </c>
      <c r="S135" s="6">
        <v>52.233902871928535</v>
      </c>
      <c r="T135" s="6">
        <v>0.39646146292578144</v>
      </c>
      <c r="U135" s="6">
        <v>0.39646146292578144</v>
      </c>
      <c r="V135" s="6" t="e">
        <v>#N/A</v>
      </c>
      <c r="W135" s="6" t="str">
        <v/>
      </c>
      <c r="Z135" s="6">
        <v>130</v>
      </c>
      <c r="AA135" s="6">
        <v>3</v>
      </c>
      <c r="AB135" s="6">
        <v>8.1919999999999951E-2</v>
      </c>
      <c r="AC135" s="6">
        <v>8.1919999999999951E-2</v>
      </c>
      <c r="AD135" s="6" t="e">
        <v>#N/A</v>
      </c>
      <c r="AE135" s="6" t="e">
        <v>#N/A</v>
      </c>
      <c r="AF135" s="6" t="str">
        <v/>
      </c>
      <c r="AI135" s="6">
        <v>130</v>
      </c>
      <c r="AJ135" s="6">
        <v>6</v>
      </c>
      <c r="AK135" s="10">
        <v>1.2029802954365572E-2</v>
      </c>
      <c r="AL135" s="10" t="e">
        <v>#N/A</v>
      </c>
      <c r="AM135" s="10" t="e">
        <v>#N/A</v>
      </c>
      <c r="AN135" s="10">
        <v>1.2029802954365572E-2</v>
      </c>
      <c r="AO135" s="10" t="str">
        <v/>
      </c>
    </row>
    <row r="136" spans="18:41" x14ac:dyDescent="0.2">
      <c r="R136" s="6">
        <v>131</v>
      </c>
      <c r="S136" s="6">
        <v>52.730325732357116</v>
      </c>
      <c r="T136" s="6">
        <v>0.39524206402563761</v>
      </c>
      <c r="U136" s="6">
        <v>0.39524206402563761</v>
      </c>
      <c r="V136" s="6" t="e">
        <v>#N/A</v>
      </c>
      <c r="W136" s="6" t="str">
        <v/>
      </c>
      <c r="Z136" s="6">
        <v>131</v>
      </c>
      <c r="AA136" s="6">
        <v>3</v>
      </c>
      <c r="AB136" s="6">
        <v>8.1919999999999951E-2</v>
      </c>
      <c r="AC136" s="6">
        <v>8.1919999999999951E-2</v>
      </c>
      <c r="AD136" s="6" t="e">
        <v>#N/A</v>
      </c>
      <c r="AE136" s="6" t="e">
        <v>#N/A</v>
      </c>
      <c r="AF136" s="6" t="str">
        <v/>
      </c>
      <c r="AI136" s="6">
        <v>131</v>
      </c>
      <c r="AJ136" s="6">
        <v>6</v>
      </c>
      <c r="AK136" s="10">
        <v>1.2029802954365572E-2</v>
      </c>
      <c r="AL136" s="10" t="e">
        <v>#N/A</v>
      </c>
      <c r="AM136" s="10" t="e">
        <v>#N/A</v>
      </c>
      <c r="AN136" s="10">
        <v>1.2029802954365572E-2</v>
      </c>
      <c r="AO136" s="10">
        <v>6</v>
      </c>
    </row>
    <row r="137" spans="18:41" x14ac:dyDescent="0.2">
      <c r="R137" s="6">
        <v>132</v>
      </c>
      <c r="S137" s="6">
        <v>53.226748592785668</v>
      </c>
      <c r="T137" s="6">
        <v>0.39378373500623565</v>
      </c>
      <c r="U137" s="6">
        <v>0.39378373500623565</v>
      </c>
      <c r="V137" s="6" t="e">
        <v>#N/A</v>
      </c>
      <c r="W137" s="6" t="str">
        <v/>
      </c>
      <c r="Z137" s="6">
        <v>132</v>
      </c>
      <c r="AA137" s="6">
        <v>3</v>
      </c>
      <c r="AB137" s="6">
        <v>8.1919999999999951E-2</v>
      </c>
      <c r="AC137" s="6">
        <v>8.1919999999999951E-2</v>
      </c>
      <c r="AD137" s="6" t="e">
        <v>#N/A</v>
      </c>
      <c r="AE137" s="6" t="e">
        <v>#N/A</v>
      </c>
      <c r="AF137" s="6" t="str">
        <v/>
      </c>
      <c r="AI137" s="6">
        <v>132</v>
      </c>
      <c r="AJ137" s="6">
        <v>6</v>
      </c>
      <c r="AK137" s="10">
        <v>1.2029802954365572E-2</v>
      </c>
      <c r="AL137" s="10" t="e">
        <v>#N/A</v>
      </c>
      <c r="AM137" s="10" t="e">
        <v>#N/A</v>
      </c>
      <c r="AN137" s="10">
        <v>1.2029802954365572E-2</v>
      </c>
      <c r="AO137" s="10" t="str">
        <v/>
      </c>
    </row>
    <row r="138" spans="18:41" x14ac:dyDescent="0.2">
      <c r="R138" s="6">
        <v>133</v>
      </c>
      <c r="S138" s="6">
        <v>53.723171453214235</v>
      </c>
      <c r="T138" s="6">
        <v>0.39208915050456949</v>
      </c>
      <c r="U138" s="6">
        <v>0.39208915050456949</v>
      </c>
      <c r="V138" s="6" t="e">
        <v>#N/A</v>
      </c>
      <c r="W138" s="6" t="str">
        <v/>
      </c>
      <c r="Z138" s="6">
        <v>133</v>
      </c>
      <c r="AA138" s="6">
        <v>3</v>
      </c>
      <c r="AB138" s="6">
        <v>8.1919999999999951E-2</v>
      </c>
      <c r="AC138" s="6">
        <v>8.1919999999999951E-2</v>
      </c>
      <c r="AD138" s="6" t="e">
        <v>#N/A</v>
      </c>
      <c r="AE138" s="6" t="e">
        <v>#N/A</v>
      </c>
      <c r="AF138" s="6" t="str">
        <v/>
      </c>
      <c r="AI138" s="6">
        <v>133</v>
      </c>
      <c r="AJ138" s="6">
        <v>6</v>
      </c>
      <c r="AK138" s="10">
        <v>1.2029802954365572E-2</v>
      </c>
      <c r="AL138" s="10" t="e">
        <v>#N/A</v>
      </c>
      <c r="AM138" s="10" t="e">
        <v>#N/A</v>
      </c>
      <c r="AN138" s="10">
        <v>1.2029802954365572E-2</v>
      </c>
      <c r="AO138" s="10" t="str">
        <v/>
      </c>
    </row>
    <row r="139" spans="18:41" x14ac:dyDescent="0.2">
      <c r="R139" s="6">
        <v>134</v>
      </c>
      <c r="S139" s="6">
        <v>54.219594313642801</v>
      </c>
      <c r="T139" s="6">
        <v>0.39016141010360739</v>
      </c>
      <c r="U139" s="6">
        <v>0.39016141010360739</v>
      </c>
      <c r="V139" s="6" t="e">
        <v>#N/A</v>
      </c>
      <c r="W139" s="6" t="str">
        <v/>
      </c>
      <c r="Z139" s="6">
        <v>134</v>
      </c>
      <c r="AA139" s="6">
        <v>3</v>
      </c>
      <c r="AB139" s="6">
        <v>8.1919999999999951E-2</v>
      </c>
      <c r="AC139" s="6">
        <v>8.1919999999999951E-2</v>
      </c>
      <c r="AD139" s="6" t="e">
        <v>#N/A</v>
      </c>
      <c r="AE139" s="6" t="e">
        <v>#N/A</v>
      </c>
      <c r="AF139" s="6" t="str">
        <v/>
      </c>
      <c r="AI139" s="6">
        <v>134</v>
      </c>
      <c r="AJ139" s="6">
        <v>6</v>
      </c>
      <c r="AK139" s="10">
        <v>1.2029802954365572E-2</v>
      </c>
      <c r="AL139" s="10" t="e">
        <v>#N/A</v>
      </c>
      <c r="AM139" s="10" t="e">
        <v>#N/A</v>
      </c>
      <c r="AN139" s="10">
        <v>1.2029802954365572E-2</v>
      </c>
      <c r="AO139" s="10" t="str">
        <v/>
      </c>
    </row>
    <row r="140" spans="18:41" x14ac:dyDescent="0.2">
      <c r="R140" s="6">
        <v>135</v>
      </c>
      <c r="S140" s="6">
        <v>54.716017174071368</v>
      </c>
      <c r="T140" s="6">
        <v>0.38800402888546737</v>
      </c>
      <c r="U140" s="6">
        <v>0.38800402888546737</v>
      </c>
      <c r="V140" s="6" t="e">
        <v>#N/A</v>
      </c>
      <c r="W140" s="6" t="str">
        <v/>
      </c>
      <c r="Z140" s="6">
        <v>135</v>
      </c>
      <c r="AA140" s="6">
        <v>3</v>
      </c>
      <c r="AB140" s="6">
        <v>8.1919999999999951E-2</v>
      </c>
      <c r="AC140" s="6">
        <v>8.1919999999999951E-2</v>
      </c>
      <c r="AD140" s="6" t="e">
        <v>#N/A</v>
      </c>
      <c r="AE140" s="6" t="e">
        <v>#N/A</v>
      </c>
      <c r="AF140" s="6" t="str">
        <v/>
      </c>
      <c r="AI140" s="6">
        <v>135</v>
      </c>
      <c r="AJ140" s="6">
        <v>6</v>
      </c>
      <c r="AK140" s="10">
        <v>1.2029802954365572E-2</v>
      </c>
      <c r="AL140" s="10" t="e">
        <v>#N/A</v>
      </c>
      <c r="AM140" s="10" t="e">
        <v>#N/A</v>
      </c>
      <c r="AN140" s="10">
        <v>1.2029802954365572E-2</v>
      </c>
      <c r="AO140" s="10" t="str">
        <v/>
      </c>
    </row>
    <row r="141" spans="18:41" x14ac:dyDescent="0.2">
      <c r="R141" s="6">
        <v>136</v>
      </c>
      <c r="S141" s="6">
        <v>55.21244003449992</v>
      </c>
      <c r="T141" s="6">
        <v>0.38562092675188131</v>
      </c>
      <c r="U141" s="6">
        <v>0.38562092675188131</v>
      </c>
      <c r="V141" s="6" t="e">
        <v>#N/A</v>
      </c>
      <c r="W141" s="6" t="str">
        <v/>
      </c>
      <c r="Z141" s="6">
        <v>136</v>
      </c>
      <c r="AA141" s="6">
        <v>3</v>
      </c>
      <c r="AB141" s="6">
        <v>8.1919999999999951E-2</v>
      </c>
      <c r="AC141" s="6">
        <v>8.1919999999999951E-2</v>
      </c>
      <c r="AD141" s="6" t="e">
        <v>#N/A</v>
      </c>
      <c r="AE141" s="6" t="e">
        <v>#N/A</v>
      </c>
      <c r="AF141" s="6" t="str">
        <v/>
      </c>
      <c r="AI141" s="6">
        <v>136</v>
      </c>
      <c r="AJ141" s="6">
        <v>6</v>
      </c>
      <c r="AK141" s="10">
        <v>1.2029802954365572E-2</v>
      </c>
      <c r="AL141" s="10" t="e">
        <v>#N/A</v>
      </c>
      <c r="AM141" s="10" t="e">
        <v>#N/A</v>
      </c>
      <c r="AN141" s="10">
        <v>1.2029802954365572E-2</v>
      </c>
      <c r="AO141" s="10" t="str">
        <v/>
      </c>
    </row>
    <row r="142" spans="18:41" x14ac:dyDescent="0.2">
      <c r="R142" s="6">
        <v>137</v>
      </c>
      <c r="S142" s="6">
        <v>55.708862894928487</v>
      </c>
      <c r="T142" s="6">
        <v>0.38301641655736102</v>
      </c>
      <c r="U142" s="6">
        <v>0.38301641655736102</v>
      </c>
      <c r="V142" s="6" t="e">
        <v>#N/A</v>
      </c>
      <c r="W142" s="6" t="str">
        <v/>
      </c>
      <c r="Z142" s="6">
        <v>137</v>
      </c>
      <c r="AA142" s="6">
        <v>3</v>
      </c>
      <c r="AB142" s="6">
        <v>8.1919999999999951E-2</v>
      </c>
      <c r="AC142" s="6">
        <v>8.1919999999999951E-2</v>
      </c>
      <c r="AD142" s="6" t="e">
        <v>#N/A</v>
      </c>
      <c r="AE142" s="6" t="e">
        <v>#N/A</v>
      </c>
      <c r="AF142" s="6" t="str">
        <v/>
      </c>
      <c r="AI142" s="6">
        <v>137</v>
      </c>
      <c r="AJ142" s="6">
        <v>6</v>
      </c>
      <c r="AK142" s="10">
        <v>1.2029802954365572E-2</v>
      </c>
      <c r="AL142" s="10" t="e">
        <v>#N/A</v>
      </c>
      <c r="AM142" s="10" t="e">
        <v>#N/A</v>
      </c>
      <c r="AN142" s="10">
        <v>1.2029802954365572E-2</v>
      </c>
      <c r="AO142" s="10" t="str">
        <v/>
      </c>
    </row>
    <row r="143" spans="18:41" x14ac:dyDescent="0.2">
      <c r="R143" s="6">
        <v>138</v>
      </c>
      <c r="S143" s="6">
        <v>56.205285755357053</v>
      </c>
      <c r="T143" s="6">
        <v>0.38019519110534461</v>
      </c>
      <c r="U143" s="6">
        <v>0.38019519110534461</v>
      </c>
      <c r="V143" s="6" t="e">
        <v>#N/A</v>
      </c>
      <c r="W143" s="6" t="str">
        <v/>
      </c>
      <c r="Z143" s="6">
        <v>138</v>
      </c>
      <c r="AA143" s="6">
        <v>3</v>
      </c>
      <c r="AB143" s="6">
        <v>8.1919999999999951E-2</v>
      </c>
      <c r="AC143" s="6">
        <v>8.1919999999999951E-2</v>
      </c>
      <c r="AD143" s="6" t="e">
        <v>#N/A</v>
      </c>
      <c r="AE143" s="6" t="e">
        <v>#N/A</v>
      </c>
      <c r="AF143" s="6" t="str">
        <v/>
      </c>
      <c r="AI143" s="6">
        <v>138</v>
      </c>
      <c r="AJ143" s="6">
        <v>6</v>
      </c>
      <c r="AK143" s="10">
        <v>1.2029802954365572E-2</v>
      </c>
      <c r="AL143" s="10" t="e">
        <v>#N/A</v>
      </c>
      <c r="AM143" s="10" t="e">
        <v>#N/A</v>
      </c>
      <c r="AN143" s="10">
        <v>1.2029802954365572E-2</v>
      </c>
      <c r="AO143" s="10" t="str">
        <v/>
      </c>
    </row>
    <row r="144" spans="18:41" x14ac:dyDescent="0.2">
      <c r="R144" s="6">
        <v>139</v>
      </c>
      <c r="S144" s="6">
        <v>56.70170861578562</v>
      </c>
      <c r="T144" s="6">
        <v>0.37716230906219395</v>
      </c>
      <c r="U144" s="6">
        <v>0.37716230906219395</v>
      </c>
      <c r="V144" s="6" t="e">
        <v>#N/A</v>
      </c>
      <c r="W144" s="6" t="str">
        <v/>
      </c>
      <c r="Z144" s="6">
        <v>139</v>
      </c>
      <c r="AA144" s="6">
        <v>3</v>
      </c>
      <c r="AB144" s="6">
        <v>8.1919999999999951E-2</v>
      </c>
      <c r="AC144" s="6">
        <v>8.1919999999999951E-2</v>
      </c>
      <c r="AD144" s="6" t="e">
        <v>#N/A</v>
      </c>
      <c r="AE144" s="6" t="e">
        <v>#N/A</v>
      </c>
      <c r="AF144" s="6" t="str">
        <v/>
      </c>
      <c r="AI144" s="6">
        <v>139</v>
      </c>
      <c r="AJ144" s="6">
        <v>6</v>
      </c>
      <c r="AK144" s="10">
        <v>1.2029802954365572E-2</v>
      </c>
      <c r="AL144" s="10" t="e">
        <v>#N/A</v>
      </c>
      <c r="AM144" s="10" t="e">
        <v>#N/A</v>
      </c>
      <c r="AN144" s="10">
        <v>1.2029802954365572E-2</v>
      </c>
      <c r="AO144" s="10" t="str">
        <v/>
      </c>
    </row>
    <row r="145" spans="18:41" x14ac:dyDescent="0.2">
      <c r="R145" s="6">
        <v>140</v>
      </c>
      <c r="S145" s="6">
        <v>57.198131476214172</v>
      </c>
      <c r="T145" s="6">
        <v>0.373923179848209</v>
      </c>
      <c r="U145" s="6">
        <v>0.373923179848209</v>
      </c>
      <c r="V145" s="6" t="e">
        <v>#N/A</v>
      </c>
      <c r="W145" s="6" t="str">
        <v/>
      </c>
      <c r="Z145" s="6">
        <v>140</v>
      </c>
      <c r="AA145" s="6">
        <v>3</v>
      </c>
      <c r="AB145" s="6">
        <v>8.1919999999999951E-2</v>
      </c>
      <c r="AC145" s="6">
        <v>8.1919999999999951E-2</v>
      </c>
      <c r="AD145" s="6" t="e">
        <v>#N/A</v>
      </c>
      <c r="AE145" s="6" t="e">
        <v>#N/A</v>
      </c>
      <c r="AF145" s="6" t="str">
        <v/>
      </c>
      <c r="AI145" s="6">
        <v>140</v>
      </c>
      <c r="AJ145" s="6">
        <v>6</v>
      </c>
      <c r="AK145" s="10">
        <v>1.2029802954365572E-2</v>
      </c>
      <c r="AL145" s="10" t="e">
        <v>#N/A</v>
      </c>
      <c r="AM145" s="10" t="e">
        <v>#N/A</v>
      </c>
      <c r="AN145" s="10">
        <v>1.2029802954365572E-2</v>
      </c>
      <c r="AO145" s="10" t="str">
        <v/>
      </c>
    </row>
    <row r="146" spans="18:41" x14ac:dyDescent="0.2">
      <c r="R146" s="6">
        <v>141</v>
      </c>
      <c r="S146" s="6">
        <v>57.694554336642753</v>
      </c>
      <c r="T146" s="6">
        <v>0.37048354756879887</v>
      </c>
      <c r="U146" s="6">
        <v>0.37048354756879887</v>
      </c>
      <c r="V146" s="6" t="e">
        <v>#N/A</v>
      </c>
      <c r="W146" s="6" t="str">
        <v/>
      </c>
      <c r="Z146" s="6">
        <v>141</v>
      </c>
      <c r="AA146" s="6" t="e">
        <v>#N/A</v>
      </c>
      <c r="AB146" s="6" t="e">
        <v>#N/A</v>
      </c>
      <c r="AC146" s="6" t="e">
        <v>#N/A</v>
      </c>
      <c r="AD146" s="6" t="e">
        <v>#N/A</v>
      </c>
      <c r="AE146" s="6" t="e">
        <v>#N/A</v>
      </c>
      <c r="AF146" s="6" t="str">
        <v/>
      </c>
      <c r="AI146" s="6">
        <v>141</v>
      </c>
      <c r="AJ146" s="6" t="e">
        <v>#N/A</v>
      </c>
      <c r="AK146" s="10" t="e">
        <v>#N/A</v>
      </c>
      <c r="AL146" s="10" t="e">
        <v>#N/A</v>
      </c>
      <c r="AM146" s="10" t="e">
        <v>#N/A</v>
      </c>
      <c r="AN146" s="10" t="e">
        <v>#N/A</v>
      </c>
      <c r="AO146" s="10" t="str">
        <v/>
      </c>
    </row>
    <row r="147" spans="18:41" x14ac:dyDescent="0.2">
      <c r="R147" s="6">
        <v>142</v>
      </c>
      <c r="S147" s="6">
        <v>58.190977197071319</v>
      </c>
      <c r="T147" s="6">
        <v>0.36684947405258839</v>
      </c>
      <c r="U147" s="6">
        <v>0.36684947405258839</v>
      </c>
      <c r="V147" s="6" t="e">
        <v>#N/A</v>
      </c>
      <c r="W147" s="6" t="str">
        <v/>
      </c>
      <c r="Z147" s="6">
        <v>142</v>
      </c>
      <c r="AA147" s="6">
        <v>4</v>
      </c>
      <c r="AB147" s="6">
        <v>0.24575999999999998</v>
      </c>
      <c r="AC147" s="6" t="e">
        <v>#N/A</v>
      </c>
      <c r="AD147" s="6">
        <v>0.24575999999999998</v>
      </c>
      <c r="AE147" s="6" t="e">
        <v>#N/A</v>
      </c>
      <c r="AF147" s="6" t="str">
        <v/>
      </c>
      <c r="AI147" s="6">
        <v>142</v>
      </c>
      <c r="AJ147" s="6">
        <v>7</v>
      </c>
      <c r="AK147" s="10">
        <v>3.4370865583901629E-3</v>
      </c>
      <c r="AL147" s="10" t="e">
        <v>#N/A</v>
      </c>
      <c r="AM147" s="10" t="e">
        <v>#N/A</v>
      </c>
      <c r="AN147" s="10">
        <v>3.4370865583901629E-3</v>
      </c>
      <c r="AO147" s="10" t="str">
        <v/>
      </c>
    </row>
    <row r="148" spans="18:41" x14ac:dyDescent="0.2">
      <c r="R148" s="6">
        <v>143</v>
      </c>
      <c r="S148" s="6">
        <v>58.687400057499872</v>
      </c>
      <c r="T148" s="6">
        <v>0.36302732106651397</v>
      </c>
      <c r="U148" s="6">
        <v>0.36302732106651397</v>
      </c>
      <c r="V148" s="6" t="e">
        <v>#N/A</v>
      </c>
      <c r="W148" s="6" t="str">
        <v/>
      </c>
      <c r="Z148" s="6">
        <v>143</v>
      </c>
      <c r="AA148" s="6">
        <v>4</v>
      </c>
      <c r="AB148" s="6">
        <v>0.24575999999999998</v>
      </c>
      <c r="AC148" s="6" t="e">
        <v>#N/A</v>
      </c>
      <c r="AD148" s="6">
        <v>0.24575999999999998</v>
      </c>
      <c r="AE148" s="6" t="e">
        <v>#N/A</v>
      </c>
      <c r="AF148" s="6" t="str">
        <v/>
      </c>
      <c r="AI148" s="6">
        <v>143</v>
      </c>
      <c r="AJ148" s="6">
        <v>7</v>
      </c>
      <c r="AK148" s="10">
        <v>3.4370865583901629E-3</v>
      </c>
      <c r="AL148" s="10" t="e">
        <v>#N/A</v>
      </c>
      <c r="AM148" s="10" t="e">
        <v>#N/A</v>
      </c>
      <c r="AN148" s="10">
        <v>3.4370865583901629E-3</v>
      </c>
      <c r="AO148" s="10" t="str">
        <v/>
      </c>
    </row>
    <row r="149" spans="18:41" x14ac:dyDescent="0.2">
      <c r="R149" s="6">
        <v>144</v>
      </c>
      <c r="S149" s="6">
        <v>59.183822917928438</v>
      </c>
      <c r="T149" s="6">
        <v>0.35902373178087493</v>
      </c>
      <c r="U149" s="6">
        <v>0.35902373178087493</v>
      </c>
      <c r="V149" s="6" t="e">
        <v>#N/A</v>
      </c>
      <c r="W149" s="6" t="str">
        <v/>
      </c>
      <c r="Z149" s="6">
        <v>144</v>
      </c>
      <c r="AA149" s="6">
        <v>4</v>
      </c>
      <c r="AB149" s="6">
        <v>0.24575999999999998</v>
      </c>
      <c r="AC149" s="6" t="e">
        <v>#N/A</v>
      </c>
      <c r="AD149" s="6">
        <v>0.24575999999999998</v>
      </c>
      <c r="AE149" s="6" t="e">
        <v>#N/A</v>
      </c>
      <c r="AF149" s="6" t="str">
        <v/>
      </c>
      <c r="AI149" s="6">
        <v>144</v>
      </c>
      <c r="AJ149" s="6">
        <v>7</v>
      </c>
      <c r="AK149" s="10">
        <v>3.4370865583901629E-3</v>
      </c>
      <c r="AL149" s="10" t="e">
        <v>#N/A</v>
      </c>
      <c r="AM149" s="10" t="e">
        <v>#N/A</v>
      </c>
      <c r="AN149" s="10">
        <v>3.4370865583901629E-3</v>
      </c>
      <c r="AO149" s="10" t="str">
        <v/>
      </c>
    </row>
    <row r="150" spans="18:41" x14ac:dyDescent="0.2">
      <c r="R150" s="6">
        <v>145</v>
      </c>
      <c r="S150" s="6">
        <v>59.680245778357005</v>
      </c>
      <c r="T150" s="6">
        <v>0.35484561155982908</v>
      </c>
      <c r="U150" s="6">
        <v>0.35484561155982908</v>
      </c>
      <c r="V150" s="6" t="e">
        <v>#N/A</v>
      </c>
      <c r="W150" s="6" t="str">
        <v/>
      </c>
      <c r="Z150" s="6">
        <v>145</v>
      </c>
      <c r="AA150" s="6">
        <v>4</v>
      </c>
      <c r="AB150" s="6">
        <v>0.24575999999999998</v>
      </c>
      <c r="AC150" s="6" t="e">
        <v>#N/A</v>
      </c>
      <c r="AD150" s="6">
        <v>0.24575999999999998</v>
      </c>
      <c r="AE150" s="6" t="e">
        <v>#N/A</v>
      </c>
      <c r="AF150" s="6" t="str">
        <v/>
      </c>
      <c r="AI150" s="6">
        <v>145</v>
      </c>
      <c r="AJ150" s="6">
        <v>7</v>
      </c>
      <c r="AK150" s="10">
        <v>3.4370865583901629E-3</v>
      </c>
      <c r="AL150" s="10" t="e">
        <v>#N/A</v>
      </c>
      <c r="AM150" s="10" t="e">
        <v>#N/A</v>
      </c>
      <c r="AN150" s="10">
        <v>3.4370865583901629E-3</v>
      </c>
      <c r="AO150" s="10" t="str">
        <v/>
      </c>
    </row>
    <row r="151" spans="18:41" x14ac:dyDescent="0.2">
      <c r="R151" s="6">
        <v>146</v>
      </c>
      <c r="S151" s="6">
        <v>60.176668638785571</v>
      </c>
      <c r="T151" s="6">
        <v>0.35050010815494687</v>
      </c>
      <c r="U151" s="6">
        <v>0.35050010815494687</v>
      </c>
      <c r="V151" s="6" t="e">
        <v>#N/A</v>
      </c>
      <c r="W151" s="6" t="str">
        <v/>
      </c>
      <c r="Z151" s="6">
        <v>146</v>
      </c>
      <c r="AA151" s="6">
        <v>4</v>
      </c>
      <c r="AB151" s="6">
        <v>0.24575999999999998</v>
      </c>
      <c r="AC151" s="6" t="e">
        <v>#N/A</v>
      </c>
      <c r="AD151" s="6">
        <v>0.24575999999999998</v>
      </c>
      <c r="AE151" s="6" t="e">
        <v>#N/A</v>
      </c>
      <c r="AF151" s="6" t="str">
        <v/>
      </c>
      <c r="AI151" s="6">
        <v>146</v>
      </c>
      <c r="AJ151" s="6">
        <v>7</v>
      </c>
      <c r="AK151" s="10">
        <v>3.4370865583901629E-3</v>
      </c>
      <c r="AL151" s="10" t="e">
        <v>#N/A</v>
      </c>
      <c r="AM151" s="10" t="e">
        <v>#N/A</v>
      </c>
      <c r="AN151" s="10">
        <v>3.4370865583901629E-3</v>
      </c>
      <c r="AO151" s="10" t="str">
        <v/>
      </c>
    </row>
    <row r="152" spans="18:41" x14ac:dyDescent="0.2">
      <c r="R152" s="6">
        <v>147</v>
      </c>
      <c r="S152" s="6">
        <v>60.673091499214124</v>
      </c>
      <c r="T152" s="6">
        <v>0.34599459138117078</v>
      </c>
      <c r="U152" s="6">
        <v>0.34599459138117078</v>
      </c>
      <c r="V152" s="6" t="e">
        <v>#N/A</v>
      </c>
      <c r="W152" s="6" t="str">
        <v/>
      </c>
      <c r="Z152" s="6">
        <v>147</v>
      </c>
      <c r="AA152" s="6">
        <v>4</v>
      </c>
      <c r="AB152" s="6">
        <v>0.24575999999999998</v>
      </c>
      <c r="AC152" s="6" t="e">
        <v>#N/A</v>
      </c>
      <c r="AD152" s="6">
        <v>0.24575999999999998</v>
      </c>
      <c r="AE152" s="6" t="e">
        <v>#N/A</v>
      </c>
      <c r="AF152" s="6" t="str">
        <v/>
      </c>
      <c r="AI152" s="6">
        <v>147</v>
      </c>
      <c r="AJ152" s="6">
        <v>7</v>
      </c>
      <c r="AK152" s="10">
        <v>3.4370865583901629E-3</v>
      </c>
      <c r="AL152" s="10" t="e">
        <v>#N/A</v>
      </c>
      <c r="AM152" s="10" t="e">
        <v>#N/A</v>
      </c>
      <c r="AN152" s="10">
        <v>3.4370865583901629E-3</v>
      </c>
      <c r="AO152" s="10" t="str">
        <v/>
      </c>
    </row>
    <row r="153" spans="18:41" x14ac:dyDescent="0.2">
      <c r="R153" s="6">
        <v>148</v>
      </c>
      <c r="S153" s="6">
        <v>61.169514359642704</v>
      </c>
      <c r="T153" s="6">
        <v>0.341336632355839</v>
      </c>
      <c r="U153" s="6">
        <v>0.341336632355839</v>
      </c>
      <c r="V153" s="6" t="e">
        <v>#N/A</v>
      </c>
      <c r="W153" s="6" t="str">
        <v/>
      </c>
      <c r="Z153" s="6">
        <v>148</v>
      </c>
      <c r="AA153" s="6">
        <v>4</v>
      </c>
      <c r="AB153" s="6">
        <v>0.24575999999999998</v>
      </c>
      <c r="AC153" s="6" t="e">
        <v>#N/A</v>
      </c>
      <c r="AD153" s="6">
        <v>0.24575999999999998</v>
      </c>
      <c r="AE153" s="6" t="e">
        <v>#N/A</v>
      </c>
      <c r="AF153" s="6" t="str">
        <v/>
      </c>
      <c r="AI153" s="6">
        <v>148</v>
      </c>
      <c r="AJ153" s="6">
        <v>7</v>
      </c>
      <c r="AK153" s="10">
        <v>3.4370865583901629E-3</v>
      </c>
      <c r="AL153" s="10" t="e">
        <v>#N/A</v>
      </c>
      <c r="AM153" s="10" t="e">
        <v>#N/A</v>
      </c>
      <c r="AN153" s="10">
        <v>3.4370865583901629E-3</v>
      </c>
      <c r="AO153" s="10" t="str">
        <v/>
      </c>
    </row>
    <row r="154" spans="18:41" x14ac:dyDescent="0.2">
      <c r="R154" s="6">
        <v>149</v>
      </c>
      <c r="S154" s="6">
        <v>61.665937220071257</v>
      </c>
      <c r="T154" s="6">
        <v>0.33653398238234977</v>
      </c>
      <c r="U154" s="6">
        <v>0.33653398238234977</v>
      </c>
      <c r="V154" s="6" t="e">
        <v>#N/A</v>
      </c>
      <c r="W154" s="6" t="str">
        <v/>
      </c>
      <c r="Z154" s="6">
        <v>149</v>
      </c>
      <c r="AA154" s="6">
        <v>4</v>
      </c>
      <c r="AB154" s="6">
        <v>0.24575999999999998</v>
      </c>
      <c r="AC154" s="6" t="e">
        <v>#N/A</v>
      </c>
      <c r="AD154" s="6">
        <v>0.24575999999999998</v>
      </c>
      <c r="AE154" s="6" t="e">
        <v>#N/A</v>
      </c>
      <c r="AF154" s="6" t="str">
        <v/>
      </c>
      <c r="AI154" s="6">
        <v>149</v>
      </c>
      <c r="AJ154" s="6">
        <v>7</v>
      </c>
      <c r="AK154" s="10">
        <v>3.4370865583901629E-3</v>
      </c>
      <c r="AL154" s="10" t="e">
        <v>#N/A</v>
      </c>
      <c r="AM154" s="10" t="e">
        <v>#N/A</v>
      </c>
      <c r="AN154" s="10">
        <v>3.4370865583901629E-3</v>
      </c>
      <c r="AO154" s="10" t="str">
        <v/>
      </c>
    </row>
    <row r="155" spans="18:41" x14ac:dyDescent="0.2">
      <c r="R155" s="6">
        <v>150</v>
      </c>
      <c r="S155" s="6">
        <v>62.162360080499823</v>
      </c>
      <c r="T155" s="6">
        <v>0.33159455156052825</v>
      </c>
      <c r="U155" s="6">
        <v>0.33159455156052825</v>
      </c>
      <c r="V155" s="6" t="e">
        <v>#N/A</v>
      </c>
      <c r="W155" s="6" t="str">
        <v/>
      </c>
      <c r="Z155" s="6">
        <v>150</v>
      </c>
      <c r="AA155" s="6">
        <v>4</v>
      </c>
      <c r="AB155" s="6">
        <v>0.24575999999999998</v>
      </c>
      <c r="AC155" s="6" t="e">
        <v>#N/A</v>
      </c>
      <c r="AD155" s="6">
        <v>0.24575999999999998</v>
      </c>
      <c r="AE155" s="6" t="e">
        <v>#N/A</v>
      </c>
      <c r="AF155" s="6" t="str">
        <v/>
      </c>
      <c r="AI155" s="6">
        <v>150</v>
      </c>
      <c r="AJ155" s="6">
        <v>7</v>
      </c>
      <c r="AK155" s="10">
        <v>3.4370865583901629E-3</v>
      </c>
      <c r="AL155" s="10" t="e">
        <v>#N/A</v>
      </c>
      <c r="AM155" s="10" t="e">
        <v>#N/A</v>
      </c>
      <c r="AN155" s="10">
        <v>3.4370865583901629E-3</v>
      </c>
      <c r="AO155" s="10" t="str">
        <v/>
      </c>
    </row>
    <row r="156" spans="18:41" x14ac:dyDescent="0.2">
      <c r="R156" s="6">
        <v>151</v>
      </c>
      <c r="S156" s="6">
        <v>62.658782940928404</v>
      </c>
      <c r="T156" s="6">
        <v>0.32652638720586441</v>
      </c>
      <c r="U156" s="6">
        <v>0.32652638720586441</v>
      </c>
      <c r="V156" s="6" t="e">
        <v>#N/A</v>
      </c>
      <c r="W156" s="6">
        <v>62.66</v>
      </c>
      <c r="Z156" s="6">
        <v>151</v>
      </c>
      <c r="AA156" s="6">
        <v>4</v>
      </c>
      <c r="AB156" s="6">
        <v>0.24575999999999998</v>
      </c>
      <c r="AC156" s="6" t="e">
        <v>#N/A</v>
      </c>
      <c r="AD156" s="6">
        <v>0.24575999999999998</v>
      </c>
      <c r="AE156" s="6" t="e">
        <v>#N/A</v>
      </c>
      <c r="AF156" s="6" t="str">
        <v/>
      </c>
      <c r="AI156" s="6">
        <v>151</v>
      </c>
      <c r="AJ156" s="6">
        <v>7</v>
      </c>
      <c r="AK156" s="10">
        <v>3.4370865583901629E-3</v>
      </c>
      <c r="AL156" s="10" t="e">
        <v>#N/A</v>
      </c>
      <c r="AM156" s="10" t="e">
        <v>#N/A</v>
      </c>
      <c r="AN156" s="10">
        <v>3.4370865583901629E-3</v>
      </c>
      <c r="AO156" s="10">
        <v>7</v>
      </c>
    </row>
    <row r="157" spans="18:41" x14ac:dyDescent="0.2">
      <c r="R157" s="6">
        <v>152</v>
      </c>
      <c r="S157" s="6">
        <v>63.155205801356956</v>
      </c>
      <c r="T157" s="6">
        <v>0.32133765215946308</v>
      </c>
      <c r="U157" s="6">
        <v>0.32133765215946308</v>
      </c>
      <c r="V157" s="6" t="e">
        <v>#N/A</v>
      </c>
      <c r="W157" s="6" t="str">
        <v/>
      </c>
      <c r="Z157" s="6">
        <v>152</v>
      </c>
      <c r="AA157" s="6">
        <v>4</v>
      </c>
      <c r="AB157" s="6">
        <v>0.24575999999999998</v>
      </c>
      <c r="AC157" s="6" t="e">
        <v>#N/A</v>
      </c>
      <c r="AD157" s="6">
        <v>0.24575999999999998</v>
      </c>
      <c r="AE157" s="6" t="e">
        <v>#N/A</v>
      </c>
      <c r="AF157" s="6" t="str">
        <v/>
      </c>
      <c r="AI157" s="6">
        <v>152</v>
      </c>
      <c r="AJ157" s="6">
        <v>7</v>
      </c>
      <c r="AK157" s="10">
        <v>3.4370865583901629E-3</v>
      </c>
      <c r="AL157" s="10" t="e">
        <v>#N/A</v>
      </c>
      <c r="AM157" s="10" t="e">
        <v>#N/A</v>
      </c>
      <c r="AN157" s="10">
        <v>3.4370865583901629E-3</v>
      </c>
      <c r="AO157" s="10" t="str">
        <v/>
      </c>
    </row>
    <row r="158" spans="18:41" x14ac:dyDescent="0.2">
      <c r="R158" s="6">
        <v>153</v>
      </c>
      <c r="S158" s="6">
        <v>63.651628661785523</v>
      </c>
      <c r="T158" s="6">
        <v>0.31603660306984621</v>
      </c>
      <c r="U158" s="6">
        <v>0.31603660306984621</v>
      </c>
      <c r="V158" s="6" t="e">
        <v>#N/A</v>
      </c>
      <c r="W158" s="6" t="str">
        <v/>
      </c>
      <c r="Z158" s="6">
        <v>153</v>
      </c>
      <c r="AA158" s="6">
        <v>4</v>
      </c>
      <c r="AB158" s="6">
        <v>0.24575999999999998</v>
      </c>
      <c r="AC158" s="6" t="e">
        <v>#N/A</v>
      </c>
      <c r="AD158" s="6">
        <v>0.24575999999999998</v>
      </c>
      <c r="AE158" s="6" t="e">
        <v>#N/A</v>
      </c>
      <c r="AF158" s="6" t="str">
        <v/>
      </c>
      <c r="AI158" s="6">
        <v>153</v>
      </c>
      <c r="AJ158" s="6">
        <v>7</v>
      </c>
      <c r="AK158" s="10">
        <v>3.4370865583901629E-3</v>
      </c>
      <c r="AL158" s="10" t="e">
        <v>#N/A</v>
      </c>
      <c r="AM158" s="10" t="e">
        <v>#N/A</v>
      </c>
      <c r="AN158" s="10">
        <v>3.4370865583901629E-3</v>
      </c>
      <c r="AO158" s="10" t="str">
        <v/>
      </c>
    </row>
    <row r="159" spans="18:41" x14ac:dyDescent="0.2">
      <c r="R159" s="6">
        <v>154</v>
      </c>
      <c r="S159" s="6">
        <v>64.148051522214075</v>
      </c>
      <c r="T159" s="6">
        <v>0.31063156872665471</v>
      </c>
      <c r="U159" s="6">
        <v>0.31063156872665471</v>
      </c>
      <c r="V159" s="6" t="e">
        <v>#N/A</v>
      </c>
      <c r="W159" s="6" t="str">
        <v/>
      </c>
      <c r="Z159" s="6">
        <v>154</v>
      </c>
      <c r="AA159" s="6">
        <v>4</v>
      </c>
      <c r="AB159" s="6">
        <v>0.24575999999999998</v>
      </c>
      <c r="AC159" s="6" t="e">
        <v>#N/A</v>
      </c>
      <c r="AD159" s="6">
        <v>0.24575999999999998</v>
      </c>
      <c r="AE159" s="6" t="e">
        <v>#N/A</v>
      </c>
      <c r="AF159" s="6" t="str">
        <v/>
      </c>
      <c r="AI159" s="6">
        <v>154</v>
      </c>
      <c r="AJ159" s="6">
        <v>7</v>
      </c>
      <c r="AK159" s="10">
        <v>3.4370865583901629E-3</v>
      </c>
      <c r="AL159" s="10" t="e">
        <v>#N/A</v>
      </c>
      <c r="AM159" s="10" t="e">
        <v>#N/A</v>
      </c>
      <c r="AN159" s="10">
        <v>3.4370865583901629E-3</v>
      </c>
      <c r="AO159" s="10" t="str">
        <v/>
      </c>
    </row>
    <row r="160" spans="18:41" x14ac:dyDescent="0.2">
      <c r="R160" s="6">
        <v>155</v>
      </c>
      <c r="S160" s="6">
        <v>64.644474382642656</v>
      </c>
      <c r="T160" s="6">
        <v>0.30513092852481932</v>
      </c>
      <c r="U160" s="6">
        <v>0.30513092852481932</v>
      </c>
      <c r="V160" s="6" t="e">
        <v>#N/A</v>
      </c>
      <c r="W160" s="6" t="str">
        <v/>
      </c>
      <c r="Z160" s="6">
        <v>155</v>
      </c>
      <c r="AA160" s="6">
        <v>4</v>
      </c>
      <c r="AB160" s="6">
        <v>0.24575999999999998</v>
      </c>
      <c r="AC160" s="6" t="e">
        <v>#N/A</v>
      </c>
      <c r="AD160" s="6">
        <v>0.24575999999999998</v>
      </c>
      <c r="AE160" s="6" t="e">
        <v>#N/A</v>
      </c>
      <c r="AF160" s="6" t="str">
        <v/>
      </c>
      <c r="AI160" s="6">
        <v>155</v>
      </c>
      <c r="AJ160" s="6">
        <v>7</v>
      </c>
      <c r="AK160" s="10">
        <v>3.4370865583901629E-3</v>
      </c>
      <c r="AL160" s="10" t="e">
        <v>#N/A</v>
      </c>
      <c r="AM160" s="10" t="e">
        <v>#N/A</v>
      </c>
      <c r="AN160" s="10">
        <v>3.4370865583901629E-3</v>
      </c>
      <c r="AO160" s="10" t="str">
        <v/>
      </c>
    </row>
    <row r="161" spans="18:41" x14ac:dyDescent="0.2">
      <c r="R161" s="6">
        <v>156</v>
      </c>
      <c r="S161" s="6">
        <v>65.140897243071208</v>
      </c>
      <c r="T161" s="6">
        <v>0.29954309113595246</v>
      </c>
      <c r="U161" s="6">
        <v>0.29954309113595246</v>
      </c>
      <c r="V161" s="6" t="e">
        <v>#N/A</v>
      </c>
      <c r="W161" s="6" t="str">
        <v/>
      </c>
      <c r="Z161" s="6">
        <v>156</v>
      </c>
      <c r="AA161" s="6">
        <v>4</v>
      </c>
      <c r="AB161" s="6">
        <v>0.24575999999999998</v>
      </c>
      <c r="AC161" s="6" t="e">
        <v>#N/A</v>
      </c>
      <c r="AD161" s="6">
        <v>0.24575999999999998</v>
      </c>
      <c r="AE161" s="6" t="e">
        <v>#N/A</v>
      </c>
      <c r="AF161" s="6" t="str">
        <v/>
      </c>
      <c r="AI161" s="6">
        <v>156</v>
      </c>
      <c r="AJ161" s="6">
        <v>7</v>
      </c>
      <c r="AK161" s="10">
        <v>3.4370865583901629E-3</v>
      </c>
      <c r="AL161" s="10" t="e">
        <v>#N/A</v>
      </c>
      <c r="AM161" s="10" t="e">
        <v>#N/A</v>
      </c>
      <c r="AN161" s="10">
        <v>3.4370865583901629E-3</v>
      </c>
      <c r="AO161" s="10" t="str">
        <v/>
      </c>
    </row>
    <row r="162" spans="18:41" x14ac:dyDescent="0.2">
      <c r="R162" s="6">
        <v>157</v>
      </c>
      <c r="S162" s="6">
        <v>65.637320103499775</v>
      </c>
      <c r="T162" s="6">
        <v>0.29387647346152368</v>
      </c>
      <c r="U162" s="6">
        <v>0.29387647346152368</v>
      </c>
      <c r="V162" s="6" t="e">
        <v>#N/A</v>
      </c>
      <c r="W162" s="6" t="str">
        <v/>
      </c>
      <c r="Z162" s="6">
        <v>157</v>
      </c>
      <c r="AA162" s="6">
        <v>4</v>
      </c>
      <c r="AB162" s="6">
        <v>0.24575999999999998</v>
      </c>
      <c r="AC162" s="6" t="e">
        <v>#N/A</v>
      </c>
      <c r="AD162" s="6">
        <v>0.24575999999999998</v>
      </c>
      <c r="AE162" s="6" t="e">
        <v>#N/A</v>
      </c>
      <c r="AF162" s="6" t="str">
        <v/>
      </c>
      <c r="AI162" s="6">
        <v>157</v>
      </c>
      <c r="AJ162" s="6">
        <v>7</v>
      </c>
      <c r="AK162" s="10">
        <v>3.4370865583901629E-3</v>
      </c>
      <c r="AL162" s="10" t="e">
        <v>#N/A</v>
      </c>
      <c r="AM162" s="10" t="e">
        <v>#N/A</v>
      </c>
      <c r="AN162" s="10">
        <v>3.4370865583901629E-3</v>
      </c>
      <c r="AO162" s="10" t="str">
        <v/>
      </c>
    </row>
    <row r="163" spans="18:41" x14ac:dyDescent="0.2">
      <c r="R163" s="6">
        <v>158</v>
      </c>
      <c r="S163" s="6">
        <v>66.133742963928341</v>
      </c>
      <c r="T163" s="6">
        <v>0.28813947993989791</v>
      </c>
      <c r="U163" s="6">
        <v>0.28813947993989791</v>
      </c>
      <c r="V163" s="6" t="e">
        <v>#N/A</v>
      </c>
      <c r="W163" s="6" t="str">
        <v/>
      </c>
      <c r="Z163" s="6">
        <v>158</v>
      </c>
      <c r="AA163" s="6">
        <v>4</v>
      </c>
      <c r="AB163" s="6">
        <v>0.24575999999999998</v>
      </c>
      <c r="AC163" s="6" t="e">
        <v>#N/A</v>
      </c>
      <c r="AD163" s="6">
        <v>0.24575999999999998</v>
      </c>
      <c r="AE163" s="6" t="e">
        <v>#N/A</v>
      </c>
      <c r="AF163" s="6" t="str">
        <v/>
      </c>
      <c r="AI163" s="6">
        <v>158</v>
      </c>
      <c r="AJ163" s="6">
        <v>7</v>
      </c>
      <c r="AK163" s="10">
        <v>3.4370865583901629E-3</v>
      </c>
      <c r="AL163" s="10" t="e">
        <v>#N/A</v>
      </c>
      <c r="AM163" s="10" t="e">
        <v>#N/A</v>
      </c>
      <c r="AN163" s="10">
        <v>3.4370865583901629E-3</v>
      </c>
      <c r="AO163" s="10" t="str">
        <v/>
      </c>
    </row>
    <row r="164" spans="18:41" x14ac:dyDescent="0.2">
      <c r="R164" s="6">
        <v>159</v>
      </c>
      <c r="S164" s="6">
        <v>66.630165824356908</v>
      </c>
      <c r="T164" s="6">
        <v>0.28234048227649011</v>
      </c>
      <c r="U164" s="6">
        <v>0.28234048227649011</v>
      </c>
      <c r="V164" s="6" t="e">
        <v>#N/A</v>
      </c>
      <c r="W164" s="6" t="str">
        <v/>
      </c>
      <c r="Z164" s="6">
        <v>159</v>
      </c>
      <c r="AA164" s="6">
        <v>4</v>
      </c>
      <c r="AB164" s="6">
        <v>0.24575999999999998</v>
      </c>
      <c r="AC164" s="6" t="e">
        <v>#N/A</v>
      </c>
      <c r="AD164" s="6">
        <v>0.24575999999999998</v>
      </c>
      <c r="AE164" s="6" t="e">
        <v>#N/A</v>
      </c>
      <c r="AF164" s="6">
        <v>4</v>
      </c>
      <c r="AI164" s="6">
        <v>159</v>
      </c>
      <c r="AJ164" s="6">
        <v>7</v>
      </c>
      <c r="AK164" s="10">
        <v>3.4370865583901629E-3</v>
      </c>
      <c r="AL164" s="10" t="e">
        <v>#N/A</v>
      </c>
      <c r="AM164" s="10" t="e">
        <v>#N/A</v>
      </c>
      <c r="AN164" s="10">
        <v>3.4370865583901629E-3</v>
      </c>
      <c r="AO164" s="10" t="str">
        <v/>
      </c>
    </row>
    <row r="165" spans="18:41" x14ac:dyDescent="0.2">
      <c r="R165" s="6">
        <v>160</v>
      </c>
      <c r="S165" s="6">
        <v>67.12658868478546</v>
      </c>
      <c r="T165" s="6">
        <v>0.27648779966320658</v>
      </c>
      <c r="U165" s="6" t="e">
        <v>#N/A</v>
      </c>
      <c r="V165" s="6">
        <v>0.27648779966320658</v>
      </c>
      <c r="W165" s="6" t="str">
        <v/>
      </c>
      <c r="Z165" s="6">
        <v>160</v>
      </c>
      <c r="AA165" s="6">
        <v>4</v>
      </c>
      <c r="AB165" s="6">
        <v>0.24575999999999998</v>
      </c>
      <c r="AC165" s="6" t="e">
        <v>#N/A</v>
      </c>
      <c r="AD165" s="6">
        <v>0.24575999999999998</v>
      </c>
      <c r="AE165" s="6" t="e">
        <v>#N/A</v>
      </c>
      <c r="AF165" s="6" t="str">
        <v/>
      </c>
      <c r="AI165" s="6">
        <v>160</v>
      </c>
      <c r="AJ165" s="6">
        <v>7</v>
      </c>
      <c r="AK165" s="10">
        <v>3.4370865583901629E-3</v>
      </c>
      <c r="AL165" s="10" t="e">
        <v>#N/A</v>
      </c>
      <c r="AM165" s="10" t="e">
        <v>#N/A</v>
      </c>
      <c r="AN165" s="10">
        <v>3.4370865583901629E-3</v>
      </c>
      <c r="AO165" s="10" t="str">
        <v/>
      </c>
    </row>
    <row r="166" spans="18:41" x14ac:dyDescent="0.2">
      <c r="R166" s="6">
        <v>161</v>
      </c>
      <c r="S166" s="6">
        <v>67.623011545214041</v>
      </c>
      <c r="T166" s="6">
        <v>0.27058967954997637</v>
      </c>
      <c r="U166" s="6" t="e">
        <v>#N/A</v>
      </c>
      <c r="V166" s="6">
        <v>0.27058967954997637</v>
      </c>
      <c r="W166" s="6" t="str">
        <v/>
      </c>
      <c r="Z166" s="6">
        <v>161</v>
      </c>
      <c r="AA166" s="6">
        <v>4</v>
      </c>
      <c r="AB166" s="6">
        <v>0.24575999999999998</v>
      </c>
      <c r="AC166" s="6" t="e">
        <v>#N/A</v>
      </c>
      <c r="AD166" s="6">
        <v>0.24575999999999998</v>
      </c>
      <c r="AE166" s="6" t="e">
        <v>#N/A</v>
      </c>
      <c r="AF166" s="6" t="str">
        <v/>
      </c>
      <c r="AI166" s="6">
        <v>161</v>
      </c>
      <c r="AJ166" s="6" t="e">
        <v>#N/A</v>
      </c>
      <c r="AK166" s="10" t="e">
        <v>#N/A</v>
      </c>
      <c r="AL166" s="10" t="e">
        <v>#N/A</v>
      </c>
      <c r="AM166" s="10" t="e">
        <v>#N/A</v>
      </c>
      <c r="AN166" s="10" t="e">
        <v>#N/A</v>
      </c>
      <c r="AO166" s="10" t="str">
        <v/>
      </c>
    </row>
    <row r="167" spans="18:41" x14ac:dyDescent="0.2">
      <c r="R167" s="6">
        <v>162</v>
      </c>
      <c r="S167" s="6">
        <v>68.119434405642608</v>
      </c>
      <c r="T167" s="6">
        <v>0.26465427902758476</v>
      </c>
      <c r="U167" s="6" t="e">
        <v>#N/A</v>
      </c>
      <c r="V167" s="6">
        <v>0.26465427902758476</v>
      </c>
      <c r="W167" s="6" t="str">
        <v/>
      </c>
      <c r="Z167" s="6">
        <v>162</v>
      </c>
      <c r="AA167" s="6">
        <v>4</v>
      </c>
      <c r="AB167" s="6">
        <v>0.24575999999999998</v>
      </c>
      <c r="AC167" s="6" t="e">
        <v>#N/A</v>
      </c>
      <c r="AD167" s="6">
        <v>0.24575999999999998</v>
      </c>
      <c r="AE167" s="6" t="e">
        <v>#N/A</v>
      </c>
      <c r="AF167" s="6" t="str">
        <v/>
      </c>
      <c r="AI167" s="6">
        <v>162</v>
      </c>
      <c r="AJ167" s="6">
        <v>8</v>
      </c>
      <c r="AK167" s="10">
        <v>8.5927163959754148E-4</v>
      </c>
      <c r="AL167" s="10" t="e">
        <v>#N/A</v>
      </c>
      <c r="AM167" s="10" t="e">
        <v>#N/A</v>
      </c>
      <c r="AN167" s="10">
        <v>8.5927163959754148E-4</v>
      </c>
      <c r="AO167" s="10" t="str">
        <v/>
      </c>
    </row>
    <row r="168" spans="18:41" x14ac:dyDescent="0.2">
      <c r="R168" s="6">
        <v>163</v>
      </c>
      <c r="S168" s="6">
        <v>68.61585726607116</v>
      </c>
      <c r="T168" s="6">
        <v>0.25868964687719065</v>
      </c>
      <c r="U168" s="6" t="e">
        <v>#N/A</v>
      </c>
      <c r="V168" s="6">
        <v>0.25868964687719065</v>
      </c>
      <c r="W168" s="6" t="str">
        <v/>
      </c>
      <c r="Z168" s="6">
        <v>163</v>
      </c>
      <c r="AA168" s="6">
        <v>4</v>
      </c>
      <c r="AB168" s="6">
        <v>0.24575999999999998</v>
      </c>
      <c r="AC168" s="6" t="e">
        <v>#N/A</v>
      </c>
      <c r="AD168" s="6">
        <v>0.24575999999999998</v>
      </c>
      <c r="AE168" s="6" t="e">
        <v>#N/A</v>
      </c>
      <c r="AF168" s="6" t="str">
        <v/>
      </c>
      <c r="AI168" s="6">
        <v>163</v>
      </c>
      <c r="AJ168" s="6">
        <v>8</v>
      </c>
      <c r="AK168" s="10">
        <v>8.5927163959754148E-4</v>
      </c>
      <c r="AL168" s="10" t="e">
        <v>#N/A</v>
      </c>
      <c r="AM168" s="10" t="e">
        <v>#N/A</v>
      </c>
      <c r="AN168" s="10">
        <v>8.5927163959754148E-4</v>
      </c>
      <c r="AO168" s="10" t="str">
        <v/>
      </c>
    </row>
    <row r="169" spans="18:41" x14ac:dyDescent="0.2">
      <c r="R169" s="6">
        <v>164</v>
      </c>
      <c r="S169" s="6">
        <v>69.112280126499726</v>
      </c>
      <c r="T169" s="6">
        <v>0.25270370633791855</v>
      </c>
      <c r="U169" s="6" t="e">
        <v>#N/A</v>
      </c>
      <c r="V169" s="6">
        <v>0.25270370633791855</v>
      </c>
      <c r="W169" s="6" t="str">
        <v/>
      </c>
      <c r="Z169" s="6">
        <v>164</v>
      </c>
      <c r="AA169" s="6">
        <v>4</v>
      </c>
      <c r="AB169" s="6">
        <v>0.24575999999999998</v>
      </c>
      <c r="AC169" s="6" t="e">
        <v>#N/A</v>
      </c>
      <c r="AD169" s="6">
        <v>0.24575999999999998</v>
      </c>
      <c r="AE169" s="6" t="e">
        <v>#N/A</v>
      </c>
      <c r="AF169" s="6" t="str">
        <v/>
      </c>
      <c r="AI169" s="6">
        <v>164</v>
      </c>
      <c r="AJ169" s="6">
        <v>8</v>
      </c>
      <c r="AK169" s="10">
        <v>8.5927163959754148E-4</v>
      </c>
      <c r="AL169" s="10" t="e">
        <v>#N/A</v>
      </c>
      <c r="AM169" s="10" t="e">
        <v>#N/A</v>
      </c>
      <c r="AN169" s="10">
        <v>8.5927163959754148E-4</v>
      </c>
      <c r="AO169" s="10" t="str">
        <v/>
      </c>
    </row>
    <row r="170" spans="18:41" x14ac:dyDescent="0.2">
      <c r="R170" s="6">
        <v>165</v>
      </c>
      <c r="S170" s="6">
        <v>69.608702986928293</v>
      </c>
      <c r="T170" s="6">
        <v>0.24670423863973279</v>
      </c>
      <c r="U170" s="6" t="e">
        <v>#N/A</v>
      </c>
      <c r="V170" s="6">
        <v>0.24670423863973279</v>
      </c>
      <c r="W170" s="6" t="str">
        <v/>
      </c>
      <c r="Z170" s="6">
        <v>165</v>
      </c>
      <c r="AA170" s="6">
        <v>4</v>
      </c>
      <c r="AB170" s="6">
        <v>0.24575999999999998</v>
      </c>
      <c r="AC170" s="6" t="e">
        <v>#N/A</v>
      </c>
      <c r="AD170" s="6">
        <v>0.24575999999999998</v>
      </c>
      <c r="AE170" s="6" t="e">
        <v>#N/A</v>
      </c>
      <c r="AF170" s="6" t="str">
        <v/>
      </c>
      <c r="AI170" s="6">
        <v>165</v>
      </c>
      <c r="AJ170" s="6">
        <v>8</v>
      </c>
      <c r="AK170" s="10">
        <v>8.5927163959754148E-4</v>
      </c>
      <c r="AL170" s="10" t="e">
        <v>#N/A</v>
      </c>
      <c r="AM170" s="10" t="e">
        <v>#N/A</v>
      </c>
      <c r="AN170" s="10">
        <v>8.5927163959754148E-4</v>
      </c>
      <c r="AO170" s="10" t="str">
        <v/>
      </c>
    </row>
    <row r="171" spans="18:41" x14ac:dyDescent="0.2">
      <c r="R171" s="6">
        <v>166</v>
      </c>
      <c r="S171" s="6">
        <v>70.105125847356859</v>
      </c>
      <c r="T171" s="6">
        <v>0.24069886734449414</v>
      </c>
      <c r="U171" s="6" t="e">
        <v>#N/A</v>
      </c>
      <c r="V171" s="6">
        <v>0.24069886734449414</v>
      </c>
      <c r="W171" s="6" t="str">
        <v/>
      </c>
      <c r="Z171" s="6">
        <v>166</v>
      </c>
      <c r="AA171" s="6">
        <v>4</v>
      </c>
      <c r="AB171" s="6">
        <v>0.24575999999999998</v>
      </c>
      <c r="AC171" s="6" t="e">
        <v>#N/A</v>
      </c>
      <c r="AD171" s="6">
        <v>0.24575999999999998</v>
      </c>
      <c r="AE171" s="6" t="e">
        <v>#N/A</v>
      </c>
      <c r="AF171" s="6" t="str">
        <v/>
      </c>
      <c r="AI171" s="6">
        <v>166</v>
      </c>
      <c r="AJ171" s="6">
        <v>8</v>
      </c>
      <c r="AK171" s="10">
        <v>8.5927163959754148E-4</v>
      </c>
      <c r="AL171" s="10" t="e">
        <v>#N/A</v>
      </c>
      <c r="AM171" s="10" t="e">
        <v>#N/A</v>
      </c>
      <c r="AN171" s="10">
        <v>8.5927163959754148E-4</v>
      </c>
      <c r="AO171" s="10" t="str">
        <v/>
      </c>
    </row>
    <row r="172" spans="18:41" x14ac:dyDescent="0.2">
      <c r="R172" s="6">
        <v>167</v>
      </c>
      <c r="S172" s="6">
        <v>70.601548707785412</v>
      </c>
      <c r="T172" s="6">
        <v>0.23469504353367868</v>
      </c>
      <c r="U172" s="6" t="e">
        <v>#N/A</v>
      </c>
      <c r="V172" s="6">
        <v>0.23469504353367868</v>
      </c>
      <c r="W172" s="6" t="str">
        <v/>
      </c>
      <c r="Z172" s="6">
        <v>167</v>
      </c>
      <c r="AA172" s="6">
        <v>4</v>
      </c>
      <c r="AB172" s="6">
        <v>0.24575999999999998</v>
      </c>
      <c r="AC172" s="6" t="e">
        <v>#N/A</v>
      </c>
      <c r="AD172" s="6">
        <v>0.24575999999999998</v>
      </c>
      <c r="AE172" s="6" t="e">
        <v>#N/A</v>
      </c>
      <c r="AF172" s="6" t="str">
        <v/>
      </c>
      <c r="AI172" s="6">
        <v>167</v>
      </c>
      <c r="AJ172" s="6">
        <v>8</v>
      </c>
      <c r="AK172" s="10">
        <v>8.5927163959754148E-4</v>
      </c>
      <c r="AL172" s="10" t="e">
        <v>#N/A</v>
      </c>
      <c r="AM172" s="10" t="e">
        <v>#N/A</v>
      </c>
      <c r="AN172" s="10">
        <v>8.5927163959754148E-4</v>
      </c>
      <c r="AO172" s="10" t="str">
        <v/>
      </c>
    </row>
    <row r="173" spans="18:41" x14ac:dyDescent="0.2">
      <c r="R173" s="6">
        <v>168</v>
      </c>
      <c r="S173" s="6">
        <v>71.097971568213993</v>
      </c>
      <c r="T173" s="6">
        <v>0.22870003187672769</v>
      </c>
      <c r="U173" s="6" t="e">
        <v>#N/A</v>
      </c>
      <c r="V173" s="6">
        <v>0.22870003187672769</v>
      </c>
      <c r="W173" s="6" t="str">
        <v/>
      </c>
      <c r="Z173" s="6">
        <v>168</v>
      </c>
      <c r="AA173" s="6">
        <v>4</v>
      </c>
      <c r="AB173" s="6">
        <v>0.24575999999999998</v>
      </c>
      <c r="AC173" s="6" t="e">
        <v>#N/A</v>
      </c>
      <c r="AD173" s="6">
        <v>0.24575999999999998</v>
      </c>
      <c r="AE173" s="6" t="e">
        <v>#N/A</v>
      </c>
      <c r="AF173" s="6" t="str">
        <v/>
      </c>
      <c r="AI173" s="6">
        <v>168</v>
      </c>
      <c r="AJ173" s="6">
        <v>8</v>
      </c>
      <c r="AK173" s="10">
        <v>8.5927163959754148E-4</v>
      </c>
      <c r="AL173" s="10" t="e">
        <v>#N/A</v>
      </c>
      <c r="AM173" s="10" t="e">
        <v>#N/A</v>
      </c>
      <c r="AN173" s="10">
        <v>8.5927163959754148E-4</v>
      </c>
      <c r="AO173" s="10" t="str">
        <v/>
      </c>
    </row>
    <row r="174" spans="18:41" x14ac:dyDescent="0.2">
      <c r="R174" s="6">
        <v>169</v>
      </c>
      <c r="S174" s="6">
        <v>71.594394428642545</v>
      </c>
      <c r="T174" s="6">
        <v>0.22272089760943931</v>
      </c>
      <c r="U174" s="6" t="e">
        <v>#N/A</v>
      </c>
      <c r="V174" s="6">
        <v>0.22272089760943931</v>
      </c>
      <c r="W174" s="6" t="str">
        <v/>
      </c>
      <c r="Z174" s="6">
        <v>169</v>
      </c>
      <c r="AA174" s="6">
        <v>4</v>
      </c>
      <c r="AB174" s="6">
        <v>0.24575999999999998</v>
      </c>
      <c r="AC174" s="6" t="e">
        <v>#N/A</v>
      </c>
      <c r="AD174" s="6">
        <v>0.24575999999999998</v>
      </c>
      <c r="AE174" s="6" t="e">
        <v>#N/A</v>
      </c>
      <c r="AF174" s="6" t="str">
        <v/>
      </c>
      <c r="AI174" s="6">
        <v>169</v>
      </c>
      <c r="AJ174" s="6">
        <v>8</v>
      </c>
      <c r="AK174" s="10">
        <v>8.5927163959754148E-4</v>
      </c>
      <c r="AL174" s="10" t="e">
        <v>#N/A</v>
      </c>
      <c r="AM174" s="10" t="e">
        <v>#N/A</v>
      </c>
      <c r="AN174" s="10">
        <v>8.5927163959754148E-4</v>
      </c>
      <c r="AO174" s="10" t="str">
        <v/>
      </c>
    </row>
    <row r="175" spans="18:41" x14ac:dyDescent="0.2">
      <c r="R175" s="6">
        <v>170</v>
      </c>
      <c r="S175" s="6">
        <v>72.090817289071111</v>
      </c>
      <c r="T175" s="6">
        <v>0.21676449444720089</v>
      </c>
      <c r="U175" s="6" t="e">
        <v>#N/A</v>
      </c>
      <c r="V175" s="6">
        <v>0.21676449444720089</v>
      </c>
      <c r="W175" s="6" t="str">
        <v/>
      </c>
      <c r="Z175" s="6">
        <v>170</v>
      </c>
      <c r="AA175" s="6">
        <v>4</v>
      </c>
      <c r="AB175" s="6">
        <v>0.24575999999999998</v>
      </c>
      <c r="AC175" s="6" t="e">
        <v>#N/A</v>
      </c>
      <c r="AD175" s="6">
        <v>0.24575999999999998</v>
      </c>
      <c r="AE175" s="6" t="e">
        <v>#N/A</v>
      </c>
      <c r="AF175" s="6" t="str">
        <v/>
      </c>
      <c r="AI175" s="6">
        <v>170</v>
      </c>
      <c r="AJ175" s="6">
        <v>8</v>
      </c>
      <c r="AK175" s="10">
        <v>8.5927163959754148E-4</v>
      </c>
      <c r="AL175" s="10" t="e">
        <v>#N/A</v>
      </c>
      <c r="AM175" s="10" t="e">
        <v>#N/A</v>
      </c>
      <c r="AN175" s="10">
        <v>8.5927163959754148E-4</v>
      </c>
      <c r="AO175" s="10" t="str">
        <v/>
      </c>
    </row>
    <row r="176" spans="18:41" x14ac:dyDescent="0.2">
      <c r="R176" s="6">
        <v>171</v>
      </c>
      <c r="S176" s="6">
        <v>72.587240149499692</v>
      </c>
      <c r="T176" s="6">
        <v>0.21083745345327698</v>
      </c>
      <c r="U176" s="6" t="e">
        <v>#N/A</v>
      </c>
      <c r="V176" s="6">
        <v>0.21083745345327698</v>
      </c>
      <c r="W176" s="6" t="str">
        <v/>
      </c>
      <c r="Z176" s="6">
        <v>171</v>
      </c>
      <c r="AA176" s="6">
        <v>4</v>
      </c>
      <c r="AB176" s="6">
        <v>0.24575999999999998</v>
      </c>
      <c r="AC176" s="6" t="e">
        <v>#N/A</v>
      </c>
      <c r="AD176" s="6">
        <v>0.24575999999999998</v>
      </c>
      <c r="AE176" s="6" t="e">
        <v>#N/A</v>
      </c>
      <c r="AF176" s="6" t="str">
        <v/>
      </c>
      <c r="AI176" s="6">
        <v>171</v>
      </c>
      <c r="AJ176" s="6">
        <v>8</v>
      </c>
      <c r="AK176" s="10">
        <v>8.5927163959754148E-4</v>
      </c>
      <c r="AL176" s="10" t="e">
        <v>#N/A</v>
      </c>
      <c r="AM176" s="10" t="e">
        <v>#N/A</v>
      </c>
      <c r="AN176" s="10">
        <v>8.5927163959754148E-4</v>
      </c>
      <c r="AO176" s="10">
        <v>8</v>
      </c>
    </row>
    <row r="177" spans="18:41" x14ac:dyDescent="0.2">
      <c r="R177" s="6">
        <v>172</v>
      </c>
      <c r="S177" s="6">
        <v>73.083663009928244</v>
      </c>
      <c r="T177" s="6">
        <v>0.20494617287776634</v>
      </c>
      <c r="U177" s="6" t="e">
        <v>#N/A</v>
      </c>
      <c r="V177" s="6">
        <v>0.20494617287776634</v>
      </c>
      <c r="W177" s="6" t="str">
        <v/>
      </c>
      <c r="Z177" s="6">
        <v>172</v>
      </c>
      <c r="AA177" s="6">
        <v>4</v>
      </c>
      <c r="AB177" s="6">
        <v>0.24575999999999998</v>
      </c>
      <c r="AC177" s="6" t="e">
        <v>#N/A</v>
      </c>
      <c r="AD177" s="6">
        <v>0.24575999999999998</v>
      </c>
      <c r="AE177" s="6" t="e">
        <v>#N/A</v>
      </c>
      <c r="AF177" s="6" t="str">
        <v/>
      </c>
      <c r="AI177" s="6">
        <v>172</v>
      </c>
      <c r="AJ177" s="6">
        <v>8</v>
      </c>
      <c r="AK177" s="10">
        <v>8.5927163959754148E-4</v>
      </c>
      <c r="AL177" s="10" t="e">
        <v>#N/A</v>
      </c>
      <c r="AM177" s="10" t="e">
        <v>#N/A</v>
      </c>
      <c r="AN177" s="10">
        <v>8.5927163959754148E-4</v>
      </c>
      <c r="AO177" s="10" t="str">
        <v/>
      </c>
    </row>
    <row r="178" spans="18:41" x14ac:dyDescent="0.2">
      <c r="R178" s="6">
        <v>173</v>
      </c>
      <c r="S178" s="6">
        <v>73.580085870356811</v>
      </c>
      <c r="T178" s="6">
        <v>0.19909680897830789</v>
      </c>
      <c r="U178" s="6" t="e">
        <v>#N/A</v>
      </c>
      <c r="V178" s="6">
        <v>0.19909680897830789</v>
      </c>
      <c r="W178" s="6" t="str">
        <v/>
      </c>
      <c r="Z178" s="6">
        <v>173</v>
      </c>
      <c r="AA178" s="6">
        <v>4</v>
      </c>
      <c r="AB178" s="6">
        <v>0.24575999999999998</v>
      </c>
      <c r="AC178" s="6" t="e">
        <v>#N/A</v>
      </c>
      <c r="AD178" s="6">
        <v>0.24575999999999998</v>
      </c>
      <c r="AE178" s="6" t="e">
        <v>#N/A</v>
      </c>
      <c r="AF178" s="6" t="str">
        <v/>
      </c>
      <c r="AI178" s="6">
        <v>173</v>
      </c>
      <c r="AJ178" s="6">
        <v>8</v>
      </c>
      <c r="AK178" s="10">
        <v>8.5927163959754148E-4</v>
      </c>
      <c r="AL178" s="10" t="e">
        <v>#N/A</v>
      </c>
      <c r="AM178" s="10" t="e">
        <v>#N/A</v>
      </c>
      <c r="AN178" s="10">
        <v>8.5927163959754148E-4</v>
      </c>
      <c r="AO178" s="10" t="str">
        <v/>
      </c>
    </row>
    <row r="179" spans="18:41" x14ac:dyDescent="0.2">
      <c r="R179" s="6">
        <v>174</v>
      </c>
      <c r="S179" s="6">
        <v>74.076508730785363</v>
      </c>
      <c r="T179" s="6">
        <v>0.19329526782914908</v>
      </c>
      <c r="U179" s="6" t="e">
        <v>#N/A</v>
      </c>
      <c r="V179" s="6">
        <v>0.19329526782914908</v>
      </c>
      <c r="W179" s="6" t="str">
        <v/>
      </c>
      <c r="Z179" s="6">
        <v>174</v>
      </c>
      <c r="AA179" s="6">
        <v>4</v>
      </c>
      <c r="AB179" s="6">
        <v>0.24575999999999998</v>
      </c>
      <c r="AC179" s="6" t="e">
        <v>#N/A</v>
      </c>
      <c r="AD179" s="6">
        <v>0.24575999999999998</v>
      </c>
      <c r="AE179" s="6" t="e">
        <v>#N/A</v>
      </c>
      <c r="AF179" s="6" t="str">
        <v/>
      </c>
      <c r="AI179" s="6">
        <v>174</v>
      </c>
      <c r="AJ179" s="6">
        <v>8</v>
      </c>
      <c r="AK179" s="10">
        <v>8.5927163959754148E-4</v>
      </c>
      <c r="AL179" s="10" t="e">
        <v>#N/A</v>
      </c>
      <c r="AM179" s="10" t="e">
        <v>#N/A</v>
      </c>
      <c r="AN179" s="10">
        <v>8.5927163959754148E-4</v>
      </c>
      <c r="AO179" s="10" t="str">
        <v/>
      </c>
    </row>
    <row r="180" spans="18:41" x14ac:dyDescent="0.2">
      <c r="R180" s="6">
        <v>175</v>
      </c>
      <c r="S180" s="6">
        <v>74.572931591213944</v>
      </c>
      <c r="T180" s="6">
        <v>0.1875471981207929</v>
      </c>
      <c r="U180" s="6" t="e">
        <v>#N/A</v>
      </c>
      <c r="V180" s="6">
        <v>0.1875471981207929</v>
      </c>
      <c r="W180" s="6" t="str">
        <v/>
      </c>
      <c r="Z180" s="6">
        <v>175</v>
      </c>
      <c r="AA180" s="6">
        <v>4</v>
      </c>
      <c r="AB180" s="6">
        <v>0.24575999999999998</v>
      </c>
      <c r="AC180" s="6" t="e">
        <v>#N/A</v>
      </c>
      <c r="AD180" s="6">
        <v>0.24575999999999998</v>
      </c>
      <c r="AE180" s="6" t="e">
        <v>#N/A</v>
      </c>
      <c r="AF180" s="6" t="str">
        <v/>
      </c>
      <c r="AI180" s="6">
        <v>175</v>
      </c>
      <c r="AJ180" s="6">
        <v>8</v>
      </c>
      <c r="AK180" s="10">
        <v>8.5927163959754148E-4</v>
      </c>
      <c r="AL180" s="10" t="e">
        <v>#N/A</v>
      </c>
      <c r="AM180" s="10" t="e">
        <v>#N/A</v>
      </c>
      <c r="AN180" s="10">
        <v>8.5927163959754148E-4</v>
      </c>
      <c r="AO180" s="10" t="str">
        <v/>
      </c>
    </row>
    <row r="181" spans="18:41" x14ac:dyDescent="0.2">
      <c r="R181" s="6">
        <v>176</v>
      </c>
      <c r="S181" s="6">
        <v>75.069354451642496</v>
      </c>
      <c r="T181" s="6">
        <v>0.18185798494818547</v>
      </c>
      <c r="U181" s="6" t="e">
        <v>#N/A</v>
      </c>
      <c r="V181" s="6">
        <v>0.18185798494818547</v>
      </c>
      <c r="W181" s="6">
        <v>75.069999999999993</v>
      </c>
      <c r="Z181" s="6">
        <v>176</v>
      </c>
      <c r="AA181" s="6" t="e">
        <v>#N/A</v>
      </c>
      <c r="AB181" s="6" t="e">
        <v>#N/A</v>
      </c>
      <c r="AC181" s="6" t="e">
        <v>#N/A</v>
      </c>
      <c r="AD181" s="6" t="e">
        <v>#N/A</v>
      </c>
      <c r="AE181" s="6" t="e">
        <v>#N/A</v>
      </c>
      <c r="AF181" s="6" t="str">
        <v/>
      </c>
      <c r="AI181" s="6">
        <v>176</v>
      </c>
      <c r="AJ181" s="6">
        <v>8</v>
      </c>
      <c r="AK181" s="10">
        <v>8.5927163959754148E-4</v>
      </c>
      <c r="AL181" s="10" t="e">
        <v>#N/A</v>
      </c>
      <c r="AM181" s="10" t="e">
        <v>#N/A</v>
      </c>
      <c r="AN181" s="10">
        <v>8.5927163959754148E-4</v>
      </c>
      <c r="AO181" s="10" t="str">
        <v/>
      </c>
    </row>
    <row r="182" spans="18:41" x14ac:dyDescent="0.2">
      <c r="R182" s="6">
        <v>177</v>
      </c>
      <c r="S182" s="6">
        <v>75.565777312071063</v>
      </c>
      <c r="T182" s="6">
        <v>0.17623274458125057</v>
      </c>
      <c r="U182" s="6" t="e">
        <v>#N/A</v>
      </c>
      <c r="V182" s="6">
        <v>0.17623274458125057</v>
      </c>
      <c r="W182" s="6" t="str">
        <v/>
      </c>
      <c r="Z182" s="6">
        <v>177</v>
      </c>
      <c r="AA182" s="6">
        <v>5</v>
      </c>
      <c r="AB182" s="6">
        <v>0.39321600000000007</v>
      </c>
      <c r="AC182" s="6" t="e">
        <v>#N/A</v>
      </c>
      <c r="AD182" s="6" t="e">
        <v>#N/A</v>
      </c>
      <c r="AE182" s="6">
        <v>0.39321600000000007</v>
      </c>
      <c r="AF182" s="6" t="str">
        <v/>
      </c>
      <c r="AI182" s="6">
        <v>177</v>
      </c>
      <c r="AJ182" s="6">
        <v>8</v>
      </c>
      <c r="AK182" s="10">
        <v>8.5927163959754148E-4</v>
      </c>
      <c r="AL182" s="10" t="e">
        <v>#N/A</v>
      </c>
      <c r="AM182" s="10" t="e">
        <v>#N/A</v>
      </c>
      <c r="AN182" s="10">
        <v>8.5927163959754148E-4</v>
      </c>
      <c r="AO182" s="10" t="str">
        <v/>
      </c>
    </row>
    <row r="183" spans="18:41" x14ac:dyDescent="0.2">
      <c r="R183" s="6">
        <v>178</v>
      </c>
      <c r="S183" s="6">
        <v>76.06220017249963</v>
      </c>
      <c r="T183" s="6">
        <v>0.17067632020760465</v>
      </c>
      <c r="U183" s="6" t="e">
        <v>#N/A</v>
      </c>
      <c r="V183" s="6">
        <v>0.17067632020760465</v>
      </c>
      <c r="W183" s="6" t="str">
        <v/>
      </c>
      <c r="Z183" s="6">
        <v>178</v>
      </c>
      <c r="AA183" s="6">
        <v>5</v>
      </c>
      <c r="AB183" s="6">
        <v>0.39321600000000007</v>
      </c>
      <c r="AC183" s="6" t="e">
        <v>#N/A</v>
      </c>
      <c r="AD183" s="6" t="e">
        <v>#N/A</v>
      </c>
      <c r="AE183" s="6">
        <v>0.39321600000000007</v>
      </c>
      <c r="AF183" s="6" t="str">
        <v/>
      </c>
      <c r="AI183" s="6">
        <v>178</v>
      </c>
      <c r="AJ183" s="6">
        <v>8</v>
      </c>
      <c r="AK183" s="10">
        <v>8.5927163959754148E-4</v>
      </c>
      <c r="AL183" s="10" t="e">
        <v>#N/A</v>
      </c>
      <c r="AM183" s="10" t="e">
        <v>#N/A</v>
      </c>
      <c r="AN183" s="10">
        <v>8.5927163959754148E-4</v>
      </c>
      <c r="AO183" s="10" t="str">
        <v/>
      </c>
    </row>
    <row r="184" spans="18:41" x14ac:dyDescent="0.2">
      <c r="R184" s="6">
        <v>179</v>
      </c>
      <c r="S184" s="6">
        <v>76.558623032928196</v>
      </c>
      <c r="T184" s="6">
        <v>0.16519327863345165</v>
      </c>
      <c r="U184" s="6" t="e">
        <v>#N/A</v>
      </c>
      <c r="V184" s="6">
        <v>0.16519327863345165</v>
      </c>
      <c r="W184" s="6" t="str">
        <v/>
      </c>
      <c r="Z184" s="6">
        <v>179</v>
      </c>
      <c r="AA184" s="6">
        <v>5</v>
      </c>
      <c r="AB184" s="6">
        <v>0.39321600000000007</v>
      </c>
      <c r="AC184" s="6" t="e">
        <v>#N/A</v>
      </c>
      <c r="AD184" s="6" t="e">
        <v>#N/A</v>
      </c>
      <c r="AE184" s="6">
        <v>0.39321600000000007</v>
      </c>
      <c r="AF184" s="6" t="str">
        <v/>
      </c>
      <c r="AI184" s="6">
        <v>179</v>
      </c>
      <c r="AJ184" s="6">
        <v>8</v>
      </c>
      <c r="AK184" s="10">
        <v>8.5927163959754148E-4</v>
      </c>
      <c r="AL184" s="10" t="e">
        <v>#N/A</v>
      </c>
      <c r="AM184" s="10" t="e">
        <v>#N/A</v>
      </c>
      <c r="AN184" s="10">
        <v>8.5927163959754148E-4</v>
      </c>
      <c r="AO184" s="10" t="str">
        <v/>
      </c>
    </row>
    <row r="185" spans="18:41" x14ac:dyDescent="0.2">
      <c r="R185" s="6">
        <v>180</v>
      </c>
      <c r="S185" s="6">
        <v>77.055045893356748</v>
      </c>
      <c r="T185" s="6">
        <v>0.15978790792502937</v>
      </c>
      <c r="U185" s="6" t="e">
        <v>#N/A</v>
      </c>
      <c r="V185" s="6">
        <v>0.15978790792502937</v>
      </c>
      <c r="W185" s="6" t="str">
        <v/>
      </c>
      <c r="Z185" s="6">
        <v>180</v>
      </c>
      <c r="AA185" s="6">
        <v>5</v>
      </c>
      <c r="AB185" s="6">
        <v>0.39321600000000007</v>
      </c>
      <c r="AC185" s="6" t="e">
        <v>#N/A</v>
      </c>
      <c r="AD185" s="6" t="e">
        <v>#N/A</v>
      </c>
      <c r="AE185" s="6">
        <v>0.39321600000000007</v>
      </c>
      <c r="AF185" s="6" t="str">
        <v/>
      </c>
      <c r="AI185" s="6">
        <v>180</v>
      </c>
      <c r="AJ185" s="6">
        <v>8</v>
      </c>
      <c r="AK185" s="10">
        <v>8.5927163959754148E-4</v>
      </c>
      <c r="AL185" s="10" t="e">
        <v>#N/A</v>
      </c>
      <c r="AM185" s="10" t="e">
        <v>#N/A</v>
      </c>
      <c r="AN185" s="10">
        <v>8.5927163959754148E-4</v>
      </c>
      <c r="AO185" s="10" t="str">
        <v/>
      </c>
    </row>
    <row r="186" spans="18:41" x14ac:dyDescent="0.2">
      <c r="R186" s="6">
        <v>181</v>
      </c>
      <c r="S186" s="6">
        <v>77.551468753785315</v>
      </c>
      <c r="T186" s="6">
        <v>0.15446421596953344</v>
      </c>
      <c r="U186" s="6" t="e">
        <v>#N/A</v>
      </c>
      <c r="V186" s="6">
        <v>0.15446421596953344</v>
      </c>
      <c r="W186" s="6" t="str">
        <v/>
      </c>
      <c r="Z186" s="6">
        <v>181</v>
      </c>
      <c r="AA186" s="6">
        <v>5</v>
      </c>
      <c r="AB186" s="6">
        <v>0.39321600000000007</v>
      </c>
      <c r="AC186" s="6" t="e">
        <v>#N/A</v>
      </c>
      <c r="AD186" s="6" t="e">
        <v>#N/A</v>
      </c>
      <c r="AE186" s="6">
        <v>0.39321600000000007</v>
      </c>
      <c r="AF186" s="6" t="str">
        <v/>
      </c>
      <c r="AI186" s="6">
        <v>181</v>
      </c>
      <c r="AJ186" s="6" t="e">
        <v>#N/A</v>
      </c>
      <c r="AK186" s="10" t="e">
        <v>#N/A</v>
      </c>
      <c r="AL186" s="10" t="e">
        <v>#N/A</v>
      </c>
      <c r="AM186" s="10" t="e">
        <v>#N/A</v>
      </c>
      <c r="AN186" s="10" t="e">
        <v>#N/A</v>
      </c>
      <c r="AO186" s="10" t="str">
        <v/>
      </c>
    </row>
    <row r="187" spans="18:41" x14ac:dyDescent="0.2">
      <c r="R187" s="6">
        <v>182</v>
      </c>
      <c r="S187" s="6">
        <v>78.047891614213896</v>
      </c>
      <c r="T187" s="6">
        <v>0.14922592993122322</v>
      </c>
      <c r="U187" s="6" t="e">
        <v>#N/A</v>
      </c>
      <c r="V187" s="6">
        <v>0.14922592993122322</v>
      </c>
      <c r="W187" s="6" t="str">
        <v/>
      </c>
      <c r="Z187" s="6">
        <v>182</v>
      </c>
      <c r="AA187" s="6">
        <v>5</v>
      </c>
      <c r="AB187" s="6">
        <v>0.39321600000000007</v>
      </c>
      <c r="AC187" s="6" t="e">
        <v>#N/A</v>
      </c>
      <c r="AD187" s="6" t="e">
        <v>#N/A</v>
      </c>
      <c r="AE187" s="6">
        <v>0.39321600000000007</v>
      </c>
      <c r="AF187" s="6" t="str">
        <v/>
      </c>
      <c r="AI187" s="6">
        <v>182</v>
      </c>
      <c r="AJ187" s="6">
        <v>9</v>
      </c>
      <c r="AK187" s="10">
        <v>1.9094925324389769E-4</v>
      </c>
      <c r="AL187" s="10" t="e">
        <v>#N/A</v>
      </c>
      <c r="AM187" s="10" t="e">
        <v>#N/A</v>
      </c>
      <c r="AN187" s="10">
        <v>1.9094925324389769E-4</v>
      </c>
      <c r="AO187" s="10" t="str">
        <v/>
      </c>
    </row>
    <row r="188" spans="18:41" x14ac:dyDescent="0.2">
      <c r="R188" s="6">
        <v>183</v>
      </c>
      <c r="S188" s="6">
        <v>78.544314474642448</v>
      </c>
      <c r="T188" s="6">
        <v>0.14407649657540025</v>
      </c>
      <c r="U188" s="6" t="e">
        <v>#N/A</v>
      </c>
      <c r="V188" s="6">
        <v>0.14407649657540025</v>
      </c>
      <c r="W188" s="6" t="str">
        <v/>
      </c>
      <c r="Z188" s="6">
        <v>183</v>
      </c>
      <c r="AA188" s="6">
        <v>5</v>
      </c>
      <c r="AB188" s="6">
        <v>0.39321600000000007</v>
      </c>
      <c r="AC188" s="6" t="e">
        <v>#N/A</v>
      </c>
      <c r="AD188" s="6" t="e">
        <v>#N/A</v>
      </c>
      <c r="AE188" s="6">
        <v>0.39321600000000007</v>
      </c>
      <c r="AF188" s="6" t="str">
        <v/>
      </c>
      <c r="AI188" s="6">
        <v>183</v>
      </c>
      <c r="AJ188" s="6">
        <v>9</v>
      </c>
      <c r="AK188" s="10">
        <v>1.9094925324389769E-4</v>
      </c>
      <c r="AL188" s="10" t="e">
        <v>#N/A</v>
      </c>
      <c r="AM188" s="10" t="e">
        <v>#N/A</v>
      </c>
      <c r="AN188" s="10">
        <v>1.9094925324389769E-4</v>
      </c>
      <c r="AO188" s="10" t="str">
        <v/>
      </c>
    </row>
    <row r="189" spans="18:41" x14ac:dyDescent="0.2">
      <c r="R189" s="6">
        <v>184</v>
      </c>
      <c r="S189" s="6">
        <v>79.040737335071015</v>
      </c>
      <c r="T189" s="6">
        <v>0.13901908343017472</v>
      </c>
      <c r="U189" s="6" t="e">
        <v>#N/A</v>
      </c>
      <c r="V189" s="6">
        <v>0.13901908343017472</v>
      </c>
      <c r="W189" s="6" t="str">
        <v/>
      </c>
      <c r="Z189" s="6">
        <v>184</v>
      </c>
      <c r="AA189" s="6">
        <v>5</v>
      </c>
      <c r="AB189" s="6">
        <v>0.39321600000000007</v>
      </c>
      <c r="AC189" s="6" t="e">
        <v>#N/A</v>
      </c>
      <c r="AD189" s="6" t="e">
        <v>#N/A</v>
      </c>
      <c r="AE189" s="6">
        <v>0.39321600000000007</v>
      </c>
      <c r="AF189" s="6" t="str">
        <v/>
      </c>
      <c r="AI189" s="6">
        <v>184</v>
      </c>
      <c r="AJ189" s="6">
        <v>9</v>
      </c>
      <c r="AK189" s="10">
        <v>1.9094925324389769E-4</v>
      </c>
      <c r="AL189" s="10" t="e">
        <v>#N/A</v>
      </c>
      <c r="AM189" s="10" t="e">
        <v>#N/A</v>
      </c>
      <c r="AN189" s="10">
        <v>1.9094925324389769E-4</v>
      </c>
      <c r="AO189" s="10" t="str">
        <v/>
      </c>
    </row>
    <row r="190" spans="18:41" x14ac:dyDescent="0.2">
      <c r="R190" s="6">
        <v>185</v>
      </c>
      <c r="S190" s="6">
        <v>79.537160195499581</v>
      </c>
      <c r="T190" s="6">
        <v>0.13405658075340421</v>
      </c>
      <c r="U190" s="6" t="e">
        <v>#N/A</v>
      </c>
      <c r="V190" s="6">
        <v>0.13405658075340421</v>
      </c>
      <c r="W190" s="6" t="str">
        <v/>
      </c>
      <c r="Z190" s="6">
        <v>185</v>
      </c>
      <c r="AA190" s="6">
        <v>5</v>
      </c>
      <c r="AB190" s="6">
        <v>0.39321600000000007</v>
      </c>
      <c r="AC190" s="6" t="e">
        <v>#N/A</v>
      </c>
      <c r="AD190" s="6" t="e">
        <v>#N/A</v>
      </c>
      <c r="AE190" s="6">
        <v>0.39321600000000007</v>
      </c>
      <c r="AF190" s="6" t="str">
        <v/>
      </c>
      <c r="AI190" s="6">
        <v>185</v>
      </c>
      <c r="AJ190" s="6">
        <v>9</v>
      </c>
      <c r="AK190" s="10">
        <v>1.9094925324389769E-4</v>
      </c>
      <c r="AL190" s="10" t="e">
        <v>#N/A</v>
      </c>
      <c r="AM190" s="10" t="e">
        <v>#N/A</v>
      </c>
      <c r="AN190" s="10">
        <v>1.9094925324389769E-4</v>
      </c>
      <c r="AO190" s="10" t="str">
        <v/>
      </c>
    </row>
    <row r="191" spans="18:41" x14ac:dyDescent="0.2">
      <c r="R191" s="6">
        <v>186</v>
      </c>
      <c r="S191" s="6">
        <v>80.033583055928148</v>
      </c>
      <c r="T191" s="6">
        <v>0.12919160426988183</v>
      </c>
      <c r="U191" s="6" t="e">
        <v>#N/A</v>
      </c>
      <c r="V191" s="6">
        <v>0.12919160426988183</v>
      </c>
      <c r="W191" s="6" t="str">
        <v/>
      </c>
      <c r="Z191" s="6">
        <v>186</v>
      </c>
      <c r="AA191" s="6">
        <v>5</v>
      </c>
      <c r="AB191" s="6">
        <v>0.39321600000000007</v>
      </c>
      <c r="AC191" s="6" t="e">
        <v>#N/A</v>
      </c>
      <c r="AD191" s="6" t="e">
        <v>#N/A</v>
      </c>
      <c r="AE191" s="6">
        <v>0.39321600000000007</v>
      </c>
      <c r="AF191" s="6" t="str">
        <v/>
      </c>
      <c r="AI191" s="6">
        <v>186</v>
      </c>
      <c r="AJ191" s="6">
        <v>9</v>
      </c>
      <c r="AK191" s="10">
        <v>1.9094925324389769E-4</v>
      </c>
      <c r="AL191" s="10" t="e">
        <v>#N/A</v>
      </c>
      <c r="AM191" s="10" t="e">
        <v>#N/A</v>
      </c>
      <c r="AN191" s="10">
        <v>1.9094925324389769E-4</v>
      </c>
      <c r="AO191" s="10" t="str">
        <v/>
      </c>
    </row>
    <row r="192" spans="18:41" x14ac:dyDescent="0.2">
      <c r="R192" s="6">
        <v>187</v>
      </c>
      <c r="S192" s="6">
        <v>80.5300059163567</v>
      </c>
      <c r="T192" s="6">
        <v>0.1244264986418164</v>
      </c>
      <c r="U192" s="6" t="e">
        <v>#N/A</v>
      </c>
      <c r="V192" s="6">
        <v>0.1244264986418164</v>
      </c>
      <c r="W192" s="6" t="str">
        <v/>
      </c>
      <c r="Z192" s="6">
        <v>187</v>
      </c>
      <c r="AA192" s="6">
        <v>5</v>
      </c>
      <c r="AB192" s="6">
        <v>0.39321600000000007</v>
      </c>
      <c r="AC192" s="6" t="e">
        <v>#N/A</v>
      </c>
      <c r="AD192" s="6" t="e">
        <v>#N/A</v>
      </c>
      <c r="AE192" s="6">
        <v>0.39321600000000007</v>
      </c>
      <c r="AF192" s="6" t="str">
        <v/>
      </c>
      <c r="AI192" s="6">
        <v>187</v>
      </c>
      <c r="AJ192" s="6">
        <v>9</v>
      </c>
      <c r="AK192" s="10">
        <v>1.9094925324389769E-4</v>
      </c>
      <c r="AL192" s="10" t="e">
        <v>#N/A</v>
      </c>
      <c r="AM192" s="10" t="e">
        <v>#N/A</v>
      </c>
      <c r="AN192" s="10">
        <v>1.9094925324389769E-4</v>
      </c>
      <c r="AO192" s="10" t="str">
        <v/>
      </c>
    </row>
    <row r="193" spans="18:41" x14ac:dyDescent="0.2">
      <c r="R193" s="6">
        <v>188</v>
      </c>
      <c r="S193" s="6">
        <v>81.026428776785281</v>
      </c>
      <c r="T193" s="6">
        <v>0.11976334163384346</v>
      </c>
      <c r="U193" s="6" t="e">
        <v>#N/A</v>
      </c>
      <c r="V193" s="6">
        <v>0.11976334163384346</v>
      </c>
      <c r="W193" s="6" t="str">
        <v/>
      </c>
      <c r="Z193" s="6">
        <v>188</v>
      </c>
      <c r="AA193" s="6">
        <v>5</v>
      </c>
      <c r="AB193" s="6">
        <v>0.39321600000000007</v>
      </c>
      <c r="AC193" s="6" t="e">
        <v>#N/A</v>
      </c>
      <c r="AD193" s="6" t="e">
        <v>#N/A</v>
      </c>
      <c r="AE193" s="6">
        <v>0.39321600000000007</v>
      </c>
      <c r="AF193" s="6" t="str">
        <v/>
      </c>
      <c r="AI193" s="6">
        <v>188</v>
      </c>
      <c r="AJ193" s="6">
        <v>9</v>
      </c>
      <c r="AK193" s="10">
        <v>1.9094925324389769E-4</v>
      </c>
      <c r="AL193" s="10" t="e">
        <v>#N/A</v>
      </c>
      <c r="AM193" s="10" t="e">
        <v>#N/A</v>
      </c>
      <c r="AN193" s="10">
        <v>1.9094925324389769E-4</v>
      </c>
      <c r="AO193" s="10" t="str">
        <v/>
      </c>
    </row>
    <row r="194" spans="18:41" x14ac:dyDescent="0.2">
      <c r="R194" s="6">
        <v>189</v>
      </c>
      <c r="S194" s="6">
        <v>81.522851637213833</v>
      </c>
      <c r="T194" s="6">
        <v>0.11520394893226817</v>
      </c>
      <c r="U194" s="6" t="e">
        <v>#N/A</v>
      </c>
      <c r="V194" s="6">
        <v>0.11520394893226817</v>
      </c>
      <c r="W194" s="6" t="str">
        <v/>
      </c>
      <c r="Z194" s="6">
        <v>189</v>
      </c>
      <c r="AA194" s="6">
        <v>5</v>
      </c>
      <c r="AB194" s="6">
        <v>0.39321600000000007</v>
      </c>
      <c r="AC194" s="6" t="e">
        <v>#N/A</v>
      </c>
      <c r="AD194" s="6" t="e">
        <v>#N/A</v>
      </c>
      <c r="AE194" s="6">
        <v>0.39321600000000007</v>
      </c>
      <c r="AF194" s="6" t="str">
        <v/>
      </c>
      <c r="AI194" s="6">
        <v>189</v>
      </c>
      <c r="AJ194" s="6">
        <v>9</v>
      </c>
      <c r="AK194" s="10">
        <v>1.9094925324389769E-4</v>
      </c>
      <c r="AL194" s="10" t="e">
        <v>#N/A</v>
      </c>
      <c r="AM194" s="10" t="e">
        <v>#N/A</v>
      </c>
      <c r="AN194" s="10">
        <v>1.9094925324389769E-4</v>
      </c>
      <c r="AO194" s="10" t="str">
        <v/>
      </c>
    </row>
    <row r="195" spans="18:41" x14ac:dyDescent="0.2">
      <c r="R195" s="6">
        <v>190</v>
      </c>
      <c r="S195" s="6">
        <v>82.0192744976424</v>
      </c>
      <c r="T195" s="6">
        <v>0.11074987957693934</v>
      </c>
      <c r="U195" s="6" t="e">
        <v>#N/A</v>
      </c>
      <c r="V195" s="6">
        <v>0.11074987957693934</v>
      </c>
      <c r="W195" s="6" t="str">
        <v/>
      </c>
      <c r="Z195" s="6">
        <v>190</v>
      </c>
      <c r="AA195" s="6">
        <v>5</v>
      </c>
      <c r="AB195" s="6">
        <v>0.39321600000000007</v>
      </c>
      <c r="AC195" s="6" t="e">
        <v>#N/A</v>
      </c>
      <c r="AD195" s="6" t="e">
        <v>#N/A</v>
      </c>
      <c r="AE195" s="6">
        <v>0.39321600000000007</v>
      </c>
      <c r="AF195" s="6" t="str">
        <v/>
      </c>
      <c r="AI195" s="6">
        <v>190</v>
      </c>
      <c r="AJ195" s="6">
        <v>9</v>
      </c>
      <c r="AK195" s="10">
        <v>1.9094925324389769E-4</v>
      </c>
      <c r="AL195" s="10" t="e">
        <v>#N/A</v>
      </c>
      <c r="AM195" s="10" t="e">
        <v>#N/A</v>
      </c>
      <c r="AN195" s="10">
        <v>1.9094925324389769E-4</v>
      </c>
      <c r="AO195" s="10" t="str">
        <v/>
      </c>
    </row>
    <row r="196" spans="18:41" x14ac:dyDescent="0.2">
      <c r="R196" s="6">
        <v>191</v>
      </c>
      <c r="S196" s="6">
        <v>82.515697358070966</v>
      </c>
      <c r="T196" s="6">
        <v>0.10640244196312039</v>
      </c>
      <c r="U196" s="6" t="e">
        <v>#N/A</v>
      </c>
      <c r="V196" s="6">
        <v>0.10640244196312039</v>
      </c>
      <c r="W196" s="6" t="str">
        <v/>
      </c>
      <c r="Z196" s="6">
        <v>191</v>
      </c>
      <c r="AA196" s="6">
        <v>5</v>
      </c>
      <c r="AB196" s="6">
        <v>0.39321600000000007</v>
      </c>
      <c r="AC196" s="6" t="e">
        <v>#N/A</v>
      </c>
      <c r="AD196" s="6" t="e">
        <v>#N/A</v>
      </c>
      <c r="AE196" s="6">
        <v>0.39321600000000007</v>
      </c>
      <c r="AF196" s="6" t="str">
        <v/>
      </c>
      <c r="AI196" s="6">
        <v>191</v>
      </c>
      <c r="AJ196" s="6">
        <v>9</v>
      </c>
      <c r="AK196" s="10">
        <v>1.9094925324389769E-4</v>
      </c>
      <c r="AL196" s="10" t="e">
        <v>#N/A</v>
      </c>
      <c r="AM196" s="10" t="e">
        <v>#N/A</v>
      </c>
      <c r="AN196" s="10">
        <v>1.9094925324389769E-4</v>
      </c>
      <c r="AO196" s="10">
        <v>9</v>
      </c>
    </row>
    <row r="197" spans="18:41" x14ac:dyDescent="0.2">
      <c r="R197" s="6">
        <v>192</v>
      </c>
      <c r="S197" s="6">
        <v>83.012120218499533</v>
      </c>
      <c r="T197" s="6">
        <v>0.10216270036991239</v>
      </c>
      <c r="U197" s="6" t="e">
        <v>#N/A</v>
      </c>
      <c r="V197" s="6">
        <v>0.10216270036991239</v>
      </c>
      <c r="W197" s="6" t="str">
        <v/>
      </c>
      <c r="Z197" s="6">
        <v>192</v>
      </c>
      <c r="AA197" s="6">
        <v>5</v>
      </c>
      <c r="AB197" s="6">
        <v>0.39321600000000007</v>
      </c>
      <c r="AC197" s="6" t="e">
        <v>#N/A</v>
      </c>
      <c r="AD197" s="6" t="e">
        <v>#N/A</v>
      </c>
      <c r="AE197" s="6">
        <v>0.39321600000000007</v>
      </c>
      <c r="AF197" s="6" t="str">
        <v/>
      </c>
      <c r="AI197" s="6">
        <v>192</v>
      </c>
      <c r="AJ197" s="6">
        <v>9</v>
      </c>
      <c r="AK197" s="10">
        <v>1.9094925324389769E-4</v>
      </c>
      <c r="AL197" s="10" t="e">
        <v>#N/A</v>
      </c>
      <c r="AM197" s="10" t="e">
        <v>#N/A</v>
      </c>
      <c r="AN197" s="10">
        <v>1.9094925324389769E-4</v>
      </c>
      <c r="AO197" s="10" t="str">
        <v/>
      </c>
    </row>
    <row r="198" spans="18:41" x14ac:dyDescent="0.2">
      <c r="R198" s="6">
        <v>193</v>
      </c>
      <c r="S198" s="6">
        <v>83.508543078928099</v>
      </c>
      <c r="T198" s="6">
        <v>9.8031481971232889E-2</v>
      </c>
      <c r="U198" s="6" t="e">
        <v>#N/A</v>
      </c>
      <c r="V198" s="6">
        <v>9.8031481971232889E-2</v>
      </c>
      <c r="W198" s="6" t="str">
        <v/>
      </c>
      <c r="Z198" s="6">
        <v>193</v>
      </c>
      <c r="AA198" s="6">
        <v>5</v>
      </c>
      <c r="AB198" s="6">
        <v>0.39321600000000007</v>
      </c>
      <c r="AC198" s="6" t="e">
        <v>#N/A</v>
      </c>
      <c r="AD198" s="6" t="e">
        <v>#N/A</v>
      </c>
      <c r="AE198" s="6">
        <v>0.39321600000000007</v>
      </c>
      <c r="AF198" s="6" t="str">
        <v/>
      </c>
      <c r="AI198" s="6">
        <v>193</v>
      </c>
      <c r="AJ198" s="6">
        <v>9</v>
      </c>
      <c r="AK198" s="10">
        <v>1.9094925324389769E-4</v>
      </c>
      <c r="AL198" s="10" t="e">
        <v>#N/A</v>
      </c>
      <c r="AM198" s="10" t="e">
        <v>#N/A</v>
      </c>
      <c r="AN198" s="10">
        <v>1.9094925324389769E-4</v>
      </c>
      <c r="AO198" s="10" t="str">
        <v/>
      </c>
    </row>
    <row r="199" spans="18:41" x14ac:dyDescent="0.2">
      <c r="R199" s="6">
        <v>194</v>
      </c>
      <c r="S199" s="6">
        <v>84.004965939356651</v>
      </c>
      <c r="T199" s="6">
        <v>9.4009384285025213E-2</v>
      </c>
      <c r="U199" s="6" t="e">
        <v>#N/A</v>
      </c>
      <c r="V199" s="6">
        <v>9.4009384285025213E-2</v>
      </c>
      <c r="W199" s="6" t="str">
        <v/>
      </c>
      <c r="Z199" s="6">
        <v>194</v>
      </c>
      <c r="AA199" s="6">
        <v>5</v>
      </c>
      <c r="AB199" s="6">
        <v>0.39321600000000007</v>
      </c>
      <c r="AC199" s="6" t="e">
        <v>#N/A</v>
      </c>
      <c r="AD199" s="6" t="e">
        <v>#N/A</v>
      </c>
      <c r="AE199" s="6">
        <v>0.39321600000000007</v>
      </c>
      <c r="AF199" s="6">
        <v>5</v>
      </c>
      <c r="AI199" s="6">
        <v>194</v>
      </c>
      <c r="AJ199" s="6">
        <v>9</v>
      </c>
      <c r="AK199" s="10">
        <v>1.9094925324389769E-4</v>
      </c>
      <c r="AL199" s="10" t="e">
        <v>#N/A</v>
      </c>
      <c r="AM199" s="10" t="e">
        <v>#N/A</v>
      </c>
      <c r="AN199" s="10">
        <v>1.9094925324389769E-4</v>
      </c>
      <c r="AO199" s="10" t="str">
        <v/>
      </c>
    </row>
    <row r="200" spans="18:41" x14ac:dyDescent="0.2">
      <c r="R200" s="6">
        <v>195</v>
      </c>
      <c r="S200" s="6">
        <v>84.501388799785232</v>
      </c>
      <c r="T200" s="6">
        <v>9.009678301627555E-2</v>
      </c>
      <c r="U200" s="6" t="e">
        <v>#N/A</v>
      </c>
      <c r="V200" s="6">
        <v>9.009678301627555E-2</v>
      </c>
      <c r="W200" s="6" t="str">
        <v/>
      </c>
      <c r="Z200" s="6">
        <v>195</v>
      </c>
      <c r="AA200" s="6">
        <v>5</v>
      </c>
      <c r="AB200" s="6">
        <v>0.39321600000000007</v>
      </c>
      <c r="AC200" s="6" t="e">
        <v>#N/A</v>
      </c>
      <c r="AD200" s="6" t="e">
        <v>#N/A</v>
      </c>
      <c r="AE200" s="6">
        <v>0.39321600000000007</v>
      </c>
      <c r="AF200" s="6" t="str">
        <v/>
      </c>
      <c r="AI200" s="6">
        <v>195</v>
      </c>
      <c r="AJ200" s="6">
        <v>9</v>
      </c>
      <c r="AK200" s="10">
        <v>1.9094925324389769E-4</v>
      </c>
      <c r="AL200" s="10" t="e">
        <v>#N/A</v>
      </c>
      <c r="AM200" s="10" t="e">
        <v>#N/A</v>
      </c>
      <c r="AN200" s="10">
        <v>1.9094925324389769E-4</v>
      </c>
      <c r="AO200" s="10" t="str">
        <v/>
      </c>
    </row>
    <row r="201" spans="18:41" x14ac:dyDescent="0.2">
      <c r="R201" s="6">
        <v>196</v>
      </c>
      <c r="S201" s="6">
        <v>84.997811660213785</v>
      </c>
      <c r="T201" s="6">
        <v>8.6293840249536694E-2</v>
      </c>
      <c r="U201" s="6" t="e">
        <v>#N/A</v>
      </c>
      <c r="V201" s="6">
        <v>8.6293840249536694E-2</v>
      </c>
      <c r="W201" s="6" t="str">
        <v/>
      </c>
      <c r="Z201" s="6">
        <v>196</v>
      </c>
      <c r="AA201" s="6">
        <v>5</v>
      </c>
      <c r="AB201" s="6">
        <v>0.39321600000000007</v>
      </c>
      <c r="AC201" s="6" t="e">
        <v>#N/A</v>
      </c>
      <c r="AD201" s="6" t="e">
        <v>#N/A</v>
      </c>
      <c r="AE201" s="6">
        <v>0.39321600000000007</v>
      </c>
      <c r="AF201" s="6" t="str">
        <v/>
      </c>
      <c r="AI201" s="6">
        <v>196</v>
      </c>
      <c r="AJ201" s="6">
        <v>9</v>
      </c>
      <c r="AK201" s="10">
        <v>1.9094925324389769E-4</v>
      </c>
      <c r="AL201" s="10" t="e">
        <v>#N/A</v>
      </c>
      <c r="AM201" s="10" t="e">
        <v>#N/A</v>
      </c>
      <c r="AN201" s="10">
        <v>1.9094925324389769E-4</v>
      </c>
      <c r="AO201" s="10" t="str">
        <v/>
      </c>
    </row>
    <row r="202" spans="18:41" x14ac:dyDescent="0.2">
      <c r="R202" s="6">
        <v>197</v>
      </c>
      <c r="S202" s="6">
        <v>85.494234520642351</v>
      </c>
      <c r="T202" s="6">
        <v>8.2600512946980065E-2</v>
      </c>
      <c r="U202" s="6" t="e">
        <v>#N/A</v>
      </c>
      <c r="V202" s="6">
        <v>8.2600512946980065E-2</v>
      </c>
      <c r="W202" s="6" t="str">
        <v/>
      </c>
      <c r="Z202" s="6">
        <v>197</v>
      </c>
      <c r="AA202" s="6">
        <v>5</v>
      </c>
      <c r="AB202" s="6">
        <v>0.39321600000000007</v>
      </c>
      <c r="AC202" s="6" t="e">
        <v>#N/A</v>
      </c>
      <c r="AD202" s="6" t="e">
        <v>#N/A</v>
      </c>
      <c r="AE202" s="6">
        <v>0.39321600000000007</v>
      </c>
      <c r="AF202" s="6" t="str">
        <v/>
      </c>
      <c r="AI202" s="6">
        <v>197</v>
      </c>
      <c r="AJ202" s="6">
        <v>9</v>
      </c>
      <c r="AK202" s="10">
        <v>1.9094925324389769E-4</v>
      </c>
      <c r="AL202" s="10" t="e">
        <v>#N/A</v>
      </c>
      <c r="AM202" s="10" t="e">
        <v>#N/A</v>
      </c>
      <c r="AN202" s="10">
        <v>1.9094925324389769E-4</v>
      </c>
      <c r="AO202" s="10" t="str">
        <v/>
      </c>
    </row>
    <row r="203" spans="18:41" x14ac:dyDescent="0.2">
      <c r="R203" s="6">
        <v>198</v>
      </c>
      <c r="S203" s="6">
        <v>85.990657381070918</v>
      </c>
      <c r="T203" s="6">
        <v>7.9016561708534841E-2</v>
      </c>
      <c r="U203" s="6" t="e">
        <v>#N/A</v>
      </c>
      <c r="V203" s="6">
        <v>7.9016561708534841E-2</v>
      </c>
      <c r="W203" s="6" t="str">
        <v/>
      </c>
      <c r="Z203" s="6">
        <v>198</v>
      </c>
      <c r="AA203" s="6">
        <v>5</v>
      </c>
      <c r="AB203" s="6">
        <v>0.39321600000000007</v>
      </c>
      <c r="AC203" s="6" t="e">
        <v>#N/A</v>
      </c>
      <c r="AD203" s="6" t="e">
        <v>#N/A</v>
      </c>
      <c r="AE203" s="6">
        <v>0.39321600000000007</v>
      </c>
      <c r="AF203" s="6" t="str">
        <v/>
      </c>
      <c r="AI203" s="6">
        <v>198</v>
      </c>
      <c r="AJ203" s="6">
        <v>9</v>
      </c>
      <c r="AK203" s="10">
        <v>1.9094925324389769E-4</v>
      </c>
      <c r="AL203" s="10" t="e">
        <v>#N/A</v>
      </c>
      <c r="AM203" s="10" t="e">
        <v>#N/A</v>
      </c>
      <c r="AN203" s="10">
        <v>1.9094925324389769E-4</v>
      </c>
      <c r="AO203" s="10" t="str">
        <v/>
      </c>
    </row>
    <row r="204" spans="18:41" x14ac:dyDescent="0.2">
      <c r="R204" s="6">
        <v>199</v>
      </c>
      <c r="S204" s="6">
        <v>86.487080241499484</v>
      </c>
      <c r="T204" s="6">
        <v>7.5541559751377427E-2</v>
      </c>
      <c r="U204" s="6" t="e">
        <v>#N/A</v>
      </c>
      <c r="V204" s="6">
        <v>7.5541559751377427E-2</v>
      </c>
      <c r="W204" s="6" t="str">
        <v/>
      </c>
      <c r="Z204" s="6">
        <v>199</v>
      </c>
      <c r="AA204" s="6">
        <v>5</v>
      </c>
      <c r="AB204" s="6">
        <v>0.39321600000000007</v>
      </c>
      <c r="AC204" s="6" t="e">
        <v>#N/A</v>
      </c>
      <c r="AD204" s="6" t="e">
        <v>#N/A</v>
      </c>
      <c r="AE204" s="6">
        <v>0.39321600000000007</v>
      </c>
      <c r="AF204" s="6" t="str">
        <v/>
      </c>
      <c r="AI204" s="6">
        <v>199</v>
      </c>
      <c r="AJ204" s="6">
        <v>9</v>
      </c>
      <c r="AK204" s="10">
        <v>1.9094925324389769E-4</v>
      </c>
      <c r="AL204" s="10" t="e">
        <v>#N/A</v>
      </c>
      <c r="AM204" s="10" t="e">
        <v>#N/A</v>
      </c>
      <c r="AN204" s="10">
        <v>1.9094925324389769E-4</v>
      </c>
      <c r="AO204" s="10" t="str">
        <v/>
      </c>
    </row>
    <row r="205" spans="18:41" x14ac:dyDescent="0.2">
      <c r="R205" s="6">
        <v>200</v>
      </c>
      <c r="S205" s="6">
        <v>86.983503101928036</v>
      </c>
      <c r="T205" s="6">
        <v>7.2174902066932334E-2</v>
      </c>
      <c r="U205" s="6" t="e">
        <v>#N/A</v>
      </c>
      <c r="V205" s="6">
        <v>7.2174902066932334E-2</v>
      </c>
      <c r="W205" s="6" t="str">
        <v/>
      </c>
      <c r="Z205" s="6">
        <v>200</v>
      </c>
      <c r="AA205" s="6">
        <v>5</v>
      </c>
      <c r="AB205" s="6">
        <v>0.39321600000000007</v>
      </c>
      <c r="AC205" s="6" t="e">
        <v>#N/A</v>
      </c>
      <c r="AD205" s="6" t="e">
        <v>#N/A</v>
      </c>
      <c r="AE205" s="6">
        <v>0.39321600000000007</v>
      </c>
      <c r="AF205" s="6" t="str">
        <v/>
      </c>
      <c r="AI205" s="6">
        <v>200</v>
      </c>
      <c r="AJ205" s="6">
        <v>9</v>
      </c>
      <c r="AK205" s="10">
        <v>1.9094925324389769E-4</v>
      </c>
      <c r="AL205" s="10" t="e">
        <v>#N/A</v>
      </c>
      <c r="AM205" s="10" t="e">
        <v>#N/A</v>
      </c>
      <c r="AN205" s="10">
        <v>1.9094925324389769E-4</v>
      </c>
      <c r="AO205" s="10" t="str">
        <v/>
      </c>
    </row>
    <row r="206" spans="18:41" x14ac:dyDescent="0.2">
      <c r="R206" s="6">
        <v>201</v>
      </c>
      <c r="S206" s="6">
        <v>87.479925962356603</v>
      </c>
      <c r="T206" s="6">
        <v>6.8915814714596221E-2</v>
      </c>
      <c r="U206" s="6" t="e">
        <v>#N/A</v>
      </c>
      <c r="V206" s="6">
        <v>6.8915814714596221E-2</v>
      </c>
      <c r="W206" s="6">
        <v>87.48</v>
      </c>
      <c r="Z206" s="6">
        <v>201</v>
      </c>
      <c r="AA206" s="6">
        <v>5</v>
      </c>
      <c r="AB206" s="6">
        <v>0.39321600000000007</v>
      </c>
      <c r="AC206" s="6" t="e">
        <v>#N/A</v>
      </c>
      <c r="AD206" s="6" t="e">
        <v>#N/A</v>
      </c>
      <c r="AE206" s="6">
        <v>0.39321600000000007</v>
      </c>
      <c r="AF206" s="6" t="str">
        <v/>
      </c>
      <c r="AI206" s="6">
        <v>201</v>
      </c>
      <c r="AJ206" s="6" t="e">
        <v>#N/A</v>
      </c>
      <c r="AK206" s="10" t="e">
        <v>#N/A</v>
      </c>
      <c r="AL206" s="10" t="e">
        <v>#N/A</v>
      </c>
      <c r="AM206" s="10" t="e">
        <v>#N/A</v>
      </c>
      <c r="AN206" s="10" t="e">
        <v>#N/A</v>
      </c>
      <c r="AO206" s="10" t="str">
        <v/>
      </c>
    </row>
    <row r="207" spans="18:41" x14ac:dyDescent="0.2">
      <c r="R207" s="6">
        <v>202</v>
      </c>
      <c r="S207" s="6">
        <v>87.976348822785184</v>
      </c>
      <c r="T207" s="6">
        <v>6.5763364212604133E-2</v>
      </c>
      <c r="U207" s="6" t="e">
        <v>#N/A</v>
      </c>
      <c r="V207" s="6">
        <v>6.5763364212604133E-2</v>
      </c>
      <c r="W207" s="6" t="str">
        <v/>
      </c>
      <c r="Z207" s="6">
        <v>202</v>
      </c>
      <c r="AA207" s="6">
        <v>5</v>
      </c>
      <c r="AB207" s="6">
        <v>0.39321600000000007</v>
      </c>
      <c r="AC207" s="6" t="e">
        <v>#N/A</v>
      </c>
      <c r="AD207" s="6" t="e">
        <v>#N/A</v>
      </c>
      <c r="AE207" s="6">
        <v>0.39321600000000007</v>
      </c>
      <c r="AF207" s="6" t="str">
        <v/>
      </c>
      <c r="AI207" s="6">
        <v>202</v>
      </c>
      <c r="AJ207" s="6">
        <v>10</v>
      </c>
      <c r="AK207" s="10">
        <v>3.8189850648779602E-5</v>
      </c>
      <c r="AL207" s="10" t="e">
        <v>#N/A</v>
      </c>
      <c r="AM207" s="10" t="e">
        <v>#N/A</v>
      </c>
      <c r="AN207" s="10">
        <v>3.8189850648779602E-5</v>
      </c>
      <c r="AO207" s="10" t="str">
        <v/>
      </c>
    </row>
    <row r="208" spans="18:41" x14ac:dyDescent="0.2">
      <c r="R208" s="6">
        <v>203</v>
      </c>
      <c r="S208" s="6">
        <v>88.472771683213736</v>
      </c>
      <c r="T208" s="6">
        <v>6.2716466987796121E-2</v>
      </c>
      <c r="U208" s="6" t="e">
        <v>#N/A</v>
      </c>
      <c r="V208" s="6">
        <v>6.2716466987796121E-2</v>
      </c>
      <c r="W208" s="6" t="str">
        <v/>
      </c>
      <c r="Z208" s="6">
        <v>203</v>
      </c>
      <c r="AA208" s="6">
        <v>5</v>
      </c>
      <c r="AB208" s="6">
        <v>0.39321600000000007</v>
      </c>
      <c r="AC208" s="6" t="e">
        <v>#N/A</v>
      </c>
      <c r="AD208" s="6" t="e">
        <v>#N/A</v>
      </c>
      <c r="AE208" s="6">
        <v>0.39321600000000007</v>
      </c>
      <c r="AF208" s="6" t="str">
        <v/>
      </c>
      <c r="AI208" s="6">
        <v>203</v>
      </c>
      <c r="AJ208" s="6">
        <v>10</v>
      </c>
      <c r="AK208" s="10">
        <v>3.8189850648779602E-5</v>
      </c>
      <c r="AL208" s="10" t="e">
        <v>#N/A</v>
      </c>
      <c r="AM208" s="10" t="e">
        <v>#N/A</v>
      </c>
      <c r="AN208" s="10">
        <v>3.8189850648779602E-5</v>
      </c>
      <c r="AO208" s="10" t="str">
        <v/>
      </c>
    </row>
    <row r="209" spans="18:41" x14ac:dyDescent="0.2">
      <c r="R209" s="6">
        <v>204</v>
      </c>
      <c r="S209" s="6">
        <v>88.969194543642303</v>
      </c>
      <c r="T209" s="6">
        <v>5.9773898847512365E-2</v>
      </c>
      <c r="U209" s="6" t="e">
        <v>#N/A</v>
      </c>
      <c r="V209" s="6">
        <v>5.9773898847512365E-2</v>
      </c>
      <c r="W209" s="6" t="str">
        <v/>
      </c>
      <c r="Z209" s="6">
        <v>204</v>
      </c>
      <c r="AA209" s="6">
        <v>5</v>
      </c>
      <c r="AB209" s="6">
        <v>0.39321600000000007</v>
      </c>
      <c r="AC209" s="6" t="e">
        <v>#N/A</v>
      </c>
      <c r="AD209" s="6" t="e">
        <v>#N/A</v>
      </c>
      <c r="AE209" s="6">
        <v>0.39321600000000007</v>
      </c>
      <c r="AF209" s="6" t="str">
        <v/>
      </c>
      <c r="AI209" s="6">
        <v>204</v>
      </c>
      <c r="AJ209" s="6">
        <v>10</v>
      </c>
      <c r="AK209" s="10">
        <v>3.8189850648779602E-5</v>
      </c>
      <c r="AL209" s="10" t="e">
        <v>#N/A</v>
      </c>
      <c r="AM209" s="10" t="e">
        <v>#N/A</v>
      </c>
      <c r="AN209" s="10">
        <v>3.8189850648779602E-5</v>
      </c>
      <c r="AO209" s="10" t="str">
        <v/>
      </c>
    </row>
    <row r="210" spans="18:41" x14ac:dyDescent="0.2">
      <c r="R210" s="6">
        <v>205</v>
      </c>
      <c r="S210" s="6">
        <v>89.465617404070869</v>
      </c>
      <c r="T210" s="6">
        <v>5.6934304438421797E-2</v>
      </c>
      <c r="U210" s="6" t="e">
        <v>#N/A</v>
      </c>
      <c r="V210" s="6">
        <v>5.6934304438421797E-2</v>
      </c>
      <c r="W210" s="6" t="str">
        <v/>
      </c>
      <c r="Z210" s="6">
        <v>205</v>
      </c>
      <c r="AA210" s="6">
        <v>5</v>
      </c>
      <c r="AB210" s="6">
        <v>0.39321600000000007</v>
      </c>
      <c r="AC210" s="6" t="e">
        <v>#N/A</v>
      </c>
      <c r="AD210" s="6" t="e">
        <v>#N/A</v>
      </c>
      <c r="AE210" s="6">
        <v>0.39321600000000007</v>
      </c>
      <c r="AF210" s="6" t="str">
        <v/>
      </c>
      <c r="AI210" s="6">
        <v>205</v>
      </c>
      <c r="AJ210" s="6">
        <v>10</v>
      </c>
      <c r="AK210" s="10">
        <v>3.8189850648779602E-5</v>
      </c>
      <c r="AL210" s="10" t="e">
        <v>#N/A</v>
      </c>
      <c r="AM210" s="10" t="e">
        <v>#N/A</v>
      </c>
      <c r="AN210" s="10">
        <v>3.8189850648779602E-5</v>
      </c>
      <c r="AO210" s="10" t="str">
        <v/>
      </c>
    </row>
    <row r="211" spans="18:41" x14ac:dyDescent="0.2">
      <c r="R211" s="6">
        <v>206</v>
      </c>
      <c r="S211" s="6">
        <v>89.962040264499436</v>
      </c>
      <c r="T211" s="6">
        <v>5.4196206658762222E-2</v>
      </c>
      <c r="U211" s="6" t="e">
        <v>#N/A</v>
      </c>
      <c r="V211" s="6">
        <v>5.4196206658762222E-2</v>
      </c>
      <c r="W211" s="6" t="str">
        <v/>
      </c>
      <c r="Z211" s="6">
        <v>206</v>
      </c>
      <c r="AA211" s="6">
        <v>5</v>
      </c>
      <c r="AB211" s="6">
        <v>0.39321600000000007</v>
      </c>
      <c r="AC211" s="6" t="e">
        <v>#N/A</v>
      </c>
      <c r="AD211" s="6" t="e">
        <v>#N/A</v>
      </c>
      <c r="AE211" s="6">
        <v>0.39321600000000007</v>
      </c>
      <c r="AF211" s="6" t="str">
        <v/>
      </c>
      <c r="AI211" s="6">
        <v>206</v>
      </c>
      <c r="AJ211" s="6">
        <v>10</v>
      </c>
      <c r="AK211" s="10">
        <v>3.8189850648779602E-5</v>
      </c>
      <c r="AL211" s="10" t="e">
        <v>#N/A</v>
      </c>
      <c r="AM211" s="10" t="e">
        <v>#N/A</v>
      </c>
      <c r="AN211" s="10">
        <v>3.8189850648779602E-5</v>
      </c>
      <c r="AO211" s="10" t="str">
        <v/>
      </c>
    </row>
    <row r="212" spans="18:41" x14ac:dyDescent="0.2">
      <c r="R212" s="6">
        <v>207</v>
      </c>
      <c r="S212" s="6">
        <v>90.458463124927988</v>
      </c>
      <c r="T212" s="6">
        <v>5.1558015992230748E-2</v>
      </c>
      <c r="U212" s="6" t="e">
        <v>#N/A</v>
      </c>
      <c r="V212" s="6">
        <v>5.1558015992230748E-2</v>
      </c>
      <c r="W212" s="6" t="str">
        <v/>
      </c>
      <c r="Z212" s="6">
        <v>207</v>
      </c>
      <c r="AA212" s="6">
        <v>5</v>
      </c>
      <c r="AB212" s="6">
        <v>0.39321600000000007</v>
      </c>
      <c r="AC212" s="6" t="e">
        <v>#N/A</v>
      </c>
      <c r="AD212" s="6" t="e">
        <v>#N/A</v>
      </c>
      <c r="AE212" s="6">
        <v>0.39321600000000007</v>
      </c>
      <c r="AF212" s="6" t="str">
        <v/>
      </c>
      <c r="AI212" s="6">
        <v>207</v>
      </c>
      <c r="AJ212" s="6">
        <v>10</v>
      </c>
      <c r="AK212" s="10">
        <v>3.8189850648779602E-5</v>
      </c>
      <c r="AL212" s="10" t="e">
        <v>#N/A</v>
      </c>
      <c r="AM212" s="10" t="e">
        <v>#N/A</v>
      </c>
      <c r="AN212" s="10">
        <v>3.8189850648779602E-5</v>
      </c>
      <c r="AO212" s="10" t="str">
        <v/>
      </c>
    </row>
    <row r="213" spans="18:41" x14ac:dyDescent="0.2">
      <c r="R213" s="6">
        <v>208</v>
      </c>
      <c r="S213" s="6">
        <v>90.954885985356569</v>
      </c>
      <c r="T213" s="6">
        <v>4.9018039733589508E-2</v>
      </c>
      <c r="U213" s="6" t="e">
        <v>#N/A</v>
      </c>
      <c r="V213" s="6">
        <v>4.9018039733589508E-2</v>
      </c>
      <c r="W213" s="6" t="str">
        <v/>
      </c>
      <c r="Z213" s="6">
        <v>208</v>
      </c>
      <c r="AA213" s="6">
        <v>5</v>
      </c>
      <c r="AB213" s="6">
        <v>0.39321600000000007</v>
      </c>
      <c r="AC213" s="6" t="e">
        <v>#N/A</v>
      </c>
      <c r="AD213" s="6" t="e">
        <v>#N/A</v>
      </c>
      <c r="AE213" s="6">
        <v>0.39321600000000007</v>
      </c>
      <c r="AF213" s="6" t="str">
        <v/>
      </c>
      <c r="AI213" s="6">
        <v>208</v>
      </c>
      <c r="AJ213" s="6">
        <v>10</v>
      </c>
      <c r="AK213" s="10">
        <v>3.8189850648779602E-5</v>
      </c>
      <c r="AL213" s="10" t="e">
        <v>#N/A</v>
      </c>
      <c r="AM213" s="10" t="e">
        <v>#N/A</v>
      </c>
      <c r="AN213" s="10">
        <v>3.8189850648779602E-5</v>
      </c>
      <c r="AO213" s="10" t="str">
        <v/>
      </c>
    </row>
    <row r="214" spans="18:41" x14ac:dyDescent="0.2">
      <c r="R214" s="6">
        <v>209</v>
      </c>
      <c r="S214" s="6">
        <v>91.451308845785121</v>
      </c>
      <c r="T214" s="6">
        <v>4.6574491077940997E-2</v>
      </c>
      <c r="U214" s="6" t="e">
        <v>#N/A</v>
      </c>
      <c r="V214" s="6">
        <v>4.6574491077940997E-2</v>
      </c>
      <c r="W214" s="6" t="str">
        <v/>
      </c>
      <c r="Z214" s="6">
        <v>209</v>
      </c>
      <c r="AA214" s="6">
        <v>5</v>
      </c>
      <c r="AB214" s="6">
        <v>0.39321600000000007</v>
      </c>
      <c r="AC214" s="6" t="e">
        <v>#N/A</v>
      </c>
      <c r="AD214" s="6" t="e">
        <v>#N/A</v>
      </c>
      <c r="AE214" s="6">
        <v>0.39321600000000007</v>
      </c>
      <c r="AF214" s="6" t="str">
        <v/>
      </c>
      <c r="AI214" s="6">
        <v>209</v>
      </c>
      <c r="AJ214" s="6">
        <v>10</v>
      </c>
      <c r="AK214" s="10">
        <v>3.8189850648779602E-5</v>
      </c>
      <c r="AL214" s="10" t="e">
        <v>#N/A</v>
      </c>
      <c r="AM214" s="10" t="e">
        <v>#N/A</v>
      </c>
      <c r="AN214" s="10">
        <v>3.8189850648779602E-5</v>
      </c>
      <c r="AO214" s="10" t="str">
        <v/>
      </c>
    </row>
    <row r="215" spans="18:41" x14ac:dyDescent="0.2">
      <c r="R215" s="6">
        <v>210</v>
      </c>
      <c r="S215" s="6">
        <v>91.947731706213688</v>
      </c>
      <c r="T215" s="6">
        <v>4.4225498047551264E-2</v>
      </c>
      <c r="U215" s="6" t="e">
        <v>#N/A</v>
      </c>
      <c r="V215" s="6">
        <v>4.4225498047551264E-2</v>
      </c>
      <c r="W215" s="6" t="str">
        <v/>
      </c>
      <c r="Z215" s="6">
        <v>210</v>
      </c>
      <c r="AA215" s="6">
        <v>5</v>
      </c>
      <c r="AB215" s="6">
        <v>0.39321600000000007</v>
      </c>
      <c r="AC215" s="6" t="e">
        <v>#N/A</v>
      </c>
      <c r="AD215" s="6" t="e">
        <v>#N/A</v>
      </c>
      <c r="AE215" s="6">
        <v>0.39321600000000007</v>
      </c>
      <c r="AF215" s="6" t="str">
        <v/>
      </c>
      <c r="AI215" s="6">
        <v>210</v>
      </c>
      <c r="AJ215" s="6">
        <v>10</v>
      </c>
      <c r="AK215" s="10">
        <v>3.8189850648779602E-5</v>
      </c>
      <c r="AL215" s="10" t="e">
        <v>#N/A</v>
      </c>
      <c r="AM215" s="10" t="e">
        <v>#N/A</v>
      </c>
      <c r="AN215" s="10">
        <v>3.8189850648779602E-5</v>
      </c>
      <c r="AO215" s="10" t="str">
        <v/>
      </c>
    </row>
    <row r="216" spans="18:41" x14ac:dyDescent="0.2">
      <c r="R216" s="6">
        <v>211</v>
      </c>
      <c r="S216" s="6">
        <v>92.444154566642254</v>
      </c>
      <c r="T216" s="6">
        <v>4.1969112232068333E-2</v>
      </c>
      <c r="U216" s="6" t="e">
        <v>#N/A</v>
      </c>
      <c r="V216" s="6">
        <v>4.1969112232068333E-2</v>
      </c>
      <c r="W216" s="6" t="str">
        <v/>
      </c>
      <c r="Z216" s="6">
        <v>211</v>
      </c>
      <c r="AA216" s="6" t="e">
        <v>#N/A</v>
      </c>
      <c r="AB216" s="6" t="e">
        <v>#N/A</v>
      </c>
      <c r="AC216" s="6" t="e">
        <v>#N/A</v>
      </c>
      <c r="AD216" s="6" t="e">
        <v>#N/A</v>
      </c>
      <c r="AE216" s="6" t="e">
        <v>#N/A</v>
      </c>
      <c r="AF216" s="6" t="str">
        <v/>
      </c>
      <c r="AI216" s="6">
        <v>211</v>
      </c>
      <c r="AJ216" s="6">
        <v>10</v>
      </c>
      <c r="AK216" s="10">
        <v>3.8189850648779602E-5</v>
      </c>
      <c r="AL216" s="10" t="e">
        <v>#N/A</v>
      </c>
      <c r="AM216" s="10" t="e">
        <v>#N/A</v>
      </c>
      <c r="AN216" s="10">
        <v>3.8189850648779602E-5</v>
      </c>
      <c r="AO216" s="10">
        <v>10</v>
      </c>
    </row>
    <row r="217" spans="18:41" x14ac:dyDescent="0.2">
      <c r="R217" s="6">
        <v>212</v>
      </c>
      <c r="S217" s="6">
        <v>92.940577427070821</v>
      </c>
      <c r="T217" s="6">
        <v>3.9803317319956046E-2</v>
      </c>
      <c r="U217" s="6" t="e">
        <v>#N/A</v>
      </c>
      <c r="V217" s="6">
        <v>3.9803317319956046E-2</v>
      </c>
      <c r="W217" s="6" t="str">
        <v/>
      </c>
      <c r="Z217" s="6">
        <v>212</v>
      </c>
      <c r="AA217" s="6">
        <v>6</v>
      </c>
      <c r="AB217" s="6">
        <v>0.2621440000000001</v>
      </c>
      <c r="AC217" s="6" t="e">
        <v>#N/A</v>
      </c>
      <c r="AD217" s="6" t="e">
        <v>#N/A</v>
      </c>
      <c r="AE217" s="6">
        <v>0.2621440000000001</v>
      </c>
      <c r="AF217" s="6" t="str">
        <v/>
      </c>
      <c r="AI217" s="6">
        <v>212</v>
      </c>
      <c r="AJ217" s="6">
        <v>10</v>
      </c>
      <c r="AK217" s="10">
        <v>3.8189850648779602E-5</v>
      </c>
      <c r="AL217" s="10" t="e">
        <v>#N/A</v>
      </c>
      <c r="AM217" s="10" t="e">
        <v>#N/A</v>
      </c>
      <c r="AN217" s="10">
        <v>3.8189850648779602E-5</v>
      </c>
      <c r="AO217" s="10" t="str">
        <v/>
      </c>
    </row>
    <row r="218" spans="18:41" x14ac:dyDescent="0.2">
      <c r="R218" s="6">
        <v>213</v>
      </c>
      <c r="S218" s="6">
        <v>93.437000287499387</v>
      </c>
      <c r="T218" s="6">
        <v>3.7726037400958284E-2</v>
      </c>
      <c r="U218" s="6" t="e">
        <v>#N/A</v>
      </c>
      <c r="V218" s="6">
        <v>3.7726037400958284E-2</v>
      </c>
      <c r="W218" s="6" t="str">
        <v/>
      </c>
      <c r="Z218" s="6">
        <v>213</v>
      </c>
      <c r="AA218" s="6">
        <v>6</v>
      </c>
      <c r="AB218" s="6">
        <v>0.2621440000000001</v>
      </c>
      <c r="AC218" s="6" t="e">
        <v>#N/A</v>
      </c>
      <c r="AD218" s="6" t="e">
        <v>#N/A</v>
      </c>
      <c r="AE218" s="6">
        <v>0.2621440000000001</v>
      </c>
      <c r="AF218" s="6" t="str">
        <v/>
      </c>
      <c r="AI218" s="6">
        <v>213</v>
      </c>
      <c r="AJ218" s="6">
        <v>10</v>
      </c>
      <c r="AK218" s="10">
        <v>3.8189850648779602E-5</v>
      </c>
      <c r="AL218" s="10" t="e">
        <v>#N/A</v>
      </c>
      <c r="AM218" s="10" t="e">
        <v>#N/A</v>
      </c>
      <c r="AN218" s="10">
        <v>3.8189850648779602E-5</v>
      </c>
      <c r="AO218" s="10" t="str">
        <v/>
      </c>
    </row>
    <row r="219" spans="18:41" x14ac:dyDescent="0.2">
      <c r="R219" s="6">
        <v>214</v>
      </c>
      <c r="S219" s="6">
        <v>93.93342314792794</v>
      </c>
      <c r="T219" s="6">
        <v>3.5735145021390198E-2</v>
      </c>
      <c r="U219" s="6" t="e">
        <v>#N/A</v>
      </c>
      <c r="V219" s="6">
        <v>3.5735145021390198E-2</v>
      </c>
      <c r="W219" s="6" t="str">
        <v/>
      </c>
      <c r="Z219" s="6">
        <v>214</v>
      </c>
      <c r="AA219" s="6">
        <v>6</v>
      </c>
      <c r="AB219" s="6">
        <v>0.2621440000000001</v>
      </c>
      <c r="AC219" s="6" t="e">
        <v>#N/A</v>
      </c>
      <c r="AD219" s="6" t="e">
        <v>#N/A</v>
      </c>
      <c r="AE219" s="6">
        <v>0.2621440000000001</v>
      </c>
      <c r="AF219" s="6" t="str">
        <v/>
      </c>
      <c r="AI219" s="6">
        <v>214</v>
      </c>
      <c r="AJ219" s="6">
        <v>10</v>
      </c>
      <c r="AK219" s="10">
        <v>3.8189850648779602E-5</v>
      </c>
      <c r="AL219" s="10" t="e">
        <v>#N/A</v>
      </c>
      <c r="AM219" s="10" t="e">
        <v>#N/A</v>
      </c>
      <c r="AN219" s="10">
        <v>3.8189850648779602E-5</v>
      </c>
      <c r="AO219" s="10" t="str">
        <v/>
      </c>
    </row>
    <row r="220" spans="18:41" x14ac:dyDescent="0.2">
      <c r="R220" s="6">
        <v>215</v>
      </c>
      <c r="S220" s="6">
        <v>94.42984600835652</v>
      </c>
      <c r="T220" s="6">
        <v>3.3828468976025428E-2</v>
      </c>
      <c r="U220" s="6" t="e">
        <v>#N/A</v>
      </c>
      <c r="V220" s="6">
        <v>3.3828468976025428E-2</v>
      </c>
      <c r="W220" s="6" t="str">
        <v/>
      </c>
      <c r="Z220" s="6">
        <v>215</v>
      </c>
      <c r="AA220" s="6">
        <v>6</v>
      </c>
      <c r="AB220" s="6">
        <v>0.2621440000000001</v>
      </c>
      <c r="AC220" s="6" t="e">
        <v>#N/A</v>
      </c>
      <c r="AD220" s="6" t="e">
        <v>#N/A</v>
      </c>
      <c r="AE220" s="6">
        <v>0.2621440000000001</v>
      </c>
      <c r="AF220" s="6" t="str">
        <v/>
      </c>
      <c r="AI220" s="6">
        <v>215</v>
      </c>
      <c r="AJ220" s="6">
        <v>10</v>
      </c>
      <c r="AK220" s="10">
        <v>3.8189850648779602E-5</v>
      </c>
      <c r="AL220" s="10" t="e">
        <v>#N/A</v>
      </c>
      <c r="AM220" s="10" t="e">
        <v>#N/A</v>
      </c>
      <c r="AN220" s="10">
        <v>3.8189850648779602E-5</v>
      </c>
      <c r="AO220" s="10" t="str">
        <v/>
      </c>
    </row>
    <row r="221" spans="18:41" x14ac:dyDescent="0.2">
      <c r="R221" s="6">
        <v>216</v>
      </c>
      <c r="S221" s="6">
        <v>94.926268868785073</v>
      </c>
      <c r="T221" s="6">
        <v>3.2003801822296514E-2</v>
      </c>
      <c r="U221" s="6" t="e">
        <v>#N/A</v>
      </c>
      <c r="V221" s="6">
        <v>3.2003801822296514E-2</v>
      </c>
      <c r="W221" s="6" t="str">
        <v/>
      </c>
      <c r="Z221" s="6">
        <v>216</v>
      </c>
      <c r="AA221" s="6">
        <v>6</v>
      </c>
      <c r="AB221" s="6">
        <v>0.2621440000000001</v>
      </c>
      <c r="AC221" s="6" t="e">
        <v>#N/A</v>
      </c>
      <c r="AD221" s="6" t="e">
        <v>#N/A</v>
      </c>
      <c r="AE221" s="6">
        <v>0.2621440000000001</v>
      </c>
      <c r="AF221" s="6" t="str">
        <v/>
      </c>
      <c r="AI221" s="6">
        <v>216</v>
      </c>
      <c r="AJ221" s="6">
        <v>10</v>
      </c>
      <c r="AK221" s="10">
        <v>3.8189850648779602E-5</v>
      </c>
      <c r="AL221" s="10" t="e">
        <v>#N/A</v>
      </c>
      <c r="AM221" s="10" t="e">
        <v>#N/A</v>
      </c>
      <c r="AN221" s="10">
        <v>3.8189850648779602E-5</v>
      </c>
      <c r="AO221" s="10" t="str">
        <v/>
      </c>
    </row>
    <row r="222" spans="18:41" x14ac:dyDescent="0.2">
      <c r="R222" s="6">
        <v>217</v>
      </c>
      <c r="S222" s="6">
        <v>95.422691729213639</v>
      </c>
      <c r="T222" s="6">
        <v>3.0258907104437256E-2</v>
      </c>
      <c r="U222" s="6" t="e">
        <v>#N/A</v>
      </c>
      <c r="V222" s="6">
        <v>3.0258907104437256E-2</v>
      </c>
      <c r="W222" s="6" t="str">
        <v/>
      </c>
      <c r="Z222" s="6">
        <v>217</v>
      </c>
      <c r="AA222" s="6">
        <v>6</v>
      </c>
      <c r="AB222" s="6">
        <v>0.2621440000000001</v>
      </c>
      <c r="AC222" s="6" t="e">
        <v>#N/A</v>
      </c>
      <c r="AD222" s="6" t="e">
        <v>#N/A</v>
      </c>
      <c r="AE222" s="6">
        <v>0.2621440000000001</v>
      </c>
      <c r="AF222" s="6" t="str">
        <v/>
      </c>
      <c r="AI222" s="6">
        <v>217</v>
      </c>
      <c r="AJ222" s="6">
        <v>10</v>
      </c>
      <c r="AK222" s="10">
        <v>3.8189850648779602E-5</v>
      </c>
      <c r="AL222" s="10" t="e">
        <v>#N/A</v>
      </c>
      <c r="AM222" s="10" t="e">
        <v>#N/A</v>
      </c>
      <c r="AN222" s="10">
        <v>3.8189850648779602E-5</v>
      </c>
      <c r="AO222" s="10" t="str">
        <v/>
      </c>
    </row>
    <row r="223" spans="18:41" x14ac:dyDescent="0.2">
      <c r="R223" s="6">
        <v>218</v>
      </c>
      <c r="S223" s="6">
        <v>95.919114589642206</v>
      </c>
      <c r="T223" s="6">
        <v>2.8591526277073009E-2</v>
      </c>
      <c r="U223" s="6" t="e">
        <v>#N/A</v>
      </c>
      <c r="V223" s="6">
        <v>2.8591526277073009E-2</v>
      </c>
      <c r="W223" s="6" t="str">
        <v/>
      </c>
      <c r="Z223" s="6">
        <v>218</v>
      </c>
      <c r="AA223" s="6">
        <v>6</v>
      </c>
      <c r="AB223" s="6">
        <v>0.2621440000000001</v>
      </c>
      <c r="AC223" s="6" t="e">
        <v>#N/A</v>
      </c>
      <c r="AD223" s="6" t="e">
        <v>#N/A</v>
      </c>
      <c r="AE223" s="6">
        <v>0.2621440000000001</v>
      </c>
      <c r="AF223" s="6" t="str">
        <v/>
      </c>
      <c r="AI223" s="6">
        <v>218</v>
      </c>
      <c r="AJ223" s="6">
        <v>10</v>
      </c>
      <c r="AK223" s="10">
        <v>3.8189850648779602E-5</v>
      </c>
      <c r="AL223" s="10" t="e">
        <v>#N/A</v>
      </c>
      <c r="AM223" s="10" t="e">
        <v>#N/A</v>
      </c>
      <c r="AN223" s="10">
        <v>3.8189850648779602E-5</v>
      </c>
      <c r="AO223" s="10" t="str">
        <v/>
      </c>
    </row>
    <row r="224" spans="18:41" x14ac:dyDescent="0.2">
      <c r="R224" s="6">
        <v>219</v>
      </c>
      <c r="S224" s="6">
        <v>96.415537450070772</v>
      </c>
      <c r="T224" s="6">
        <v>2.6999385319583014E-2</v>
      </c>
      <c r="U224" s="6" t="e">
        <v>#N/A</v>
      </c>
      <c r="V224" s="6">
        <v>2.6999385319583014E-2</v>
      </c>
      <c r="W224" s="6" t="str">
        <v/>
      </c>
      <c r="Z224" s="6">
        <v>219</v>
      </c>
      <c r="AA224" s="6">
        <v>6</v>
      </c>
      <c r="AB224" s="6">
        <v>0.2621440000000001</v>
      </c>
      <c r="AC224" s="6" t="e">
        <v>#N/A</v>
      </c>
      <c r="AD224" s="6" t="e">
        <v>#N/A</v>
      </c>
      <c r="AE224" s="6">
        <v>0.2621440000000001</v>
      </c>
      <c r="AF224" s="6" t="str">
        <v/>
      </c>
      <c r="AI224" s="6">
        <v>219</v>
      </c>
      <c r="AJ224" s="6">
        <v>10</v>
      </c>
      <c r="AK224" s="10">
        <v>3.8189850648779602E-5</v>
      </c>
      <c r="AL224" s="10" t="e">
        <v>#N/A</v>
      </c>
      <c r="AM224" s="10" t="e">
        <v>#N/A</v>
      </c>
      <c r="AN224" s="10">
        <v>3.8189850648779602E-5</v>
      </c>
      <c r="AO224" s="10" t="str">
        <v/>
      </c>
    </row>
    <row r="225" spans="18:41" x14ac:dyDescent="0.2">
      <c r="R225" s="6">
        <v>220</v>
      </c>
      <c r="S225" s="6">
        <v>96.911960310499325</v>
      </c>
      <c r="T225" s="6">
        <v>2.5480201034328333E-2</v>
      </c>
      <c r="U225" s="6" t="e">
        <v>#N/A</v>
      </c>
      <c r="V225" s="6">
        <v>2.5480201034328333E-2</v>
      </c>
      <c r="W225" s="6" t="str">
        <v/>
      </c>
      <c r="Z225" s="6">
        <v>220</v>
      </c>
      <c r="AA225" s="6">
        <v>6</v>
      </c>
      <c r="AB225" s="6">
        <v>0.2621440000000001</v>
      </c>
      <c r="AC225" s="6" t="e">
        <v>#N/A</v>
      </c>
      <c r="AD225" s="6" t="e">
        <v>#N/A</v>
      </c>
      <c r="AE225" s="6">
        <v>0.2621440000000001</v>
      </c>
      <c r="AF225" s="6" t="str">
        <v/>
      </c>
      <c r="AI225" s="6">
        <v>220</v>
      </c>
      <c r="AJ225" s="6">
        <v>10</v>
      </c>
      <c r="AK225" s="10">
        <v>3.8189850648779602E-5</v>
      </c>
      <c r="AL225" s="10" t="e">
        <v>#N/A</v>
      </c>
      <c r="AM225" s="10" t="e">
        <v>#N/A</v>
      </c>
      <c r="AN225" s="10">
        <v>3.8189850648779602E-5</v>
      </c>
      <c r="AO225" s="10" t="str">
        <v/>
      </c>
    </row>
    <row r="226" spans="18:41" x14ac:dyDescent="0.2">
      <c r="R226" s="6">
        <v>221</v>
      </c>
      <c r="S226" s="6">
        <v>97.408383170927891</v>
      </c>
      <c r="T226" s="6">
        <v>2.403168702354121E-2</v>
      </c>
      <c r="U226" s="6" t="e">
        <v>#N/A</v>
      </c>
      <c r="V226" s="6">
        <v>2.403168702354121E-2</v>
      </c>
      <c r="W226" s="6" t="str">
        <v/>
      </c>
      <c r="Z226" s="6">
        <v>221</v>
      </c>
      <c r="AA226" s="6">
        <v>6</v>
      </c>
      <c r="AB226" s="6">
        <v>0.2621440000000001</v>
      </c>
      <c r="AC226" s="6" t="e">
        <v>#N/A</v>
      </c>
      <c r="AD226" s="6" t="e">
        <v>#N/A</v>
      </c>
      <c r="AE226" s="6">
        <v>0.2621440000000001</v>
      </c>
      <c r="AF226" s="6" t="str">
        <v/>
      </c>
      <c r="AI226" s="6">
        <v>221</v>
      </c>
      <c r="AJ226" s="6" t="e">
        <v>#N/A</v>
      </c>
      <c r="AK226" s="10" t="e">
        <v>#N/A</v>
      </c>
      <c r="AL226" s="10" t="e">
        <v>#N/A</v>
      </c>
      <c r="AM226" s="10" t="e">
        <v>#N/A</v>
      </c>
      <c r="AN226" s="10" t="e">
        <v>#N/A</v>
      </c>
      <c r="AO226" s="10" t="str">
        <v/>
      </c>
    </row>
    <row r="227" spans="18:41" x14ac:dyDescent="0.2">
      <c r="R227" s="6">
        <v>222</v>
      </c>
      <c r="S227" s="6">
        <v>97.904806031356472</v>
      </c>
      <c r="T227" s="6">
        <v>2.2651559341306103E-2</v>
      </c>
      <c r="U227" s="6" t="e">
        <v>#N/A</v>
      </c>
      <c r="V227" s="6">
        <v>2.2651559341306103E-2</v>
      </c>
      <c r="W227" s="6" t="str">
        <v/>
      </c>
      <c r="Z227" s="6">
        <v>222</v>
      </c>
      <c r="AA227" s="6">
        <v>6</v>
      </c>
      <c r="AB227" s="6">
        <v>0.2621440000000001</v>
      </c>
      <c r="AC227" s="6" t="e">
        <v>#N/A</v>
      </c>
      <c r="AD227" s="6" t="e">
        <v>#N/A</v>
      </c>
      <c r="AE227" s="6">
        <v>0.2621440000000001</v>
      </c>
      <c r="AF227" s="6" t="str">
        <v/>
      </c>
      <c r="AI227" s="6">
        <v>222</v>
      </c>
      <c r="AJ227" s="6">
        <v>11</v>
      </c>
      <c r="AK227" s="10">
        <v>6.9436092088690095E-6</v>
      </c>
      <c r="AL227" s="10" t="e">
        <v>#N/A</v>
      </c>
      <c r="AM227" s="10" t="e">
        <v>#N/A</v>
      </c>
      <c r="AN227" s="10">
        <v>6.9436092088690095E-6</v>
      </c>
      <c r="AO227" s="10" t="str">
        <v/>
      </c>
    </row>
    <row r="228" spans="18:41" x14ac:dyDescent="0.2">
      <c r="R228" s="6">
        <v>223</v>
      </c>
      <c r="S228" s="6">
        <v>98.401228891785024</v>
      </c>
      <c r="T228" s="6">
        <v>2.1337541818621984E-2</v>
      </c>
      <c r="U228" s="6" t="e">
        <v>#N/A</v>
      </c>
      <c r="V228" s="6">
        <v>2.1337541818621984E-2</v>
      </c>
      <c r="W228" s="6" t="str">
        <v/>
      </c>
      <c r="Z228" s="6">
        <v>223</v>
      </c>
      <c r="AA228" s="6">
        <v>6</v>
      </c>
      <c r="AB228" s="6">
        <v>0.2621440000000001</v>
      </c>
      <c r="AC228" s="6" t="e">
        <v>#N/A</v>
      </c>
      <c r="AD228" s="6" t="e">
        <v>#N/A</v>
      </c>
      <c r="AE228" s="6">
        <v>0.2621440000000001</v>
      </c>
      <c r="AF228" s="6" t="str">
        <v/>
      </c>
      <c r="AI228" s="6">
        <v>223</v>
      </c>
      <c r="AJ228" s="6">
        <v>11</v>
      </c>
      <c r="AK228" s="10">
        <v>6.9436092088690095E-6</v>
      </c>
      <c r="AL228" s="10" t="e">
        <v>#N/A</v>
      </c>
      <c r="AM228" s="10" t="e">
        <v>#N/A</v>
      </c>
      <c r="AN228" s="10">
        <v>6.9436092088690095E-6</v>
      </c>
      <c r="AO228" s="10" t="str">
        <v/>
      </c>
    </row>
    <row r="229" spans="18:41" x14ac:dyDescent="0.2">
      <c r="R229" s="6">
        <v>224</v>
      </c>
      <c r="S229" s="6">
        <v>98.897651752213591</v>
      </c>
      <c r="T229" s="6">
        <v>2.008737106101895E-2</v>
      </c>
      <c r="U229" s="6" t="e">
        <v>#N/A</v>
      </c>
      <c r="V229" s="6">
        <v>2.008737106101895E-2</v>
      </c>
      <c r="W229" s="6" t="str">
        <v/>
      </c>
      <c r="Z229" s="6">
        <v>224</v>
      </c>
      <c r="AA229" s="6">
        <v>6</v>
      </c>
      <c r="AB229" s="6">
        <v>0.2621440000000001</v>
      </c>
      <c r="AC229" s="6" t="e">
        <v>#N/A</v>
      </c>
      <c r="AD229" s="6" t="e">
        <v>#N/A</v>
      </c>
      <c r="AE229" s="6">
        <v>0.2621440000000001</v>
      </c>
      <c r="AF229" s="6" t="str">
        <v/>
      </c>
      <c r="AI229" s="6">
        <v>224</v>
      </c>
      <c r="AJ229" s="6">
        <v>11</v>
      </c>
      <c r="AK229" s="10">
        <v>6.9436092088690095E-6</v>
      </c>
      <c r="AL229" s="10" t="e">
        <v>#N/A</v>
      </c>
      <c r="AM229" s="10" t="e">
        <v>#N/A</v>
      </c>
      <c r="AN229" s="10">
        <v>6.9436092088690095E-6</v>
      </c>
      <c r="AO229" s="10" t="str">
        <v/>
      </c>
    </row>
    <row r="230" spans="18:41" x14ac:dyDescent="0.2">
      <c r="R230" s="6">
        <v>225</v>
      </c>
      <c r="S230" s="6">
        <v>99.394074612642157</v>
      </c>
      <c r="T230" s="6">
        <v>1.8898801119602578E-2</v>
      </c>
      <c r="U230" s="6" t="e">
        <v>#N/A</v>
      </c>
      <c r="V230" s="6">
        <v>1.8898801119602578E-2</v>
      </c>
      <c r="W230" s="6" t="str">
        <v/>
      </c>
      <c r="Z230" s="6">
        <v>225</v>
      </c>
      <c r="AA230" s="6">
        <v>6</v>
      </c>
      <c r="AB230" s="6">
        <v>0.2621440000000001</v>
      </c>
      <c r="AC230" s="6" t="e">
        <v>#N/A</v>
      </c>
      <c r="AD230" s="6" t="e">
        <v>#N/A</v>
      </c>
      <c r="AE230" s="6">
        <v>0.2621440000000001</v>
      </c>
      <c r="AF230" s="6" t="str">
        <v/>
      </c>
      <c r="AI230" s="6">
        <v>225</v>
      </c>
      <c r="AJ230" s="6">
        <v>11</v>
      </c>
      <c r="AK230" s="10">
        <v>6.9436092088690095E-6</v>
      </c>
      <c r="AL230" s="10" t="e">
        <v>#N/A</v>
      </c>
      <c r="AM230" s="10" t="e">
        <v>#N/A</v>
      </c>
      <c r="AN230" s="10">
        <v>6.9436092088690095E-6</v>
      </c>
      <c r="AO230" s="10" t="str">
        <v/>
      </c>
    </row>
    <row r="231" spans="18:41" x14ac:dyDescent="0.2">
      <c r="R231" s="6">
        <v>226</v>
      </c>
      <c r="S231" s="6">
        <v>99.890497473070724</v>
      </c>
      <c r="T231" s="6">
        <v>1.7769607837714141E-2</v>
      </c>
      <c r="U231" s="6" t="e">
        <v>#N/A</v>
      </c>
      <c r="V231" s="6">
        <v>1.7769607837714141E-2</v>
      </c>
      <c r="W231" s="6">
        <v>99.89</v>
      </c>
      <c r="Z231" s="6">
        <v>226</v>
      </c>
      <c r="AA231" s="6">
        <v>6</v>
      </c>
      <c r="AB231" s="6">
        <v>0.2621440000000001</v>
      </c>
      <c r="AC231" s="6" t="e">
        <v>#N/A</v>
      </c>
      <c r="AD231" s="6" t="e">
        <v>#N/A</v>
      </c>
      <c r="AE231" s="6">
        <v>0.2621440000000001</v>
      </c>
      <c r="AF231" s="6" t="str">
        <v/>
      </c>
      <c r="AI231" s="6">
        <v>226</v>
      </c>
      <c r="AJ231" s="6">
        <v>11</v>
      </c>
      <c r="AK231" s="10">
        <v>6.9436092088690095E-6</v>
      </c>
      <c r="AL231" s="10" t="e">
        <v>#N/A</v>
      </c>
      <c r="AM231" s="10" t="e">
        <v>#N/A</v>
      </c>
      <c r="AN231" s="10">
        <v>6.9436092088690095E-6</v>
      </c>
      <c r="AO231" s="10" t="str">
        <v/>
      </c>
    </row>
    <row r="232" spans="18:41" x14ac:dyDescent="0.2">
      <c r="R232" s="6">
        <v>227</v>
      </c>
      <c r="S232" s="6">
        <v>100.38692033349928</v>
      </c>
      <c r="T232" s="6">
        <v>1.6697592876625755E-2</v>
      </c>
      <c r="U232" s="6" t="e">
        <v>#N/A</v>
      </c>
      <c r="V232" s="6">
        <v>1.6697592876625755E-2</v>
      </c>
      <c r="W232" s="6" t="str">
        <v/>
      </c>
      <c r="Z232" s="6">
        <v>227</v>
      </c>
      <c r="AA232" s="6">
        <v>6</v>
      </c>
      <c r="AB232" s="6">
        <v>0.2621440000000001</v>
      </c>
      <c r="AC232" s="6" t="e">
        <v>#N/A</v>
      </c>
      <c r="AD232" s="6" t="e">
        <v>#N/A</v>
      </c>
      <c r="AE232" s="6">
        <v>0.2621440000000001</v>
      </c>
      <c r="AF232" s="6" t="str">
        <v/>
      </c>
      <c r="AI232" s="6">
        <v>227</v>
      </c>
      <c r="AJ232" s="6">
        <v>11</v>
      </c>
      <c r="AK232" s="10">
        <v>6.9436092088690095E-6</v>
      </c>
      <c r="AL232" s="10" t="e">
        <v>#N/A</v>
      </c>
      <c r="AM232" s="10" t="e">
        <v>#N/A</v>
      </c>
      <c r="AN232" s="10">
        <v>6.9436092088690095E-6</v>
      </c>
      <c r="AO232" s="10" t="str">
        <v/>
      </c>
    </row>
    <row r="233" spans="18:41" x14ac:dyDescent="0.2">
      <c r="R233" s="6">
        <v>228</v>
      </c>
      <c r="S233" s="6">
        <v>100.88334319392784</v>
      </c>
      <c r="T233" s="6">
        <v>1.5680587424828311E-2</v>
      </c>
      <c r="U233" s="6" t="e">
        <v>#N/A</v>
      </c>
      <c r="V233" s="6">
        <v>1.5680587424828311E-2</v>
      </c>
      <c r="W233" s="6" t="str">
        <v/>
      </c>
      <c r="Z233" s="6">
        <v>228</v>
      </c>
      <c r="AA233" s="6">
        <v>6</v>
      </c>
      <c r="AB233" s="6">
        <v>0.2621440000000001</v>
      </c>
      <c r="AC233" s="6" t="e">
        <v>#N/A</v>
      </c>
      <c r="AD233" s="6" t="e">
        <v>#N/A</v>
      </c>
      <c r="AE233" s="6">
        <v>0.2621440000000001</v>
      </c>
      <c r="AF233" s="6" t="str">
        <v/>
      </c>
      <c r="AI233" s="6">
        <v>228</v>
      </c>
      <c r="AJ233" s="6">
        <v>11</v>
      </c>
      <c r="AK233" s="10">
        <v>6.9436092088690095E-6</v>
      </c>
      <c r="AL233" s="10" t="e">
        <v>#N/A</v>
      </c>
      <c r="AM233" s="10" t="e">
        <v>#N/A</v>
      </c>
      <c r="AN233" s="10">
        <v>6.9436092088690095E-6</v>
      </c>
      <c r="AO233" s="10" t="str">
        <v/>
      </c>
    </row>
    <row r="234" spans="18:41" x14ac:dyDescent="0.2">
      <c r="R234" s="6">
        <v>229</v>
      </c>
      <c r="S234" s="6">
        <v>101.37976605435641</v>
      </c>
      <c r="T234" s="6">
        <v>1.4716455596524172E-2</v>
      </c>
      <c r="U234" s="6" t="e">
        <v>#N/A</v>
      </c>
      <c r="V234" s="6">
        <v>1.4716455596524172E-2</v>
      </c>
      <c r="W234" s="6" t="str">
        <v/>
      </c>
      <c r="Z234" s="6">
        <v>229</v>
      </c>
      <c r="AA234" s="6">
        <v>6</v>
      </c>
      <c r="AB234" s="6">
        <v>0.2621440000000001</v>
      </c>
      <c r="AC234" s="6" t="e">
        <v>#N/A</v>
      </c>
      <c r="AD234" s="6" t="e">
        <v>#N/A</v>
      </c>
      <c r="AE234" s="6">
        <v>0.2621440000000001</v>
      </c>
      <c r="AF234" s="6">
        <v>6</v>
      </c>
      <c r="AI234" s="6">
        <v>229</v>
      </c>
      <c r="AJ234" s="6">
        <v>11</v>
      </c>
      <c r="AK234" s="10">
        <v>6.9436092088690095E-6</v>
      </c>
      <c r="AL234" s="10" t="e">
        <v>#N/A</v>
      </c>
      <c r="AM234" s="10" t="e">
        <v>#N/A</v>
      </c>
      <c r="AN234" s="10">
        <v>6.9436092088690095E-6</v>
      </c>
      <c r="AO234" s="10" t="str">
        <v/>
      </c>
    </row>
    <row r="235" spans="18:41" x14ac:dyDescent="0.2">
      <c r="R235" s="6">
        <v>230</v>
      </c>
      <c r="S235" s="6">
        <v>101.87618891478498</v>
      </c>
      <c r="T235" s="6">
        <v>1.3803097525895824E-2</v>
      </c>
      <c r="U235" s="6" t="e">
        <v>#N/A</v>
      </c>
      <c r="V235" s="6">
        <v>1.3803097525895824E-2</v>
      </c>
      <c r="W235" s="6" t="str">
        <v/>
      </c>
      <c r="Z235" s="6">
        <v>230</v>
      </c>
      <c r="AA235" s="6">
        <v>6</v>
      </c>
      <c r="AB235" s="6">
        <v>0.2621440000000001</v>
      </c>
      <c r="AC235" s="6" t="e">
        <v>#N/A</v>
      </c>
      <c r="AD235" s="6" t="e">
        <v>#N/A</v>
      </c>
      <c r="AE235" s="6">
        <v>0.2621440000000001</v>
      </c>
      <c r="AF235" s="6" t="str">
        <v/>
      </c>
      <c r="AI235" s="6">
        <v>230</v>
      </c>
      <c r="AJ235" s="6">
        <v>11</v>
      </c>
      <c r="AK235" s="10">
        <v>6.9436092088690095E-6</v>
      </c>
      <c r="AL235" s="10" t="e">
        <v>#N/A</v>
      </c>
      <c r="AM235" s="10" t="e">
        <v>#N/A</v>
      </c>
      <c r="AN235" s="10">
        <v>6.9436092088690095E-6</v>
      </c>
      <c r="AO235" s="10" t="str">
        <v/>
      </c>
    </row>
    <row r="236" spans="18:41" x14ac:dyDescent="0.2">
      <c r="R236" s="6">
        <v>231</v>
      </c>
      <c r="S236" s="6">
        <v>102.37261177521354</v>
      </c>
      <c r="T236" s="6">
        <v>1.2938452164596234E-2</v>
      </c>
      <c r="U236" s="6" t="e">
        <v>#N/A</v>
      </c>
      <c r="V236" s="6">
        <v>1.2938452164596234E-2</v>
      </c>
      <c r="W236" s="6" t="str">
        <v/>
      </c>
      <c r="Z236" s="6">
        <v>231</v>
      </c>
      <c r="AA236" s="6">
        <v>6</v>
      </c>
      <c r="AB236" s="6">
        <v>0.2621440000000001</v>
      </c>
      <c r="AC236" s="6" t="e">
        <v>#N/A</v>
      </c>
      <c r="AD236" s="6" t="e">
        <v>#N/A</v>
      </c>
      <c r="AE236" s="6">
        <v>0.2621440000000001</v>
      </c>
      <c r="AF236" s="6" t="str">
        <v/>
      </c>
      <c r="AI236" s="6">
        <v>231</v>
      </c>
      <c r="AJ236" s="6">
        <v>11</v>
      </c>
      <c r="AK236" s="10">
        <v>6.9436092088690095E-6</v>
      </c>
      <c r="AL236" s="10" t="e">
        <v>#N/A</v>
      </c>
      <c r="AM236" s="10" t="e">
        <v>#N/A</v>
      </c>
      <c r="AN236" s="10">
        <v>6.9436092088690095E-6</v>
      </c>
      <c r="AO236" s="10">
        <v>11</v>
      </c>
    </row>
    <row r="237" spans="18:41" x14ac:dyDescent="0.2">
      <c r="R237" s="6">
        <v>232</v>
      </c>
      <c r="S237" s="6">
        <v>102.86903463564211</v>
      </c>
      <c r="T237" s="6">
        <v>1.212049979068994E-2</v>
      </c>
      <c r="U237" s="6" t="e">
        <v>#N/A</v>
      </c>
      <c r="V237" s="6">
        <v>1.212049979068994E-2</v>
      </c>
      <c r="W237" s="6" t="str">
        <v/>
      </c>
      <c r="Z237" s="6">
        <v>232</v>
      </c>
      <c r="AA237" s="6">
        <v>6</v>
      </c>
      <c r="AB237" s="6">
        <v>0.2621440000000001</v>
      </c>
      <c r="AC237" s="6" t="e">
        <v>#N/A</v>
      </c>
      <c r="AD237" s="6" t="e">
        <v>#N/A</v>
      </c>
      <c r="AE237" s="6">
        <v>0.2621440000000001</v>
      </c>
      <c r="AF237" s="6" t="str">
        <v/>
      </c>
      <c r="AI237" s="6">
        <v>232</v>
      </c>
      <c r="AJ237" s="6">
        <v>11</v>
      </c>
      <c r="AK237" s="10">
        <v>6.9436092088690095E-6</v>
      </c>
      <c r="AL237" s="10" t="e">
        <v>#N/A</v>
      </c>
      <c r="AM237" s="10" t="e">
        <v>#N/A</v>
      </c>
      <c r="AN237" s="10">
        <v>6.9436092088690095E-6</v>
      </c>
      <c r="AO237" s="10" t="str">
        <v/>
      </c>
    </row>
    <row r="238" spans="18:41" x14ac:dyDescent="0.2">
      <c r="R238" s="6">
        <v>233</v>
      </c>
      <c r="S238" s="6">
        <v>103.36545749607068</v>
      </c>
      <c r="T238" s="6">
        <v>1.1347264237970188E-2</v>
      </c>
      <c r="U238" s="6" t="e">
        <v>#N/A</v>
      </c>
      <c r="V238" s="6">
        <v>1.1347264237970188E-2</v>
      </c>
      <c r="W238" s="6" t="str">
        <v/>
      </c>
      <c r="Z238" s="6">
        <v>233</v>
      </c>
      <c r="AA238" s="6">
        <v>6</v>
      </c>
      <c r="AB238" s="6">
        <v>0.2621440000000001</v>
      </c>
      <c r="AC238" s="6" t="e">
        <v>#N/A</v>
      </c>
      <c r="AD238" s="6" t="e">
        <v>#N/A</v>
      </c>
      <c r="AE238" s="6">
        <v>0.2621440000000001</v>
      </c>
      <c r="AF238" s="6" t="str">
        <v/>
      </c>
      <c r="AI238" s="6">
        <v>233</v>
      </c>
      <c r="AJ238" s="6">
        <v>11</v>
      </c>
      <c r="AK238" s="10">
        <v>6.9436092088690095E-6</v>
      </c>
      <c r="AL238" s="10" t="e">
        <v>#N/A</v>
      </c>
      <c r="AM238" s="10" t="e">
        <v>#N/A</v>
      </c>
      <c r="AN238" s="10">
        <v>6.9436092088690095E-6</v>
      </c>
      <c r="AO238" s="10" t="str">
        <v/>
      </c>
    </row>
    <row r="239" spans="18:41" x14ac:dyDescent="0.2">
      <c r="R239" s="6">
        <v>234</v>
      </c>
      <c r="S239" s="6">
        <v>103.86188035649923</v>
      </c>
      <c r="T239" s="6">
        <v>1.0616814855188403E-2</v>
      </c>
      <c r="U239" s="6" t="e">
        <v>#N/A</v>
      </c>
      <c r="V239" s="6">
        <v>1.0616814855188403E-2</v>
      </c>
      <c r="W239" s="6" t="str">
        <v/>
      </c>
      <c r="Z239" s="6">
        <v>234</v>
      </c>
      <c r="AA239" s="6">
        <v>6</v>
      </c>
      <c r="AB239" s="6">
        <v>0.2621440000000001</v>
      </c>
      <c r="AC239" s="6" t="e">
        <v>#N/A</v>
      </c>
      <c r="AD239" s="6" t="e">
        <v>#N/A</v>
      </c>
      <c r="AE239" s="6">
        <v>0.2621440000000001</v>
      </c>
      <c r="AF239" s="6" t="str">
        <v/>
      </c>
      <c r="AI239" s="6">
        <v>234</v>
      </c>
      <c r="AJ239" s="6">
        <v>11</v>
      </c>
      <c r="AK239" s="10">
        <v>6.9436092088690095E-6</v>
      </c>
      <c r="AL239" s="10" t="e">
        <v>#N/A</v>
      </c>
      <c r="AM239" s="10" t="e">
        <v>#N/A</v>
      </c>
      <c r="AN239" s="10">
        <v>6.9436092088690095E-6</v>
      </c>
      <c r="AO239" s="10" t="str">
        <v/>
      </c>
    </row>
    <row r="240" spans="18:41" x14ac:dyDescent="0.2">
      <c r="R240" s="6">
        <v>235</v>
      </c>
      <c r="S240" s="6">
        <v>104.35830321692781</v>
      </c>
      <c r="T240" s="6">
        <v>9.9272682052590697E-3</v>
      </c>
      <c r="U240" s="6" t="e">
        <v>#N/A</v>
      </c>
      <c r="V240" s="6">
        <v>9.9272682052590697E-3</v>
      </c>
      <c r="W240" s="6" t="str">
        <v/>
      </c>
      <c r="Z240" s="6">
        <v>235</v>
      </c>
      <c r="AA240" s="6">
        <v>6</v>
      </c>
      <c r="AB240" s="6">
        <v>0.2621440000000001</v>
      </c>
      <c r="AC240" s="6" t="e">
        <v>#N/A</v>
      </c>
      <c r="AD240" s="6" t="e">
        <v>#N/A</v>
      </c>
      <c r="AE240" s="6">
        <v>0.2621440000000001</v>
      </c>
      <c r="AF240" s="6" t="str">
        <v/>
      </c>
      <c r="AI240" s="6">
        <v>235</v>
      </c>
      <c r="AJ240" s="6">
        <v>11</v>
      </c>
      <c r="AK240" s="10">
        <v>6.9436092088690095E-6</v>
      </c>
      <c r="AL240" s="10" t="e">
        <v>#N/A</v>
      </c>
      <c r="AM240" s="10" t="e">
        <v>#N/A</v>
      </c>
      <c r="AN240" s="10">
        <v>6.9436092088690095E-6</v>
      </c>
      <c r="AO240" s="10" t="str">
        <v/>
      </c>
    </row>
    <row r="241" spans="18:41" x14ac:dyDescent="0.2">
      <c r="R241" s="6">
        <v>236</v>
      </c>
      <c r="S241" s="6">
        <v>104.85472607735636</v>
      </c>
      <c r="T241" s="6">
        <v>9.2767895149492557E-3</v>
      </c>
      <c r="U241" s="6" t="e">
        <v>#N/A</v>
      </c>
      <c r="V241" s="6">
        <v>9.2767895149492557E-3</v>
      </c>
      <c r="W241" s="6" t="str">
        <v/>
      </c>
      <c r="Z241" s="6">
        <v>236</v>
      </c>
      <c r="AA241" s="6">
        <v>6</v>
      </c>
      <c r="AB241" s="6">
        <v>0.2621440000000001</v>
      </c>
      <c r="AC241" s="6" t="e">
        <v>#N/A</v>
      </c>
      <c r="AD241" s="6" t="e">
        <v>#N/A</v>
      </c>
      <c r="AE241" s="6">
        <v>0.2621440000000001</v>
      </c>
      <c r="AF241" s="6" t="str">
        <v/>
      </c>
      <c r="AI241" s="6">
        <v>236</v>
      </c>
      <c r="AJ241" s="6">
        <v>11</v>
      </c>
      <c r="AK241" s="10">
        <v>6.9436092088690095E-6</v>
      </c>
      <c r="AL241" s="10" t="e">
        <v>#N/A</v>
      </c>
      <c r="AM241" s="10" t="e">
        <v>#N/A</v>
      </c>
      <c r="AN241" s="10">
        <v>6.9436092088690095E-6</v>
      </c>
      <c r="AO241" s="10" t="str">
        <v/>
      </c>
    </row>
    <row r="242" spans="18:41" x14ac:dyDescent="0.2">
      <c r="R242" s="6">
        <v>237</v>
      </c>
      <c r="S242" s="6">
        <v>105.35114893778493</v>
      </c>
      <c r="T242" s="6">
        <v>8.6635938859280798E-3</v>
      </c>
      <c r="U242" s="6" t="e">
        <v>#N/A</v>
      </c>
      <c r="V242" s="6">
        <v>8.6635938859280798E-3</v>
      </c>
      <c r="W242" s="6" t="str">
        <v/>
      </c>
      <c r="Z242" s="6">
        <v>237</v>
      </c>
      <c r="AA242" s="6">
        <v>6</v>
      </c>
      <c r="AB242" s="6">
        <v>0.2621440000000001</v>
      </c>
      <c r="AC242" s="6" t="e">
        <v>#N/A</v>
      </c>
      <c r="AD242" s="6" t="e">
        <v>#N/A</v>
      </c>
      <c r="AE242" s="6">
        <v>0.2621440000000001</v>
      </c>
      <c r="AF242" s="6" t="str">
        <v/>
      </c>
      <c r="AI242" s="6">
        <v>237</v>
      </c>
      <c r="AJ242" s="6">
        <v>11</v>
      </c>
      <c r="AK242" s="10">
        <v>6.9436092088690095E-6</v>
      </c>
      <c r="AL242" s="10" t="e">
        <v>#N/A</v>
      </c>
      <c r="AM242" s="10" t="e">
        <v>#N/A</v>
      </c>
      <c r="AN242" s="10">
        <v>6.9436092088690095E-6</v>
      </c>
      <c r="AO242" s="10" t="str">
        <v/>
      </c>
    </row>
    <row r="243" spans="18:41" x14ac:dyDescent="0.2">
      <c r="R243" s="6">
        <v>238</v>
      </c>
      <c r="S243" s="6">
        <v>105.84757179821348</v>
      </c>
      <c r="T243" s="6">
        <v>8.0859472783450948E-3</v>
      </c>
      <c r="U243" s="6" t="e">
        <v>#N/A</v>
      </c>
      <c r="V243" s="6">
        <v>8.0859472783450948E-3</v>
      </c>
      <c r="W243" s="6" t="str">
        <v/>
      </c>
      <c r="Z243" s="6">
        <v>238</v>
      </c>
      <c r="AA243" s="6">
        <v>6</v>
      </c>
      <c r="AB243" s="6">
        <v>0.2621440000000001</v>
      </c>
      <c r="AC243" s="6" t="e">
        <v>#N/A</v>
      </c>
      <c r="AD243" s="6" t="e">
        <v>#N/A</v>
      </c>
      <c r="AE243" s="6">
        <v>0.2621440000000001</v>
      </c>
      <c r="AF243" s="6" t="str">
        <v/>
      </c>
      <c r="AI243" s="6">
        <v>238</v>
      </c>
      <c r="AJ243" s="6">
        <v>11</v>
      </c>
      <c r="AK243" s="10">
        <v>6.9436092088690095E-6</v>
      </c>
      <c r="AL243" s="10" t="e">
        <v>#N/A</v>
      </c>
      <c r="AM243" s="10" t="e">
        <v>#N/A</v>
      </c>
      <c r="AN243" s="10">
        <v>6.9436092088690095E-6</v>
      </c>
      <c r="AO243" s="10" t="str">
        <v/>
      </c>
    </row>
    <row r="244" spans="18:41" x14ac:dyDescent="0.2">
      <c r="R244" s="6">
        <v>239</v>
      </c>
      <c r="S244" s="6">
        <v>106.34399465864206</v>
      </c>
      <c r="T244" s="6">
        <v>7.5421672783237727E-3</v>
      </c>
      <c r="U244" s="6" t="e">
        <v>#N/A</v>
      </c>
      <c r="V244" s="6">
        <v>7.5421672783237727E-3</v>
      </c>
      <c r="W244" s="6" t="str">
        <v/>
      </c>
      <c r="Z244" s="6">
        <v>239</v>
      </c>
      <c r="AA244" s="6">
        <v>6</v>
      </c>
      <c r="AB244" s="6">
        <v>0.2621440000000001</v>
      </c>
      <c r="AC244" s="6" t="e">
        <v>#N/A</v>
      </c>
      <c r="AD244" s="6" t="e">
        <v>#N/A</v>
      </c>
      <c r="AE244" s="6">
        <v>0.2621440000000001</v>
      </c>
      <c r="AF244" s="6" t="str">
        <v/>
      </c>
      <c r="AI244" s="6">
        <v>239</v>
      </c>
      <c r="AJ244" s="6">
        <v>11</v>
      </c>
      <c r="AK244" s="10">
        <v>6.9436092088690095E-6</v>
      </c>
      <c r="AL244" s="10" t="e">
        <v>#N/A</v>
      </c>
      <c r="AM244" s="10" t="e">
        <v>#N/A</v>
      </c>
      <c r="AN244" s="10">
        <v>6.9436092088690095E-6</v>
      </c>
      <c r="AO244" s="10" t="str">
        <v/>
      </c>
    </row>
    <row r="245" spans="18:41" x14ac:dyDescent="0.2">
      <c r="R245" s="6">
        <v>240</v>
      </c>
      <c r="S245" s="6">
        <v>106.84041751907061</v>
      </c>
      <c r="T245" s="6">
        <v>7.0306236609098431E-3</v>
      </c>
      <c r="U245" s="6" t="e">
        <v>#N/A</v>
      </c>
      <c r="V245" s="6">
        <v>7.0306236609098431E-3</v>
      </c>
      <c r="W245" s="6" t="str">
        <v/>
      </c>
      <c r="Z245" s="6">
        <v>240</v>
      </c>
      <c r="AA245" s="6">
        <v>6</v>
      </c>
      <c r="AB245" s="6">
        <v>0.2621440000000001</v>
      </c>
      <c r="AC245" s="6" t="e">
        <v>#N/A</v>
      </c>
      <c r="AD245" s="6" t="e">
        <v>#N/A</v>
      </c>
      <c r="AE245" s="6">
        <v>0.2621440000000001</v>
      </c>
      <c r="AF245" s="6" t="str">
        <v/>
      </c>
      <c r="AI245" s="6">
        <v>240</v>
      </c>
      <c r="AJ245" s="6">
        <v>11</v>
      </c>
      <c r="AK245" s="10">
        <v>6.9436092088690095E-6</v>
      </c>
      <c r="AL245" s="10" t="e">
        <v>#N/A</v>
      </c>
      <c r="AM245" s="10" t="e">
        <v>#N/A</v>
      </c>
      <c r="AN245" s="10">
        <v>6.9436092088690095E-6</v>
      </c>
      <c r="AO245" s="10" t="str">
        <v/>
      </c>
    </row>
    <row r="246" spans="18:41" x14ac:dyDescent="0.2">
      <c r="R246" s="6">
        <v>241</v>
      </c>
      <c r="S246" s="6">
        <v>107.33684037949918</v>
      </c>
      <c r="T246" s="6">
        <v>6.5497387600978929E-3</v>
      </c>
      <c r="U246" s="6" t="e">
        <v>#N/A</v>
      </c>
      <c r="V246" s="6">
        <v>6.5497387600978929E-3</v>
      </c>
      <c r="W246" s="6" t="str">
        <v/>
      </c>
      <c r="Z246" s="6">
        <v>241</v>
      </c>
      <c r="AA246" s="6">
        <v>6</v>
      </c>
      <c r="AB246" s="6">
        <v>0.2621440000000001</v>
      </c>
      <c r="AC246" s="6" t="e">
        <v>#N/A</v>
      </c>
      <c r="AD246" s="6" t="e">
        <v>#N/A</v>
      </c>
      <c r="AE246" s="6">
        <v>0.2621440000000001</v>
      </c>
      <c r="AF246" s="6" t="str">
        <v/>
      </c>
      <c r="AI246" s="6">
        <v>241</v>
      </c>
      <c r="AJ246" s="6" t="e">
        <v>#N/A</v>
      </c>
      <c r="AK246" s="10" t="e">
        <v>#N/A</v>
      </c>
      <c r="AL246" s="10" t="e">
        <v>#N/A</v>
      </c>
      <c r="AM246" s="10" t="e">
        <v>#N/A</v>
      </c>
      <c r="AN246" s="10" t="e">
        <v>#N/A</v>
      </c>
      <c r="AO246" s="10" t="str">
        <v/>
      </c>
    </row>
    <row r="247" spans="18:41" x14ac:dyDescent="0.2">
      <c r="R247" s="6">
        <v>242</v>
      </c>
      <c r="S247" s="6">
        <v>107.83326323992776</v>
      </c>
      <c r="T247" s="6">
        <v>6.0979876575868661E-3</v>
      </c>
      <c r="U247" s="6" t="e">
        <v>#N/A</v>
      </c>
      <c r="V247" s="6">
        <v>6.0979876575868661E-3</v>
      </c>
      <c r="W247" s="6" t="str">
        <v/>
      </c>
      <c r="Z247" s="6">
        <v>242</v>
      </c>
      <c r="AA247" s="6">
        <v>6</v>
      </c>
      <c r="AB247" s="6">
        <v>0.2621440000000001</v>
      </c>
      <c r="AC247" s="6" t="e">
        <v>#N/A</v>
      </c>
      <c r="AD247" s="6" t="e">
        <v>#N/A</v>
      </c>
      <c r="AE247" s="6">
        <v>0.2621440000000001</v>
      </c>
      <c r="AF247" s="6" t="str">
        <v/>
      </c>
      <c r="AI247" s="6">
        <v>242</v>
      </c>
      <c r="AJ247" s="6" t="e">
        <v>#N/A</v>
      </c>
      <c r="AK247" s="10" t="e">
        <v>#N/A</v>
      </c>
      <c r="AL247" s="10" t="e">
        <v>#N/A</v>
      </c>
      <c r="AM247" s="10" t="e">
        <v>#N/A</v>
      </c>
      <c r="AN247" s="10" t="e">
        <v>#N/A</v>
      </c>
      <c r="AO247" s="10" t="str">
        <v/>
      </c>
    </row>
    <row r="248" spans="18:41" x14ac:dyDescent="0.2">
      <c r="R248" s="6">
        <v>243</v>
      </c>
      <c r="S248" s="6">
        <v>108.32968610035631</v>
      </c>
      <c r="T248" s="6">
        <v>5.6738982018815585E-3</v>
      </c>
      <c r="U248" s="6" t="e">
        <v>#N/A</v>
      </c>
      <c r="V248" s="6">
        <v>5.6738982018815585E-3</v>
      </c>
      <c r="W248" s="6" t="str">
        <v/>
      </c>
      <c r="Z248" s="6">
        <v>243</v>
      </c>
      <c r="AA248" s="6">
        <v>6</v>
      </c>
      <c r="AB248" s="6">
        <v>0.2621440000000001</v>
      </c>
      <c r="AC248" s="6" t="e">
        <v>#N/A</v>
      </c>
      <c r="AD248" s="6" t="e">
        <v>#N/A</v>
      </c>
      <c r="AE248" s="6">
        <v>0.2621440000000001</v>
      </c>
      <c r="AF248" s="6" t="str">
        <v/>
      </c>
      <c r="AI248" s="6">
        <v>243</v>
      </c>
      <c r="AJ248" s="6" t="e">
        <v>#N/A</v>
      </c>
      <c r="AK248" s="10" t="e">
        <v>#N/A</v>
      </c>
      <c r="AL248" s="10" t="e">
        <v>#N/A</v>
      </c>
      <c r="AM248" s="10" t="e">
        <v>#N/A</v>
      </c>
      <c r="AN248" s="10" t="e">
        <v>#N/A</v>
      </c>
      <c r="AO248" s="10" t="str">
        <v/>
      </c>
    </row>
    <row r="249" spans="18:41" x14ac:dyDescent="0.2">
      <c r="R249" s="6">
        <v>244</v>
      </c>
      <c r="S249" s="6">
        <v>108.82610896078488</v>
      </c>
      <c r="T249" s="6">
        <v>5.2760508692726331E-3</v>
      </c>
      <c r="U249" s="6" t="e">
        <v>#N/A</v>
      </c>
      <c r="V249" s="6">
        <v>5.2760508692726331E-3</v>
      </c>
      <c r="W249" s="6" t="str">
        <v/>
      </c>
      <c r="Z249" s="6">
        <v>244</v>
      </c>
      <c r="AA249" s="6">
        <v>6</v>
      </c>
      <c r="AB249" s="6">
        <v>0.2621440000000001</v>
      </c>
      <c r="AC249" s="6" t="e">
        <v>#N/A</v>
      </c>
      <c r="AD249" s="6" t="e">
        <v>#N/A</v>
      </c>
      <c r="AE249" s="6">
        <v>0.2621440000000001</v>
      </c>
      <c r="AF249" s="6" t="str">
        <v/>
      </c>
      <c r="AI249" s="6">
        <v>244</v>
      </c>
      <c r="AJ249" s="6" t="e">
        <v>#N/A</v>
      </c>
      <c r="AK249" s="10" t="e">
        <v>#N/A</v>
      </c>
      <c r="AL249" s="10" t="e">
        <v>#N/A</v>
      </c>
      <c r="AM249" s="10" t="e">
        <v>#N/A</v>
      </c>
      <c r="AN249" s="10" t="e">
        <v>#N/A</v>
      </c>
      <c r="AO249" s="10" t="str">
        <v/>
      </c>
    </row>
    <row r="250" spans="18:41" x14ac:dyDescent="0.2">
      <c r="R250" s="6">
        <v>245</v>
      </c>
      <c r="S250" s="6">
        <v>109.32253182121345</v>
      </c>
      <c r="T250" s="6">
        <v>4.9030784780939377E-3</v>
      </c>
      <c r="U250" s="6" t="e">
        <v>#N/A</v>
      </c>
      <c r="V250" s="6">
        <v>4.9030784780939377E-3</v>
      </c>
      <c r="W250" s="6" t="str">
        <v/>
      </c>
      <c r="Z250" s="6">
        <v>245</v>
      </c>
      <c r="AA250" s="6">
        <v>6</v>
      </c>
      <c r="AB250" s="6">
        <v>0.2621440000000001</v>
      </c>
      <c r="AC250" s="6" t="e">
        <v>#N/A</v>
      </c>
      <c r="AD250" s="6" t="e">
        <v>#N/A</v>
      </c>
      <c r="AE250" s="6">
        <v>0.2621440000000001</v>
      </c>
      <c r="AF250" s="6" t="str">
        <v/>
      </c>
      <c r="AI250" s="6">
        <v>245</v>
      </c>
      <c r="AJ250" s="6" t="e">
        <v>#N/A</v>
      </c>
      <c r="AK250" s="10" t="e">
        <v>#N/A</v>
      </c>
      <c r="AL250" s="10" t="e">
        <v>#N/A</v>
      </c>
      <c r="AM250" s="10" t="e">
        <v>#N/A</v>
      </c>
      <c r="AN250" s="10" t="e">
        <v>#N/A</v>
      </c>
      <c r="AO250" s="10" t="str">
        <v/>
      </c>
    </row>
    <row r="251" spans="18:41" x14ac:dyDescent="0.2">
      <c r="R251" s="6">
        <v>246</v>
      </c>
      <c r="S251" s="6">
        <v>109.81895468164201</v>
      </c>
      <c r="T251" s="6">
        <v>4.5536657674760447E-3</v>
      </c>
      <c r="U251" s="6" t="e">
        <v>#N/A</v>
      </c>
      <c r="V251" s="6">
        <v>4.5536657674760447E-3</v>
      </c>
      <c r="W251" s="6" t="str">
        <v/>
      </c>
      <c r="Z251" s="6">
        <v>246</v>
      </c>
      <c r="AA251" s="6" t="e">
        <v>#N/A</v>
      </c>
      <c r="AB251" s="6" t="e">
        <v>#N/A</v>
      </c>
      <c r="AC251" s="6" t="e">
        <v>#N/A</v>
      </c>
      <c r="AD251" s="6" t="e">
        <v>#N/A</v>
      </c>
      <c r="AE251" s="6" t="e">
        <v>#N/A</v>
      </c>
      <c r="AF251" s="6" t="str">
        <v/>
      </c>
      <c r="AI251" s="6">
        <v>246</v>
      </c>
      <c r="AJ251" s="6" t="e">
        <v>#N/A</v>
      </c>
      <c r="AK251" s="10" t="e">
        <v>#N/A</v>
      </c>
      <c r="AL251" s="10" t="e">
        <v>#N/A</v>
      </c>
      <c r="AM251" s="10" t="e">
        <v>#N/A</v>
      </c>
      <c r="AN251" s="10" t="e">
        <v>#N/A</v>
      </c>
      <c r="AO251" s="10" t="str">
        <v/>
      </c>
    </row>
    <row r="252" spans="18:41" x14ac:dyDescent="0.2">
      <c r="R252" s="6">
        <v>247</v>
      </c>
      <c r="S252" s="6">
        <v>110.31537754207056</v>
      </c>
      <c r="T252" s="6">
        <v>4.2265488515956899E-3</v>
      </c>
      <c r="U252" s="6" t="e">
        <v>#N/A</v>
      </c>
      <c r="V252" s="6">
        <v>4.2265488515956899E-3</v>
      </c>
      <c r="W252" s="6" t="str">
        <v/>
      </c>
      <c r="Z252" s="6">
        <v>247</v>
      </c>
      <c r="AA252" s="6" t="e">
        <v>#N/A</v>
      </c>
      <c r="AB252" s="6" t="e">
        <v>#N/A</v>
      </c>
      <c r="AC252" s="6" t="e">
        <v>#N/A</v>
      </c>
      <c r="AD252" s="6" t="e">
        <v>#N/A</v>
      </c>
      <c r="AE252" s="6" t="e">
        <v>#N/A</v>
      </c>
      <c r="AF252" s="6" t="str">
        <v/>
      </c>
      <c r="AI252" s="6">
        <v>247</v>
      </c>
      <c r="AJ252" s="6" t="e">
        <v>#N/A</v>
      </c>
      <c r="AK252" s="10" t="e">
        <v>#N/A</v>
      </c>
      <c r="AL252" s="10" t="e">
        <v>#N/A</v>
      </c>
      <c r="AM252" s="10" t="e">
        <v>#N/A</v>
      </c>
      <c r="AN252" s="10" t="e">
        <v>#N/A</v>
      </c>
      <c r="AO252" s="10" t="str">
        <v/>
      </c>
    </row>
    <row r="253" spans="18:41" x14ac:dyDescent="0.2">
      <c r="R253" s="6">
        <v>248</v>
      </c>
      <c r="S253" s="6">
        <v>110.81180040249913</v>
      </c>
      <c r="T253" s="6">
        <v>3.9205145601637383E-3</v>
      </c>
      <c r="U253" s="6" t="e">
        <v>#N/A</v>
      </c>
      <c r="V253" s="6">
        <v>3.9205145601637383E-3</v>
      </c>
      <c r="W253" s="6" t="str">
        <v/>
      </c>
      <c r="Z253" s="6">
        <v>248</v>
      </c>
      <c r="AA253" s="6" t="e">
        <v>#N/A</v>
      </c>
      <c r="AB253" s="6" t="e">
        <v>#N/A</v>
      </c>
      <c r="AC253" s="6" t="e">
        <v>#N/A</v>
      </c>
      <c r="AD253" s="6" t="e">
        <v>#N/A</v>
      </c>
      <c r="AE253" s="6" t="e">
        <v>#N/A</v>
      </c>
      <c r="AF253" s="6" t="str">
        <v/>
      </c>
      <c r="AI253" s="6">
        <v>248</v>
      </c>
      <c r="AJ253" s="6" t="e">
        <v>#N/A</v>
      </c>
      <c r="AK253" s="10" t="e">
        <v>#N/A</v>
      </c>
      <c r="AL253" s="10" t="e">
        <v>#N/A</v>
      </c>
      <c r="AM253" s="10" t="e">
        <v>#N/A</v>
      </c>
      <c r="AN253" s="10" t="e">
        <v>#N/A</v>
      </c>
      <c r="AO253" s="10" t="str">
        <v/>
      </c>
    </row>
    <row r="254" spans="18:41" x14ac:dyDescent="0.2">
      <c r="R254" s="6">
        <v>249</v>
      </c>
      <c r="S254" s="6">
        <v>111.3082232629277</v>
      </c>
      <c r="T254" s="6">
        <v>3.634399675604996E-3</v>
      </c>
      <c r="U254" s="6" t="e">
        <v>#N/A</v>
      </c>
      <c r="V254" s="6">
        <v>3.634399675604996E-3</v>
      </c>
      <c r="W254" s="6" t="str">
        <v/>
      </c>
      <c r="Z254" s="6">
        <v>249</v>
      </c>
      <c r="AA254" s="6" t="e">
        <v>#N/A</v>
      </c>
      <c r="AB254" s="6" t="e">
        <v>#N/A</v>
      </c>
      <c r="AC254" s="6" t="e">
        <v>#N/A</v>
      </c>
      <c r="AD254" s="6" t="e">
        <v>#N/A</v>
      </c>
      <c r="AE254" s="6" t="e">
        <v>#N/A</v>
      </c>
      <c r="AF254" s="6" t="str">
        <v/>
      </c>
      <c r="AI254" s="6">
        <v>249</v>
      </c>
      <c r="AJ254" s="6" t="e">
        <v>#N/A</v>
      </c>
      <c r="AK254" s="10" t="e">
        <v>#N/A</v>
      </c>
      <c r="AL254" s="10" t="e">
        <v>#N/A</v>
      </c>
      <c r="AM254" s="10" t="e">
        <v>#N/A</v>
      </c>
      <c r="AN254" s="10" t="e">
        <v>#N/A</v>
      </c>
      <c r="AO254" s="10" t="str">
        <v/>
      </c>
    </row>
    <row r="255" spans="18:41" x14ac:dyDescent="0.2">
      <c r="R255" s="6">
        <v>250</v>
      </c>
      <c r="S255" s="6">
        <v>111.80464612335626</v>
      </c>
      <c r="T255" s="6">
        <v>3.3670900770639959E-3</v>
      </c>
      <c r="U255" s="6" t="e">
        <v>#N/A</v>
      </c>
      <c r="V255" s="6">
        <v>3.3670900770639959E-3</v>
      </c>
      <c r="W255" s="6">
        <v>111.8</v>
      </c>
      <c r="Z255" s="6">
        <v>250</v>
      </c>
      <c r="AA255" s="6" t="e">
        <v>#N/A</v>
      </c>
      <c r="AB255" s="6" t="e">
        <v>#N/A</v>
      </c>
      <c r="AC255" s="6" t="e">
        <v>#N/A</v>
      </c>
      <c r="AD255" s="6" t="e">
        <v>#N/A</v>
      </c>
      <c r="AE255" s="6" t="e">
        <v>#N/A</v>
      </c>
      <c r="AF255" s="6" t="str">
        <v/>
      </c>
      <c r="AI255" s="6">
        <v>250</v>
      </c>
      <c r="AJ255" s="6" t="e">
        <v>#N/A</v>
      </c>
      <c r="AK255" s="10" t="e">
        <v>#N/A</v>
      </c>
      <c r="AL255" s="10" t="e">
        <v>#N/A</v>
      </c>
      <c r="AM255" s="10" t="e">
        <v>#N/A</v>
      </c>
      <c r="AN255" s="10" t="e">
        <v>#N/A</v>
      </c>
      <c r="AO255" s="10" t="str">
        <v/>
      </c>
    </row>
  </sheetData>
  <sheetProtection formatCells="0" formatColumns="0" formatRows="0" insertColumns="0" insertRows="0" insertHyperlinks="0" deleteColumns="0" deleteRows="0" sort="0" autoFilter="0" pivotTables="0"/>
  <phoneticPr fontId="15" type="noConversion"/>
  <conditionalFormatting sqref="B7">
    <cfRule type="expression" dxfId="8" priority="14">
      <formula>NOT(ISBLANK(B8))</formula>
    </cfRule>
  </conditionalFormatting>
  <conditionalFormatting sqref="E7">
    <cfRule type="expression" dxfId="7" priority="13">
      <formula>NOT(ISBLANK(E8))</formula>
    </cfRule>
  </conditionalFormatting>
  <conditionalFormatting sqref="B8">
    <cfRule type="expression" dxfId="6" priority="12">
      <formula>NOT(ISBLANK(B7))</formula>
    </cfRule>
  </conditionalFormatting>
  <conditionalFormatting sqref="E8">
    <cfRule type="expression" dxfId="5" priority="11">
      <formula>NOT(ISBLANK(E7))</formula>
    </cfRule>
  </conditionalFormatting>
  <conditionalFormatting sqref="E7:E8">
    <cfRule type="expression" dxfId="4" priority="9">
      <formula>NOT(OR(ISBLANK($E$7),ISBLANK($E$8)))</formula>
    </cfRule>
  </conditionalFormatting>
  <conditionalFormatting sqref="B7:B8">
    <cfRule type="expression" dxfId="3" priority="8">
      <formula>NOT(OR(ISBLANK($B$7),ISBLANK($B$8)))</formula>
    </cfRule>
  </conditionalFormatting>
  <conditionalFormatting sqref="H6">
    <cfRule type="expression" dxfId="2" priority="4">
      <formula>NOT(ISBLANK(H7))</formula>
    </cfRule>
  </conditionalFormatting>
  <conditionalFormatting sqref="H6:H7">
    <cfRule type="expression" dxfId="1" priority="1">
      <formula>NOT(OR(ISBLANK($H$6),ISBLANK($H$7)))</formula>
    </cfRule>
  </conditionalFormatting>
  <conditionalFormatting sqref="H7">
    <cfRule type="expression" dxfId="0" priority="2">
      <formula>NOT(ISBLANK($H$6))</formula>
    </cfRule>
  </conditionalFormatting>
  <dataValidations xWindow="1133" yWindow="351" count="8">
    <dataValidation type="custom" allowBlank="1" showInputMessage="1" showErrorMessage="1" errorTitle="Vælg et tal" error="Indtast et tal." promptTitle="Vælg en x værdi" prompt="Der kan kun være indtastet en type interesse: enten en x værdi eller en sandsynlighed." sqref="B7" xr:uid="{80BA7DDF-C151-474C-9A98-AEA3A1CCF945}">
      <formula1>ISNUMBER(B7)</formula1>
    </dataValidation>
    <dataValidation type="custom" allowBlank="1" showInputMessage="1" showErrorMessage="1" errorTitle="Vælg et heltal" error="Indtast et helt tal, som er større end eller lig med 0." promptTitle="Vælg en x værdi" prompt="Der kan kun være indtastet en type interesse: enten en x værdi eller en sandsynlighed." sqref="E7 H6" xr:uid="{0E0980FB-E82C-4EA2-8FB7-D42D1486BB59}">
      <formula1>AND(MOD(E6,1)=0,E6&gt;=0)</formula1>
    </dataValidation>
    <dataValidation type="decimal" allowBlank="1" showInputMessage="1" showErrorMessage="1" errorTitle="Vælg en sandsynlighed" error="Vælg en sandsynlighed mellem 0% og 100%." promptTitle="Vælg en sandsynlighed" prompt="Der kan kun være indtastet en type interesse: enten en x værdi eller en sandsynlighed." sqref="E8 H7" xr:uid="{0825DF24-6741-45EA-BB00-3743763E0648}">
      <formula1>0</formula1>
      <formula2>1</formula2>
    </dataValidation>
    <dataValidation type="custom" allowBlank="1" showInputMessage="1" showErrorMessage="1" errorTitle="Vælg et tal" error="Indtast et tal." promptTitle="Vælg et gennemsnit" prompt="Indtast et tal." sqref="B5" xr:uid="{850B335C-ECE2-4299-86F8-337B3518D7C7}">
      <formula1>ISNUMBER(B5)</formula1>
    </dataValidation>
    <dataValidation type="custom" allowBlank="1" showInputMessage="1" showErrorMessage="1" errorTitle="Vælg et tal" error="Indtast et tal." promptTitle="Vælg en standardafvigelse" prompt="Indtast et tal." sqref="B6" xr:uid="{49EBB814-9D42-4D53-9100-476439F7AF9B}">
      <formula1>ISNUMBER(B6)</formula1>
    </dataValidation>
    <dataValidation type="decimal" allowBlank="1" showInputMessage="1" showErrorMessage="1" errorTitle="Vælg en sandsynlighed" error="Indtast en sandsynlighed mellem 0% og 100%." promptTitle="Vælg en sandsynlighed" prompt="Der kan kun være indtastet en type interesse: enten en x værdi eller en sandsynlighed." sqref="B8" xr:uid="{00A73527-377D-414B-BD04-08CD141D5DA3}">
      <formula1>0</formula1>
      <formula2>1</formula2>
    </dataValidation>
    <dataValidation type="custom" allowBlank="1" showInputMessage="1" showErrorMessage="1" errorTitle="Vælg et naturligt antal" error="Indtast et heltal som er større end 0." promptTitle="Vælg et antal forsøg" prompt="Indtast et heltal som er større end 0." sqref="E5 H5" xr:uid="{87A352BC-56C8-4660-B534-E9CB1722B958}">
      <formula1>AND(MOD(E5,1)=0,E5&gt;0)</formula1>
    </dataValidation>
    <dataValidation type="decimal" allowBlank="1" showInputMessage="1" showErrorMessage="1" errorTitle="Vælg en sandsynlighed" error="Indtast et procenttal mellem 0% og 100%." promptTitle="Vælg en sandsynlighed" prompt="Indtast et procenttal mellem 0% og 100%." sqref="E6" xr:uid="{834A3F3D-4021-4F51-A2F0-0DFB4BABC9BC}">
      <formula1>0</formula1>
      <formula2>1</formula2>
    </dataValidation>
  </dataValidations>
  <hyperlinks>
    <hyperlink ref="B1" location="V_Manual_Sandsynlighed" display="Gå til Manual i brug af Sandsynlighed arket               " xr:uid="{BCBEEBD4-8284-4548-B099-75C5D93E7DD3}"/>
  </hyperlinks>
  <pageMargins left="0.7" right="0.7" top="0.75" bottom="0.75" header="0.3" footer="0.3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30C11CFABFF98349BD7BFD4811820EAF" ma:contentTypeVersion="5" ma:contentTypeDescription="Opret et nyt dokument." ma:contentTypeScope="" ma:versionID="c492f6f430c3829265f02a6c04163758">
  <xsd:schema xmlns:xsd="http://www.w3.org/2001/XMLSchema" xmlns:xs="http://www.w3.org/2001/XMLSchema" xmlns:p="http://schemas.microsoft.com/office/2006/metadata/properties" xmlns:ns3="7096a9c3-13d0-44a4-a2f7-39c55b9e22c7" xmlns:ns4="ffe4fa7a-95c0-4837-89bf-7ba97c147df7" targetNamespace="http://schemas.microsoft.com/office/2006/metadata/properties" ma:root="true" ma:fieldsID="619340582a67895998d3c54a2923d467" ns3:_="" ns4:_="">
    <xsd:import namespace="7096a9c3-13d0-44a4-a2f7-39c55b9e22c7"/>
    <xsd:import namespace="ffe4fa7a-95c0-4837-89bf-7ba97c147df7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096a9c3-13d0-44a4-a2f7-39c55b9e22c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fe4fa7a-95c0-4837-89bf-7ba97c147df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lt med detaljer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værdi for deling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4A043E7E-7780-43FB-811A-ECD9D04175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096a9c3-13d0-44a4-a2f7-39c55b9e22c7"/>
    <ds:schemaRef ds:uri="ffe4fa7a-95c0-4837-89bf-7ba97c147df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FBC3DE-D1C0-45C7-BFCE-96CD4F9A3A3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DD1A4B8E-7370-43D7-87A4-76B8BFC80C03}">
  <ds:schemaRefs>
    <ds:schemaRef ds:uri="7096a9c3-13d0-44a4-a2f7-39c55b9e22c7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ffe4fa7a-95c0-4837-89bf-7ba97c147df7"/>
    <ds:schemaRef ds:uri="http://schemas.microsoft.com/office/infopath/2007/PartnerControls"/>
    <ds:schemaRef ds:uri="http://purl.org/dc/dcmitype/"/>
    <ds:schemaRef ds:uri="http://purl.org/dc/terms/"/>
  </ds:schemaRefs>
</ds:datastoreItem>
</file>

<file path=customXml/itemProps4.xml><?xml version="1.0" encoding="utf-8"?>
<ds:datastoreItem xmlns:ds="http://schemas.openxmlformats.org/officeDocument/2006/customXml" ds:itemID="{67E941B9-A812-43B6-8E71-7AD0BE65C28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Velkommen</vt:lpstr>
      <vt:lpstr>Sandsynlighed</vt:lpstr>
      <vt:lpstr>V_Manual_Sandsynlighed</vt:lpstr>
    </vt:vector>
  </TitlesOfParts>
  <Company>EFIF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JBKstat.Sandsynlighed</dc:title>
  <dc:creator>Jakob Bjerre Knudsen</dc:creator>
  <cp:lastModifiedBy>Jakob</cp:lastModifiedBy>
  <cp:lastPrinted>2019-08-09T07:03:21Z</cp:lastPrinted>
  <dcterms:created xsi:type="dcterms:W3CDTF">2018-12-03T09:30:39Z</dcterms:created>
  <dcterms:modified xsi:type="dcterms:W3CDTF">2021-02-13T12:27:01Z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0x01010030C11CFABFF98349BD7BFD4811820EAF</vt:lpwstr>
  </property>
</Properties>
</file>
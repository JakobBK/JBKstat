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ob\Documents\Arbejde\Statistik\JBKstat\Opdelt i ark\"/>
    </mc:Choice>
  </mc:AlternateContent>
  <xr:revisionPtr revIDLastSave="0" documentId="8_{4A8251AC-7037-441C-B413-3207ED114336}" xr6:coauthVersionLast="46" xr6:coauthVersionMax="46" xr10:uidLastSave="{00000000-0000-0000-0000-000000000000}"/>
  <bookViews>
    <workbookView xWindow="-120" yWindow="-120" windowWidth="29040" windowHeight="15840" tabRatio="727" xr2:uid="{00000000-000D-0000-FFFF-FFFF00000000}"/>
  </bookViews>
  <sheets>
    <sheet name="Velkommen" sheetId="43" r:id="rId1"/>
    <sheet name="DataGenerator" sheetId="53" r:id="rId2"/>
  </sheets>
  <definedNames>
    <definedName name="V_Manual_DataGenerator">Velkommen!$A$28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4" i="53" l="1" a="1"/>
  <c r="Z14" i="53" s="1"/>
  <c r="AA14" i="53" a="1"/>
  <c r="AA14" i="53" s="1"/>
  <c r="AD14" i="53" a="1"/>
  <c r="AD14" i="53" s="1"/>
  <c r="Q6" i="53"/>
  <c r="W14" i="53" s="1" a="1"/>
  <c r="W14" i="53" s="1"/>
  <c r="U14" i="53" a="1"/>
  <c r="U14" i="53" s="1"/>
  <c r="S14" i="53" a="1"/>
  <c r="S14" i="53" s="1"/>
  <c r="T14" i="53" s="1" a="1"/>
  <c r="T14" i="53" s="1"/>
  <c r="V14" i="53" l="1" a="1"/>
  <c r="V14" i="53" s="1"/>
  <c r="X14" i="53" s="1" a="1"/>
  <c r="X14" i="53" s="1"/>
  <c r="M14" i="53" a="1"/>
  <c r="M14" i="53" s="1"/>
  <c r="K14" i="53" a="1"/>
  <c r="K14" i="53" s="1"/>
  <c r="L14" i="53" s="1" a="1"/>
  <c r="L14" i="53" s="1"/>
  <c r="C14" i="53" a="1"/>
  <c r="C14" i="53" s="1"/>
  <c r="A14" i="53" a="1"/>
  <c r="A14" i="53" s="1"/>
  <c r="B14" i="53" s="1" a="1"/>
  <c r="B14" i="53" s="1"/>
  <c r="N14" i="53" l="1" a="1"/>
  <c r="N14" i="53" s="1"/>
  <c r="N6" i="53" s="1"/>
  <c r="M6" i="53"/>
  <c r="M7" i="53"/>
  <c r="N7" i="53" l="1"/>
  <c r="G7" i="53" l="1"/>
  <c r="H8" i="53" s="1"/>
  <c r="H14" i="53" s="1" a="1"/>
  <c r="H14" i="53" s="1"/>
  <c r="F14" i="53" l="1" a="1"/>
  <c r="F14" i="53" s="1"/>
  <c r="G14" i="53" s="1" a="1"/>
  <c r="G14" i="53" s="1"/>
  <c r="I14" i="53" l="1" a="1"/>
  <c r="I14" i="53" s="1"/>
  <c r="I6" i="53" s="1"/>
  <c r="H6" i="53"/>
  <c r="C8" i="53"/>
  <c r="D14" i="53" l="1" a="1"/>
  <c r="D14" i="53" s="1"/>
  <c r="C7" i="53"/>
  <c r="C6" i="53"/>
  <c r="D7" i="53" l="1"/>
  <c r="D6" i="53"/>
  <c r="AB14" i="53" l="1" a="1"/>
  <c r="AB14" i="53" s="1"/>
  <c r="AC14" i="53" s="1" a="1"/>
  <c r="AC14" i="53" s="1"/>
  <c r="AB6" i="53" l="1"/>
  <c r="AB8" i="53"/>
  <c r="AB10" i="53"/>
  <c r="AB7" i="53"/>
  <c r="AE14" i="53" a="1"/>
  <c r="AE14" i="53" s="1"/>
  <c r="AC10" i="53" s="1"/>
  <c r="AC6" i="53" l="1"/>
  <c r="AC7" i="5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<sst xmlns="http://schemas.openxmlformats.org/spreadsheetml/2006/main" count="99" uniqueCount="61">
  <si>
    <t>Gennemsnit</t>
  </si>
  <si>
    <t>Standardafvigelse</t>
  </si>
  <si>
    <t>Formålet er at fremme læring af beskrivende statistik og statistisk analyse.</t>
  </si>
  <si>
    <t>Analyse input</t>
  </si>
  <si>
    <t>Anvendelse af JBKstat</t>
  </si>
  <si>
    <t>Minimum</t>
  </si>
  <si>
    <t>Formål med JBKstat</t>
  </si>
  <si>
    <t>JBKstat er et værktøj til studerende på Erhvervsakademi Aarhus.</t>
  </si>
  <si>
    <t>Parameter</t>
  </si>
  <si>
    <t>Sandsynlighed</t>
  </si>
  <si>
    <t>Parameterværdi</t>
  </si>
  <si>
    <t>1. Indtast parameterværdier</t>
  </si>
  <si>
    <t>Tilfældig værdi</t>
  </si>
  <si>
    <t>Parameterværdi ønsket</t>
  </si>
  <si>
    <t xml:space="preserve">Gå til Data Generator                                                                      </t>
  </si>
  <si>
    <t>Manual i brug af Data Generator arket</t>
  </si>
  <si>
    <t>Data Generator</t>
  </si>
  <si>
    <t xml:space="preserve">Gå til Manual i brug af Data generator arket               </t>
  </si>
  <si>
    <t>Valg til generation af nominal data</t>
  </si>
  <si>
    <t xml:space="preserve">Gå til Manual i brug af Data Generator arket                                      </t>
  </si>
  <si>
    <t xml:space="preserve">Gå til Data Generator                                                                     </t>
  </si>
  <si>
    <t>2. Vælg antal observationer</t>
  </si>
  <si>
    <t>Klik og træk højre nederste hjørne af tabellen for at ændre størrelsen af observationssættet.</t>
  </si>
  <si>
    <t>Formlerne følger automatisk med.</t>
  </si>
  <si>
    <t>3. Kopier data, når du er tilfreds med det genererede observationssæt</t>
  </si>
  <si>
    <t>Klik øverst i overskriften, for at markere alle data i kolonnen.</t>
  </si>
  <si>
    <t>Tryk kopier, eller brug genvejstasten ctrl + c</t>
  </si>
  <si>
    <t>4. Indsæt værdier, der hvor du skal bruge observationssættet</t>
  </si>
  <si>
    <t>Tryk indsæt værdier, eller brug genvejstasten højreklik + v</t>
  </si>
  <si>
    <t>Vær opmærksom på, at genvejstasten ctrl + v ikke giver det ønskede resultat, eftersom det kopierer formlerne i stedet for værdierne.</t>
  </si>
  <si>
    <t>This work is licensed under a Creative Commons Attribution-ShareAlike 4.0 International Public License</t>
  </si>
  <si>
    <t>Valg til generation af ordinal data</t>
  </si>
  <si>
    <t>Ønsket frekvens</t>
  </si>
  <si>
    <t>Observationsværdi</t>
  </si>
  <si>
    <t>Valg til generation af normalfordelt interval data</t>
  </si>
  <si>
    <t>Maksimum</t>
  </si>
  <si>
    <t>Generer datasæt med ønskede fordelinger og parameterværdier</t>
  </si>
  <si>
    <t>Stikprøvestørrelse</t>
  </si>
  <si>
    <t>Genereret normalfordelt population</t>
  </si>
  <si>
    <t>Populationsstørrelse</t>
  </si>
  <si>
    <t>Populationsstørrelse skal være et multipel af</t>
  </si>
  <si>
    <t>Genereret nominal population</t>
  </si>
  <si>
    <t>Generation af normalfordelt interval data</t>
  </si>
  <si>
    <t>Generation af nominal data</t>
  </si>
  <si>
    <t>Genereret stikprøve fra population</t>
  </si>
  <si>
    <t>Parameterværdi i genereret population</t>
  </si>
  <si>
    <t>Parameterestimat fra genereret stikprøve</t>
  </si>
  <si>
    <t>Genereret uniformt fordelt population</t>
  </si>
  <si>
    <t>Summeret frekvens</t>
  </si>
  <si>
    <t>Sekvens</t>
  </si>
  <si>
    <t>Genereret ordinal population</t>
  </si>
  <si>
    <t>Valg til generation af uniformt fordelt interval data</t>
  </si>
  <si>
    <t>Generation af uniformt fordelt interval data</t>
  </si>
  <si>
    <t>Valg til generation af skævt fordelt interval data</t>
  </si>
  <si>
    <t>Max tilfældig værdi</t>
  </si>
  <si>
    <t>Generation af ordinal data</t>
  </si>
  <si>
    <t>Skævhed (positiv)</t>
  </si>
  <si>
    <t>Generation af skævt fordelt interval data</t>
  </si>
  <si>
    <t>Genereret skævt fordelt population</t>
  </si>
  <si>
    <t>1. Generer data på arket Data Generator</t>
  </si>
  <si>
    <t>v. 1.21.DataGenerator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</si>
</sst>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.000"/>
    <numFmt numFmtId="165" formatCode="0.000%"/>
    <numFmt numFmtId="166" formatCode="#,##0.000"/>
    <numFmt numFmtId="167" formatCode="#,##0.00\ &quot;kr.&quot;"/>
    <numFmt numFmtId="168" formatCode="#,##0\ &quot;kr.&quot;"/>
  </numFmts>
  <fonts count="19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rgb="FF006100"/>
      <name val="Tw Cen MT"/>
      <family val="2"/>
      <scheme val="minor"/>
    </font>
    <font>
      <sz val="11"/>
      <color rgb="FF9C0006"/>
      <name val="Tw Cen MT"/>
      <family val="2"/>
      <scheme val="minor"/>
    </font>
    <font>
      <sz val="11"/>
      <color rgb="FF9C6500"/>
      <name val="Tw Cen MT"/>
      <family val="2"/>
      <scheme val="minor"/>
    </font>
    <font>
      <sz val="11"/>
      <color rgb="FF3F3F76"/>
      <name val="Tw Cen MT"/>
      <family val="2"/>
      <scheme val="minor"/>
    </font>
    <font>
      <sz val="11"/>
      <color rgb="FFFA7D0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rgb="FFFF0000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4"/>
      <name val="Tw Cen MT"/>
      <family val="2"/>
      <scheme val="minor"/>
    </font>
    <font>
      <b/>
      <sz val="11"/>
      <name val="Tw Cen MT"/>
      <family val="2"/>
      <scheme val="minor"/>
    </font>
    <font>
      <sz val="14"/>
      <color theme="1"/>
      <name val="Tw Cen MT"/>
      <family val="2"/>
      <scheme val="major"/>
    </font>
    <font>
      <i/>
      <sz val="11"/>
      <color rgb="FF7F7F7F"/>
      <name val="Tw Cen MT"/>
      <family val="2"/>
      <scheme val="minor"/>
    </font>
    <font>
      <sz val="11"/>
      <color theme="0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b/>
      <sz val="14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27">
    <xf numFmtId="0" fontId="0" fillId="0" borderId="0">
      <alignment vertical="top"/>
    </xf>
    <xf numFmtId="0" fontId="12" fillId="0" borderId="0" applyNumberFormat="0" applyFill="0" applyBorder="0" applyProtection="0">
      <alignment vertical="top"/>
    </xf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Protection="0">
      <alignment vertical="top"/>
    </xf>
    <xf numFmtId="0" fontId="16" fillId="0" borderId="2" applyNumberFormat="0" applyFont="0" applyFill="0" applyAlignment="0" applyProtection="0">
      <alignment vertical="top"/>
    </xf>
    <xf numFmtId="0" fontId="11" fillId="0" borderId="0" applyNumberFormat="0" applyFill="0" applyBorder="0" applyProtection="0">
      <alignment horizontal="centerContinuous" vertical="top" wrapText="1"/>
    </xf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164" fontId="11" fillId="0" borderId="2" applyNumberFormat="0" applyAlignment="0" applyProtection="0"/>
    <xf numFmtId="0" fontId="5" fillId="6" borderId="2" applyNumberFormat="0" applyAlignment="0" applyProtection="0"/>
    <xf numFmtId="0" fontId="6" fillId="0" borderId="1" applyNumberFormat="0" applyFill="0" applyAlignment="0" applyProtection="0"/>
    <xf numFmtId="0" fontId="7" fillId="7" borderId="2" applyNumberFormat="0" applyAlignment="0" applyProtection="0"/>
    <xf numFmtId="0" fontId="8" fillId="0" borderId="0" applyNumberFormat="0" applyFill="0" applyBorder="0" applyAlignment="0" applyProtection="0"/>
    <xf numFmtId="0" fontId="1" fillId="8" borderId="2" applyNumberFormat="0" applyAlignment="0" applyProtection="0">
      <alignment vertical="top" wrapText="1"/>
    </xf>
    <xf numFmtId="166" fontId="9" fillId="0" borderId="3" applyNumberFormat="0" applyFill="0" applyAlignment="0" applyProtection="0"/>
    <xf numFmtId="0" fontId="13" fillId="0" borderId="0" applyNumberFormat="0" applyAlignment="0" applyProtection="0">
      <alignment vertical="top"/>
    </xf>
    <xf numFmtId="166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Fill="0" applyBorder="0" applyAlignment="0" applyProtection="0">
      <alignment vertical="top"/>
    </xf>
    <xf numFmtId="0" fontId="1" fillId="0" borderId="0" applyNumberFormat="0" applyFont="0" applyBorder="0" applyAlignment="0" applyProtection="0">
      <alignment vertical="top"/>
    </xf>
    <xf numFmtId="0" fontId="16" fillId="9" borderId="0" applyNumberFormat="0" applyBorder="0" applyAlignment="0" applyProtection="0"/>
    <xf numFmtId="0" fontId="18" fillId="0" borderId="0" applyNumberFormat="0" applyFill="0" applyBorder="0" applyAlignment="0" applyProtection="0">
      <alignment vertical="top"/>
    </xf>
  </cellStyleXfs>
  <cellXfs count="35">
    <xf numFmtId="0" fontId="0" fillId="0" borderId="0" xfId="0">
      <alignment vertical="top"/>
    </xf>
    <xf numFmtId="0" fontId="10" fillId="0" borderId="0" xfId="2">
      <alignment vertical="top"/>
    </xf>
    <xf numFmtId="0" fontId="5" fillId="5" borderId="2" xfId="9" applyAlignment="1">
      <alignment vertical="top"/>
    </xf>
    <xf numFmtId="0" fontId="11" fillId="0" borderId="0" xfId="3">
      <alignment vertical="top"/>
    </xf>
    <xf numFmtId="0" fontId="13" fillId="0" borderId="0" xfId="17">
      <alignment vertical="top"/>
    </xf>
    <xf numFmtId="0" fontId="0" fillId="0" borderId="0" xfId="0" applyBorder="1">
      <alignment vertical="top"/>
    </xf>
    <xf numFmtId="0" fontId="18" fillId="0" borderId="0" xfId="26">
      <alignment vertical="top"/>
    </xf>
    <xf numFmtId="0" fontId="0" fillId="0" borderId="2" xfId="4" applyFont="1" applyProtection="1">
      <alignment vertical="top"/>
    </xf>
    <xf numFmtId="0" fontId="0" fillId="0" borderId="2" xfId="4" applyFont="1" applyFill="1" applyProtection="1">
      <alignment vertical="top"/>
    </xf>
    <xf numFmtId="166" fontId="5" fillId="5" borderId="2" xfId="18" applyFont="1" applyFill="1" applyBorder="1" applyAlignment="1" applyProtection="1">
      <alignment vertical="top"/>
      <protection locked="0"/>
    </xf>
    <xf numFmtId="165" fontId="5" fillId="5" borderId="2" xfId="22" applyFont="1" applyFill="1" applyBorder="1" applyAlignment="1" applyProtection="1">
      <alignment vertical="top"/>
      <protection locked="0"/>
    </xf>
    <xf numFmtId="3" fontId="5" fillId="5" borderId="2" xfId="19" applyFont="1" applyFill="1" applyBorder="1" applyAlignment="1" applyProtection="1">
      <alignment vertical="top"/>
      <protection locked="0"/>
    </xf>
    <xf numFmtId="0" fontId="0" fillId="0" borderId="2" xfId="4" applyFont="1">
      <alignment vertical="top"/>
    </xf>
    <xf numFmtId="0" fontId="11" fillId="0" borderId="2" xfId="10" applyNumberFormat="1" applyAlignment="1">
      <alignment vertical="top"/>
    </xf>
    <xf numFmtId="166" fontId="11" fillId="0" borderId="2" xfId="18" applyFont="1" applyBorder="1" applyAlignment="1">
      <alignment vertical="top"/>
    </xf>
    <xf numFmtId="165" fontId="11" fillId="0" borderId="2" xfId="10" applyNumberFormat="1" applyAlignment="1">
      <alignment vertical="top"/>
    </xf>
    <xf numFmtId="0" fontId="1" fillId="8" borderId="2" xfId="15" applyAlignment="1">
      <alignment vertical="top"/>
    </xf>
    <xf numFmtId="0" fontId="5" fillId="6" borderId="2" xfId="11" applyAlignment="1">
      <alignment vertical="top"/>
    </xf>
    <xf numFmtId="166" fontId="11" fillId="0" borderId="2" xfId="10" applyNumberFormat="1" applyAlignment="1">
      <alignment vertical="top"/>
    </xf>
    <xf numFmtId="0" fontId="17" fillId="10" borderId="0" xfId="24" applyFont="1" applyFill="1" applyProtection="1">
      <alignment vertical="top"/>
    </xf>
    <xf numFmtId="0" fontId="17" fillId="10" borderId="0" xfId="2" applyFont="1" applyFill="1">
      <alignment vertical="top"/>
    </xf>
    <xf numFmtId="0" fontId="14" fillId="10" borderId="0" xfId="0" applyFont="1" applyFill="1">
      <alignment vertical="top"/>
    </xf>
    <xf numFmtId="0" fontId="10" fillId="11" borderId="0" xfId="2" applyFill="1">
      <alignment vertical="top"/>
    </xf>
    <xf numFmtId="0" fontId="1" fillId="11" borderId="0" xfId="23" applyFill="1" applyAlignment="1" applyProtection="1"/>
    <xf numFmtId="0" fontId="1" fillId="11" borderId="0" xfId="23" applyFill="1" applyAlignment="1">
      <alignment horizontal="left" vertical="top"/>
    </xf>
    <xf numFmtId="0" fontId="14" fillId="10" borderId="0" xfId="23" applyFont="1" applyFill="1" applyAlignment="1">
      <alignment horizontal="left" vertical="top"/>
    </xf>
    <xf numFmtId="0" fontId="0" fillId="0" borderId="0" xfId="0" applyFill="1">
      <alignment vertical="top"/>
    </xf>
    <xf numFmtId="0" fontId="5" fillId="6" borderId="2" xfId="11" applyBorder="1" applyAlignment="1">
      <alignment vertical="top"/>
    </xf>
    <xf numFmtId="0" fontId="5" fillId="6" borderId="2" xfId="11" applyNumberFormat="1" applyBorder="1" applyAlignment="1">
      <alignment vertical="top"/>
    </xf>
    <xf numFmtId="3" fontId="5" fillId="5" borderId="2" xfId="18" applyNumberFormat="1" applyFont="1" applyFill="1" applyBorder="1" applyAlignment="1" applyProtection="1">
      <alignment vertical="top"/>
      <protection locked="0"/>
    </xf>
    <xf numFmtId="3" fontId="11" fillId="0" borderId="2" xfId="10" applyNumberFormat="1" applyAlignment="1">
      <alignment vertical="top"/>
    </xf>
    <xf numFmtId="0" fontId="0" fillId="0" borderId="5" xfId="0" applyBorder="1">
      <alignment vertical="top"/>
    </xf>
    <xf numFmtId="0" fontId="11" fillId="0" borderId="2" xfId="10" applyNumberFormat="1" applyBorder="1" applyAlignment="1">
      <alignment vertical="top"/>
    </xf>
    <xf numFmtId="0" fontId="0" fillId="0" borderId="0" xfId="0" applyFill="1" applyBorder="1">
      <alignment vertical="top"/>
    </xf>
    <xf numFmtId="0" fontId="0" fillId="0" borderId="4" xfId="0" applyBorder="1">
      <alignment vertical="top"/>
    </xf>
  </cellXfs>
  <cellStyles count="27">
    <cellStyle name="Accent6" xfId="25" builtinId="49" customBuiltin="1"/>
    <cellStyle name="Bad" xfId="7" builtinId="27" hidden="1"/>
    <cellStyle name="Calculation" xfId="11" builtinId="22" customBuiltin="1"/>
    <cellStyle name="Check Cell" xfId="13" builtinId="23" customBuiltin="1"/>
    <cellStyle name="Comma" xfId="18" builtinId="3" customBuiltin="1"/>
    <cellStyle name="Comma [0]" xfId="19" builtinId="6" customBuiltin="1"/>
    <cellStyle name="Currency" xfId="20" builtinId="4" customBuiltin="1"/>
    <cellStyle name="Currency [0]" xfId="21" builtinId="7" customBuiltin="1"/>
    <cellStyle name="Explanatory Text" xfId="17" builtinId="53" customBuiltin="1"/>
    <cellStyle name="Good" xfId="6" builtinId="26" hidde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26" builtinId="8"/>
    <cellStyle name="Input" xfId="9" builtinId="20" customBuiltin="1"/>
    <cellStyle name="Linked Cell" xfId="12" builtinId="24" hidden="1"/>
    <cellStyle name="Neutral" xfId="8" builtinId="28" hidden="1"/>
    <cellStyle name="Normal" xfId="0" builtinId="0" customBuiltin="1"/>
    <cellStyle name="Normal Fill" xfId="24" xr:uid="{F8B51D0D-85A6-44BC-88ED-53A39908D51E}"/>
    <cellStyle name="Normal Font" xfId="23" xr:uid="{38BB73A8-EBB3-49D5-98B5-B3C1275E03C2}"/>
    <cellStyle name="Note" xfId="15" builtinId="10" customBuiltin="1"/>
    <cellStyle name="Output" xfId="10" builtinId="21" customBuiltin="1"/>
    <cellStyle name="Percent" xfId="22" builtinId="5" customBuiltin="1"/>
    <cellStyle name="Title" xfId="1" builtinId="15" hidden="1" customBuiltin="1"/>
    <cellStyle name="Total" xfId="16" builtinId="25" customBuiltin="1"/>
    <cellStyle name="Warning Text" xfId="14" builtinId="11" hidden="1"/>
  </cellStyles>
  <dxfs count="113">
    <dxf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  <vertical style="thin">
          <color theme="0" tint="-0.24994659260841701"/>
        </vertical>
        <horizontal/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 patternType="none">
          <bgColor auto="1"/>
        </patternFill>
      </fill>
      <border>
        <left style="thick">
          <color theme="3" tint="-0.24994659260841701"/>
        </left>
      </border>
    </dxf>
    <dxf>
      <font>
        <b/>
        <i val="0"/>
        <color theme="0"/>
      </font>
      <fill>
        <patternFill>
          <bgColor theme="3"/>
        </patternFill>
      </fill>
    </dxf>
    <dxf>
      <border>
        <top style="thick">
          <color theme="3" tint="-0.24994659260841701"/>
        </top>
      </border>
    </dxf>
    <dxf>
      <font>
        <b/>
        <i val="0"/>
        <color theme="0"/>
      </font>
      <fill>
        <patternFill>
          <bgColor theme="3"/>
        </patternFill>
      </fill>
    </dxf>
    <dxf>
      <border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 style="thin">
          <color theme="3" tint="0.39994506668294322"/>
        </vertical>
        <horizontal style="thin">
          <color theme="3" tint="0.39994506668294322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font>
        <b/>
        <i val="0"/>
        <color theme="0"/>
      </font>
      <fill>
        <patternFill>
          <bgColor theme="9"/>
        </patternFill>
      </fill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 style="thin">
          <color theme="9" tint="0.39994506668294322"/>
        </vertical>
        <horizontal style="thin">
          <color theme="9" tint="0.39994506668294322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font>
        <b/>
        <i val="0"/>
        <color theme="0"/>
      </font>
      <fill>
        <patternFill>
          <bgColor theme="8"/>
        </patternFill>
      </fill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font>
        <b/>
        <i val="0"/>
        <color theme="0"/>
      </font>
      <fill>
        <patternFill>
          <bgColor theme="7"/>
        </patternFill>
      </fill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font>
        <b/>
        <i val="0"/>
        <color theme="0"/>
      </font>
      <fill>
        <patternFill>
          <bgColor theme="6"/>
        </patternFill>
      </fill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font>
        <b/>
        <i val="0"/>
        <color theme="0"/>
      </font>
      <fill>
        <patternFill>
          <bgColor theme="5"/>
        </patternFill>
      </fill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 style="thin">
          <color theme="5" tint="0.39994506668294322"/>
        </vertical>
        <horizontal style="thin">
          <color theme="5" tint="0.39994506668294322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font>
        <b/>
        <i val="0"/>
        <color theme="0"/>
      </font>
      <fill>
        <patternFill>
          <bgColor theme="4"/>
        </patternFill>
      </fill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4506668294322"/>
        </vertical>
        <horizontal style="thin">
          <color theme="4" tint="0.39994506668294322"/>
        </horizontal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font>
        <b/>
        <i val="0"/>
        <color theme="0"/>
      </font>
      <fill>
        <patternFill>
          <bgColor theme="1"/>
        </patternFill>
      </fill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/>
        <horizontal/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/>
        <horizontal/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15" defaultTableStyle="Table 1" defaultPivotStyle="PivotStyleLight16">
    <tableStyle name="List 0" pivot="0" count="8" xr9:uid="{00000000-0011-0000-FFFF-FFFF00000000}">
      <tableStyleElement type="wholeTable" dxfId="112"/>
      <tableStyleElement type="headerRow" dxfId="111"/>
      <tableStyleElement type="totalRow" dxfId="110"/>
      <tableStyleElement type="lastColumn" dxfId="109"/>
      <tableStyleElement type="firstRowStripe" dxfId="108"/>
      <tableStyleElement type="secondRowStripe" dxfId="107"/>
      <tableStyleElement type="firstColumnStripe" dxfId="106"/>
      <tableStyleElement type="secondColumnStripe" dxfId="105"/>
    </tableStyle>
    <tableStyle name="List 1" pivot="0" count="8" xr9:uid="{00000000-0011-0000-FFFF-FFFF01000000}">
      <tableStyleElement type="wholeTable" dxfId="104"/>
      <tableStyleElement type="headerRow" dxfId="103"/>
      <tableStyleElement type="totalRow" dxfId="102"/>
      <tableStyleElement type="lastColumn" dxfId="101"/>
      <tableStyleElement type="firstRowStripe" dxfId="100"/>
      <tableStyleElement type="secondRowStripe" dxfId="99"/>
      <tableStyleElement type="firstColumnStripe" dxfId="98"/>
      <tableStyleElement type="secondColumnStripe" dxfId="97"/>
    </tableStyle>
    <tableStyle name="List 2" pivot="0" count="8" xr9:uid="{00000000-0011-0000-FFFF-FFFF02000000}">
      <tableStyleElement type="wholeTable" dxfId="96"/>
      <tableStyleElement type="headerRow" dxfId="95"/>
      <tableStyleElement type="totalRow" dxfId="94"/>
      <tableStyleElement type="lastColumn" dxfId="93"/>
      <tableStyleElement type="firstRowStripe" dxfId="92"/>
      <tableStyleElement type="secondRowStripe" dxfId="91"/>
      <tableStyleElement type="firstColumnStripe" dxfId="90"/>
      <tableStyleElement type="secondColumnStripe" dxfId="89"/>
    </tableStyle>
    <tableStyle name="List 3" pivot="0" count="8" xr9:uid="{00000000-0011-0000-FFFF-FFFF03000000}">
      <tableStyleElement type="wholeTable" dxfId="88"/>
      <tableStyleElement type="headerRow" dxfId="87"/>
      <tableStyleElement type="totalRow" dxfId="86"/>
      <tableStyleElement type="lastColumn" dxfId="85"/>
      <tableStyleElement type="firstRowStripe" dxfId="84"/>
      <tableStyleElement type="secondRowStripe" dxfId="83"/>
      <tableStyleElement type="firstColumnStripe" dxfId="82"/>
      <tableStyleElement type="secondColumnStripe" dxfId="81"/>
    </tableStyle>
    <tableStyle name="List 4" pivot="0" count="8" xr9:uid="{00000000-0011-0000-FFFF-FFFF04000000}">
      <tableStyleElement type="wholeTable" dxfId="80"/>
      <tableStyleElement type="headerRow" dxfId="79"/>
      <tableStyleElement type="totalRow" dxfId="78"/>
      <tableStyleElement type="lastColumn" dxfId="77"/>
      <tableStyleElement type="firstRowStripe" dxfId="76"/>
      <tableStyleElement type="secondRowStripe" dxfId="75"/>
      <tableStyleElement type="firstColumnStripe" dxfId="74"/>
      <tableStyleElement type="secondColumnStripe" dxfId="73"/>
    </tableStyle>
    <tableStyle name="List 5" pivot="0" count="8" xr9:uid="{00000000-0011-0000-FFFF-FFFF05000000}">
      <tableStyleElement type="wholeTable" dxfId="72"/>
      <tableStyleElement type="headerRow" dxfId="71"/>
      <tableStyleElement type="totalRow" dxfId="70"/>
      <tableStyleElement type="lastColumn" dxfId="69"/>
      <tableStyleElement type="firstRowStripe" dxfId="68"/>
      <tableStyleElement type="secondRowStripe" dxfId="67"/>
      <tableStyleElement type="firstColumnStripe" dxfId="66"/>
      <tableStyleElement type="secondColumnStripe" dxfId="65"/>
    </tableStyle>
    <tableStyle name="List 6" pivot="0" count="8" xr9:uid="{00000000-0011-0000-FFFF-FFFF06000000}">
      <tableStyleElement type="wholeTable" dxfId="64"/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  <tableStyleElement type="firstColumnStripe" dxfId="58"/>
      <tableStyleElement type="secondColumnStripe" dxfId="57"/>
    </tableStyle>
    <tableStyle name="Table 0" pivot="0" count="7" xr9:uid="{00000000-0011-0000-FFFF-FFFF07000000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secondRowStripe" dxfId="51"/>
      <tableStyleElement type="secondColumnStripe" dxfId="50"/>
    </tableStyle>
    <tableStyle name="Table 1" pivot="0" count="7" xr9:uid="{00000000-0011-0000-FFFF-FFFF08000000}">
      <tableStyleElement type="wholeTable" dxfId="49"/>
      <tableStyleElement type="headerRow" dxfId="48"/>
      <tableStyleElement type="totalRow" dxfId="47"/>
      <tableStyleElement type="firstColumn" dxfId="46"/>
      <tableStyleElement type="lastColumn" dxfId="45"/>
      <tableStyleElement type="secondRowStripe" dxfId="44"/>
      <tableStyleElement type="secondColumnStripe" dxfId="43"/>
    </tableStyle>
    <tableStyle name="Table 2" pivot="0" count="7" xr9:uid="{00000000-0011-0000-FFFF-FFFF09000000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secondRowStripe" dxfId="37"/>
      <tableStyleElement type="secondColumnStripe" dxfId="36"/>
    </tableStyle>
    <tableStyle name="Table 3" pivot="0" count="7" xr9:uid="{00000000-0011-0000-FFFF-FFFF0A000000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secondRowStripe" dxfId="30"/>
      <tableStyleElement type="secondColumnStripe" dxfId="29"/>
    </tableStyle>
    <tableStyle name="Table 4" pivot="0" count="7" xr9:uid="{00000000-0011-0000-FFFF-FFFF0B000000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secondRowStripe" dxfId="23"/>
      <tableStyleElement type="secondColumnStripe" dxfId="22"/>
    </tableStyle>
    <tableStyle name="Table 5" pivot="0" count="7" xr9:uid="{00000000-0011-0000-FFFF-FFFF0C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secondRowStripe" dxfId="16"/>
      <tableStyleElement type="secondColumnStripe" dxfId="15"/>
    </tableStyle>
    <tableStyle name="Table 6" pivot="0" count="7" xr9:uid="{00000000-0011-0000-FFFF-FFFF0D000000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secondRowStripe" dxfId="9"/>
      <tableStyleElement type="secondColumnStripe" dxfId="8"/>
    </tableStyle>
    <tableStyle name="Table 7" pivot="0" count="7" xr9:uid="{6BE13D90-1AF0-4518-A1F1-60987CE17347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secondRowStripe" dxfId="2"/>
      <tableStyleElement type="secondColumnStripe" dxfId="1"/>
    </tableStyle>
  </tableStyles>
  <colors>
    <mruColors>
      <color rgb="FFFFC7CE"/>
      <color rgb="FF9C0006"/>
      <color rgb="FFD9D9D9"/>
      <color rgb="FF7F7F7F"/>
      <color rgb="FF3F3F76"/>
      <color rgb="FFBFBFBF"/>
      <color rgb="FF3F3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hyperlink" Target="http://creativecommons.org/licenses/by-sa/4.0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38101</xdr:rowOff>
    </xdr:from>
    <xdr:to>
      <xdr:col>1</xdr:col>
      <xdr:colOff>66675</xdr:colOff>
      <xdr:row>52</xdr:row>
      <xdr:rowOff>147892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2489001"/>
          <a:ext cx="4981575" cy="31863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3780952</xdr:colOff>
      <xdr:row>80</xdr:row>
      <xdr:rowOff>8958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06070400"/>
          <a:ext cx="3780952" cy="45333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0</xdr:col>
      <xdr:colOff>3114286</xdr:colOff>
      <xdr:row>106</xdr:row>
      <xdr:rowOff>18527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1137700"/>
          <a:ext cx="3114286" cy="4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9525</xdr:rowOff>
    </xdr:from>
    <xdr:to>
      <xdr:col>0</xdr:col>
      <xdr:colOff>1000430</xdr:colOff>
      <xdr:row>24</xdr:row>
      <xdr:rowOff>0</xdr:rowOff>
    </xdr:to>
    <xdr:pic>
      <xdr:nvPicPr>
        <xdr:cNvPr id="11" name="Pictur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48125"/>
          <a:ext cx="1000430" cy="3524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4C64D7C-2E89-4F68-8156-05AA90EEDEB5}" name="Gen_input_ordinal" displayName="Gen_input_ordinal" ref="P13:Q43" totalsRowShown="0" headerRowDxfId="0" headerRowCellStyle="Normal" dataCellStyle="Normal">
  <autoFilter ref="P13:Q43" xr:uid="{761C1646-5ACB-488E-B9DC-605EBB24367D}">
    <filterColumn colId="0" hiddenButton="1"/>
    <filterColumn colId="1" hiddenButton="1"/>
  </autoFilter>
  <tableColumns count="2">
    <tableColumn id="1" xr3:uid="{89CB3D8B-0E77-4979-9B76-60D9937C91B8}" name="Observationsværdi" dataCellStyle="Normal"/>
    <tableColumn id="2" xr3:uid="{44D02B5F-6676-45DC-968F-D3A73BE48DB9}" name="Ønsket frekvens" dataCellStyle="Normal"/>
  </tableColumns>
  <tableStyleInfo name="Table 7" showFirstColumn="0" showLastColumn="0" showRowStripes="1" showColumnStripes="0"/>
</table>
</file>

<file path=xl/theme/theme1.xml><?xml version="1.0" encoding="utf-8"?>
<a:theme xmlns:a="http://schemas.openxmlformats.org/drawingml/2006/main" name="Business Academy Aarhus, 2017, Danish">
  <a:themeElements>
    <a:clrScheme name="Custom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62B2C4"/>
      </a:accent1>
      <a:accent2>
        <a:srgbClr val="FF7000"/>
      </a:accent2>
      <a:accent3>
        <a:srgbClr val="79B57F"/>
      </a:accent3>
      <a:accent4>
        <a:srgbClr val="B52933"/>
      </a:accent4>
      <a:accent5>
        <a:srgbClr val="613C8D"/>
      </a:accent5>
      <a:accent6>
        <a:srgbClr val="FDD100"/>
      </a:accent6>
      <a:hlink>
        <a:srgbClr val="1F497D"/>
      </a:hlink>
      <a:folHlink>
        <a:srgbClr val="7030A0"/>
      </a:folHlink>
    </a:clrScheme>
    <a:fontScheme name="Tw Cen MT">
      <a:majorFont>
        <a:latin typeface="Tw Cen MT"/>
        <a:ea typeface=""/>
        <a:cs typeface=""/>
      </a:majorFont>
      <a:minorFont>
        <a:latin typeface="Tw Cen MT"/>
        <a:ea typeface=""/>
        <a:cs typeface="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usiness Academy Aarhus, 2017, Danish" id="{554348F3-738D-4A8D-BE87-7A68E9448968}" vid="{932C7983-0D3C-4E06-B35C-E8232403A98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sa/4.0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993A-409D-44F9-8542-1665387421B3}">
  <sheetPr codeName="Sheet2">
    <tabColor theme="0"/>
  </sheetPr>
  <dimension ref="A1:E85"/>
  <sheetViews>
    <sheetView showGridLines="0" tabSelected="1" zoomScaleNormal="100" workbookViewId="0"/>
  </sheetViews>
  <sheetFormatPr defaultRowHeight="14.25" x14ac:dyDescent="0.2"/>
  <cols>
    <col min="1" max="1" width="64.5" customWidth="1"/>
    <col min="2" max="2" width="2.75" customWidth="1"/>
    <col min="3" max="4" width="41.125" customWidth="1"/>
    <col min="5" max="5" width="32.125" customWidth="1"/>
  </cols>
  <sheetData>
    <row r="1" spans="1:4" s="1" customFormat="1" ht="18.75" x14ac:dyDescent="0.2">
      <c r="A1" s="1" t="s">
        <v>6</v>
      </c>
      <c r="C1" s="1" t="s">
        <v>60</v>
      </c>
    </row>
    <row r="2" spans="1:4" x14ac:dyDescent="0.2">
      <c r="A2" s="4" t="s">
        <v>7</v>
      </c>
      <c r="B2" s="4"/>
    </row>
    <row r="3" spans="1:4" x14ac:dyDescent="0.2">
      <c r="A3" s="4" t="s">
        <v>2</v>
      </c>
      <c r="B3" s="4"/>
    </row>
    <row r="4" spans="1:4" x14ac:dyDescent="0.2">
      <c r="A4" s="4"/>
      <c r="B4" s="4"/>
    </row>
    <row r="5" spans="1:4" x14ac:dyDescent="0.2">
      <c r="B5" s="4"/>
    </row>
    <row r="6" spans="1:4" x14ac:dyDescent="0.2">
      <c r="B6" s="4"/>
    </row>
    <row r="7" spans="1:4" x14ac:dyDescent="0.2">
      <c r="B7" s="4"/>
    </row>
    <row r="8" spans="1:4" x14ac:dyDescent="0.2">
      <c r="B8" s="4"/>
    </row>
    <row r="9" spans="1:4" x14ac:dyDescent="0.2">
      <c r="A9" s="3" t="s">
        <v>4</v>
      </c>
      <c r="B9" s="4"/>
    </row>
    <row r="10" spans="1:4" x14ac:dyDescent="0.2">
      <c r="A10" t="s">
        <v>59</v>
      </c>
      <c r="B10" s="4"/>
      <c r="C10" s="25" t="s">
        <v>20</v>
      </c>
      <c r="D10" s="24" t="s">
        <v>19</v>
      </c>
    </row>
    <row r="21" spans="1:2" x14ac:dyDescent="0.2">
      <c r="B21" s="4"/>
    </row>
    <row r="22" spans="1:2" x14ac:dyDescent="0.2">
      <c r="B22" s="4"/>
    </row>
    <row r="23" spans="1:2" x14ac:dyDescent="0.2">
      <c r="B23" s="4"/>
    </row>
    <row r="24" spans="1:2" x14ac:dyDescent="0.2">
      <c r="B24" s="4"/>
    </row>
    <row r="25" spans="1:2" x14ac:dyDescent="0.2">
      <c r="A25" s="6" t="s">
        <v>30</v>
      </c>
      <c r="B25" s="4"/>
    </row>
    <row r="26" spans="1:2" x14ac:dyDescent="0.2">
      <c r="B26" s="4"/>
    </row>
    <row r="28" spans="1:2" s="21" customFormat="1" ht="18.75" x14ac:dyDescent="0.2">
      <c r="A28" s="20" t="s">
        <v>15</v>
      </c>
    </row>
    <row r="30" spans="1:2" ht="18.75" x14ac:dyDescent="0.2">
      <c r="A30" s="22" t="s">
        <v>14</v>
      </c>
      <c r="B30" s="4"/>
    </row>
    <row r="31" spans="1:2" x14ac:dyDescent="0.2">
      <c r="A31" s="3" t="s">
        <v>11</v>
      </c>
    </row>
    <row r="32" spans="1:2" x14ac:dyDescent="0.2">
      <c r="A32" s="2" t="s">
        <v>3</v>
      </c>
    </row>
    <row r="35" spans="1:3" x14ac:dyDescent="0.2">
      <c r="A35" s="3" t="s">
        <v>21</v>
      </c>
    </row>
    <row r="36" spans="1:3" x14ac:dyDescent="0.2">
      <c r="C36" s="4" t="s">
        <v>22</v>
      </c>
    </row>
    <row r="37" spans="1:3" x14ac:dyDescent="0.2">
      <c r="C37" s="4" t="s">
        <v>23</v>
      </c>
    </row>
    <row r="55" spans="1:3" x14ac:dyDescent="0.2">
      <c r="A55" s="3" t="s">
        <v>24</v>
      </c>
    </row>
    <row r="56" spans="1:3" x14ac:dyDescent="0.2">
      <c r="C56" s="4" t="s">
        <v>25</v>
      </c>
    </row>
    <row r="57" spans="1:3" x14ac:dyDescent="0.2">
      <c r="C57" s="4" t="s">
        <v>26</v>
      </c>
    </row>
    <row r="83" spans="1:5" x14ac:dyDescent="0.2">
      <c r="A83" s="3" t="s">
        <v>27</v>
      </c>
    </row>
    <row r="84" spans="1:5" x14ac:dyDescent="0.2">
      <c r="C84" s="4" t="s">
        <v>28</v>
      </c>
    </row>
    <row r="85" spans="1:5" x14ac:dyDescent="0.2">
      <c r="C85" s="16" t="s">
        <v>29</v>
      </c>
      <c r="D85" s="16"/>
      <c r="E85" s="16"/>
    </row>
  </sheetData>
  <phoneticPr fontId="15" type="noConversion"/>
  <hyperlinks>
    <hyperlink ref="A25" r:id="rId1" xr:uid="{CE916863-CD22-4D14-AD70-B2D06A131314}"/>
    <hyperlink ref="A30" location="'Data Generator'!A1" display="Gå til Data Generator                                                                      " xr:uid="{34A02631-2039-477B-8442-A1C79A163CC3}"/>
    <hyperlink ref="C10" location="'Data Generator'!A1" display="Gå til Data Generator                                                                     " xr:uid="{BF04C43E-6E81-402D-A7E1-DF21498B5307}"/>
    <hyperlink ref="D10" location="V_Manual_DataGenerator" display="Gå til Manual i brug af Data Generator arket                                      " xr:uid="{2556FCE2-E4FB-4638-AA53-A441980037AF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208A5-27E6-4A6A-B311-782EF1348BEA}">
  <sheetPr codeName="Sheet15">
    <tabColor theme="3"/>
  </sheetPr>
  <dimension ref="A1:AE43"/>
  <sheetViews>
    <sheetView showGridLines="0" zoomScaleNormal="100" workbookViewId="0"/>
  </sheetViews>
  <sheetFormatPr defaultRowHeight="14.25" x14ac:dyDescent="0.2"/>
  <cols>
    <col min="1" max="2" width="40.875" style="5" customWidth="1"/>
    <col min="3" max="3" width="33.625" style="5" bestFit="1" customWidth="1"/>
    <col min="4" max="4" width="33.625" style="5" customWidth="1"/>
    <col min="5" max="5" width="12.625" style="5" customWidth="1"/>
    <col min="6" max="7" width="40.875" style="5" customWidth="1"/>
    <col min="8" max="9" width="33.625" style="5" customWidth="1"/>
    <col min="10" max="10" width="12.625" style="5" customWidth="1"/>
    <col min="11" max="12" width="40.875" style="5" customWidth="1"/>
    <col min="13" max="14" width="33.625" style="5" customWidth="1"/>
    <col min="15" max="15" width="12.625" customWidth="1"/>
    <col min="16" max="16" width="20.75" style="5" customWidth="1"/>
    <col min="17" max="17" width="19.25" style="5" customWidth="1"/>
    <col min="18" max="18" width="1.625" style="5" customWidth="1"/>
    <col min="19" max="21" width="16" style="5" customWidth="1"/>
    <col min="22" max="22" width="28.875" style="5" customWidth="1"/>
    <col min="23" max="23" width="16" style="5" customWidth="1"/>
    <col min="24" max="24" width="28.875" style="5" customWidth="1"/>
    <col min="25" max="25" width="12.625" customWidth="1"/>
    <col min="26" max="26" width="39.75" bestFit="1" customWidth="1"/>
    <col min="27" max="27" width="18.875" bestFit="1" customWidth="1"/>
    <col min="28" max="28" width="31.375" bestFit="1" customWidth="1"/>
    <col min="29" max="29" width="33" bestFit="1" customWidth="1"/>
    <col min="30" max="30" width="12.25" bestFit="1" customWidth="1"/>
    <col min="31" max="31" width="28.25" bestFit="1" customWidth="1"/>
  </cols>
  <sheetData>
    <row r="1" spans="1:31" s="1" customFormat="1" ht="18.75" x14ac:dyDescent="0.2">
      <c r="A1" s="19" t="s">
        <v>16</v>
      </c>
      <c r="B1" s="23" t="s">
        <v>17</v>
      </c>
    </row>
    <row r="2" spans="1:31" x14ac:dyDescent="0.2">
      <c r="A2" s="4" t="s">
        <v>36</v>
      </c>
      <c r="B2"/>
      <c r="C2"/>
      <c r="D2"/>
      <c r="E2"/>
      <c r="F2"/>
      <c r="G2"/>
      <c r="H2"/>
      <c r="I2"/>
      <c r="J2"/>
      <c r="K2"/>
      <c r="L2"/>
      <c r="M2"/>
      <c r="N2"/>
      <c r="P2"/>
      <c r="Q2"/>
      <c r="R2"/>
      <c r="S2"/>
      <c r="T2"/>
      <c r="U2"/>
      <c r="V2"/>
      <c r="W2"/>
      <c r="X2"/>
    </row>
    <row r="3" spans="1:31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P3"/>
      <c r="Q3"/>
      <c r="R3"/>
      <c r="S3"/>
      <c r="T3"/>
      <c r="U3"/>
      <c r="V3"/>
      <c r="W3"/>
      <c r="X3"/>
    </row>
    <row r="4" spans="1:31" x14ac:dyDescent="0.2">
      <c r="A4" s="3" t="s">
        <v>34</v>
      </c>
      <c r="B4"/>
      <c r="C4"/>
      <c r="D4"/>
      <c r="E4"/>
      <c r="F4" s="3" t="s">
        <v>18</v>
      </c>
      <c r="G4"/>
      <c r="H4"/>
      <c r="I4"/>
      <c r="J4"/>
      <c r="K4" s="3" t="s">
        <v>51</v>
      </c>
      <c r="L4"/>
      <c r="M4"/>
      <c r="N4"/>
      <c r="P4" s="3" t="s">
        <v>31</v>
      </c>
      <c r="Q4"/>
      <c r="R4"/>
      <c r="S4"/>
      <c r="T4"/>
      <c r="U4"/>
      <c r="V4"/>
      <c r="W4"/>
      <c r="X4"/>
      <c r="Z4" s="3" t="s">
        <v>53</v>
      </c>
    </row>
    <row r="5" spans="1:31" x14ac:dyDescent="0.2">
      <c r="A5" s="12" t="s">
        <v>8</v>
      </c>
      <c r="B5" s="7" t="s">
        <v>13</v>
      </c>
      <c r="C5" s="7" t="s">
        <v>45</v>
      </c>
      <c r="D5" s="7" t="s">
        <v>46</v>
      </c>
      <c r="E5"/>
      <c r="F5" s="12" t="s">
        <v>8</v>
      </c>
      <c r="G5" s="7" t="s">
        <v>13</v>
      </c>
      <c r="H5" s="7" t="s">
        <v>45</v>
      </c>
      <c r="I5" s="7" t="s">
        <v>46</v>
      </c>
      <c r="J5"/>
      <c r="K5" s="12" t="s">
        <v>8</v>
      </c>
      <c r="L5" s="7" t="s">
        <v>13</v>
      </c>
      <c r="M5" s="7" t="s">
        <v>45</v>
      </c>
      <c r="N5" s="7" t="s">
        <v>46</v>
      </c>
      <c r="P5" s="12" t="s">
        <v>8</v>
      </c>
      <c r="Q5" s="12" t="s">
        <v>10</v>
      </c>
      <c r="R5"/>
      <c r="S5"/>
      <c r="T5"/>
      <c r="U5"/>
      <c r="V5"/>
      <c r="W5"/>
      <c r="X5"/>
      <c r="Z5" s="12" t="s">
        <v>8</v>
      </c>
      <c r="AA5" s="7" t="s">
        <v>13</v>
      </c>
      <c r="AB5" s="7" t="s">
        <v>45</v>
      </c>
      <c r="AC5" s="7" t="s">
        <v>46</v>
      </c>
    </row>
    <row r="6" spans="1:31" x14ac:dyDescent="0.2">
      <c r="A6" s="7" t="s">
        <v>0</v>
      </c>
      <c r="B6" s="9">
        <v>1</v>
      </c>
      <c r="C6" s="18">
        <f ca="1">AVERAGE(_xlfn.ANCHORARRAY(B14))</f>
        <v>0.99999999999999978</v>
      </c>
      <c r="D6" s="18">
        <f ca="1">AVERAGE(_xlfn.ANCHORARRAY(D14))</f>
        <v>1.3391022229836045</v>
      </c>
      <c r="E6"/>
      <c r="F6" s="7" t="s">
        <v>9</v>
      </c>
      <c r="G6" s="10">
        <v>0.5</v>
      </c>
      <c r="H6" s="15">
        <f ca="1">COUNTIF(_xlfn.ANCHORARRAY(G14),TRUE)/COUNTA(_xlfn.ANCHORARRAY(G14))</f>
        <v>0.5</v>
      </c>
      <c r="I6" s="15">
        <f ca="1">COUNTIF(_xlfn.ANCHORARRAY(I14),TRUE)/COUNTA(_xlfn.ANCHORARRAY(I14))</f>
        <v>0.66666666666666663</v>
      </c>
      <c r="J6"/>
      <c r="K6" s="7" t="s">
        <v>5</v>
      </c>
      <c r="L6" s="9">
        <v>1</v>
      </c>
      <c r="M6" s="18">
        <f ca="1">MIN(_xlfn.ANCHORARRAY(L14))</f>
        <v>1</v>
      </c>
      <c r="N6" s="14">
        <f ca="1">MIN(_xlfn.ANCHORARRAY(N14))</f>
        <v>1</v>
      </c>
      <c r="P6" s="8" t="s">
        <v>39</v>
      </c>
      <c r="Q6" s="17">
        <f>SUM(Gen_input_ordinal[Ønsket frekvens])</f>
        <v>14</v>
      </c>
      <c r="R6"/>
      <c r="S6"/>
      <c r="T6"/>
      <c r="U6"/>
      <c r="V6"/>
      <c r="W6"/>
      <c r="X6"/>
      <c r="Z6" s="7" t="s">
        <v>0</v>
      </c>
      <c r="AA6" s="9">
        <v>1</v>
      </c>
      <c r="AB6" s="18">
        <f ca="1">AVERAGE(_xlfn.ANCHORARRAY(AC14))</f>
        <v>0.99999999999999978</v>
      </c>
      <c r="AC6" s="18">
        <f ca="1">AVERAGE(_xlfn.ANCHORARRAY(AE14))</f>
        <v>1.0441143730752909</v>
      </c>
    </row>
    <row r="7" spans="1:31" x14ac:dyDescent="0.2">
      <c r="A7" s="7" t="s">
        <v>1</v>
      </c>
      <c r="B7" s="9">
        <v>1</v>
      </c>
      <c r="C7" s="18">
        <f ca="1">_xlfn.STDEV.P(_xlfn.ANCHORARRAY(B14))</f>
        <v>0.99999999999999944</v>
      </c>
      <c r="D7" s="18">
        <f ca="1">_xlfn.STDEV.S(_xlfn.ANCHORARRAY(D14))</f>
        <v>1.4159579878767554</v>
      </c>
      <c r="E7"/>
      <c r="F7" s="12" t="s">
        <v>40</v>
      </c>
      <c r="G7" s="13">
        <f>VALUE(RIGHT(TEXT(G6,"?????????????/?????????????"),LEN(TEXT(G6,"?????????????/?????????????"))-FIND("/",TEXT(G6,"?????????????/?????????????"))))</f>
        <v>2</v>
      </c>
      <c r="H7" s="13"/>
      <c r="I7" s="13"/>
      <c r="J7"/>
      <c r="K7" s="7" t="s">
        <v>35</v>
      </c>
      <c r="L7" s="9">
        <v>2</v>
      </c>
      <c r="M7" s="18">
        <f ca="1">MAX(_xlfn.ANCHORARRAY(L14))</f>
        <v>2</v>
      </c>
      <c r="N7" s="14">
        <f ca="1">MAX(_xlfn.ANCHORARRAY(N14))</f>
        <v>1.75</v>
      </c>
      <c r="P7" s="7" t="s">
        <v>37</v>
      </c>
      <c r="Q7" s="29">
        <v>3</v>
      </c>
      <c r="R7"/>
      <c r="S7"/>
      <c r="T7"/>
      <c r="U7"/>
      <c r="V7"/>
      <c r="W7"/>
      <c r="X7"/>
      <c r="Z7" s="7" t="s">
        <v>1</v>
      </c>
      <c r="AA7" s="9">
        <v>1</v>
      </c>
      <c r="AB7" s="18">
        <f ca="1">_xlfn.STDEV.P(_xlfn.ANCHORARRAY(AC14))</f>
        <v>0.99999999999999933</v>
      </c>
      <c r="AC7" s="18">
        <f ca="1">_xlfn.STDEV.S(_xlfn.ANCHORARRAY(AE14))</f>
        <v>0.86549119722594692</v>
      </c>
    </row>
    <row r="8" spans="1:31" x14ac:dyDescent="0.2">
      <c r="A8" s="7" t="s">
        <v>39</v>
      </c>
      <c r="B8" s="11">
        <v>5</v>
      </c>
      <c r="C8" s="30">
        <f ca="1">COUNT(_xlfn.ANCHORARRAY(B14))</f>
        <v>5</v>
      </c>
      <c r="D8" s="13"/>
      <c r="E8"/>
      <c r="F8" s="7" t="s">
        <v>39</v>
      </c>
      <c r="G8" s="29">
        <v>5</v>
      </c>
      <c r="H8" s="30">
        <f>ROUNDUP(G8/G7,0)*G7</f>
        <v>6</v>
      </c>
      <c r="I8" s="13"/>
      <c r="J8"/>
      <c r="K8" s="7" t="s">
        <v>39</v>
      </c>
      <c r="L8" s="29">
        <v>5</v>
      </c>
      <c r="M8" s="13"/>
      <c r="N8" s="13"/>
      <c r="P8"/>
      <c r="Q8"/>
      <c r="R8"/>
      <c r="S8"/>
      <c r="T8"/>
      <c r="U8"/>
      <c r="V8"/>
      <c r="W8"/>
      <c r="X8"/>
      <c r="Z8" s="7" t="s">
        <v>39</v>
      </c>
      <c r="AA8" s="11">
        <v>10</v>
      </c>
      <c r="AB8" s="30">
        <f ca="1">COUNT(_xlfn.ANCHORARRAY(AC14))</f>
        <v>10</v>
      </c>
      <c r="AC8" s="13"/>
    </row>
    <row r="9" spans="1:31" x14ac:dyDescent="0.2">
      <c r="A9" s="7" t="s">
        <v>37</v>
      </c>
      <c r="B9" s="11">
        <v>3</v>
      </c>
      <c r="C9" s="13"/>
      <c r="D9" s="13"/>
      <c r="E9"/>
      <c r="F9" s="7" t="s">
        <v>37</v>
      </c>
      <c r="G9" s="29">
        <v>3</v>
      </c>
      <c r="H9" s="13"/>
      <c r="I9" s="13"/>
      <c r="J9"/>
      <c r="K9" s="7" t="s">
        <v>37</v>
      </c>
      <c r="L9" s="29">
        <v>3</v>
      </c>
      <c r="M9" s="13"/>
      <c r="N9" s="13"/>
      <c r="P9"/>
      <c r="Q9"/>
      <c r="R9"/>
      <c r="S9"/>
      <c r="T9"/>
      <c r="U9"/>
      <c r="V9"/>
      <c r="W9"/>
      <c r="X9"/>
      <c r="Z9" s="7" t="s">
        <v>37</v>
      </c>
      <c r="AA9" s="11">
        <v>3</v>
      </c>
      <c r="AB9" s="13"/>
      <c r="AC9" s="13"/>
    </row>
    <row r="10" spans="1:3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Y10" s="5"/>
      <c r="Z10" s="12" t="s">
        <v>56</v>
      </c>
      <c r="AA10" s="2" t="b">
        <v>0</v>
      </c>
      <c r="AB10" s="13">
        <f ca="1">_xlfn.SKEW.P(_xlfn.ANCHORARRAY(AC14))</f>
        <v>-0.73357080726853507</v>
      </c>
      <c r="AC10" s="13">
        <f ca="1">SKEW(_xlfn.ANCHORARRAY(AE14))</f>
        <v>1.1649162731447917</v>
      </c>
    </row>
    <row r="11" spans="1:3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Y11" s="5"/>
      <c r="Z11" s="5"/>
      <c r="AA11" s="5"/>
      <c r="AB11" s="5"/>
      <c r="AC11" s="5"/>
      <c r="AD11" s="5"/>
    </row>
    <row r="12" spans="1:31" x14ac:dyDescent="0.2">
      <c r="A12" s="3" t="s">
        <v>42</v>
      </c>
      <c r="B12"/>
      <c r="C12"/>
      <c r="D12"/>
      <c r="E12"/>
      <c r="F12" s="3" t="s">
        <v>43</v>
      </c>
      <c r="G12"/>
      <c r="H12"/>
      <c r="I12"/>
      <c r="J12"/>
      <c r="K12" s="3" t="s">
        <v>52</v>
      </c>
      <c r="L12"/>
      <c r="M12"/>
      <c r="N12"/>
      <c r="P12" s="3" t="s">
        <v>31</v>
      </c>
      <c r="S12" s="3" t="s">
        <v>55</v>
      </c>
      <c r="Y12" s="5"/>
      <c r="Z12" s="3" t="s">
        <v>57</v>
      </c>
    </row>
    <row r="13" spans="1:31" x14ac:dyDescent="0.2">
      <c r="A13" s="27" t="s">
        <v>12</v>
      </c>
      <c r="B13" s="32" t="s">
        <v>38</v>
      </c>
      <c r="C13" s="27" t="s">
        <v>12</v>
      </c>
      <c r="D13" s="32" t="s">
        <v>44</v>
      </c>
      <c r="E13"/>
      <c r="F13" s="27" t="s">
        <v>12</v>
      </c>
      <c r="G13" s="32" t="s">
        <v>41</v>
      </c>
      <c r="H13" s="27" t="s">
        <v>12</v>
      </c>
      <c r="I13" s="32" t="s">
        <v>44</v>
      </c>
      <c r="J13"/>
      <c r="K13" s="27" t="s">
        <v>12</v>
      </c>
      <c r="L13" s="32" t="s">
        <v>47</v>
      </c>
      <c r="M13" s="27" t="s">
        <v>12</v>
      </c>
      <c r="N13" s="32" t="s">
        <v>44</v>
      </c>
      <c r="P13" s="5" t="s">
        <v>33</v>
      </c>
      <c r="Q13" s="5" t="s">
        <v>32</v>
      </c>
      <c r="R13"/>
      <c r="S13" s="28" t="s">
        <v>49</v>
      </c>
      <c r="T13" s="28" t="s">
        <v>48</v>
      </c>
      <c r="U13" s="27" t="s">
        <v>12</v>
      </c>
      <c r="V13" s="32" t="s">
        <v>50</v>
      </c>
      <c r="W13" s="27" t="s">
        <v>12</v>
      </c>
      <c r="X13" s="32" t="s">
        <v>44</v>
      </c>
      <c r="Z13" s="27" t="s">
        <v>12</v>
      </c>
      <c r="AA13" s="27" t="s">
        <v>12</v>
      </c>
      <c r="AB13" s="27" t="s">
        <v>54</v>
      </c>
      <c r="AC13" s="32" t="s">
        <v>58</v>
      </c>
      <c r="AD13" s="27" t="s">
        <v>12</v>
      </c>
      <c r="AE13" s="32" t="s">
        <v>44</v>
      </c>
    </row>
    <row r="14" spans="1:31" x14ac:dyDescent="0.2">
      <c r="A14" s="31" cm="1">
        <f t="array" aca="1" ref="A14:A18" ca="1">_xlfn.RANDARRAY(B8)</f>
        <v>0.62441160003059681</v>
      </c>
      <c r="B14" s="31" cm="1">
        <f t="array" aca="1" ref="B14:B18" ca="1">_xlfn.ANCHORARRAY(A14)*($B$7/_xlfn.STDEV.P(_xlfn.ANCHORARRAY(A14)))+$B$6-AVERAGE(_xlfn.ANCHORARRAY(A14))*($B$7/_xlfn.STDEV.P(_xlfn.ANCHORARRAY(A14)))</f>
        <v>2.969705013124174</v>
      </c>
      <c r="C14" s="31" cm="1">
        <f t="array" aca="1" ref="C14:C18" ca="1">_xlfn.RANDARRAY(B8)</f>
        <v>0.42584260832739007</v>
      </c>
      <c r="D14" s="31" cm="1">
        <f t="array" aca="1" ref="D14:D16" ca="1">_xlfn._xlws.FILTER(_xlfn.SORTBY(_xlfn.ANCHORARRAY(B14),_xlfn.ANCHORARRAY(C14)),_xlfn.SEQUENCE(B8)&lt;=B9)</f>
        <v>0.41993587221924211</v>
      </c>
      <c r="E14"/>
      <c r="F14" s="31" cm="1">
        <f t="array" aca="1" ref="F14:F19" ca="1">_xlfn.RANDARRAY(H8)</f>
        <v>0.71471666912632004</v>
      </c>
      <c r="G14" s="31" t="b" cm="1">
        <f t="array" aca="1" ref="G14:G19" ca="1">_xlfn.ANCHORARRAY(F14)&lt;=_xlfn.PERCENTILE.INC(_xlfn.ANCHORARRAY(F14),G6)</f>
        <v>0</v>
      </c>
      <c r="H14" s="31" cm="1">
        <f t="array" aca="1" ref="H14:H19" ca="1">_xlfn.RANDARRAY(H8)</f>
        <v>7.5400433226897157E-2</v>
      </c>
      <c r="I14" s="31" t="b" cm="1">
        <f t="array" aca="1" ref="I14:I16" ca="1">_xlfn._xlws.FILTER(_xlfn.SORTBY(_xlfn.ANCHORARRAY(G14),_xlfn.ANCHORARRAY(H14)),_xlfn.SEQUENCE(H8)&lt;=G9)</f>
        <v>0</v>
      </c>
      <c r="J14"/>
      <c r="K14" s="31" cm="1">
        <f t="array" aca="1" ref="K14:K18" ca="1">_xlfn.RANDARRAY(L8)</f>
        <v>0.72391567560759773</v>
      </c>
      <c r="L14" s="31" cm="1">
        <f t="array" aca="1" ref="L14:L18" ca="1">L6+(_xlfn.XMATCH(_xlfn.ANCHORARRAY(K14),_xlfn._xlws.SORT(_xlfn.ANCHORARRAY(K14)))-1)/(COUNT(_xlfn.ANCHORARRAY(K14))-1)*(L7-L6)</f>
        <v>2</v>
      </c>
      <c r="M14" s="31" cm="1">
        <f t="array" aca="1" ref="M14:M18" ca="1">_xlfn.RANDARRAY(L8)</f>
        <v>0.94277020060430661</v>
      </c>
      <c r="N14" s="31" cm="1">
        <f t="array" aca="1" ref="N14:N16" ca="1">_xlfn._xlws.FILTER(_xlfn.SORTBY(_xlfn.ANCHORARRAY(L14),_xlfn.ANCHORARRAY(M14)),_xlfn.SEQUENCE(L8)&lt;=L9)</f>
        <v>1.75</v>
      </c>
      <c r="P14" s="5">
        <v>0.5</v>
      </c>
      <c r="Q14" s="5">
        <v>1</v>
      </c>
      <c r="R14"/>
      <c r="S14" s="34" cm="1">
        <f t="array" ref="S14:S21">_xlfn.SEQUENCE(COUNTA(Gen_input_ordinal[Observationsværdi]))</f>
        <v>1</v>
      </c>
      <c r="T14" s="34" cm="1">
        <f t="array" ref="T14:T21">SUMIF(_xlfn.ANCHORARRAY(S14),"&lt;="&amp;_xlfn.ANCHORARRAY(S14),Gen_input_ordinal[Ønsket frekvens])</f>
        <v>1</v>
      </c>
      <c r="U14" s="34" cm="1">
        <f t="array" aca="1" ref="U14:U27" ca="1">_xlfn.RANDARRAY(SUM(Gen_input_ordinal[Ønsket frekvens]))</f>
        <v>8.1650896779972282E-3</v>
      </c>
      <c r="V14" s="34" cm="1">
        <f t="array" aca="1" ref="V14:V27" ca="1">INDEX(Gen_input_ordinal[Observationsværdi],_xlfn.XMATCH(_xlfn.XMATCH(_xlfn.ANCHORARRAY(U14),_xlfn._xlws.SORT(_xlfn.ANCHORARRAY(U14))),_xlfn.ANCHORARRAY(T14),1))</f>
        <v>0.5</v>
      </c>
      <c r="W14" s="34" cm="1">
        <f t="array" aca="1" ref="W14:W27" ca="1">_xlfn.RANDARRAY(Q6)</f>
        <v>0.23026019526042996</v>
      </c>
      <c r="X14" s="34" cm="1">
        <f t="array" aca="1" ref="X14:X16" ca="1">_xlfn._xlws.FILTER(_xlfn.SORTBY(_xlfn.ANCHORARRAY(V14),_xlfn.ANCHORARRAY(W14)),_xlfn.SEQUENCE(Q6)&lt;=Q7)</f>
        <v>4.5</v>
      </c>
      <c r="Z14" s="34" cm="1">
        <f t="array" aca="1" ref="Z14:Z23" ca="1">_xlfn.RANDARRAY(AA8)</f>
        <v>0.6097367036687642</v>
      </c>
      <c r="AA14" s="34" cm="1">
        <f t="array" aca="1" ref="AA14:AA23" ca="1">_xlfn.RANDARRAY(AA8)</f>
        <v>0.36548866959692439</v>
      </c>
      <c r="AB14" s="34" cm="1">
        <f t="array" aca="1" ref="AB14:AB23" ca="1">IF(_xlfn.ANCHORARRAY(Z14)&gt;_xlfn.ANCHORARRAY(AA14),_xlfn.ANCHORARRAY(Z14),_xlfn.ANCHORARRAY(AA14))</f>
        <v>0.6097367036687642</v>
      </c>
      <c r="AC14" s="34" cm="1">
        <f t="array" aca="1" ref="AC14:AC23" ca="1">IF($AA$10,AA6*2,0)+IF($AA$10,-1,1)*(_xlfn.ANCHORARRAY(AB14)*($AA$7/_xlfn.STDEV.P(_xlfn.ANCHORARRAY(AB14)))+$AA$6-AVERAGE(_xlfn.ANCHORARRAY(AB14))*($AA$7/_xlfn.STDEV.P(_xlfn.ANCHORARRAY(AB14))))</f>
        <v>0.80084519283663402</v>
      </c>
      <c r="AD14" s="34" cm="1">
        <f t="array" aca="1" ref="AD14:AD23" ca="1">_xlfn.RANDARRAY(AA8)</f>
        <v>7.8745915823281498E-2</v>
      </c>
      <c r="AE14" s="34" cm="1">
        <f t="array" aca="1" ref="AE14:AE16" ca="1">_xlfn._xlws.FILTER(_xlfn.SORTBY(_xlfn.ANCHORARRAY(AC14),_xlfn.ANCHORARRAY(AD14)),_xlfn.SEQUENCE(AA8)&lt;=AA9)</f>
        <v>2.0052071765293342</v>
      </c>
    </row>
    <row r="15" spans="1:31" x14ac:dyDescent="0.2">
      <c r="A15" s="31">
        <f ca="1"/>
        <v>0.127442149859887</v>
      </c>
      <c r="B15" s="31">
        <f ca="1"/>
        <v>0.41993587221924211</v>
      </c>
      <c r="C15" s="31">
        <f ca="1"/>
        <v>9.9860880969200316E-3</v>
      </c>
      <c r="D15" s="31">
        <f ca="1"/>
        <v>2.969705013124174</v>
      </c>
      <c r="E15"/>
      <c r="F15" s="31">
        <f ca="1"/>
        <v>0.19948801643667458</v>
      </c>
      <c r="G15" s="31" t="b">
        <f ca="1"/>
        <v>1</v>
      </c>
      <c r="H15" s="31">
        <f ca="1"/>
        <v>0.85912333189535506</v>
      </c>
      <c r="I15" s="31" t="b">
        <f ca="1"/>
        <v>1</v>
      </c>
      <c r="J15"/>
      <c r="K15" s="31">
        <f ca="1"/>
        <v>0.70064532952730585</v>
      </c>
      <c r="L15" s="31">
        <f ca="1"/>
        <v>1.75</v>
      </c>
      <c r="M15" s="31">
        <f ca="1"/>
        <v>0.13277835409076122</v>
      </c>
      <c r="N15" s="31">
        <f ca="1"/>
        <v>1</v>
      </c>
      <c r="P15" s="5">
        <v>1.5</v>
      </c>
      <c r="Q15" s="5">
        <v>2</v>
      </c>
      <c r="R15"/>
      <c r="S15" s="31">
        <v>2</v>
      </c>
      <c r="T15" s="31">
        <v>3</v>
      </c>
      <c r="U15" s="31">
        <f ca="1"/>
        <v>0.71153964003781622</v>
      </c>
      <c r="V15" s="31">
        <f ca="1"/>
        <v>4.5</v>
      </c>
      <c r="W15" s="31">
        <f ca="1"/>
        <v>0.98158767543940817</v>
      </c>
      <c r="X15" s="31">
        <f ca="1"/>
        <v>0.5</v>
      </c>
      <c r="Z15" s="31">
        <f ca="1"/>
        <v>0.91983757650544362</v>
      </c>
      <c r="AA15" s="31">
        <f ca="1"/>
        <v>0.39054123458369649</v>
      </c>
      <c r="AB15" s="31">
        <f ca="1"/>
        <v>0.91983757650544362</v>
      </c>
      <c r="AC15" s="31">
        <f ca="1"/>
        <v>1.9751768261740064</v>
      </c>
      <c r="AD15" s="31">
        <f ca="1"/>
        <v>9.7861176504298486E-2</v>
      </c>
      <c r="AE15" s="31">
        <f ca="1"/>
        <v>0.32629074985990458</v>
      </c>
    </row>
    <row r="16" spans="1:31" x14ac:dyDescent="0.2">
      <c r="A16" s="31">
        <f ca="1"/>
        <v>9.2110588013381234E-2</v>
      </c>
      <c r="B16" s="31">
        <f ca="1"/>
        <v>0.2386625040770971</v>
      </c>
      <c r="C16" s="31">
        <f ca="1"/>
        <v>0.90446347621259493</v>
      </c>
      <c r="D16" s="31">
        <f ca="1"/>
        <v>0.62766578360739733</v>
      </c>
      <c r="E16"/>
      <c r="F16" s="31">
        <f ca="1"/>
        <v>0.88045794909388042</v>
      </c>
      <c r="G16" s="31" t="b">
        <f ca="1"/>
        <v>0</v>
      </c>
      <c r="H16" s="31">
        <f ca="1"/>
        <v>0.97920627859865728</v>
      </c>
      <c r="I16" s="31" t="b">
        <f ca="1"/>
        <v>1</v>
      </c>
      <c r="J16"/>
      <c r="K16" s="31">
        <f ca="1"/>
        <v>0.52068746803533217</v>
      </c>
      <c r="L16" s="31">
        <f ca="1"/>
        <v>1.5</v>
      </c>
      <c r="M16" s="31">
        <f ca="1"/>
        <v>0.5187895342842237</v>
      </c>
      <c r="N16" s="31">
        <f ca="1"/>
        <v>1.5</v>
      </c>
      <c r="P16" s="5">
        <v>2.5</v>
      </c>
      <c r="Q16" s="5">
        <v>1</v>
      </c>
      <c r="R16"/>
      <c r="S16" s="31">
        <v>3</v>
      </c>
      <c r="T16" s="31">
        <v>4</v>
      </c>
      <c r="U16" s="31">
        <f ca="1"/>
        <v>0.96446846406391007</v>
      </c>
      <c r="V16" s="31">
        <f ca="1"/>
        <v>7.5</v>
      </c>
      <c r="W16" s="31">
        <f ca="1"/>
        <v>0.75335313829370021</v>
      </c>
      <c r="X16" s="31">
        <f ca="1"/>
        <v>6.5</v>
      </c>
      <c r="Z16" s="31">
        <f ca="1"/>
        <v>0.98723119472262044</v>
      </c>
      <c r="AA16" s="31">
        <f ca="1"/>
        <v>0.12252072181213358</v>
      </c>
      <c r="AB16" s="31">
        <f ca="1"/>
        <v>0.98723119472262044</v>
      </c>
      <c r="AC16" s="31">
        <f ca="1"/>
        <v>2.2303920309347309</v>
      </c>
      <c r="AD16" s="31">
        <f ca="1"/>
        <v>0.84773085452336039</v>
      </c>
      <c r="AE16" s="31">
        <f ca="1"/>
        <v>0.80084519283663402</v>
      </c>
    </row>
    <row r="17" spans="1:31" x14ac:dyDescent="0.2">
      <c r="A17" s="31">
        <f ca="1"/>
        <v>0.16793029374335355</v>
      </c>
      <c r="B17" s="31">
        <f ca="1"/>
        <v>0.62766578360739733</v>
      </c>
      <c r="C17" s="31">
        <f ca="1"/>
        <v>0.58184507449858658</v>
      </c>
      <c r="D17" s="31"/>
      <c r="E17"/>
      <c r="F17" s="31">
        <f ca="1"/>
        <v>0.32309015917376249</v>
      </c>
      <c r="G17" s="31" t="b">
        <f ca="1"/>
        <v>0</v>
      </c>
      <c r="H17" s="31">
        <f ca="1"/>
        <v>0.90803391205291195</v>
      </c>
      <c r="I17" s="31"/>
      <c r="J17"/>
      <c r="K17" s="31">
        <f ca="1"/>
        <v>0.36175969412908549</v>
      </c>
      <c r="L17" s="31">
        <f ca="1"/>
        <v>1.25</v>
      </c>
      <c r="M17" s="31">
        <f ca="1"/>
        <v>0.87393460668734568</v>
      </c>
      <c r="N17" s="31"/>
      <c r="P17" s="5">
        <v>3.5</v>
      </c>
      <c r="Q17" s="5">
        <v>2</v>
      </c>
      <c r="R17"/>
      <c r="S17" s="31">
        <v>4</v>
      </c>
      <c r="T17" s="31">
        <v>6</v>
      </c>
      <c r="U17" s="31">
        <f ca="1"/>
        <v>0.15214224652709762</v>
      </c>
      <c r="V17" s="31">
        <f ca="1"/>
        <v>1.5</v>
      </c>
      <c r="W17" s="31">
        <f ca="1"/>
        <v>0.35850681776341609</v>
      </c>
      <c r="X17" s="31"/>
      <c r="Z17" s="31">
        <f ca="1"/>
        <v>7.7146387275727202E-2</v>
      </c>
      <c r="AA17" s="31">
        <f ca="1"/>
        <v>6.4524716789032155E-2</v>
      </c>
      <c r="AB17" s="31">
        <f ca="1"/>
        <v>7.7146387275727202E-2</v>
      </c>
      <c r="AC17" s="31">
        <f ca="1"/>
        <v>-1.2160393467915458</v>
      </c>
      <c r="AD17" s="31">
        <f ca="1"/>
        <v>0.95973521941262474</v>
      </c>
      <c r="AE17" s="31"/>
    </row>
    <row r="18" spans="1:31" x14ac:dyDescent="0.2">
      <c r="A18" s="31">
        <f ca="1"/>
        <v>0.19061072809809554</v>
      </c>
      <c r="B18" s="31">
        <f ca="1"/>
        <v>0.74403082697208833</v>
      </c>
      <c r="C18" s="31">
        <f ca="1"/>
        <v>0.62784656150235163</v>
      </c>
      <c r="D18" s="31"/>
      <c r="E18"/>
      <c r="F18" s="31">
        <f ca="1"/>
        <v>0.10773794715189244</v>
      </c>
      <c r="G18" s="31" t="b">
        <f ca="1"/>
        <v>1</v>
      </c>
      <c r="H18" s="31">
        <f ca="1"/>
        <v>0.29007656383568081</v>
      </c>
      <c r="I18" s="31"/>
      <c r="J18"/>
      <c r="K18" s="31">
        <f ca="1"/>
        <v>0.29428106305615742</v>
      </c>
      <c r="L18" s="31">
        <f ca="1"/>
        <v>1</v>
      </c>
      <c r="M18" s="31">
        <f ca="1"/>
        <v>0.28641733631880917</v>
      </c>
      <c r="N18" s="31"/>
      <c r="P18" s="5">
        <v>4.5</v>
      </c>
      <c r="Q18" s="5">
        <v>3</v>
      </c>
      <c r="R18"/>
      <c r="S18" s="31">
        <v>5</v>
      </c>
      <c r="T18" s="31">
        <v>9</v>
      </c>
      <c r="U18" s="31">
        <f ca="1"/>
        <v>0.34704124352646271</v>
      </c>
      <c r="V18" s="31">
        <f ca="1"/>
        <v>2.5</v>
      </c>
      <c r="W18" s="31">
        <f ca="1"/>
        <v>0.72759309071722611</v>
      </c>
      <c r="X18" s="31"/>
      <c r="Z18" s="31">
        <f ca="1"/>
        <v>0.86031665244789401</v>
      </c>
      <c r="AA18" s="31">
        <f ca="1"/>
        <v>0.75207503594010472</v>
      </c>
      <c r="AB18" s="31">
        <f ca="1"/>
        <v>0.86031665244789401</v>
      </c>
      <c r="AC18" s="31">
        <f ca="1"/>
        <v>1.7497749969986827</v>
      </c>
      <c r="AD18" s="31">
        <f ca="1"/>
        <v>0.49826954544756563</v>
      </c>
      <c r="AE18" s="31"/>
    </row>
    <row r="19" spans="1:31" x14ac:dyDescent="0.2">
      <c r="A19" s="31"/>
      <c r="B19" s="31"/>
      <c r="C19" s="31"/>
      <c r="D19" s="31"/>
      <c r="E19"/>
      <c r="F19" s="31">
        <f ca="1"/>
        <v>0.29434886525250969</v>
      </c>
      <c r="G19" s="31" t="b">
        <f ca="1"/>
        <v>1</v>
      </c>
      <c r="H19" s="31">
        <f ca="1"/>
        <v>0.72103492259790558</v>
      </c>
      <c r="I19" s="31"/>
      <c r="J19"/>
      <c r="K19" s="31"/>
      <c r="L19" s="31"/>
      <c r="M19" s="31"/>
      <c r="N19" s="31"/>
      <c r="P19" s="33">
        <v>5.5</v>
      </c>
      <c r="Q19" s="33">
        <v>2</v>
      </c>
      <c r="R19"/>
      <c r="S19" s="31">
        <v>6</v>
      </c>
      <c r="T19" s="31">
        <v>11</v>
      </c>
      <c r="U19" s="31">
        <f ca="1"/>
        <v>0.73035051303386456</v>
      </c>
      <c r="V19" s="31">
        <f ca="1"/>
        <v>5.5</v>
      </c>
      <c r="W19" s="31">
        <f ca="1"/>
        <v>0.5140517712438315</v>
      </c>
      <c r="X19" s="31"/>
      <c r="Z19" s="31">
        <f ca="1"/>
        <v>0.13719112526680299</v>
      </c>
      <c r="AA19" s="31">
        <f ca="1"/>
        <v>0.48442308458708294</v>
      </c>
      <c r="AB19" s="31">
        <f ca="1"/>
        <v>0.48442308458708294</v>
      </c>
      <c r="AC19" s="31">
        <f ca="1"/>
        <v>0.32629074985990458</v>
      </c>
      <c r="AD19" s="31">
        <f ca="1"/>
        <v>4.8640435072524912E-2</v>
      </c>
      <c r="AE19" s="31"/>
    </row>
    <row r="20" spans="1:31" x14ac:dyDescent="0.2">
      <c r="A20" s="31"/>
      <c r="B20" s="31"/>
      <c r="C20" s="31"/>
      <c r="D20" s="31"/>
      <c r="E20"/>
      <c r="F20" s="31"/>
      <c r="G20" s="31"/>
      <c r="H20" s="31"/>
      <c r="I20" s="31"/>
      <c r="J20"/>
      <c r="K20" s="31"/>
      <c r="L20" s="31"/>
      <c r="M20" s="31"/>
      <c r="N20" s="31"/>
      <c r="P20" s="33">
        <v>6.5</v>
      </c>
      <c r="Q20" s="33">
        <v>2</v>
      </c>
      <c r="R20"/>
      <c r="S20" s="31">
        <v>7</v>
      </c>
      <c r="T20" s="31">
        <v>13</v>
      </c>
      <c r="U20" s="31">
        <f ca="1"/>
        <v>0.72206666146266385</v>
      </c>
      <c r="V20" s="31">
        <f ca="1"/>
        <v>4.5</v>
      </c>
      <c r="W20" s="31">
        <f ca="1"/>
        <v>0.73879250554631515</v>
      </c>
      <c r="X20" s="31"/>
      <c r="Z20" s="31">
        <f ca="1"/>
        <v>0.67969173679033079</v>
      </c>
      <c r="AA20" s="31">
        <f ca="1"/>
        <v>0.33115571434605351</v>
      </c>
      <c r="AB20" s="31">
        <f ca="1"/>
        <v>0.67969173679033079</v>
      </c>
      <c r="AC20" s="31">
        <f ca="1"/>
        <v>1.0657603075679796</v>
      </c>
      <c r="AD20" s="31">
        <f ca="1"/>
        <v>0.57332340613090915</v>
      </c>
      <c r="AE20" s="31"/>
    </row>
    <row r="21" spans="1:31" x14ac:dyDescent="0.2">
      <c r="A21" s="31"/>
      <c r="B21" s="31"/>
      <c r="C21" s="31"/>
      <c r="D21" s="31"/>
      <c r="E21"/>
      <c r="F21" s="31"/>
      <c r="G21" s="31"/>
      <c r="H21" s="31"/>
      <c r="I21" s="31"/>
      <c r="J21"/>
      <c r="K21" s="31"/>
      <c r="L21" s="31"/>
      <c r="M21" s="31"/>
      <c r="N21" s="31"/>
      <c r="P21" s="33">
        <v>7.5</v>
      </c>
      <c r="Q21" s="33">
        <v>1</v>
      </c>
      <c r="R21"/>
      <c r="S21" s="31">
        <v>8</v>
      </c>
      <c r="T21" s="31">
        <v>14</v>
      </c>
      <c r="U21" s="31">
        <f ca="1"/>
        <v>0.61522486111730101</v>
      </c>
      <c r="V21" s="31">
        <f ca="1"/>
        <v>4.5</v>
      </c>
      <c r="W21" s="31">
        <f ca="1"/>
        <v>8.9065992881689926E-2</v>
      </c>
      <c r="X21" s="31"/>
      <c r="Z21" s="31">
        <f ca="1"/>
        <v>0.38670259609203139</v>
      </c>
      <c r="AA21" s="31">
        <f ca="1"/>
        <v>0.60173905701523389</v>
      </c>
      <c r="AB21" s="31">
        <f ca="1"/>
        <v>0.60173905701523389</v>
      </c>
      <c r="AC21" s="31">
        <f ca="1"/>
        <v>0.77055863036558359</v>
      </c>
      <c r="AD21" s="31">
        <f ca="1"/>
        <v>0.538297618599896</v>
      </c>
      <c r="AE21" s="31"/>
    </row>
    <row r="22" spans="1:31" x14ac:dyDescent="0.2">
      <c r="A22" s="31"/>
      <c r="B22" s="31"/>
      <c r="C22" s="31"/>
      <c r="D22" s="31"/>
      <c r="E22"/>
      <c r="F22" s="31"/>
      <c r="G22" s="31"/>
      <c r="H22" s="31"/>
      <c r="I22" s="31"/>
      <c r="J22"/>
      <c r="K22" s="31"/>
      <c r="L22" s="31"/>
      <c r="M22" s="31"/>
      <c r="N22" s="31"/>
      <c r="P22" s="33"/>
      <c r="Q22" s="33"/>
      <c r="R22"/>
      <c r="S22" s="31"/>
      <c r="T22" s="31"/>
      <c r="U22" s="31">
        <f ca="1"/>
        <v>6.9128792408891915E-2</v>
      </c>
      <c r="V22" s="31">
        <f ca="1"/>
        <v>1.5</v>
      </c>
      <c r="W22" s="31">
        <f ca="1"/>
        <v>0.56650902277880366</v>
      </c>
      <c r="X22" s="31"/>
      <c r="Z22" s="31">
        <f ca="1"/>
        <v>0.23079767740768697</v>
      </c>
      <c r="AA22" s="31">
        <f ca="1"/>
        <v>0.92776756629062307</v>
      </c>
      <c r="AB22" s="31">
        <f ca="1"/>
        <v>0.92776756629062307</v>
      </c>
      <c r="AC22" s="31">
        <f ca="1"/>
        <v>2.0052071765293342</v>
      </c>
      <c r="AD22" s="31">
        <f ca="1"/>
        <v>4.0483669794094457E-2</v>
      </c>
      <c r="AE22" s="31"/>
    </row>
    <row r="23" spans="1:31" x14ac:dyDescent="0.2">
      <c r="A23" s="31"/>
      <c r="B23" s="31"/>
      <c r="C23" s="31"/>
      <c r="D23" s="31"/>
      <c r="E23"/>
      <c r="F23" s="31"/>
      <c r="G23" s="31"/>
      <c r="H23" s="31"/>
      <c r="I23" s="31"/>
      <c r="J23"/>
      <c r="K23" s="31"/>
      <c r="L23" s="31"/>
      <c r="M23" s="31"/>
      <c r="N23" s="31"/>
      <c r="P23" s="33"/>
      <c r="Q23" s="33"/>
      <c r="R23"/>
      <c r="S23" s="31"/>
      <c r="T23" s="31"/>
      <c r="U23" s="31">
        <f ca="1"/>
        <v>0.43979931452729981</v>
      </c>
      <c r="V23" s="31">
        <f ca="1"/>
        <v>3.5</v>
      </c>
      <c r="W23" s="31">
        <f ca="1"/>
        <v>0.55432958749136052</v>
      </c>
      <c r="X23" s="31"/>
      <c r="Z23" s="31">
        <f ca="1"/>
        <v>0.37330188678092546</v>
      </c>
      <c r="AA23" s="31">
        <f ca="1"/>
        <v>0.47537689799479965</v>
      </c>
      <c r="AB23" s="31">
        <f ca="1"/>
        <v>0.47537689799479965</v>
      </c>
      <c r="AC23" s="31">
        <f ca="1"/>
        <v>0.29203343552468963</v>
      </c>
      <c r="AD23" s="31">
        <f ca="1"/>
        <v>0.86868432029927689</v>
      </c>
      <c r="AE23" s="31"/>
    </row>
    <row r="24" spans="1:31" x14ac:dyDescent="0.2">
      <c r="A24" s="31"/>
      <c r="B24" s="31"/>
      <c r="C24" s="31"/>
      <c r="D24" s="31"/>
      <c r="E24"/>
      <c r="F24" s="31"/>
      <c r="G24" s="31"/>
      <c r="H24" s="31"/>
      <c r="I24" s="31"/>
      <c r="J24"/>
      <c r="K24" s="31"/>
      <c r="L24" s="31"/>
      <c r="M24" s="31"/>
      <c r="N24" s="31"/>
      <c r="P24" s="33"/>
      <c r="Q24" s="33"/>
      <c r="R24"/>
      <c r="S24" s="31"/>
      <c r="T24" s="31"/>
      <c r="U24" s="31">
        <f ca="1"/>
        <v>0.82023936141133258</v>
      </c>
      <c r="V24" s="31">
        <f ca="1"/>
        <v>6.5</v>
      </c>
      <c r="W24" s="31">
        <f ca="1"/>
        <v>0.23262831033879205</v>
      </c>
      <c r="X24" s="31"/>
      <c r="Z24" s="31"/>
      <c r="AA24" s="31"/>
      <c r="AB24" s="31"/>
      <c r="AC24" s="31"/>
      <c r="AD24" s="31"/>
      <c r="AE24" s="31"/>
    </row>
    <row r="25" spans="1:31" x14ac:dyDescent="0.2">
      <c r="A25" s="31"/>
      <c r="B25" s="31"/>
      <c r="C25" s="31"/>
      <c r="D25" s="31"/>
      <c r="E25"/>
      <c r="F25" s="31"/>
      <c r="G25" s="31"/>
      <c r="H25" s="31"/>
      <c r="I25" s="31"/>
      <c r="J25"/>
      <c r="K25" s="31"/>
      <c r="L25" s="31"/>
      <c r="M25" s="31"/>
      <c r="N25" s="31"/>
      <c r="P25" s="33"/>
      <c r="Q25" s="33"/>
      <c r="R25"/>
      <c r="S25" s="31"/>
      <c r="T25" s="31"/>
      <c r="U25" s="31">
        <f ca="1"/>
        <v>0.79286450380774709</v>
      </c>
      <c r="V25" s="31">
        <f ca="1"/>
        <v>5.5</v>
      </c>
      <c r="W25" s="31">
        <f ca="1"/>
        <v>0.30841262226150223</v>
      </c>
      <c r="X25" s="31"/>
      <c r="Z25" s="31"/>
      <c r="AA25" s="31"/>
      <c r="AB25" s="31"/>
      <c r="AC25" s="31"/>
      <c r="AD25" s="31"/>
      <c r="AE25" s="31"/>
    </row>
    <row r="26" spans="1:31" x14ac:dyDescent="0.2">
      <c r="A26" s="31"/>
      <c r="B26" s="31"/>
      <c r="C26" s="31"/>
      <c r="D26" s="31"/>
      <c r="E26"/>
      <c r="F26" s="31"/>
      <c r="G26" s="31"/>
      <c r="H26" s="31"/>
      <c r="I26" s="31"/>
      <c r="J26"/>
      <c r="K26" s="31"/>
      <c r="L26" s="31"/>
      <c r="M26" s="31"/>
      <c r="N26" s="31"/>
      <c r="P26" s="33"/>
      <c r="Q26" s="33"/>
      <c r="R26"/>
      <c r="S26" s="31"/>
      <c r="T26" s="31"/>
      <c r="U26" s="31">
        <f ca="1"/>
        <v>0.50419413493545684</v>
      </c>
      <c r="V26" s="31">
        <f ca="1"/>
        <v>3.5</v>
      </c>
      <c r="W26" s="31">
        <f ca="1"/>
        <v>0.53486575339280318</v>
      </c>
      <c r="X26" s="31"/>
      <c r="Z26" s="31"/>
      <c r="AA26" s="31"/>
      <c r="AB26" s="31"/>
      <c r="AC26" s="31"/>
      <c r="AD26" s="31"/>
      <c r="AE26" s="31"/>
    </row>
    <row r="27" spans="1:31" x14ac:dyDescent="0.2">
      <c r="A27" s="31"/>
      <c r="B27" s="31"/>
      <c r="C27" s="31"/>
      <c r="D27" s="31"/>
      <c r="E27"/>
      <c r="F27" s="31"/>
      <c r="G27" s="31"/>
      <c r="H27" s="31"/>
      <c r="I27" s="31"/>
      <c r="J27"/>
      <c r="K27" s="31"/>
      <c r="L27" s="31"/>
      <c r="M27" s="31"/>
      <c r="N27" s="31"/>
      <c r="Q27" s="33"/>
      <c r="R27"/>
      <c r="S27" s="31"/>
      <c r="T27" s="31"/>
      <c r="U27" s="31">
        <f ca="1"/>
        <v>0.88676559329802451</v>
      </c>
      <c r="V27" s="31">
        <f ca="1"/>
        <v>6.5</v>
      </c>
      <c r="W27" s="31">
        <f ca="1"/>
        <v>0.34295903056314603</v>
      </c>
      <c r="X27" s="31"/>
      <c r="Z27" s="31"/>
      <c r="AA27" s="31"/>
      <c r="AB27" s="31"/>
      <c r="AC27" s="31"/>
      <c r="AD27" s="31"/>
      <c r="AE27" s="31"/>
    </row>
    <row r="28" spans="1:31" x14ac:dyDescent="0.2">
      <c r="A28" s="31"/>
      <c r="B28" s="31"/>
      <c r="C28" s="31"/>
      <c r="D28" s="31"/>
      <c r="E28"/>
      <c r="F28" s="31"/>
      <c r="G28" s="31"/>
      <c r="H28" s="31"/>
      <c r="I28" s="31"/>
      <c r="J28"/>
      <c r="K28" s="31"/>
      <c r="L28" s="31"/>
      <c r="M28" s="31"/>
      <c r="N28" s="31"/>
      <c r="P28" s="26"/>
      <c r="Q28" s="26"/>
      <c r="R28"/>
      <c r="S28" s="31"/>
      <c r="T28" s="31"/>
      <c r="U28" s="31"/>
      <c r="V28" s="31"/>
      <c r="W28" s="31"/>
      <c r="X28" s="31"/>
      <c r="Z28" s="31"/>
      <c r="AA28" s="31"/>
      <c r="AB28" s="31"/>
      <c r="AC28" s="31"/>
      <c r="AD28" s="31"/>
      <c r="AE28" s="31"/>
    </row>
    <row r="29" spans="1:31" x14ac:dyDescent="0.2">
      <c r="A29" s="31"/>
      <c r="B29" s="31"/>
      <c r="C29" s="31"/>
      <c r="D29" s="31"/>
      <c r="E29"/>
      <c r="F29" s="31"/>
      <c r="G29" s="31"/>
      <c r="H29" s="31"/>
      <c r="I29" s="31"/>
      <c r="J29"/>
      <c r="K29" s="31"/>
      <c r="L29" s="31"/>
      <c r="M29" s="31"/>
      <c r="N29" s="31"/>
      <c r="P29" s="26"/>
      <c r="Q29" s="26"/>
      <c r="R29"/>
      <c r="S29" s="31"/>
      <c r="T29" s="31"/>
      <c r="U29" s="31"/>
      <c r="V29" s="31"/>
      <c r="W29" s="31"/>
      <c r="X29" s="31"/>
      <c r="Z29" s="31"/>
      <c r="AA29" s="31"/>
      <c r="AB29" s="31"/>
      <c r="AC29" s="31"/>
      <c r="AD29" s="31"/>
      <c r="AE29" s="31"/>
    </row>
    <row r="30" spans="1:31" x14ac:dyDescent="0.2">
      <c r="A30" s="31"/>
      <c r="B30" s="31"/>
      <c r="C30" s="31"/>
      <c r="D30" s="31"/>
      <c r="E30"/>
      <c r="F30" s="31"/>
      <c r="G30" s="31"/>
      <c r="H30" s="31"/>
      <c r="I30" s="31"/>
      <c r="J30"/>
      <c r="K30" s="31"/>
      <c r="L30" s="31"/>
      <c r="M30" s="31"/>
      <c r="N30" s="31"/>
      <c r="P30" s="26"/>
      <c r="Q30" s="26"/>
      <c r="R30"/>
      <c r="S30" s="31"/>
      <c r="T30" s="31"/>
      <c r="U30" s="31"/>
      <c r="V30" s="31"/>
      <c r="W30" s="31"/>
      <c r="X30" s="31"/>
      <c r="Z30" s="31"/>
      <c r="AA30" s="31"/>
      <c r="AB30" s="31"/>
      <c r="AC30" s="31"/>
      <c r="AD30" s="31"/>
      <c r="AE30" s="31"/>
    </row>
    <row r="31" spans="1:31" x14ac:dyDescent="0.2">
      <c r="A31" s="31"/>
      <c r="B31" s="31"/>
      <c r="C31" s="31"/>
      <c r="D31" s="31"/>
      <c r="E31"/>
      <c r="F31" s="31"/>
      <c r="G31" s="31"/>
      <c r="H31" s="31"/>
      <c r="I31" s="31"/>
      <c r="J31"/>
      <c r="K31" s="31"/>
      <c r="L31" s="31"/>
      <c r="M31" s="31"/>
      <c r="N31" s="31"/>
      <c r="P31" s="26"/>
      <c r="Q31" s="26"/>
      <c r="R31"/>
      <c r="S31" s="31"/>
      <c r="T31" s="31"/>
      <c r="U31" s="31"/>
      <c r="V31" s="31"/>
      <c r="W31" s="31"/>
      <c r="X31" s="31"/>
      <c r="Z31" s="31"/>
      <c r="AA31" s="31"/>
      <c r="AB31" s="31"/>
      <c r="AC31" s="31"/>
      <c r="AD31" s="31"/>
      <c r="AE31" s="31"/>
    </row>
    <row r="32" spans="1:31" x14ac:dyDescent="0.2">
      <c r="A32" s="31"/>
      <c r="B32" s="31"/>
      <c r="C32" s="31"/>
      <c r="D32" s="31"/>
      <c r="E32"/>
      <c r="F32" s="31"/>
      <c r="G32" s="31"/>
      <c r="H32" s="31"/>
      <c r="I32" s="31"/>
      <c r="J32"/>
      <c r="K32" s="31"/>
      <c r="L32" s="31"/>
      <c r="M32" s="31"/>
      <c r="N32" s="31"/>
      <c r="P32" s="26"/>
      <c r="Q32" s="26"/>
      <c r="R32"/>
      <c r="S32" s="31"/>
      <c r="T32" s="31"/>
      <c r="U32" s="31"/>
      <c r="V32" s="31"/>
      <c r="W32" s="31"/>
      <c r="X32" s="31"/>
      <c r="Z32" s="31"/>
      <c r="AA32" s="31"/>
      <c r="AB32" s="31"/>
      <c r="AC32" s="31"/>
      <c r="AD32" s="31"/>
      <c r="AE32" s="31"/>
    </row>
    <row r="33" spans="1:31" x14ac:dyDescent="0.2">
      <c r="A33" s="31"/>
      <c r="B33" s="31"/>
      <c r="C33" s="31"/>
      <c r="D33" s="31"/>
      <c r="E33"/>
      <c r="F33" s="31"/>
      <c r="G33" s="31"/>
      <c r="H33" s="31"/>
      <c r="I33" s="31"/>
      <c r="J33"/>
      <c r="K33" s="31"/>
      <c r="L33" s="31"/>
      <c r="M33" s="31"/>
      <c r="N33" s="31"/>
      <c r="P33" s="26"/>
      <c r="Q33" s="26"/>
      <c r="R33"/>
      <c r="S33" s="31"/>
      <c r="T33" s="31"/>
      <c r="U33" s="31"/>
      <c r="V33" s="31"/>
      <c r="W33" s="31"/>
      <c r="X33" s="31"/>
      <c r="Z33" s="31"/>
      <c r="AA33" s="31"/>
      <c r="AB33" s="31"/>
      <c r="AC33" s="31"/>
      <c r="AD33" s="31"/>
      <c r="AE33" s="31"/>
    </row>
    <row r="34" spans="1:31" x14ac:dyDescent="0.2">
      <c r="A34" s="31"/>
      <c r="B34" s="31"/>
      <c r="C34" s="31"/>
      <c r="D34" s="31"/>
      <c r="E34"/>
      <c r="F34" s="31"/>
      <c r="G34" s="31"/>
      <c r="H34" s="31"/>
      <c r="I34" s="31"/>
      <c r="J34"/>
      <c r="K34" s="31"/>
      <c r="L34" s="31"/>
      <c r="M34" s="31"/>
      <c r="N34" s="31"/>
      <c r="P34" s="26"/>
      <c r="Q34" s="26"/>
      <c r="R34"/>
      <c r="S34" s="31"/>
      <c r="T34" s="31"/>
      <c r="U34" s="31"/>
      <c r="V34" s="31"/>
      <c r="W34" s="31"/>
      <c r="X34" s="31"/>
      <c r="Z34" s="31"/>
      <c r="AA34" s="31"/>
      <c r="AB34" s="31"/>
      <c r="AC34" s="31"/>
      <c r="AD34" s="31"/>
      <c r="AE34" s="31"/>
    </row>
    <row r="35" spans="1:31" x14ac:dyDescent="0.2">
      <c r="A35" s="31"/>
      <c r="B35" s="31"/>
      <c r="C35" s="31"/>
      <c r="D35" s="31"/>
      <c r="E35"/>
      <c r="F35" s="31"/>
      <c r="G35" s="31"/>
      <c r="H35" s="31"/>
      <c r="I35" s="31"/>
      <c r="J35"/>
      <c r="K35" s="31"/>
      <c r="L35" s="31"/>
      <c r="M35" s="31"/>
      <c r="N35" s="31"/>
      <c r="P35" s="26"/>
      <c r="Q35" s="26"/>
      <c r="R35"/>
      <c r="S35" s="31"/>
      <c r="T35" s="31"/>
      <c r="U35" s="31"/>
      <c r="V35" s="31"/>
      <c r="W35" s="31"/>
      <c r="X35" s="31"/>
      <c r="Z35" s="31"/>
      <c r="AA35" s="31"/>
      <c r="AB35" s="31"/>
      <c r="AC35" s="31"/>
      <c r="AD35" s="31"/>
      <c r="AE35" s="31"/>
    </row>
    <row r="36" spans="1:31" x14ac:dyDescent="0.2">
      <c r="A36" s="31"/>
      <c r="B36" s="31"/>
      <c r="C36" s="31"/>
      <c r="D36" s="31"/>
      <c r="E36"/>
      <c r="F36" s="31"/>
      <c r="G36" s="31"/>
      <c r="H36" s="31"/>
      <c r="I36" s="31"/>
      <c r="J36"/>
      <c r="K36" s="31"/>
      <c r="L36" s="31"/>
      <c r="M36" s="31"/>
      <c r="N36" s="31"/>
      <c r="P36" s="26"/>
      <c r="Q36" s="26"/>
      <c r="R36"/>
      <c r="S36" s="31"/>
      <c r="T36" s="31"/>
      <c r="U36" s="31"/>
      <c r="V36" s="31"/>
      <c r="W36" s="31"/>
      <c r="X36" s="31"/>
      <c r="Z36" s="31"/>
      <c r="AA36" s="31"/>
      <c r="AB36" s="31"/>
      <c r="AC36" s="31"/>
      <c r="AD36" s="31"/>
      <c r="AE36" s="31"/>
    </row>
    <row r="37" spans="1:31" x14ac:dyDescent="0.2">
      <c r="A37" s="31"/>
      <c r="B37" s="31"/>
      <c r="C37" s="31"/>
      <c r="D37" s="31"/>
      <c r="E37"/>
      <c r="F37" s="31"/>
      <c r="G37" s="31"/>
      <c r="H37" s="31"/>
      <c r="I37" s="31"/>
      <c r="J37"/>
      <c r="K37" s="31"/>
      <c r="L37" s="31"/>
      <c r="M37" s="31"/>
      <c r="N37" s="31"/>
      <c r="P37" s="26"/>
      <c r="Q37" s="26"/>
      <c r="S37" s="31"/>
      <c r="T37" s="31"/>
      <c r="U37" s="31"/>
      <c r="V37" s="31"/>
      <c r="W37" s="31"/>
      <c r="X37" s="31"/>
      <c r="Z37" s="31"/>
      <c r="AA37" s="31"/>
      <c r="AB37" s="31"/>
      <c r="AC37" s="31"/>
      <c r="AD37" s="31"/>
      <c r="AE37" s="31"/>
    </row>
    <row r="38" spans="1:31" x14ac:dyDescent="0.2">
      <c r="A38" s="31"/>
      <c r="B38" s="31"/>
      <c r="C38" s="31"/>
      <c r="D38" s="31"/>
      <c r="E38"/>
      <c r="F38" s="31"/>
      <c r="G38" s="31"/>
      <c r="H38" s="31"/>
      <c r="I38" s="31"/>
      <c r="J38"/>
      <c r="K38" s="31"/>
      <c r="L38" s="31"/>
      <c r="M38" s="31"/>
      <c r="N38" s="31"/>
      <c r="P38" s="26"/>
      <c r="Q38" s="26"/>
      <c r="S38" s="31"/>
      <c r="T38" s="31"/>
      <c r="U38" s="31"/>
      <c r="V38" s="31"/>
      <c r="W38" s="31"/>
      <c r="X38" s="31"/>
      <c r="Z38" s="31"/>
      <c r="AA38" s="31"/>
      <c r="AB38" s="31"/>
      <c r="AC38" s="31"/>
      <c r="AD38" s="31"/>
      <c r="AE38" s="31"/>
    </row>
    <row r="39" spans="1:31" x14ac:dyDescent="0.2">
      <c r="A39" s="31"/>
      <c r="B39" s="31"/>
      <c r="C39" s="31"/>
      <c r="D39" s="31"/>
      <c r="E39"/>
      <c r="F39" s="31"/>
      <c r="G39" s="31"/>
      <c r="H39" s="31"/>
      <c r="I39" s="31"/>
      <c r="J39"/>
      <c r="K39" s="31"/>
      <c r="L39" s="31"/>
      <c r="M39" s="31"/>
      <c r="N39" s="31"/>
      <c r="P39" s="26"/>
      <c r="Q39" s="26"/>
      <c r="S39" s="31"/>
      <c r="T39" s="31"/>
      <c r="U39" s="31"/>
      <c r="V39" s="31"/>
      <c r="W39" s="31"/>
      <c r="X39" s="31"/>
      <c r="Z39" s="31"/>
      <c r="AA39" s="31"/>
      <c r="AB39" s="31"/>
      <c r="AC39" s="31"/>
      <c r="AD39" s="31"/>
      <c r="AE39" s="31"/>
    </row>
    <row r="40" spans="1:31" x14ac:dyDescent="0.2">
      <c r="A40" s="31"/>
      <c r="B40" s="31"/>
      <c r="C40" s="31"/>
      <c r="D40" s="31"/>
      <c r="E40"/>
      <c r="F40" s="31"/>
      <c r="G40" s="31"/>
      <c r="H40" s="31"/>
      <c r="I40" s="31"/>
      <c r="J40"/>
      <c r="K40" s="31"/>
      <c r="L40" s="31"/>
      <c r="M40" s="31"/>
      <c r="N40" s="31"/>
      <c r="P40" s="26"/>
      <c r="Q40" s="26"/>
      <c r="S40" s="31"/>
      <c r="T40" s="31"/>
      <c r="U40" s="31"/>
      <c r="V40" s="31"/>
      <c r="W40" s="31"/>
      <c r="X40" s="31"/>
      <c r="Z40" s="31"/>
      <c r="AA40" s="31"/>
      <c r="AB40" s="31"/>
      <c r="AC40" s="31"/>
      <c r="AD40" s="31"/>
      <c r="AE40" s="31"/>
    </row>
    <row r="41" spans="1:31" x14ac:dyDescent="0.2">
      <c r="A41" s="31"/>
      <c r="B41" s="31"/>
      <c r="C41" s="31"/>
      <c r="D41" s="31"/>
      <c r="E41"/>
      <c r="F41" s="31"/>
      <c r="G41" s="31"/>
      <c r="H41" s="31"/>
      <c r="I41" s="31"/>
      <c r="J41"/>
      <c r="K41" s="31"/>
      <c r="L41" s="31"/>
      <c r="M41" s="31"/>
      <c r="N41" s="31"/>
      <c r="P41" s="26"/>
      <c r="Q41" s="26"/>
      <c r="S41" s="31"/>
      <c r="T41" s="31"/>
      <c r="U41" s="31"/>
      <c r="V41" s="31"/>
      <c r="W41" s="31"/>
      <c r="X41" s="31"/>
      <c r="Z41" s="31"/>
      <c r="AA41" s="31"/>
      <c r="AB41" s="31"/>
      <c r="AC41" s="31"/>
      <c r="AD41" s="31"/>
      <c r="AE41" s="31"/>
    </row>
    <row r="42" spans="1:31" x14ac:dyDescent="0.2">
      <c r="A42" s="31"/>
      <c r="B42" s="31"/>
      <c r="C42" s="31"/>
      <c r="D42" s="31"/>
      <c r="E42"/>
      <c r="F42" s="31"/>
      <c r="G42" s="31"/>
      <c r="H42" s="31"/>
      <c r="I42" s="31"/>
      <c r="J42"/>
      <c r="K42" s="31"/>
      <c r="L42" s="31"/>
      <c r="M42" s="31"/>
      <c r="N42" s="31"/>
      <c r="P42" s="26"/>
      <c r="Q42" s="26"/>
      <c r="S42" s="31"/>
      <c r="T42" s="31"/>
      <c r="U42" s="31"/>
      <c r="V42" s="31"/>
      <c r="W42" s="31"/>
      <c r="X42" s="31"/>
      <c r="Z42" s="31"/>
      <c r="AA42" s="31"/>
      <c r="AB42" s="31"/>
      <c r="AC42" s="31"/>
      <c r="AD42" s="31"/>
      <c r="AE42" s="31"/>
    </row>
    <row r="43" spans="1:31" x14ac:dyDescent="0.2">
      <c r="A43" s="31"/>
      <c r="B43" s="31"/>
      <c r="C43" s="31"/>
      <c r="D43" s="31"/>
      <c r="E43"/>
      <c r="F43" s="31"/>
      <c r="G43" s="31"/>
      <c r="H43" s="31"/>
      <c r="I43" s="31"/>
      <c r="J43"/>
      <c r="K43" s="31"/>
      <c r="L43" s="31"/>
      <c r="M43" s="31"/>
      <c r="N43" s="31"/>
      <c r="P43" s="26"/>
      <c r="Q43" s="26"/>
      <c r="S43" s="31"/>
      <c r="T43" s="31"/>
      <c r="U43" s="31"/>
      <c r="V43" s="31"/>
      <c r="W43" s="31"/>
      <c r="X43" s="31"/>
      <c r="Z43" s="31"/>
      <c r="AA43" s="31"/>
      <c r="AB43" s="31"/>
      <c r="AC43" s="31"/>
      <c r="AD43" s="31"/>
      <c r="AE43" s="31"/>
    </row>
  </sheetData>
  <phoneticPr fontId="15" type="noConversion"/>
  <dataValidations count="9">
    <dataValidation type="custom" allowBlank="1" showInputMessage="1" showErrorMessage="1" errorTitle="Vælg et tal" error="Indtast et tal." promptTitle="Vælg en standardafvigelse" prompt="Indtast et tal." sqref="B7 AA7" xr:uid="{1D71C439-7925-4931-AD66-F83A8A75B550}">
      <formula1>ISNUMBER(B7)</formula1>
    </dataValidation>
    <dataValidation type="custom" allowBlank="1" showInputMessage="1" showErrorMessage="1" errorTitle="Vælg et tal" error="Indtast et tal." promptTitle="Vælg et gennemsnit" prompt="Indtast et tal." sqref="B6 AA6" xr:uid="{EB341349-BABA-491C-8F3C-AEBB41E4FB58}">
      <formula1>ISNUMBER(B6)</formula1>
    </dataValidation>
    <dataValidation type="decimal" allowBlank="1" showInputMessage="1" showErrorMessage="1" errorTitle="Vælg en sandsynlighed" error="Indtast et procenttal mellem 0% og 100%." promptTitle="Vælg en sandsynlighed" prompt="Indtast et procenttal mellem 0% og 100%." sqref="G6" xr:uid="{AC15579F-AC3E-44B0-BB49-DBE30121A190}">
      <formula1>0</formula1>
      <formula2>1</formula2>
    </dataValidation>
    <dataValidation type="whole" operator="greaterThanOrEqual" allowBlank="1" showInputMessage="1" showErrorMessage="1" errorTitle="Vælg et naturligt antal" error="Indtast et heltal som er lig med eller større end 0." promptTitle="Vælg en frekvens" prompt="Indtast et heltal som er lig med eller større end 0." sqref="Q14:Q43" xr:uid="{FD64E20A-812A-4CD4-B44D-CE69EB2CFFD5}">
      <formula1>0</formula1>
    </dataValidation>
    <dataValidation type="custom" allowBlank="1" showInputMessage="1" showErrorMessage="1" errorTitle="Vælg et tal" error="Indtast et tal." promptTitle="Vælg et minimum" prompt="Indtast et tal." sqref="L6" xr:uid="{437EFE67-B984-47E6-AF99-8DB45932574C}">
      <formula1>ISNUMBER(L6)</formula1>
    </dataValidation>
    <dataValidation type="custom" allowBlank="1" showInputMessage="1" showErrorMessage="1" errorTitle="Vælg et tal" error="Indtast et tal." promptTitle="Vælg et maksimum" prompt="Indtast et tal." sqref="L7" xr:uid="{CF36BF4A-38FB-4DF4-AC2A-F9393D1DBFA1}">
      <formula1>ISNUMBER(L7)</formula1>
    </dataValidation>
    <dataValidation type="whole" operator="greaterThan" allowBlank="1" showInputMessage="1" showErrorMessage="1" errorTitle="Vælg et heltal" error="Indtast et heltal, der er større end 1." promptTitle="Vælg en populationsstørrelse" prompt="Indtast et heltal, der er større end 1." sqref="G8 B8 L8 AA8" xr:uid="{16EE1B2B-A9E1-4BA3-BF7D-A12D50316387}">
      <formula1>1</formula1>
    </dataValidation>
    <dataValidation type="whole" allowBlank="1" showInputMessage="1" showErrorMessage="1" errorTitle="Vælg et heltal" error="Indtast et heltal, der er større end 0 og mindre end populationsstørrelsen." promptTitle="Vælg en stikprøvestørrelse" prompt="Indtast et heltal, der er større end 0 og mindre end populationsstørrelsen." sqref="B9 L9 G9 Q7 AA9" xr:uid="{93F387D5-B40A-4156-ABD3-CADF4FF554D5}">
      <formula1>1</formula1>
      <formula2>B6</formula2>
    </dataValidation>
    <dataValidation type="custom" allowBlank="1" showInputMessage="1" showErrorMessage="1" errorTitle="Vælg skævhedens retning" error="Vælg Sand (positiv skævhed) eller Falsk (negativ skævhed)." promptTitle="Vælg skævhedens retning" prompt="Vælg Sand (positiv skævhed) eller Falsk (negativ skævhed)." sqref="AA10" xr:uid="{01DC8C7A-283D-48A4-A487-2D0ABAEB869C}">
      <formula1>ISLOGICAL(AA10)</formula1>
    </dataValidation>
  </dataValidations>
  <hyperlinks>
    <hyperlink ref="B1" location="V_Manual_DataGenerator" display="Gå til Manual i brug af Data generator arket               " xr:uid="{519893D9-260B-4087-B566-0016E39C4A96}"/>
  </hyperlink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0C11CFABFF98349BD7BFD4811820EAF" ma:contentTypeVersion="5" ma:contentTypeDescription="Opret et nyt dokument." ma:contentTypeScope="" ma:versionID="c492f6f430c3829265f02a6c04163758">
  <xsd:schema xmlns:xsd="http://www.w3.org/2001/XMLSchema" xmlns:xs="http://www.w3.org/2001/XMLSchema" xmlns:p="http://schemas.microsoft.com/office/2006/metadata/properties" xmlns:ns3="7096a9c3-13d0-44a4-a2f7-39c55b9e22c7" xmlns:ns4="ffe4fa7a-95c0-4837-89bf-7ba97c147df7" targetNamespace="http://schemas.microsoft.com/office/2006/metadata/properties" ma:root="true" ma:fieldsID="619340582a67895998d3c54a2923d467" ns3:_="" ns4:_="">
    <xsd:import namespace="7096a9c3-13d0-44a4-a2f7-39c55b9e22c7"/>
    <xsd:import namespace="ffe4fa7a-95c0-4837-89bf-7ba97c147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6a9c3-13d0-44a4-a2f7-39c55b9e22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e4fa7a-95c0-4837-89bf-7ba97c147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E941B9-A812-43B6-8E71-7AD0BE65C2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1A4B8E-7370-43D7-87A4-76B8BFC80C03}">
  <ds:schemaRefs>
    <ds:schemaRef ds:uri="7096a9c3-13d0-44a4-a2f7-39c55b9e22c7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ffe4fa7a-95c0-4837-89bf-7ba97c147df7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CFBC3DE-D1C0-45C7-BFCE-96CD4F9A3A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A043E7E-7780-43FB-811A-ECD9D04175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96a9c3-13d0-44a4-a2f7-39c55b9e22c7"/>
    <ds:schemaRef ds:uri="ffe4fa7a-95c0-4837-89bf-7ba97c147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Velkommen</vt:lpstr>
      <vt:lpstr>DataGenerator</vt:lpstr>
      <vt:lpstr>V_Manual_DataGenerator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JBKstat.DataGenerator</dc:title>
  <dc:creator>Jakob Bjerre Knudsen</dc:creator>
  <cp:lastModifiedBy>Jakob</cp:lastModifiedBy>
  <cp:lastPrinted>2019-08-09T07:03:21Z</cp:lastPrinted>
  <dcterms:created xsi:type="dcterms:W3CDTF">2018-12-03T09:30:39Z</dcterms:created>
  <dcterms:modified xsi:type="dcterms:W3CDTF">2021-02-13T12:24:58Z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0x01010030C11CFABFF98349BD7BFD4811820EAF</vt:lpwstr>
  </property>
</Properties>
</file>
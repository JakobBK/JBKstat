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workbookPr codeName="ThisWorkbook"/>
  <mc:AlternateContent xmlns:mc="http://schemas.openxmlformats.org/markup-compatibility/2006">
    <mc:Choice Requires="x15">
      <x15ac:absPath xmlns:x15ac="http://schemas.microsoft.com/office/spreadsheetml/2010/11/ac" url="C:\Users\Jakob\Documents\Arbejde\Statistik\JBKstat\Opdelt i ark\"/>
    </mc:Choice>
  </mc:AlternateContent>
  <xr:revisionPtr revIDLastSave="0" documentId="8_{AE34D0D4-7918-4A10-8150-0AADFB0805B5}" xr6:coauthVersionLast="46" xr6:coauthVersionMax="46" xr10:uidLastSave="{00000000-0000-0000-0000-000000000000}"/>
  <bookViews>
    <workbookView xWindow="-120" yWindow="-120" windowWidth="29040" windowHeight="15840" tabRatio="727" xr2:uid="{00000000-000D-0000-FFFF-FFFF00000000}"/>
  </bookViews>
  <sheets>
    <sheet name="Velkommen" sheetId="43" r:id="rId1"/>
    <sheet name="Data" sheetId="62" r:id="rId2"/>
    <sheet name="DataBeregning" sheetId="64" state="hidden" r:id="rId3"/>
    <sheet name="Lister" sheetId="60" state="hidden" r:id="rId4"/>
    <sheet name="LineærRegression" sheetId="42" r:id="rId5"/>
    <sheet name="Lineær regression slicer" sheetId="57" state="hidden" r:id="rId6"/>
    <sheet name="Beregningsark" sheetId="58" state="hidden" r:id="rId7"/>
  </sheets>
  <definedNames>
    <definedName name="Beregningsmetode_liste">Lister!$G$2:$G$10</definedName>
    <definedName name="Data">Data!$A$2:INDEX(Data!$A$2:$CV$1048576,DataBeregning!$B$2,DataBeregning!$B$3)</definedName>
    <definedName name="DataHeaders">Data!$A$1:$CV$1</definedName>
    <definedName name="DataTitel_liste">_xlfn.ANCHORARRAY(Lister!$C$2)</definedName>
    <definedName name="DataTitelTest_liste">_xlfn.ANCHORARRAY(Lister!$C$2)</definedName>
    <definedName name="Fordeling_liste">Lister!$E$2:$E$5</definedName>
    <definedName name="HypoteseRetning_liste">Lister!$D$2:$D$5</definedName>
    <definedName name="Hypotesetype_Liste">Lister!$F$2:$F$8</definedName>
    <definedName name="Inkluderet">"Inkluderet"</definedName>
    <definedName name="Inkluderet_Liste">Lister!$A$2:$A$3</definedName>
    <definedName name="Lfm">_xlfn.ANCHORARRAY(LineærRegression!$EP$10)</definedName>
    <definedName name="LfNedre">_xlfn.ANCHORARRAY(LineærRegression!$BK$10)</definedName>
    <definedName name="LfOevre">_xlfn.ANCHORARRAY(LineærRegression!$BJ$10)</definedName>
    <definedName name="Lfs">_xlfn.ANCHORARRAY(LineærRegression!$EO$10)</definedName>
    <definedName name="Lfsy">_xlfn.ANCHORARRAY(LineærRegression!$EQ$10)</definedName>
    <definedName name="LfX">_xlfn.ANCHORARRAY(LineærRegression!$BI$10)</definedName>
    <definedName name="Lfyx">_xlfn.ANCHORARRAY(LineærRegression!$EN$10)</definedName>
    <definedName name="LkNedre">_xlfn.ANCHORARRAY(LineærRegression!$BF$10)</definedName>
    <definedName name="LkOevre">_xlfn.ANCHORARRAY(LineærRegression!$BE$10)</definedName>
    <definedName name="LkX">_xlfn.ANCHORARRAY(LineærRegression!$BD$10)</definedName>
    <definedName name="LmkVxX">_xlfn.ANCHORARRAY(LineærRegression!$CM$10)</definedName>
    <definedName name="LmkVxY">_xlfn.ANCHORARRAY(LineærRegression!$CO$10)</definedName>
    <definedName name="LmkX">_xlfn.ANCHORARRAY(LineærRegression!$CH$10)</definedName>
    <definedName name="LmkY">_xlfn.ANCHORARRAY(LineærRegression!$CI$10)</definedName>
    <definedName name="LpRx">_xlfn.ANCHORARRAY(LineærRegression!$DI$10)</definedName>
    <definedName name="LpRy">_xlfn.ANCHORARRAY(LineærRegression!$DH$10)</definedName>
    <definedName name="LpX">_xlfn.ANCHORARRAY(LineærRegression!$DC$10)</definedName>
    <definedName name="LpXlx">_xlfn.ANCHORARRAY(LineærRegression!$DS$10)</definedName>
    <definedName name="LpXly">_xlfn.ANCHORARRAY(LineærRegression!$DT$10)</definedName>
    <definedName name="LpY">_xlfn.ANCHORARRAY(LineærRegression!$DD$10)</definedName>
    <definedName name="LpYlx">_xlfn.ANCHORARRAY(LineærRegression!$DP$10)</definedName>
    <definedName name="LpYly">_xlfn.ANCHORARRAY(LineærRegression!$DQ$10)</definedName>
    <definedName name="LrfZ">_xlfn.ANCHORARRAY(LineærRegression!$ED$10)</definedName>
    <definedName name="LrfZm">_xlfn.ANCHORARRAY(LineærRegression!$EL$10)</definedName>
    <definedName name="LrS">_xlfn.ANCHORARRAY(LineærRegression!$EB$10)</definedName>
    <definedName name="LrSm">_xlfn.ANCHORARRAY(LineærRegression!$EJ$10)</definedName>
    <definedName name="LrZ">_xlfn.ANCHORARRAY(LineærRegression!$EC$10)</definedName>
    <definedName name="LrZm">_xlfn.ANCHORARRAY(LineærRegression!$EK$10)</definedName>
    <definedName name="Lss">_xlfn.ANCHORARRAY(LineærRegression!$ET$50)</definedName>
    <definedName name="Lssx">_xlfn.ANCHORARRAY(LineærRegression!$BP$10)</definedName>
    <definedName name="Lssy1">_xlfn.ANCHORARRAY(LineærRegression!$BN$10)</definedName>
    <definedName name="Lssy2">_xlfn.ANCHORARRAY(LineærRegression!$BO$10)</definedName>
    <definedName name="LsxSimpel">_xlfn.ANCHORARRAY(LineærRegression!$AV$10)</definedName>
    <definedName name="Lsy2Simpel">_xlfn.ANCHORARRAY(LineærRegression!$AW$10)</definedName>
    <definedName name="LsySimpel">_xlfn.ANCHORARRAY(LineærRegression!$AU$10)</definedName>
    <definedName name="LyData">_xlfn.ANCHORARRAY(LineærRegression!$ET$75)</definedName>
    <definedName name="SandFalsk_liste">Lister!$B$2:$B$3</definedName>
    <definedName name="Slicer_Afhængig_variabel1">#N/A</definedName>
    <definedName name="Slicer_Uafhængige_variable1">#N/A</definedName>
    <definedName name="Udeladt">"Udeladt"</definedName>
    <definedName name="V_Manual_Data">Velkommen!$A$27</definedName>
    <definedName name="V_Manual_Lineær_Regression">Velkommen!$A$74</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8"/>
        <x14:slicerCache r:id="rId9"/>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5" i="64" l="1"/>
  <c r="H5" i="64"/>
  <c r="M5" i="64"/>
  <c r="N5" i="64"/>
  <c r="S5" i="64"/>
  <c r="T5" i="64"/>
  <c r="Y5" i="64"/>
  <c r="Z5" i="64"/>
  <c r="AE5" i="64"/>
  <c r="AF5" i="64"/>
  <c r="AK5" i="64"/>
  <c r="AL5" i="64"/>
  <c r="AQ5" i="64"/>
  <c r="AR5" i="64"/>
  <c r="AW5" i="64"/>
  <c r="AX5" i="64"/>
  <c r="BC5" i="64"/>
  <c r="BD5" i="64"/>
  <c r="BI5" i="64"/>
  <c r="BJ5" i="64"/>
  <c r="BO5" i="64"/>
  <c r="BP5" i="64"/>
  <c r="BU5" i="64"/>
  <c r="BV5" i="64"/>
  <c r="CA5" i="64"/>
  <c r="CB5" i="64"/>
  <c r="CG5" i="64"/>
  <c r="CH5" i="64"/>
  <c r="CM5" i="64"/>
  <c r="CN5" i="64"/>
  <c r="CS5" i="64"/>
  <c r="CT5" i="64"/>
  <c r="B6" i="64" a="1"/>
  <c r="B6" i="64" s="1"/>
  <c r="B39" i="42"/>
  <c r="D39" i="42"/>
  <c r="C39" i="42"/>
  <c r="BG28" i="42"/>
  <c r="BH10" i="42" s="1" a="1"/>
  <c r="BH10" i="42" s="1"/>
  <c r="BL24" i="42"/>
  <c r="BL16" i="42" s="1"/>
  <c r="BG18" i="42"/>
  <c r="AX18" i="42"/>
  <c r="AQ18" i="42"/>
  <c r="EE10" i="42"/>
  <c r="BG10" i="42"/>
  <c r="AX10" i="42"/>
  <c r="C2" i="60" a="1"/>
  <c r="C2" i="60" s="1"/>
  <c r="B4" i="64" a="1"/>
  <c r="B4" i="64" s="1"/>
  <c r="B3" i="64" s="1"/>
  <c r="B5" i="64" l="1"/>
  <c r="CR5" i="64"/>
  <c r="CL5" i="64"/>
  <c r="CF5" i="64"/>
  <c r="BZ5" i="64"/>
  <c r="BT5" i="64"/>
  <c r="BN5" i="64"/>
  <c r="BH5" i="64"/>
  <c r="BB5" i="64"/>
  <c r="AV5" i="64"/>
  <c r="AP5" i="64"/>
  <c r="AJ5" i="64"/>
  <c r="AD5" i="64"/>
  <c r="X5" i="64"/>
  <c r="R5" i="64"/>
  <c r="L5" i="64"/>
  <c r="F5" i="64"/>
  <c r="CW5" i="64"/>
  <c r="CQ5" i="64"/>
  <c r="CK5" i="64"/>
  <c r="CE5" i="64"/>
  <c r="BY5" i="64"/>
  <c r="BS5" i="64"/>
  <c r="BM5" i="64"/>
  <c r="BG5" i="64"/>
  <c r="BA5" i="64"/>
  <c r="AU5" i="64"/>
  <c r="AO5" i="64"/>
  <c r="AI5" i="64"/>
  <c r="AC5" i="64"/>
  <c r="W5" i="64"/>
  <c r="Q5" i="64"/>
  <c r="K5" i="64"/>
  <c r="E5" i="64"/>
  <c r="CV5" i="64"/>
  <c r="CP5" i="64"/>
  <c r="CJ5" i="64"/>
  <c r="CD5" i="64"/>
  <c r="BX5" i="64"/>
  <c r="BR5" i="64"/>
  <c r="BL5" i="64"/>
  <c r="BF5" i="64"/>
  <c r="AZ5" i="64"/>
  <c r="AT5" i="64"/>
  <c r="AN5" i="64"/>
  <c r="AH5" i="64"/>
  <c r="AB5" i="64"/>
  <c r="V5" i="64"/>
  <c r="P5" i="64"/>
  <c r="J5" i="64"/>
  <c r="D5" i="64"/>
  <c r="CU5" i="64"/>
  <c r="CO5" i="64"/>
  <c r="CI5" i="64"/>
  <c r="CC5" i="64"/>
  <c r="BW5" i="64"/>
  <c r="BQ5" i="64"/>
  <c r="BK5" i="64"/>
  <c r="BE5" i="64"/>
  <c r="AY5" i="64"/>
  <c r="AS5" i="64"/>
  <c r="AM5" i="64"/>
  <c r="AG5" i="64"/>
  <c r="AA5" i="64"/>
  <c r="U5" i="64"/>
  <c r="O5" i="64"/>
  <c r="I5" i="64"/>
  <c r="C5" i="64"/>
  <c r="B5" i="57"/>
  <c r="B1" i="64" a="1"/>
  <c r="B1" i="64" s="1"/>
  <c r="A15" i="57"/>
  <c r="B3" i="60"/>
  <c r="B2" i="60"/>
  <c r="A2495" i="57"/>
  <c r="A2496" i="57"/>
  <c r="A2497" i="57"/>
  <c r="A2498" i="57"/>
  <c r="A2499" i="57"/>
  <c r="A2500" i="57"/>
  <c r="A2501" i="57"/>
  <c r="A2502" i="57"/>
  <c r="A2503" i="57"/>
  <c r="A2504" i="57"/>
  <c r="A2505" i="57"/>
  <c r="A2506" i="57"/>
  <c r="A2507" i="57"/>
  <c r="A2508" i="57"/>
  <c r="A2509" i="57"/>
  <c r="A2510" i="57"/>
  <c r="A2482" i="57"/>
  <c r="A2483" i="57"/>
  <c r="A2484" i="57"/>
  <c r="A2485" i="57"/>
  <c r="A2486" i="57"/>
  <c r="A2487" i="57"/>
  <c r="A2488" i="57"/>
  <c r="A2489" i="57"/>
  <c r="A2490" i="57"/>
  <c r="A2491" i="57"/>
  <c r="A2492" i="57"/>
  <c r="A2493" i="57"/>
  <c r="A2494" i="57"/>
  <c r="A1456" i="57"/>
  <c r="A1457" i="57"/>
  <c r="A1458" i="57"/>
  <c r="A1459" i="57"/>
  <c r="A1460" i="57"/>
  <c r="A1461" i="57"/>
  <c r="A1462" i="57"/>
  <c r="A1463" i="57"/>
  <c r="A1464" i="57"/>
  <c r="A1465" i="57"/>
  <c r="A1466" i="57"/>
  <c r="A1467" i="57"/>
  <c r="A1468" i="57"/>
  <c r="A1469" i="57"/>
  <c r="A1470" i="57"/>
  <c r="A1471" i="57"/>
  <c r="A1472" i="57"/>
  <c r="A1473" i="57"/>
  <c r="A1474" i="57"/>
  <c r="A1475" i="57"/>
  <c r="A1476" i="57"/>
  <c r="A1477" i="57"/>
  <c r="A1478" i="57"/>
  <c r="A1479" i="57"/>
  <c r="A1480" i="57"/>
  <c r="A1481" i="57"/>
  <c r="A1482" i="57"/>
  <c r="A1483" i="57"/>
  <c r="A1484" i="57"/>
  <c r="A1485" i="57"/>
  <c r="A1486" i="57"/>
  <c r="A1487" i="57"/>
  <c r="A1488" i="57"/>
  <c r="A1489" i="57"/>
  <c r="A1490" i="57"/>
  <c r="A1491" i="57"/>
  <c r="A1492" i="57"/>
  <c r="A1493" i="57"/>
  <c r="A1494" i="57"/>
  <c r="A1495" i="57"/>
  <c r="A1496" i="57"/>
  <c r="A1497" i="57"/>
  <c r="A1498" i="57"/>
  <c r="A1499" i="57"/>
  <c r="A1500" i="57"/>
  <c r="A1501" i="57"/>
  <c r="A1502" i="57"/>
  <c r="A1503" i="57"/>
  <c r="A1504" i="57"/>
  <c r="A1505" i="57"/>
  <c r="A1506" i="57"/>
  <c r="A1507" i="57"/>
  <c r="A1508" i="57"/>
  <c r="A1509" i="57"/>
  <c r="A1510" i="57"/>
  <c r="A1511" i="57"/>
  <c r="A1512" i="57"/>
  <c r="A1513" i="57"/>
  <c r="A1514" i="57"/>
  <c r="A1515" i="57"/>
  <c r="A1516" i="57"/>
  <c r="A1517" i="57"/>
  <c r="A1518" i="57"/>
  <c r="A1519" i="57"/>
  <c r="A1520" i="57"/>
  <c r="A1521" i="57"/>
  <c r="A1522" i="57"/>
  <c r="A1523" i="57"/>
  <c r="A1524" i="57"/>
  <c r="A1525" i="57"/>
  <c r="A1526" i="57"/>
  <c r="A1527" i="57"/>
  <c r="A1528" i="57"/>
  <c r="A1529" i="57"/>
  <c r="A1530" i="57"/>
  <c r="A1531" i="57"/>
  <c r="A1532" i="57"/>
  <c r="A1533" i="57"/>
  <c r="A1534" i="57"/>
  <c r="A1535" i="57"/>
  <c r="A1536" i="57"/>
  <c r="A1537" i="57"/>
  <c r="A1538" i="57"/>
  <c r="A1539" i="57"/>
  <c r="A1540" i="57"/>
  <c r="A1541" i="57"/>
  <c r="A1542" i="57"/>
  <c r="A1543" i="57"/>
  <c r="A1544" i="57"/>
  <c r="A1545" i="57"/>
  <c r="A1546" i="57"/>
  <c r="A1547" i="57"/>
  <c r="A1548" i="57"/>
  <c r="A1549" i="57"/>
  <c r="A1550" i="57"/>
  <c r="A1551" i="57"/>
  <c r="A1552" i="57"/>
  <c r="A1553" i="57"/>
  <c r="A1554" i="57"/>
  <c r="A1555" i="57"/>
  <c r="A1556" i="57"/>
  <c r="A1557" i="57"/>
  <c r="A1558" i="57"/>
  <c r="A1559" i="57"/>
  <c r="A1560" i="57"/>
  <c r="A1561" i="57"/>
  <c r="A1562" i="57"/>
  <c r="A1563" i="57"/>
  <c r="A1564" i="57"/>
  <c r="A1565" i="57"/>
  <c r="A1566" i="57"/>
  <c r="A1567" i="57"/>
  <c r="A1568" i="57"/>
  <c r="A1569" i="57"/>
  <c r="A1570" i="57"/>
  <c r="A1571" i="57"/>
  <c r="A1572" i="57"/>
  <c r="A1573" i="57"/>
  <c r="A1574" i="57"/>
  <c r="A1575" i="57"/>
  <c r="A1576" i="57"/>
  <c r="A1577" i="57"/>
  <c r="A1578" i="57"/>
  <c r="A1579" i="57"/>
  <c r="A1580" i="57"/>
  <c r="A1581" i="57"/>
  <c r="A1582" i="57"/>
  <c r="A1583" i="57"/>
  <c r="A1584" i="57"/>
  <c r="A1585" i="57"/>
  <c r="A1586" i="57"/>
  <c r="A1587" i="57"/>
  <c r="A1588" i="57"/>
  <c r="A1589" i="57"/>
  <c r="A1590" i="57"/>
  <c r="A1591" i="57"/>
  <c r="A1592" i="57"/>
  <c r="A1593" i="57"/>
  <c r="A1594" i="57"/>
  <c r="A1595" i="57"/>
  <c r="A1596" i="57"/>
  <c r="A1597" i="57"/>
  <c r="A1598" i="57"/>
  <c r="A1599" i="57"/>
  <c r="A1600" i="57"/>
  <c r="A1601" i="57"/>
  <c r="A1602" i="57"/>
  <c r="A1603" i="57"/>
  <c r="A1604" i="57"/>
  <c r="A1605" i="57"/>
  <c r="A1606" i="57"/>
  <c r="A1607" i="57"/>
  <c r="A1608" i="57"/>
  <c r="A1609" i="57"/>
  <c r="A1610" i="57"/>
  <c r="A1611" i="57"/>
  <c r="A1612" i="57"/>
  <c r="A1613" i="57"/>
  <c r="A1614" i="57"/>
  <c r="A1615" i="57"/>
  <c r="A1616" i="57"/>
  <c r="A1617" i="57"/>
  <c r="A1618" i="57"/>
  <c r="A1619" i="57"/>
  <c r="A1620" i="57"/>
  <c r="A1621" i="57"/>
  <c r="A1622" i="57"/>
  <c r="A1623" i="57"/>
  <c r="A1624" i="57"/>
  <c r="A1625" i="57"/>
  <c r="A1626" i="57"/>
  <c r="A1627" i="57"/>
  <c r="A1628" i="57"/>
  <c r="A1629" i="57"/>
  <c r="A1630" i="57"/>
  <c r="A1631" i="57"/>
  <c r="A1632" i="57"/>
  <c r="A1633" i="57"/>
  <c r="A1634" i="57"/>
  <c r="A1635" i="57"/>
  <c r="A1636" i="57"/>
  <c r="A1637" i="57"/>
  <c r="A1638" i="57"/>
  <c r="A1639" i="57"/>
  <c r="A1640" i="57"/>
  <c r="A1641" i="57"/>
  <c r="A1642" i="57"/>
  <c r="A1643" i="57"/>
  <c r="A1644" i="57"/>
  <c r="A1645" i="57"/>
  <c r="A1646" i="57"/>
  <c r="A1647" i="57"/>
  <c r="A1648" i="57"/>
  <c r="A1649" i="57"/>
  <c r="A1650" i="57"/>
  <c r="A1651" i="57"/>
  <c r="A1652" i="57"/>
  <c r="A1653" i="57"/>
  <c r="A1654" i="57"/>
  <c r="A1655" i="57"/>
  <c r="A1656" i="57"/>
  <c r="A1657" i="57"/>
  <c r="A1658" i="57"/>
  <c r="A1659" i="57"/>
  <c r="A1660" i="57"/>
  <c r="A1661" i="57"/>
  <c r="A1662" i="57"/>
  <c r="A1663" i="57"/>
  <c r="A1664" i="57"/>
  <c r="A1665" i="57"/>
  <c r="A1666" i="57"/>
  <c r="A1667" i="57"/>
  <c r="A1668" i="57"/>
  <c r="A1669" i="57"/>
  <c r="A1670" i="57"/>
  <c r="A1671" i="57"/>
  <c r="A1672" i="57"/>
  <c r="A1673" i="57"/>
  <c r="A1674" i="57"/>
  <c r="A1675" i="57"/>
  <c r="A1676" i="57"/>
  <c r="A1677" i="57"/>
  <c r="A1678" i="57"/>
  <c r="A1679" i="57"/>
  <c r="A1680" i="57"/>
  <c r="A1681" i="57"/>
  <c r="A1682" i="57"/>
  <c r="A1683" i="57"/>
  <c r="A1684" i="57"/>
  <c r="A1685" i="57"/>
  <c r="A1686" i="57"/>
  <c r="A1687" i="57"/>
  <c r="A1688" i="57"/>
  <c r="A1689" i="57"/>
  <c r="A1690" i="57"/>
  <c r="A1691" i="57"/>
  <c r="H1691" i="57" s="1"/>
  <c r="A1692" i="57"/>
  <c r="H1692" i="57" s="1"/>
  <c r="A1693" i="57"/>
  <c r="H1693" i="57" s="1"/>
  <c r="A1694" i="57"/>
  <c r="A1695" i="57"/>
  <c r="A1696" i="57"/>
  <c r="A1697" i="57"/>
  <c r="H1697" i="57" s="1"/>
  <c r="A1698" i="57"/>
  <c r="H1698" i="57" s="1"/>
  <c r="A1699" i="57"/>
  <c r="H1699" i="57" s="1"/>
  <c r="A1700" i="57"/>
  <c r="A1701" i="57"/>
  <c r="A1702" i="57"/>
  <c r="A1703" i="57"/>
  <c r="H1703" i="57" s="1"/>
  <c r="A1704" i="57"/>
  <c r="H1704" i="57" s="1"/>
  <c r="A1705" i="57"/>
  <c r="H1705" i="57" s="1"/>
  <c r="A1706" i="57"/>
  <c r="A1707" i="57"/>
  <c r="A1708" i="57"/>
  <c r="A1709" i="57"/>
  <c r="H1709" i="57" s="1"/>
  <c r="A1710" i="57"/>
  <c r="H1710" i="57" s="1"/>
  <c r="A1711" i="57"/>
  <c r="H1711" i="57" s="1"/>
  <c r="A1712" i="57"/>
  <c r="A1713" i="57"/>
  <c r="A1714" i="57"/>
  <c r="A1715" i="57"/>
  <c r="H1715" i="57" s="1"/>
  <c r="A1716" i="57"/>
  <c r="H1716" i="57" s="1"/>
  <c r="A1717" i="57"/>
  <c r="H1717" i="57" s="1"/>
  <c r="A1718" i="57"/>
  <c r="A1719" i="57"/>
  <c r="A1720" i="57"/>
  <c r="A1721" i="57"/>
  <c r="H1721" i="57" s="1"/>
  <c r="A1722" i="57"/>
  <c r="H1722" i="57" s="1"/>
  <c r="A1723" i="57"/>
  <c r="H1723" i="57" s="1"/>
  <c r="A1724" i="57"/>
  <c r="A1725" i="57"/>
  <c r="A1726" i="57"/>
  <c r="A1727" i="57"/>
  <c r="H1727" i="57" s="1"/>
  <c r="A1728" i="57"/>
  <c r="H1728" i="57" s="1"/>
  <c r="A1729" i="57"/>
  <c r="H1729" i="57" s="1"/>
  <c r="A1730" i="57"/>
  <c r="A1731" i="57"/>
  <c r="A1732" i="57"/>
  <c r="A1733" i="57"/>
  <c r="H1733" i="57" s="1"/>
  <c r="A1734" i="57"/>
  <c r="H1734" i="57" s="1"/>
  <c r="A1735" i="57"/>
  <c r="H1735" i="57" s="1"/>
  <c r="A1736" i="57"/>
  <c r="A1737" i="57"/>
  <c r="A1738" i="57"/>
  <c r="A1739" i="57"/>
  <c r="H1739" i="57" s="1"/>
  <c r="A1740" i="57"/>
  <c r="H1740" i="57" s="1"/>
  <c r="A1741" i="57"/>
  <c r="H1741" i="57" s="1"/>
  <c r="A1742" i="57"/>
  <c r="A1743" i="57"/>
  <c r="A1744" i="57"/>
  <c r="A1745" i="57"/>
  <c r="H1745" i="57" s="1"/>
  <c r="A1746" i="57"/>
  <c r="H1746" i="57" s="1"/>
  <c r="A1747" i="57"/>
  <c r="H1747" i="57" s="1"/>
  <c r="A1748" i="57"/>
  <c r="A1749" i="57"/>
  <c r="A1750" i="57"/>
  <c r="A1751" i="57"/>
  <c r="H1751" i="57" s="1"/>
  <c r="A1752" i="57"/>
  <c r="H1752" i="57" s="1"/>
  <c r="A1753" i="57"/>
  <c r="H1753" i="57" s="1"/>
  <c r="A1754" i="57"/>
  <c r="A1755" i="57"/>
  <c r="A1756" i="57"/>
  <c r="A1757" i="57"/>
  <c r="H1757" i="57" s="1"/>
  <c r="A1758" i="57"/>
  <c r="H1758" i="57" s="1"/>
  <c r="A1759" i="57"/>
  <c r="H1759" i="57" s="1"/>
  <c r="A1760" i="57"/>
  <c r="A1761" i="57"/>
  <c r="A1762" i="57"/>
  <c r="A1763" i="57"/>
  <c r="H1763" i="57" s="1"/>
  <c r="A1764" i="57"/>
  <c r="H1764" i="57" s="1"/>
  <c r="A1765" i="57"/>
  <c r="H1765" i="57" s="1"/>
  <c r="A1766" i="57"/>
  <c r="A1767" i="57"/>
  <c r="A1768" i="57"/>
  <c r="A1769" i="57"/>
  <c r="H1769" i="57" s="1"/>
  <c r="A1770" i="57"/>
  <c r="H1770" i="57" s="1"/>
  <c r="A1771" i="57"/>
  <c r="H1771" i="57" s="1"/>
  <c r="A1772" i="57"/>
  <c r="A1773" i="57"/>
  <c r="A1774" i="57"/>
  <c r="A1775" i="57"/>
  <c r="H1775" i="57" s="1"/>
  <c r="A1776" i="57"/>
  <c r="H1776" i="57" s="1"/>
  <c r="A1777" i="57"/>
  <c r="H1777" i="57" s="1"/>
  <c r="A1778" i="57"/>
  <c r="A1779" i="57"/>
  <c r="A1780" i="57"/>
  <c r="A1781" i="57"/>
  <c r="H1781" i="57" s="1"/>
  <c r="A1782" i="57"/>
  <c r="H1782" i="57" s="1"/>
  <c r="A1783" i="57"/>
  <c r="H1783" i="57" s="1"/>
  <c r="A1784" i="57"/>
  <c r="A1785" i="57"/>
  <c r="A1786" i="57"/>
  <c r="A1787" i="57"/>
  <c r="H1787" i="57" s="1"/>
  <c r="A1788" i="57"/>
  <c r="H1788" i="57" s="1"/>
  <c r="A1789" i="57"/>
  <c r="H1789" i="57" s="1"/>
  <c r="A1790" i="57"/>
  <c r="A1791" i="57"/>
  <c r="A1792" i="57"/>
  <c r="A1793" i="57"/>
  <c r="H1793" i="57" s="1"/>
  <c r="A1794" i="57"/>
  <c r="H1794" i="57" s="1"/>
  <c r="A1795" i="57"/>
  <c r="H1795" i="57" s="1"/>
  <c r="A1796" i="57"/>
  <c r="A1797" i="57"/>
  <c r="A1798" i="57"/>
  <c r="A1799" i="57"/>
  <c r="H1799" i="57" s="1"/>
  <c r="A1800" i="57"/>
  <c r="H1800" i="57" s="1"/>
  <c r="A1801" i="57"/>
  <c r="H1801" i="57" s="1"/>
  <c r="A1802" i="57"/>
  <c r="A1803" i="57"/>
  <c r="A1804" i="57"/>
  <c r="A1805" i="57"/>
  <c r="H1805" i="57" s="1"/>
  <c r="A1806" i="57"/>
  <c r="H1806" i="57" s="1"/>
  <c r="A1807" i="57"/>
  <c r="H1807" i="57" s="1"/>
  <c r="A1808" i="57"/>
  <c r="A1809" i="57"/>
  <c r="A1810" i="57"/>
  <c r="A1811" i="57"/>
  <c r="H1811" i="57" s="1"/>
  <c r="A1812" i="57"/>
  <c r="H1812" i="57" s="1"/>
  <c r="A1813" i="57"/>
  <c r="H1813" i="57" s="1"/>
  <c r="A1814" i="57"/>
  <c r="A1815" i="57"/>
  <c r="A1816" i="57"/>
  <c r="A1817" i="57"/>
  <c r="H1817" i="57" s="1"/>
  <c r="A1818" i="57"/>
  <c r="H1818" i="57" s="1"/>
  <c r="A1819" i="57"/>
  <c r="H1819" i="57" s="1"/>
  <c r="A1820" i="57"/>
  <c r="A1821" i="57"/>
  <c r="A1822" i="57"/>
  <c r="A1823" i="57"/>
  <c r="H1823" i="57" s="1"/>
  <c r="A1824" i="57"/>
  <c r="H1824" i="57" s="1"/>
  <c r="A1825" i="57"/>
  <c r="H1825" i="57" s="1"/>
  <c r="A1826" i="57"/>
  <c r="A1827" i="57"/>
  <c r="A1828" i="57"/>
  <c r="A1829" i="57"/>
  <c r="H1829" i="57" s="1"/>
  <c r="A1830" i="57"/>
  <c r="H1830" i="57" s="1"/>
  <c r="A1831" i="57"/>
  <c r="H1831" i="57" s="1"/>
  <c r="A1832" i="57"/>
  <c r="A1833" i="57"/>
  <c r="A1834" i="57"/>
  <c r="A1835" i="57"/>
  <c r="H1835" i="57" s="1"/>
  <c r="A1836" i="57"/>
  <c r="H1836" i="57" s="1"/>
  <c r="A1837" i="57"/>
  <c r="H1837" i="57" s="1"/>
  <c r="A1838" i="57"/>
  <c r="A1839" i="57"/>
  <c r="A1840" i="57"/>
  <c r="A1841" i="57"/>
  <c r="H1841" i="57" s="1"/>
  <c r="A1842" i="57"/>
  <c r="H1842" i="57" s="1"/>
  <c r="A1843" i="57"/>
  <c r="H1843" i="57" s="1"/>
  <c r="A1844" i="57"/>
  <c r="A1845" i="57"/>
  <c r="A1846" i="57"/>
  <c r="A1847" i="57"/>
  <c r="H1847" i="57" s="1"/>
  <c r="A1848" i="57"/>
  <c r="H1848" i="57" s="1"/>
  <c r="A1849" i="57"/>
  <c r="H1849" i="57" s="1"/>
  <c r="A1850" i="57"/>
  <c r="A1851" i="57"/>
  <c r="A1852" i="57"/>
  <c r="A1853" i="57"/>
  <c r="H1853" i="57" s="1"/>
  <c r="A1854" i="57"/>
  <c r="H1854" i="57" s="1"/>
  <c r="A1855" i="57"/>
  <c r="H1855" i="57" s="1"/>
  <c r="A1856" i="57"/>
  <c r="A1857" i="57"/>
  <c r="A1858" i="57"/>
  <c r="A1859" i="57"/>
  <c r="H1859" i="57" s="1"/>
  <c r="A1860" i="57"/>
  <c r="H1860" i="57" s="1"/>
  <c r="A1861" i="57"/>
  <c r="H1861" i="57" s="1"/>
  <c r="A1862" i="57"/>
  <c r="A1863" i="57"/>
  <c r="A1864" i="57"/>
  <c r="A1865" i="57"/>
  <c r="H1865" i="57" s="1"/>
  <c r="A1866" i="57"/>
  <c r="H1866" i="57" s="1"/>
  <c r="A1867" i="57"/>
  <c r="H1867" i="57" s="1"/>
  <c r="A1868" i="57"/>
  <c r="A1869" i="57"/>
  <c r="A1870" i="57"/>
  <c r="A1871" i="57"/>
  <c r="H1871" i="57" s="1"/>
  <c r="A1872" i="57"/>
  <c r="H1872" i="57" s="1"/>
  <c r="A1873" i="57"/>
  <c r="H1873" i="57" s="1"/>
  <c r="A1874" i="57"/>
  <c r="A1875" i="57"/>
  <c r="A1876" i="57"/>
  <c r="A1877" i="57"/>
  <c r="H1877" i="57" s="1"/>
  <c r="A1878" i="57"/>
  <c r="H1878" i="57" s="1"/>
  <c r="A1879" i="57"/>
  <c r="H1879" i="57" s="1"/>
  <c r="A1880" i="57"/>
  <c r="A1881" i="57"/>
  <c r="A1882" i="57"/>
  <c r="A1883" i="57"/>
  <c r="H1883" i="57" s="1"/>
  <c r="A1884" i="57"/>
  <c r="H1884" i="57" s="1"/>
  <c r="A1885" i="57"/>
  <c r="H1885" i="57" s="1"/>
  <c r="A1886" i="57"/>
  <c r="A1887" i="57"/>
  <c r="A1888" i="57"/>
  <c r="A1889" i="57"/>
  <c r="H1889" i="57" s="1"/>
  <c r="A1890" i="57"/>
  <c r="H1890" i="57" s="1"/>
  <c r="A1891" i="57"/>
  <c r="H1891" i="57" s="1"/>
  <c r="A1892" i="57"/>
  <c r="A1893" i="57"/>
  <c r="A1894" i="57"/>
  <c r="A1895" i="57"/>
  <c r="H1895" i="57" s="1"/>
  <c r="A1896" i="57"/>
  <c r="H1896" i="57" s="1"/>
  <c r="A1897" i="57"/>
  <c r="H1897" i="57" s="1"/>
  <c r="A1898" i="57"/>
  <c r="A1899" i="57"/>
  <c r="A1900" i="57"/>
  <c r="A1901" i="57"/>
  <c r="H1901" i="57" s="1"/>
  <c r="A1902" i="57"/>
  <c r="H1902" i="57" s="1"/>
  <c r="A1903" i="57"/>
  <c r="H1903" i="57" s="1"/>
  <c r="A1904" i="57"/>
  <c r="A1905" i="57"/>
  <c r="A1906" i="57"/>
  <c r="A1907" i="57"/>
  <c r="H1907" i="57" s="1"/>
  <c r="A1908" i="57"/>
  <c r="H1908" i="57" s="1"/>
  <c r="A1909" i="57"/>
  <c r="H1909" i="57" s="1"/>
  <c r="A1910" i="57"/>
  <c r="A1911" i="57"/>
  <c r="A1912" i="57"/>
  <c r="A1913" i="57"/>
  <c r="H1913" i="57" s="1"/>
  <c r="A1914" i="57"/>
  <c r="H1914" i="57" s="1"/>
  <c r="A1915" i="57"/>
  <c r="A1916" i="57"/>
  <c r="A1917" i="57"/>
  <c r="A1918" i="57"/>
  <c r="A1919" i="57"/>
  <c r="H1919" i="57" s="1"/>
  <c r="A1920" i="57"/>
  <c r="H1920" i="57" s="1"/>
  <c r="A1921" i="57"/>
  <c r="A1922" i="57"/>
  <c r="A1923" i="57"/>
  <c r="A1924" i="57"/>
  <c r="A1925" i="57"/>
  <c r="H1925" i="57" s="1"/>
  <c r="A1926" i="57"/>
  <c r="H1926" i="57" s="1"/>
  <c r="A1927" i="57"/>
  <c r="A1928" i="57"/>
  <c r="A1929" i="57"/>
  <c r="A1930" i="57"/>
  <c r="A1931" i="57"/>
  <c r="H1931" i="57" s="1"/>
  <c r="A1932" i="57"/>
  <c r="H1932" i="57" s="1"/>
  <c r="A1933" i="57"/>
  <c r="A1934" i="57"/>
  <c r="A1935" i="57"/>
  <c r="A1936" i="57"/>
  <c r="A1937" i="57"/>
  <c r="H1937" i="57" s="1"/>
  <c r="A1938" i="57"/>
  <c r="H1938" i="57" s="1"/>
  <c r="A1939" i="57"/>
  <c r="A1940" i="57"/>
  <c r="A1941" i="57"/>
  <c r="A1942" i="57"/>
  <c r="A1943" i="57"/>
  <c r="H1943" i="57" s="1"/>
  <c r="A1944" i="57"/>
  <c r="H1944" i="57" s="1"/>
  <c r="A1945" i="57"/>
  <c r="A1946" i="57"/>
  <c r="A1947" i="57"/>
  <c r="A1948" i="57"/>
  <c r="A1949" i="57"/>
  <c r="H1949" i="57" s="1"/>
  <c r="A1950" i="57"/>
  <c r="H1950" i="57" s="1"/>
  <c r="A1951" i="57"/>
  <c r="A1952" i="57"/>
  <c r="A1953" i="57"/>
  <c r="A1954" i="57"/>
  <c r="A1955" i="57"/>
  <c r="H1955" i="57" s="1"/>
  <c r="A1956" i="57"/>
  <c r="H1956" i="57" s="1"/>
  <c r="A1957" i="57"/>
  <c r="A1958" i="57"/>
  <c r="A1959" i="57"/>
  <c r="A1960" i="57"/>
  <c r="A1961" i="57"/>
  <c r="H1961" i="57" s="1"/>
  <c r="A1962" i="57"/>
  <c r="H1962" i="57" s="1"/>
  <c r="A1963" i="57"/>
  <c r="A1964" i="57"/>
  <c r="A1965" i="57"/>
  <c r="A1966" i="57"/>
  <c r="A1967" i="57"/>
  <c r="H1967" i="57" s="1"/>
  <c r="A1968" i="57"/>
  <c r="H1968" i="57" s="1"/>
  <c r="A1969" i="57"/>
  <c r="A1970" i="57"/>
  <c r="A1971" i="57"/>
  <c r="A1972" i="57"/>
  <c r="A1973" i="57"/>
  <c r="H1973" i="57" s="1"/>
  <c r="A1974" i="57"/>
  <c r="H1974" i="57" s="1"/>
  <c r="A1975" i="57"/>
  <c r="A1976" i="57"/>
  <c r="A1977" i="57"/>
  <c r="A1978" i="57"/>
  <c r="A1979" i="57"/>
  <c r="H1979" i="57" s="1"/>
  <c r="A1980" i="57"/>
  <c r="H1980" i="57" s="1"/>
  <c r="A1981" i="57"/>
  <c r="A1982" i="57"/>
  <c r="A1983" i="57"/>
  <c r="A1984" i="57"/>
  <c r="A1985" i="57"/>
  <c r="H1985" i="57" s="1"/>
  <c r="A1986" i="57"/>
  <c r="H1986" i="57" s="1"/>
  <c r="A1987" i="57"/>
  <c r="A1988" i="57"/>
  <c r="A1989" i="57"/>
  <c r="A1990" i="57"/>
  <c r="A1991" i="57"/>
  <c r="H1991" i="57" s="1"/>
  <c r="A1992" i="57"/>
  <c r="H1992" i="57" s="1"/>
  <c r="A1993" i="57"/>
  <c r="A1994" i="57"/>
  <c r="A1995" i="57"/>
  <c r="A1996" i="57"/>
  <c r="A1997" i="57"/>
  <c r="H1997" i="57" s="1"/>
  <c r="A1998" i="57"/>
  <c r="H1998" i="57" s="1"/>
  <c r="A1999" i="57"/>
  <c r="A2000" i="57"/>
  <c r="A2001" i="57"/>
  <c r="A2002" i="57"/>
  <c r="A2003" i="57"/>
  <c r="H2003" i="57" s="1"/>
  <c r="A2004" i="57"/>
  <c r="H2004" i="57" s="1"/>
  <c r="A2005" i="57"/>
  <c r="A2006" i="57"/>
  <c r="A2007" i="57"/>
  <c r="A2008" i="57"/>
  <c r="A2009" i="57"/>
  <c r="H2009" i="57" s="1"/>
  <c r="A2010" i="57"/>
  <c r="H2010" i="57" s="1"/>
  <c r="A2011" i="57"/>
  <c r="A2012" i="57"/>
  <c r="A2013" i="57"/>
  <c r="A2014" i="57"/>
  <c r="A2015" i="57"/>
  <c r="H2015" i="57" s="1"/>
  <c r="A2016" i="57"/>
  <c r="H2016" i="57" s="1"/>
  <c r="A2017" i="57"/>
  <c r="A2018" i="57"/>
  <c r="A2019" i="57"/>
  <c r="A2020" i="57"/>
  <c r="A2021" i="57"/>
  <c r="H2021" i="57" s="1"/>
  <c r="A2022" i="57"/>
  <c r="H2022" i="57" s="1"/>
  <c r="A2023" i="57"/>
  <c r="A2024" i="57"/>
  <c r="A2025" i="57"/>
  <c r="A2026" i="57"/>
  <c r="A2027" i="57"/>
  <c r="H2027" i="57" s="1"/>
  <c r="A2028" i="57"/>
  <c r="H2028" i="57" s="1"/>
  <c r="A2029" i="57"/>
  <c r="A2030" i="57"/>
  <c r="A2031" i="57"/>
  <c r="A2032" i="57"/>
  <c r="A2033" i="57"/>
  <c r="H2033" i="57" s="1"/>
  <c r="A2034" i="57"/>
  <c r="H2034" i="57" s="1"/>
  <c r="A2035" i="57"/>
  <c r="A2036" i="57"/>
  <c r="A2037" i="57"/>
  <c r="A2038" i="57"/>
  <c r="A2039" i="57"/>
  <c r="H2039" i="57" s="1"/>
  <c r="A2040" i="57"/>
  <c r="H2040" i="57" s="1"/>
  <c r="A2041" i="57"/>
  <c r="A2042" i="57"/>
  <c r="A2043" i="57"/>
  <c r="A2044" i="57"/>
  <c r="A2045" i="57"/>
  <c r="H2045" i="57" s="1"/>
  <c r="A2046" i="57"/>
  <c r="H2046" i="57" s="1"/>
  <c r="A2047" i="57"/>
  <c r="A2048" i="57"/>
  <c r="A2049" i="57"/>
  <c r="A2050" i="57"/>
  <c r="A2051" i="57"/>
  <c r="H2051" i="57" s="1"/>
  <c r="A2052" i="57"/>
  <c r="H2052" i="57" s="1"/>
  <c r="A2053" i="57"/>
  <c r="A2054" i="57"/>
  <c r="A2055" i="57"/>
  <c r="A2056" i="57"/>
  <c r="A2057" i="57"/>
  <c r="H2057" i="57" s="1"/>
  <c r="A2058" i="57"/>
  <c r="H2058" i="57" s="1"/>
  <c r="A2059" i="57"/>
  <c r="A2060" i="57"/>
  <c r="A2061" i="57"/>
  <c r="A2062" i="57"/>
  <c r="A2063" i="57"/>
  <c r="H2063" i="57" s="1"/>
  <c r="A2064" i="57"/>
  <c r="H2064" i="57" s="1"/>
  <c r="A2065" i="57"/>
  <c r="A2066" i="57"/>
  <c r="A2067" i="57"/>
  <c r="A2068" i="57"/>
  <c r="A2069" i="57"/>
  <c r="H2069" i="57" s="1"/>
  <c r="A2070" i="57"/>
  <c r="H2070" i="57" s="1"/>
  <c r="A2071" i="57"/>
  <c r="A2072" i="57"/>
  <c r="A2073" i="57"/>
  <c r="A2074" i="57"/>
  <c r="A2075" i="57"/>
  <c r="H2075" i="57" s="1"/>
  <c r="A2076" i="57"/>
  <c r="H2076" i="57" s="1"/>
  <c r="A2077" i="57"/>
  <c r="A2078" i="57"/>
  <c r="A2079" i="57"/>
  <c r="A2080" i="57"/>
  <c r="A2081" i="57"/>
  <c r="H2081" i="57" s="1"/>
  <c r="A2082" i="57"/>
  <c r="H2082" i="57" s="1"/>
  <c r="A2083" i="57"/>
  <c r="A2084" i="57"/>
  <c r="A2085" i="57"/>
  <c r="A2086" i="57"/>
  <c r="A2087" i="57"/>
  <c r="H2087" i="57" s="1"/>
  <c r="A2088" i="57"/>
  <c r="H2088" i="57" s="1"/>
  <c r="A2089" i="57"/>
  <c r="A2090" i="57"/>
  <c r="A2091" i="57"/>
  <c r="A2092" i="57"/>
  <c r="A2093" i="57"/>
  <c r="H2093" i="57" s="1"/>
  <c r="A2094" i="57"/>
  <c r="H2094" i="57" s="1"/>
  <c r="A2095" i="57"/>
  <c r="A2096" i="57"/>
  <c r="A2097" i="57"/>
  <c r="A2098" i="57"/>
  <c r="A2099" i="57"/>
  <c r="H2099" i="57" s="1"/>
  <c r="A2100" i="57"/>
  <c r="H2100" i="57" s="1"/>
  <c r="A2101" i="57"/>
  <c r="A2102" i="57"/>
  <c r="A2103" i="57"/>
  <c r="A2104" i="57"/>
  <c r="A2105" i="57"/>
  <c r="H2105" i="57" s="1"/>
  <c r="A2106" i="57"/>
  <c r="H2106" i="57" s="1"/>
  <c r="A2107" i="57"/>
  <c r="A2108" i="57"/>
  <c r="A2109" i="57"/>
  <c r="A2110" i="57"/>
  <c r="A2111" i="57"/>
  <c r="H2111" i="57" s="1"/>
  <c r="A2112" i="57"/>
  <c r="H2112" i="57" s="1"/>
  <c r="A2113" i="57"/>
  <c r="A2114" i="57"/>
  <c r="A2115" i="57"/>
  <c r="A2116" i="57"/>
  <c r="A2117" i="57"/>
  <c r="H2117" i="57" s="1"/>
  <c r="A2118" i="57"/>
  <c r="H2118" i="57" s="1"/>
  <c r="A2119" i="57"/>
  <c r="A2120" i="57"/>
  <c r="A2121" i="57"/>
  <c r="A2122" i="57"/>
  <c r="A2123" i="57"/>
  <c r="H2123" i="57" s="1"/>
  <c r="A2124" i="57"/>
  <c r="H2124" i="57" s="1"/>
  <c r="A2125" i="57"/>
  <c r="A2126" i="57"/>
  <c r="A2127" i="57"/>
  <c r="A2128" i="57"/>
  <c r="A2129" i="57"/>
  <c r="H2129" i="57" s="1"/>
  <c r="A2130" i="57"/>
  <c r="H2130" i="57" s="1"/>
  <c r="A2131" i="57"/>
  <c r="A2132" i="57"/>
  <c r="A2133" i="57"/>
  <c r="A2134" i="57"/>
  <c r="A2135" i="57"/>
  <c r="H2135" i="57" s="1"/>
  <c r="A2136" i="57"/>
  <c r="H2136" i="57" s="1"/>
  <c r="A2137" i="57"/>
  <c r="A2138" i="57"/>
  <c r="A2139" i="57"/>
  <c r="A2140" i="57"/>
  <c r="A2141" i="57"/>
  <c r="H2141" i="57" s="1"/>
  <c r="A2142" i="57"/>
  <c r="H2142" i="57" s="1"/>
  <c r="A2143" i="57"/>
  <c r="A2144" i="57"/>
  <c r="A2145" i="57"/>
  <c r="A2146" i="57"/>
  <c r="A2147" i="57"/>
  <c r="H2147" i="57" s="1"/>
  <c r="A2148" i="57"/>
  <c r="H2148" i="57" s="1"/>
  <c r="A2149" i="57"/>
  <c r="A2150" i="57"/>
  <c r="A2151" i="57"/>
  <c r="A2152" i="57"/>
  <c r="A2153" i="57"/>
  <c r="A2154" i="57"/>
  <c r="H2154" i="57" s="1"/>
  <c r="A2155" i="57"/>
  <c r="A2156" i="57"/>
  <c r="A2157" i="57"/>
  <c r="A2158" i="57"/>
  <c r="A2159" i="57"/>
  <c r="H2159" i="57" s="1"/>
  <c r="A2160" i="57"/>
  <c r="H2160" i="57" s="1"/>
  <c r="A2161" i="57"/>
  <c r="A2162" i="57"/>
  <c r="A2163" i="57"/>
  <c r="A2164" i="57"/>
  <c r="A2165" i="57"/>
  <c r="H2165" i="57" s="1"/>
  <c r="A2166" i="57"/>
  <c r="H2166" i="57" s="1"/>
  <c r="A2167" i="57"/>
  <c r="A2168" i="57"/>
  <c r="A2169" i="57"/>
  <c r="A2170" i="57"/>
  <c r="A2171" i="57"/>
  <c r="H2171" i="57" s="1"/>
  <c r="A2172" i="57"/>
  <c r="H2172" i="57" s="1"/>
  <c r="A2173" i="57"/>
  <c r="A2174" i="57"/>
  <c r="A2175" i="57"/>
  <c r="A2176" i="57"/>
  <c r="A2177" i="57"/>
  <c r="H2177" i="57" s="1"/>
  <c r="A2178" i="57"/>
  <c r="H2178" i="57" s="1"/>
  <c r="A2179" i="57"/>
  <c r="A2180" i="57"/>
  <c r="A2181" i="57"/>
  <c r="A2182" i="57"/>
  <c r="A2183" i="57"/>
  <c r="H2183" i="57" s="1"/>
  <c r="A2184" i="57"/>
  <c r="H2184" i="57" s="1"/>
  <c r="A2185" i="57"/>
  <c r="A2186" i="57"/>
  <c r="A2187" i="57"/>
  <c r="A2188" i="57"/>
  <c r="A2189" i="57"/>
  <c r="H2189" i="57" s="1"/>
  <c r="A2190" i="57"/>
  <c r="H2190" i="57" s="1"/>
  <c r="A2191" i="57"/>
  <c r="A2192" i="57"/>
  <c r="A2193" i="57"/>
  <c r="A2194" i="57"/>
  <c r="A2195" i="57"/>
  <c r="H2195" i="57" s="1"/>
  <c r="A2196" i="57"/>
  <c r="H2196" i="57" s="1"/>
  <c r="A2197" i="57"/>
  <c r="A2198" i="57"/>
  <c r="A2199" i="57"/>
  <c r="A2200" i="57"/>
  <c r="A2201" i="57"/>
  <c r="H2201" i="57" s="1"/>
  <c r="A2202" i="57"/>
  <c r="H2202" i="57" s="1"/>
  <c r="A2203" i="57"/>
  <c r="A2204" i="57"/>
  <c r="A2205" i="57"/>
  <c r="A2206" i="57"/>
  <c r="A2207" i="57"/>
  <c r="H2207" i="57" s="1"/>
  <c r="A2208" i="57"/>
  <c r="H2208" i="57" s="1"/>
  <c r="A2209" i="57"/>
  <c r="A2210" i="57"/>
  <c r="A2211" i="57"/>
  <c r="A2212" i="57"/>
  <c r="A2213" i="57"/>
  <c r="H2213" i="57" s="1"/>
  <c r="A2214" i="57"/>
  <c r="H2214" i="57" s="1"/>
  <c r="A2215" i="57"/>
  <c r="A2216" i="57"/>
  <c r="A2217" i="57"/>
  <c r="A2218" i="57"/>
  <c r="A2219" i="57"/>
  <c r="H2219" i="57" s="1"/>
  <c r="A2220" i="57"/>
  <c r="H2220" i="57" s="1"/>
  <c r="A2221" i="57"/>
  <c r="A2222" i="57"/>
  <c r="A2223" i="57"/>
  <c r="A2224" i="57"/>
  <c r="A2225" i="57"/>
  <c r="A2226" i="57"/>
  <c r="H2226" i="57" s="1"/>
  <c r="A2227" i="57"/>
  <c r="A2228" i="57"/>
  <c r="A2229" i="57"/>
  <c r="A2230" i="57"/>
  <c r="A2231" i="57"/>
  <c r="H2231" i="57" s="1"/>
  <c r="A2232" i="57"/>
  <c r="H2232" i="57" s="1"/>
  <c r="A2233" i="57"/>
  <c r="A2234" i="57"/>
  <c r="A2235" i="57"/>
  <c r="A2236" i="57"/>
  <c r="A2237" i="57"/>
  <c r="H2237" i="57" s="1"/>
  <c r="A2238" i="57"/>
  <c r="H2238" i="57" s="1"/>
  <c r="A2239" i="57"/>
  <c r="A2240" i="57"/>
  <c r="A2241" i="57"/>
  <c r="A2242" i="57"/>
  <c r="A2243" i="57"/>
  <c r="H2243" i="57" s="1"/>
  <c r="A2244" i="57"/>
  <c r="H2244" i="57" s="1"/>
  <c r="A2245" i="57"/>
  <c r="A2246" i="57"/>
  <c r="A2247" i="57"/>
  <c r="A2248" i="57"/>
  <c r="A2249" i="57"/>
  <c r="H2249" i="57" s="1"/>
  <c r="A2250" i="57"/>
  <c r="H2250" i="57" s="1"/>
  <c r="A2251" i="57"/>
  <c r="A2252" i="57"/>
  <c r="A2253" i="57"/>
  <c r="A2254" i="57"/>
  <c r="A2255" i="57"/>
  <c r="H2255" i="57" s="1"/>
  <c r="A2256" i="57"/>
  <c r="H2256" i="57" s="1"/>
  <c r="A2257" i="57"/>
  <c r="A2258" i="57"/>
  <c r="A2259" i="57"/>
  <c r="A2260" i="57"/>
  <c r="A2261" i="57"/>
  <c r="H2261" i="57" s="1"/>
  <c r="A2262" i="57"/>
  <c r="H2262" i="57" s="1"/>
  <c r="A2263" i="57"/>
  <c r="A2264" i="57"/>
  <c r="A2265" i="57"/>
  <c r="A2266" i="57"/>
  <c r="A2267" i="57"/>
  <c r="H2267" i="57" s="1"/>
  <c r="A2268" i="57"/>
  <c r="H2268" i="57" s="1"/>
  <c r="A2269" i="57"/>
  <c r="A2270" i="57"/>
  <c r="A2271" i="57"/>
  <c r="A2272" i="57"/>
  <c r="A2273" i="57"/>
  <c r="H2273" i="57" s="1"/>
  <c r="A2274" i="57"/>
  <c r="H2274" i="57" s="1"/>
  <c r="A2275" i="57"/>
  <c r="A2276" i="57"/>
  <c r="A2277" i="57"/>
  <c r="A2278" i="57"/>
  <c r="A2279" i="57"/>
  <c r="H2279" i="57" s="1"/>
  <c r="A2280" i="57"/>
  <c r="H2280" i="57" s="1"/>
  <c r="A2281" i="57"/>
  <c r="A2282" i="57"/>
  <c r="A2283" i="57"/>
  <c r="A2284" i="57"/>
  <c r="A2285" i="57"/>
  <c r="H2285" i="57" s="1"/>
  <c r="A2286" i="57"/>
  <c r="C2286" i="57" s="1"/>
  <c r="A2287" i="57"/>
  <c r="A2288" i="57"/>
  <c r="A2289" i="57"/>
  <c r="A2290" i="57"/>
  <c r="A2291" i="57"/>
  <c r="A2292" i="57"/>
  <c r="C2292" i="57" s="1"/>
  <c r="A2293" i="57"/>
  <c r="A2294" i="57"/>
  <c r="A2295" i="57"/>
  <c r="A2296" i="57"/>
  <c r="A2297" i="57"/>
  <c r="A2298" i="57"/>
  <c r="C2298" i="57" s="1"/>
  <c r="A2299" i="57"/>
  <c r="A2300" i="57"/>
  <c r="A2301" i="57"/>
  <c r="A2302" i="57"/>
  <c r="A2303" i="57"/>
  <c r="A2304" i="57"/>
  <c r="C2304" i="57" s="1"/>
  <c r="A2305" i="57"/>
  <c r="A2306" i="57"/>
  <c r="A2307" i="57"/>
  <c r="A2308" i="57"/>
  <c r="A2309" i="57"/>
  <c r="A2310" i="57"/>
  <c r="C2310" i="57" s="1"/>
  <c r="A2311" i="57"/>
  <c r="A2312" i="57"/>
  <c r="A2313" i="57"/>
  <c r="A2314" i="57"/>
  <c r="A2315" i="57"/>
  <c r="A2316" i="57"/>
  <c r="C2316" i="57" s="1"/>
  <c r="A2317" i="57"/>
  <c r="A2318" i="57"/>
  <c r="A2319" i="57"/>
  <c r="A2320" i="57"/>
  <c r="A2321" i="57"/>
  <c r="A2322" i="57"/>
  <c r="C2322" i="57" s="1"/>
  <c r="A2323" i="57"/>
  <c r="A2324" i="57"/>
  <c r="A2325" i="57"/>
  <c r="A2326" i="57"/>
  <c r="A2327" i="57"/>
  <c r="A2328" i="57"/>
  <c r="C2328" i="57" s="1"/>
  <c r="A2329" i="57"/>
  <c r="A2330" i="57"/>
  <c r="A2331" i="57"/>
  <c r="A2332" i="57"/>
  <c r="A2333" i="57"/>
  <c r="A2334" i="57"/>
  <c r="C2334" i="57" s="1"/>
  <c r="A2335" i="57"/>
  <c r="A2336" i="57"/>
  <c r="A2337" i="57"/>
  <c r="A2338" i="57"/>
  <c r="A2339" i="57"/>
  <c r="A2340" i="57"/>
  <c r="C2340" i="57" s="1"/>
  <c r="A2341" i="57"/>
  <c r="A2342" i="57"/>
  <c r="A2343" i="57"/>
  <c r="A2344" i="57"/>
  <c r="A2345" i="57"/>
  <c r="A2346" i="57"/>
  <c r="C2346" i="57" s="1"/>
  <c r="A2347" i="57"/>
  <c r="A2348" i="57"/>
  <c r="A2349" i="57"/>
  <c r="A2350" i="57"/>
  <c r="A2351" i="57"/>
  <c r="A2352" i="57"/>
  <c r="C2352" i="57" s="1"/>
  <c r="A2353" i="57"/>
  <c r="A2354" i="57"/>
  <c r="A2355" i="57"/>
  <c r="A2356" i="57"/>
  <c r="A2357" i="57"/>
  <c r="A2358" i="57"/>
  <c r="C2358" i="57" s="1"/>
  <c r="A2359" i="57"/>
  <c r="A2360" i="57"/>
  <c r="A2361" i="57"/>
  <c r="A2362" i="57"/>
  <c r="A2363" i="57"/>
  <c r="A2364" i="57"/>
  <c r="C2364" i="57" s="1"/>
  <c r="A2365" i="57"/>
  <c r="A2366" i="57"/>
  <c r="A2367" i="57"/>
  <c r="A2368" i="57"/>
  <c r="A2369" i="57"/>
  <c r="A2370" i="57"/>
  <c r="C2370" i="57" s="1"/>
  <c r="A2371" i="57"/>
  <c r="A2372" i="57"/>
  <c r="A2373" i="57"/>
  <c r="A2374" i="57"/>
  <c r="A2375" i="57"/>
  <c r="A2376" i="57"/>
  <c r="C2376" i="57" s="1"/>
  <c r="A2377" i="57"/>
  <c r="A2378" i="57"/>
  <c r="A2379" i="57"/>
  <c r="A2380" i="57"/>
  <c r="A2381" i="57"/>
  <c r="A2382" i="57"/>
  <c r="C2382" i="57" s="1"/>
  <c r="A2383" i="57"/>
  <c r="A2384" i="57"/>
  <c r="A2385" i="57"/>
  <c r="A2386" i="57"/>
  <c r="A2387" i="57"/>
  <c r="A2388" i="57"/>
  <c r="C2388" i="57" s="1"/>
  <c r="A2389" i="57"/>
  <c r="A2390" i="57"/>
  <c r="A2391" i="57"/>
  <c r="A2392" i="57"/>
  <c r="A2393" i="57"/>
  <c r="A2394" i="57"/>
  <c r="C2394" i="57" s="1"/>
  <c r="A2395" i="57"/>
  <c r="A2396" i="57"/>
  <c r="A2397" i="57"/>
  <c r="A2398" i="57"/>
  <c r="A2399" i="57"/>
  <c r="A2400" i="57"/>
  <c r="C2400" i="57" s="1"/>
  <c r="A2401" i="57"/>
  <c r="A2402" i="57"/>
  <c r="A2403" i="57"/>
  <c r="A2404" i="57"/>
  <c r="A2405" i="57"/>
  <c r="A2406" i="57"/>
  <c r="C2406" i="57" s="1"/>
  <c r="A2407" i="57"/>
  <c r="A2408" i="57"/>
  <c r="A2409" i="57"/>
  <c r="A2410" i="57"/>
  <c r="A2411" i="57"/>
  <c r="A2412" i="57"/>
  <c r="C2412" i="57" s="1"/>
  <c r="A2413" i="57"/>
  <c r="A2414" i="57"/>
  <c r="A2415" i="57"/>
  <c r="A2416" i="57"/>
  <c r="A2417" i="57"/>
  <c r="A2418" i="57"/>
  <c r="C2418" i="57" s="1"/>
  <c r="A2419" i="57"/>
  <c r="A2420" i="57"/>
  <c r="A2421" i="57"/>
  <c r="A2422" i="57"/>
  <c r="A2423" i="57"/>
  <c r="A2424" i="57"/>
  <c r="C2424" i="57" s="1"/>
  <c r="A2425" i="57"/>
  <c r="A2426" i="57"/>
  <c r="A2427" i="57"/>
  <c r="A2428" i="57"/>
  <c r="A2429" i="57"/>
  <c r="A2430" i="57"/>
  <c r="C2430" i="57" s="1"/>
  <c r="A2431" i="57"/>
  <c r="A2432" i="57"/>
  <c r="A2433" i="57"/>
  <c r="A2434" i="57"/>
  <c r="A2435" i="57"/>
  <c r="A2436" i="57"/>
  <c r="C2436" i="57" s="1"/>
  <c r="A2437" i="57"/>
  <c r="A2438" i="57"/>
  <c r="A2439" i="57"/>
  <c r="A2440" i="57"/>
  <c r="A2441" i="57"/>
  <c r="A2442" i="57"/>
  <c r="C2442" i="57" s="1"/>
  <c r="A2443" i="57"/>
  <c r="A2444" i="57"/>
  <c r="A2445" i="57"/>
  <c r="A2446" i="57"/>
  <c r="A2447" i="57"/>
  <c r="A2448" i="57"/>
  <c r="C2448" i="57" s="1"/>
  <c r="A2449" i="57"/>
  <c r="A2450" i="57"/>
  <c r="A2451" i="57"/>
  <c r="A2452" i="57"/>
  <c r="A2453" i="57"/>
  <c r="A2454" i="57"/>
  <c r="C2454" i="57" s="1"/>
  <c r="A2455" i="57"/>
  <c r="A2456" i="57"/>
  <c r="A2457" i="57"/>
  <c r="A2458" i="57"/>
  <c r="A2459" i="57"/>
  <c r="A2460" i="57"/>
  <c r="C2460" i="57" s="1"/>
  <c r="A2461" i="57"/>
  <c r="A2462" i="57"/>
  <c r="A2463" i="57"/>
  <c r="A2464" i="57"/>
  <c r="A2465" i="57"/>
  <c r="A2466" i="57"/>
  <c r="C2466" i="57" s="1"/>
  <c r="A2467" i="57"/>
  <c r="A2468" i="57"/>
  <c r="A2469" i="57"/>
  <c r="A2470" i="57"/>
  <c r="A2471" i="57"/>
  <c r="A2472" i="57"/>
  <c r="C2472" i="57" s="1"/>
  <c r="A2473" i="57"/>
  <c r="A2474" i="57"/>
  <c r="A2475" i="57"/>
  <c r="A2476" i="57"/>
  <c r="A2477" i="57"/>
  <c r="A2478" i="57"/>
  <c r="C2478" i="57" s="1"/>
  <c r="A2479" i="57"/>
  <c r="A2480" i="57"/>
  <c r="A2481" i="57"/>
  <c r="H1456" i="57"/>
  <c r="H1457" i="57"/>
  <c r="H1458" i="57"/>
  <c r="H1459" i="57"/>
  <c r="H1460" i="57"/>
  <c r="H1461" i="57"/>
  <c r="H1462" i="57"/>
  <c r="H1463" i="57"/>
  <c r="H1464" i="57"/>
  <c r="H1465" i="57"/>
  <c r="H1466" i="57"/>
  <c r="H1467" i="57"/>
  <c r="H1468" i="57"/>
  <c r="H1469" i="57"/>
  <c r="H1470" i="57"/>
  <c r="H1471" i="57"/>
  <c r="H1472" i="57"/>
  <c r="H1473" i="57"/>
  <c r="H1474" i="57"/>
  <c r="H1475" i="57"/>
  <c r="H1476" i="57"/>
  <c r="H1477" i="57"/>
  <c r="H1478" i="57"/>
  <c r="H1479" i="57"/>
  <c r="H1480" i="57"/>
  <c r="H1481" i="57"/>
  <c r="H1482" i="57"/>
  <c r="H1483" i="57"/>
  <c r="H1484" i="57"/>
  <c r="H1485" i="57"/>
  <c r="H1486" i="57"/>
  <c r="H1487" i="57"/>
  <c r="H1488" i="57"/>
  <c r="H1489" i="57"/>
  <c r="H1490" i="57"/>
  <c r="H1491" i="57"/>
  <c r="H1492" i="57"/>
  <c r="H1493" i="57"/>
  <c r="H1494" i="57"/>
  <c r="H1495" i="57"/>
  <c r="H1496" i="57"/>
  <c r="H1497" i="57"/>
  <c r="H1498" i="57"/>
  <c r="H1499" i="57"/>
  <c r="H1500" i="57"/>
  <c r="H1501" i="57"/>
  <c r="H1502" i="57"/>
  <c r="H1503" i="57"/>
  <c r="H1504" i="57"/>
  <c r="H1505" i="57"/>
  <c r="H1506" i="57"/>
  <c r="H1507" i="57"/>
  <c r="H1508" i="57"/>
  <c r="H1509" i="57"/>
  <c r="H1510" i="57"/>
  <c r="H1511" i="57"/>
  <c r="H1512" i="57"/>
  <c r="H1513" i="57"/>
  <c r="H1514" i="57"/>
  <c r="H1515" i="57"/>
  <c r="H1516" i="57"/>
  <c r="H1517" i="57"/>
  <c r="H1518" i="57"/>
  <c r="H1519" i="57"/>
  <c r="H1520" i="57"/>
  <c r="H1521" i="57"/>
  <c r="H1522" i="57"/>
  <c r="H1523" i="57"/>
  <c r="H1524" i="57"/>
  <c r="H1525" i="57"/>
  <c r="H1526" i="57"/>
  <c r="H1527" i="57"/>
  <c r="H1528" i="57"/>
  <c r="H1529" i="57"/>
  <c r="H1530" i="57"/>
  <c r="H1531" i="57"/>
  <c r="H1532" i="57"/>
  <c r="H1533" i="57"/>
  <c r="H1534" i="57"/>
  <c r="H1535" i="57"/>
  <c r="H1536" i="57"/>
  <c r="H1537" i="57"/>
  <c r="H1538" i="57"/>
  <c r="H1539" i="57"/>
  <c r="H1540" i="57"/>
  <c r="H1541" i="57"/>
  <c r="H1542" i="57"/>
  <c r="H1543" i="57"/>
  <c r="H1544" i="57"/>
  <c r="H1545" i="57"/>
  <c r="H1546" i="57"/>
  <c r="H1547" i="57"/>
  <c r="H1548" i="57"/>
  <c r="H1549" i="57"/>
  <c r="H1550" i="57"/>
  <c r="H1551" i="57"/>
  <c r="H1552" i="57"/>
  <c r="H1553" i="57"/>
  <c r="H1554" i="57"/>
  <c r="H1555" i="57"/>
  <c r="H1556" i="57"/>
  <c r="H1557" i="57"/>
  <c r="H1558" i="57"/>
  <c r="H1559" i="57"/>
  <c r="H1560" i="57"/>
  <c r="H1561" i="57"/>
  <c r="H1562" i="57"/>
  <c r="H1563" i="57"/>
  <c r="H1564" i="57"/>
  <c r="H1565" i="57"/>
  <c r="H1566" i="57"/>
  <c r="H1567" i="57"/>
  <c r="H1568" i="57"/>
  <c r="H1569" i="57"/>
  <c r="H1570" i="57"/>
  <c r="H1571" i="57"/>
  <c r="H1572" i="57"/>
  <c r="H1573" i="57"/>
  <c r="H1574" i="57"/>
  <c r="H1575" i="57"/>
  <c r="H1576" i="57"/>
  <c r="H1577" i="57"/>
  <c r="H1578" i="57"/>
  <c r="H1579" i="57"/>
  <c r="H1580" i="57"/>
  <c r="H1581" i="57"/>
  <c r="H1582" i="57"/>
  <c r="H1583" i="57"/>
  <c r="H1584" i="57"/>
  <c r="H1585" i="57"/>
  <c r="H1586" i="57"/>
  <c r="H1587" i="57"/>
  <c r="H1588" i="57"/>
  <c r="H1589" i="57"/>
  <c r="H1590" i="57"/>
  <c r="H1591" i="57"/>
  <c r="H1592" i="57"/>
  <c r="H1593" i="57"/>
  <c r="H1594" i="57"/>
  <c r="H1595" i="57"/>
  <c r="H1596" i="57"/>
  <c r="H1597" i="57"/>
  <c r="H1598" i="57"/>
  <c r="H1599" i="57"/>
  <c r="H1600" i="57"/>
  <c r="H1601" i="57"/>
  <c r="H1602" i="57"/>
  <c r="H1603" i="57"/>
  <c r="H1604" i="57"/>
  <c r="H1605" i="57"/>
  <c r="H1606" i="57"/>
  <c r="H1607" i="57"/>
  <c r="H1608" i="57"/>
  <c r="H1609" i="57"/>
  <c r="H1610" i="57"/>
  <c r="H1611" i="57"/>
  <c r="H1612" i="57"/>
  <c r="H1613" i="57"/>
  <c r="H1614" i="57"/>
  <c r="H1615" i="57"/>
  <c r="H1616" i="57"/>
  <c r="H1617" i="57"/>
  <c r="H1618" i="57"/>
  <c r="H1619" i="57"/>
  <c r="H1620" i="57"/>
  <c r="H1621" i="57"/>
  <c r="H1622" i="57"/>
  <c r="H1623" i="57"/>
  <c r="H1624" i="57"/>
  <c r="H1625" i="57"/>
  <c r="H1626" i="57"/>
  <c r="H1627" i="57"/>
  <c r="H1628" i="57"/>
  <c r="H1629" i="57"/>
  <c r="H1630" i="57"/>
  <c r="H1631" i="57"/>
  <c r="H1632" i="57"/>
  <c r="H1633" i="57"/>
  <c r="H1634" i="57"/>
  <c r="H1635" i="57"/>
  <c r="H1636" i="57"/>
  <c r="H1637" i="57"/>
  <c r="H1638" i="57"/>
  <c r="H1639" i="57"/>
  <c r="H1640" i="57"/>
  <c r="H1641" i="57"/>
  <c r="H1642" i="57"/>
  <c r="H1643" i="57"/>
  <c r="H1644" i="57"/>
  <c r="H1645" i="57"/>
  <c r="H1646" i="57"/>
  <c r="H1647" i="57"/>
  <c r="H1648" i="57"/>
  <c r="H1649" i="57"/>
  <c r="H1650" i="57"/>
  <c r="H1651" i="57"/>
  <c r="H1652" i="57"/>
  <c r="H1653" i="57"/>
  <c r="H1654" i="57"/>
  <c r="H1655" i="57"/>
  <c r="H1656" i="57"/>
  <c r="H1657" i="57"/>
  <c r="H1658" i="57"/>
  <c r="H1659" i="57"/>
  <c r="H1660" i="57"/>
  <c r="H1661" i="57"/>
  <c r="H1662" i="57"/>
  <c r="H1663" i="57"/>
  <c r="H1664" i="57"/>
  <c r="H1665" i="57"/>
  <c r="H1666" i="57"/>
  <c r="H1667" i="57"/>
  <c r="H1668" i="57"/>
  <c r="H1669" i="57"/>
  <c r="H1670" i="57"/>
  <c r="H1671" i="57"/>
  <c r="H1672" i="57"/>
  <c r="H1673" i="57"/>
  <c r="H1674" i="57"/>
  <c r="H1675" i="57"/>
  <c r="H1676" i="57"/>
  <c r="H1677" i="57"/>
  <c r="H1678" i="57"/>
  <c r="H1679" i="57"/>
  <c r="H1680" i="57"/>
  <c r="H1681" i="57"/>
  <c r="H1682" i="57"/>
  <c r="H1683" i="57"/>
  <c r="H1684" i="57"/>
  <c r="H1685" i="57"/>
  <c r="H1686" i="57"/>
  <c r="H1687" i="57"/>
  <c r="H1688" i="57"/>
  <c r="H1689" i="57"/>
  <c r="H1690" i="57"/>
  <c r="H1695" i="57"/>
  <c r="H1701" i="57"/>
  <c r="H1707" i="57"/>
  <c r="H1713" i="57"/>
  <c r="H1719" i="57"/>
  <c r="H1725" i="57"/>
  <c r="H1731" i="57"/>
  <c r="H1737" i="57"/>
  <c r="H1743" i="57"/>
  <c r="H1749" i="57"/>
  <c r="H1755" i="57"/>
  <c r="H1761" i="57"/>
  <c r="H1767" i="57"/>
  <c r="H1773" i="57"/>
  <c r="H1779" i="57"/>
  <c r="H1785" i="57"/>
  <c r="H1791" i="57"/>
  <c r="H1797" i="57"/>
  <c r="H1803" i="57"/>
  <c r="H1809" i="57"/>
  <c r="H1815" i="57"/>
  <c r="H1821" i="57"/>
  <c r="H1827" i="57"/>
  <c r="H1833" i="57"/>
  <c r="H1839" i="57"/>
  <c r="H1845" i="57"/>
  <c r="H1851" i="57"/>
  <c r="H1852" i="57"/>
  <c r="H1857" i="57"/>
  <c r="H1863" i="57"/>
  <c r="H1869" i="57"/>
  <c r="H1875" i="57"/>
  <c r="H1881" i="57"/>
  <c r="H1887" i="57"/>
  <c r="H1893" i="57"/>
  <c r="H1899" i="57"/>
  <c r="H1905" i="57"/>
  <c r="H1911" i="57"/>
  <c r="H1917" i="57"/>
  <c r="H1923" i="57"/>
  <c r="H1929" i="57"/>
  <c r="H1935" i="57"/>
  <c r="H1941" i="57"/>
  <c r="H1947" i="57"/>
  <c r="H1953" i="57"/>
  <c r="H1959" i="57"/>
  <c r="H1965" i="57"/>
  <c r="H1971" i="57"/>
  <c r="H1977" i="57"/>
  <c r="H1983" i="57"/>
  <c r="H1995" i="57"/>
  <c r="H2001" i="57"/>
  <c r="H2007" i="57"/>
  <c r="H2013" i="57"/>
  <c r="H2014" i="57"/>
  <c r="H2019" i="57"/>
  <c r="H2025" i="57"/>
  <c r="H2031" i="57"/>
  <c r="H2037" i="57"/>
  <c r="H2043" i="57"/>
  <c r="H2049" i="57"/>
  <c r="H2055" i="57"/>
  <c r="H2061" i="57"/>
  <c r="H2067" i="57"/>
  <c r="H2073" i="57"/>
  <c r="H2079" i="57"/>
  <c r="H2097" i="57"/>
  <c r="H2109" i="57"/>
  <c r="H2115" i="57"/>
  <c r="H2145" i="57"/>
  <c r="H2151" i="57"/>
  <c r="H2153" i="57"/>
  <c r="H2175" i="57"/>
  <c r="H2181" i="57"/>
  <c r="H2211" i="57"/>
  <c r="H2217" i="57"/>
  <c r="H2225" i="57"/>
  <c r="H2241" i="57"/>
  <c r="H2247" i="57"/>
  <c r="H2277" i="57"/>
  <c r="H2283" i="57"/>
  <c r="H2288" i="57"/>
  <c r="H2307" i="57"/>
  <c r="H2313" i="57"/>
  <c r="H2343" i="57"/>
  <c r="H2351" i="57"/>
  <c r="H2397" i="57"/>
  <c r="H2409" i="57"/>
  <c r="H2423" i="57"/>
  <c r="H2438" i="57"/>
  <c r="H2456" i="57"/>
  <c r="H2457" i="57"/>
  <c r="A1446" i="57"/>
  <c r="A1447" i="57"/>
  <c r="A1448" i="57"/>
  <c r="A1449" i="57"/>
  <c r="A1450" i="57"/>
  <c r="A1451" i="57"/>
  <c r="C1451" i="57" s="1"/>
  <c r="A1452" i="57"/>
  <c r="A1453" i="57"/>
  <c r="A1454" i="57"/>
  <c r="A1455" i="57"/>
  <c r="A12" i="57"/>
  <c r="A13" i="57"/>
  <c r="C13" i="57" s="1"/>
  <c r="A14" i="57"/>
  <c r="A16" i="57"/>
  <c r="A17" i="57"/>
  <c r="A18" i="57"/>
  <c r="A19" i="57"/>
  <c r="A20" i="57"/>
  <c r="C20" i="57" s="1"/>
  <c r="A21" i="57"/>
  <c r="A22" i="57"/>
  <c r="A23" i="57"/>
  <c r="A24" i="57"/>
  <c r="A25" i="57"/>
  <c r="A26" i="57"/>
  <c r="C26" i="57" s="1"/>
  <c r="A27" i="57"/>
  <c r="A28" i="57"/>
  <c r="A29" i="57"/>
  <c r="A30" i="57"/>
  <c r="A31" i="57"/>
  <c r="A32" i="57"/>
  <c r="C32" i="57" s="1"/>
  <c r="A33" i="57"/>
  <c r="A34" i="57"/>
  <c r="A35" i="57"/>
  <c r="A36" i="57"/>
  <c r="A37" i="57"/>
  <c r="A38" i="57"/>
  <c r="C38" i="57" s="1"/>
  <c r="A39" i="57"/>
  <c r="A40" i="57"/>
  <c r="A41" i="57"/>
  <c r="A42" i="57"/>
  <c r="A43" i="57"/>
  <c r="A44" i="57"/>
  <c r="C44" i="57" s="1"/>
  <c r="A45" i="57"/>
  <c r="A46" i="57"/>
  <c r="A47" i="57"/>
  <c r="A48" i="57"/>
  <c r="A49" i="57"/>
  <c r="A50" i="57"/>
  <c r="C50" i="57" s="1"/>
  <c r="A51" i="57"/>
  <c r="A52" i="57"/>
  <c r="A53" i="57"/>
  <c r="A54" i="57"/>
  <c r="A55" i="57"/>
  <c r="A56" i="57"/>
  <c r="C56" i="57" s="1"/>
  <c r="A57" i="57"/>
  <c r="A58" i="57"/>
  <c r="A59" i="57"/>
  <c r="A60" i="57"/>
  <c r="A61" i="57"/>
  <c r="A62" i="57"/>
  <c r="C62" i="57" s="1"/>
  <c r="A63" i="57"/>
  <c r="A64" i="57"/>
  <c r="A65" i="57"/>
  <c r="A66" i="57"/>
  <c r="A67" i="57"/>
  <c r="A68" i="57"/>
  <c r="C68" i="57" s="1"/>
  <c r="A69" i="57"/>
  <c r="A70" i="57"/>
  <c r="A71" i="57"/>
  <c r="A72" i="57"/>
  <c r="A73" i="57"/>
  <c r="A74" i="57"/>
  <c r="C74" i="57" s="1"/>
  <c r="A75" i="57"/>
  <c r="A76" i="57"/>
  <c r="A77" i="57"/>
  <c r="A78" i="57"/>
  <c r="A79" i="57"/>
  <c r="A80" i="57"/>
  <c r="C80" i="57" s="1"/>
  <c r="A81" i="57"/>
  <c r="A82" i="57"/>
  <c r="A83" i="57"/>
  <c r="A84" i="57"/>
  <c r="A85" i="57"/>
  <c r="A86" i="57"/>
  <c r="C86" i="57" s="1"/>
  <c r="A87" i="57"/>
  <c r="A88" i="57"/>
  <c r="A89" i="57"/>
  <c r="A90" i="57"/>
  <c r="A91" i="57"/>
  <c r="A92" i="57"/>
  <c r="C92" i="57" s="1"/>
  <c r="A93" i="57"/>
  <c r="A94" i="57"/>
  <c r="A95" i="57"/>
  <c r="A96" i="57"/>
  <c r="A97" i="57"/>
  <c r="A98" i="57"/>
  <c r="C98" i="57" s="1"/>
  <c r="A99" i="57"/>
  <c r="A100" i="57"/>
  <c r="A101" i="57"/>
  <c r="A102" i="57"/>
  <c r="A103" i="57"/>
  <c r="A104" i="57"/>
  <c r="C104" i="57" s="1"/>
  <c r="A105" i="57"/>
  <c r="A106" i="57"/>
  <c r="A107" i="57"/>
  <c r="A108" i="57"/>
  <c r="A109" i="57"/>
  <c r="A110" i="57"/>
  <c r="C110" i="57" s="1"/>
  <c r="A111" i="57"/>
  <c r="A112" i="57"/>
  <c r="A113" i="57"/>
  <c r="A114" i="57"/>
  <c r="A115" i="57"/>
  <c r="A116" i="57"/>
  <c r="C116" i="57" s="1"/>
  <c r="A117" i="57"/>
  <c r="A118" i="57"/>
  <c r="A119" i="57"/>
  <c r="A120" i="57"/>
  <c r="A121" i="57"/>
  <c r="A122" i="57"/>
  <c r="C122" i="57" s="1"/>
  <c r="A123" i="57"/>
  <c r="A124" i="57"/>
  <c r="A125" i="57"/>
  <c r="A126" i="57"/>
  <c r="A127" i="57"/>
  <c r="A128" i="57"/>
  <c r="C128" i="57" s="1"/>
  <c r="A129" i="57"/>
  <c r="A130" i="57"/>
  <c r="A131" i="57"/>
  <c r="A132" i="57"/>
  <c r="A133" i="57"/>
  <c r="A134" i="57"/>
  <c r="C134" i="57" s="1"/>
  <c r="A135" i="57"/>
  <c r="A136" i="57"/>
  <c r="A137" i="57"/>
  <c r="A138" i="57"/>
  <c r="A139" i="57"/>
  <c r="A140" i="57"/>
  <c r="C140" i="57" s="1"/>
  <c r="A141" i="57"/>
  <c r="A142" i="57"/>
  <c r="A143" i="57"/>
  <c r="A144" i="57"/>
  <c r="A145" i="57"/>
  <c r="A146" i="57"/>
  <c r="C146" i="57" s="1"/>
  <c r="A147" i="57"/>
  <c r="A148" i="57"/>
  <c r="A149" i="57"/>
  <c r="A150" i="57"/>
  <c r="A151" i="57"/>
  <c r="A152" i="57"/>
  <c r="C152" i="57" s="1"/>
  <c r="A153" i="57"/>
  <c r="A154" i="57"/>
  <c r="A155" i="57"/>
  <c r="A156" i="57"/>
  <c r="A157" i="57"/>
  <c r="A158" i="57"/>
  <c r="C158" i="57" s="1"/>
  <c r="A159" i="57"/>
  <c r="A160" i="57"/>
  <c r="A161" i="57"/>
  <c r="A162" i="57"/>
  <c r="A163" i="57"/>
  <c r="A164" i="57"/>
  <c r="C164" i="57" s="1"/>
  <c r="A165" i="57"/>
  <c r="A166" i="57"/>
  <c r="A167" i="57"/>
  <c r="A168" i="57"/>
  <c r="A169" i="57"/>
  <c r="A170" i="57"/>
  <c r="C170" i="57" s="1"/>
  <c r="A171" i="57"/>
  <c r="A172" i="57"/>
  <c r="A173" i="57"/>
  <c r="A174" i="57"/>
  <c r="A175" i="57"/>
  <c r="A176" i="57"/>
  <c r="C176" i="57" s="1"/>
  <c r="A177" i="57"/>
  <c r="A178" i="57"/>
  <c r="A179" i="57"/>
  <c r="A180" i="57"/>
  <c r="A181" i="57"/>
  <c r="A182" i="57"/>
  <c r="C182" i="57" s="1"/>
  <c r="A183" i="57"/>
  <c r="A184" i="57"/>
  <c r="A185" i="57"/>
  <c r="A186" i="57"/>
  <c r="A187" i="57"/>
  <c r="A188" i="57"/>
  <c r="C188" i="57" s="1"/>
  <c r="A189" i="57"/>
  <c r="A190" i="57"/>
  <c r="A191" i="57"/>
  <c r="A192" i="57"/>
  <c r="A193" i="57"/>
  <c r="A194" i="57"/>
  <c r="C194" i="57" s="1"/>
  <c r="A195" i="57"/>
  <c r="A196" i="57"/>
  <c r="A197" i="57"/>
  <c r="A198" i="57"/>
  <c r="A199" i="57"/>
  <c r="A200" i="57"/>
  <c r="C200" i="57" s="1"/>
  <c r="A201" i="57"/>
  <c r="A202" i="57"/>
  <c r="A203" i="57"/>
  <c r="A204" i="57"/>
  <c r="A205" i="57"/>
  <c r="A206" i="57"/>
  <c r="C206" i="57" s="1"/>
  <c r="A207" i="57"/>
  <c r="A208" i="57"/>
  <c r="A209" i="57"/>
  <c r="A210" i="57"/>
  <c r="A211" i="57"/>
  <c r="A212" i="57"/>
  <c r="C212" i="57" s="1"/>
  <c r="A213" i="57"/>
  <c r="A214" i="57"/>
  <c r="A215" i="57"/>
  <c r="A216" i="57"/>
  <c r="A217" i="57"/>
  <c r="A218" i="57"/>
  <c r="C218" i="57" s="1"/>
  <c r="A219" i="57"/>
  <c r="A220" i="57"/>
  <c r="A221" i="57"/>
  <c r="A222" i="57"/>
  <c r="A223" i="57"/>
  <c r="A224" i="57"/>
  <c r="C224" i="57" s="1"/>
  <c r="A225" i="57"/>
  <c r="A226" i="57"/>
  <c r="A227" i="57"/>
  <c r="A228" i="57"/>
  <c r="A229" i="57"/>
  <c r="A230" i="57"/>
  <c r="C230" i="57" s="1"/>
  <c r="A231" i="57"/>
  <c r="A232" i="57"/>
  <c r="A233" i="57"/>
  <c r="A234" i="57"/>
  <c r="A235" i="57"/>
  <c r="A236" i="57"/>
  <c r="C236" i="57" s="1"/>
  <c r="A237" i="57"/>
  <c r="A238" i="57"/>
  <c r="A239" i="57"/>
  <c r="A240" i="57"/>
  <c r="A241" i="57"/>
  <c r="A242" i="57"/>
  <c r="C242" i="57" s="1"/>
  <c r="A243" i="57"/>
  <c r="A244" i="57"/>
  <c r="A245" i="57"/>
  <c r="A246" i="57"/>
  <c r="A247" i="57"/>
  <c r="A248" i="57"/>
  <c r="C248" i="57" s="1"/>
  <c r="A249" i="57"/>
  <c r="A250" i="57"/>
  <c r="A251" i="57"/>
  <c r="A252" i="57"/>
  <c r="A253" i="57"/>
  <c r="A254" i="57"/>
  <c r="C254" i="57" s="1"/>
  <c r="A255" i="57"/>
  <c r="A256" i="57"/>
  <c r="A257" i="57"/>
  <c r="A258" i="57"/>
  <c r="A259" i="57"/>
  <c r="A260" i="57"/>
  <c r="C260" i="57" s="1"/>
  <c r="A261" i="57"/>
  <c r="A262" i="57"/>
  <c r="A263" i="57"/>
  <c r="A264" i="57"/>
  <c r="A265" i="57"/>
  <c r="A266" i="57"/>
  <c r="C266" i="57" s="1"/>
  <c r="A267" i="57"/>
  <c r="A268" i="57"/>
  <c r="A269" i="57"/>
  <c r="A270" i="57"/>
  <c r="A271" i="57"/>
  <c r="A272" i="57"/>
  <c r="C272" i="57" s="1"/>
  <c r="A273" i="57"/>
  <c r="A274" i="57"/>
  <c r="A275" i="57"/>
  <c r="A276" i="57"/>
  <c r="A277" i="57"/>
  <c r="A278" i="57"/>
  <c r="C278" i="57" s="1"/>
  <c r="A279" i="57"/>
  <c r="A280" i="57"/>
  <c r="A281" i="57"/>
  <c r="A282" i="57"/>
  <c r="A283" i="57"/>
  <c r="A284" i="57"/>
  <c r="C284" i="57" s="1"/>
  <c r="A285" i="57"/>
  <c r="A286" i="57"/>
  <c r="A287" i="57"/>
  <c r="A288" i="57"/>
  <c r="A289" i="57"/>
  <c r="A290" i="57"/>
  <c r="C290" i="57" s="1"/>
  <c r="A291" i="57"/>
  <c r="A292" i="57"/>
  <c r="A293" i="57"/>
  <c r="A294" i="57"/>
  <c r="A295" i="57"/>
  <c r="A296" i="57"/>
  <c r="C296" i="57" s="1"/>
  <c r="A297" i="57"/>
  <c r="A298" i="57"/>
  <c r="A299" i="57"/>
  <c r="A300" i="57"/>
  <c r="A301" i="57"/>
  <c r="A302" i="57"/>
  <c r="C302" i="57" s="1"/>
  <c r="A303" i="57"/>
  <c r="A304" i="57"/>
  <c r="A305" i="57"/>
  <c r="A306" i="57"/>
  <c r="A307" i="57"/>
  <c r="A308" i="57"/>
  <c r="C308" i="57" s="1"/>
  <c r="A309" i="57"/>
  <c r="A310" i="57"/>
  <c r="A311" i="57"/>
  <c r="A312" i="57"/>
  <c r="A313" i="57"/>
  <c r="A314" i="57"/>
  <c r="C314" i="57" s="1"/>
  <c r="A315" i="57"/>
  <c r="A316" i="57"/>
  <c r="A317" i="57"/>
  <c r="A318" i="57"/>
  <c r="A319" i="57"/>
  <c r="A320" i="57"/>
  <c r="C320" i="57" s="1"/>
  <c r="A321" i="57"/>
  <c r="A322" i="57"/>
  <c r="A323" i="57"/>
  <c r="A324" i="57"/>
  <c r="A325" i="57"/>
  <c r="A326" i="57"/>
  <c r="C326" i="57" s="1"/>
  <c r="A327" i="57"/>
  <c r="A328" i="57"/>
  <c r="A329" i="57"/>
  <c r="A330" i="57"/>
  <c r="A331" i="57"/>
  <c r="A332" i="57"/>
  <c r="C332" i="57" s="1"/>
  <c r="A333" i="57"/>
  <c r="A334" i="57"/>
  <c r="A335" i="57"/>
  <c r="A336" i="57"/>
  <c r="A337" i="57"/>
  <c r="A338" i="57"/>
  <c r="C338" i="57" s="1"/>
  <c r="A339" i="57"/>
  <c r="A340" i="57"/>
  <c r="A341" i="57"/>
  <c r="A342" i="57"/>
  <c r="A343" i="57"/>
  <c r="A344" i="57"/>
  <c r="C344" i="57" s="1"/>
  <c r="A345" i="57"/>
  <c r="A346" i="57"/>
  <c r="A347" i="57"/>
  <c r="A348" i="57"/>
  <c r="A349" i="57"/>
  <c r="A350" i="57"/>
  <c r="C350" i="57" s="1"/>
  <c r="A351" i="57"/>
  <c r="A352" i="57"/>
  <c r="A353" i="57"/>
  <c r="A354" i="57"/>
  <c r="A355" i="57"/>
  <c r="A356" i="57"/>
  <c r="C356" i="57" s="1"/>
  <c r="A357" i="57"/>
  <c r="A358" i="57"/>
  <c r="A359" i="57"/>
  <c r="A360" i="57"/>
  <c r="A361" i="57"/>
  <c r="A362" i="57"/>
  <c r="C362" i="57" s="1"/>
  <c r="A363" i="57"/>
  <c r="A364" i="57"/>
  <c r="A365" i="57"/>
  <c r="A366" i="57"/>
  <c r="A367" i="57"/>
  <c r="A368" i="57"/>
  <c r="C368" i="57" s="1"/>
  <c r="A369" i="57"/>
  <c r="A370" i="57"/>
  <c r="A371" i="57"/>
  <c r="A372" i="57"/>
  <c r="A373" i="57"/>
  <c r="A374" i="57"/>
  <c r="C374" i="57" s="1"/>
  <c r="A375" i="57"/>
  <c r="A376" i="57"/>
  <c r="A377" i="57"/>
  <c r="A378" i="57"/>
  <c r="A379" i="57"/>
  <c r="A380" i="57"/>
  <c r="C380" i="57" s="1"/>
  <c r="A381" i="57"/>
  <c r="A382" i="57"/>
  <c r="A383" i="57"/>
  <c r="A384" i="57"/>
  <c r="A385" i="57"/>
  <c r="A386" i="57"/>
  <c r="C386" i="57" s="1"/>
  <c r="A387" i="57"/>
  <c r="A388" i="57"/>
  <c r="A389" i="57"/>
  <c r="A390" i="57"/>
  <c r="A391" i="57"/>
  <c r="A392" i="57"/>
  <c r="C392" i="57" s="1"/>
  <c r="A393" i="57"/>
  <c r="A394" i="57"/>
  <c r="A395" i="57"/>
  <c r="A396" i="57"/>
  <c r="A397" i="57"/>
  <c r="A398" i="57"/>
  <c r="C398" i="57" s="1"/>
  <c r="A399" i="57"/>
  <c r="A400" i="57"/>
  <c r="A401" i="57"/>
  <c r="A402" i="57"/>
  <c r="A403" i="57"/>
  <c r="A404" i="57"/>
  <c r="C404" i="57" s="1"/>
  <c r="A405" i="57"/>
  <c r="A406" i="57"/>
  <c r="A407" i="57"/>
  <c r="A408" i="57"/>
  <c r="A409" i="57"/>
  <c r="A410" i="57"/>
  <c r="C410" i="57" s="1"/>
  <c r="A411" i="57"/>
  <c r="A412" i="57"/>
  <c r="A413" i="57"/>
  <c r="A414" i="57"/>
  <c r="A415" i="57"/>
  <c r="A416" i="57"/>
  <c r="C416" i="57" s="1"/>
  <c r="A417" i="57"/>
  <c r="A418" i="57"/>
  <c r="A419" i="57"/>
  <c r="A420" i="57"/>
  <c r="A421" i="57"/>
  <c r="A422" i="57"/>
  <c r="C422" i="57" s="1"/>
  <c r="A423" i="57"/>
  <c r="A424" i="57"/>
  <c r="A425" i="57"/>
  <c r="A426" i="57"/>
  <c r="A427" i="57"/>
  <c r="A428" i="57"/>
  <c r="C428" i="57" s="1"/>
  <c r="A429" i="57"/>
  <c r="A430" i="57"/>
  <c r="A431" i="57"/>
  <c r="A432" i="57"/>
  <c r="A433" i="57"/>
  <c r="A434" i="57"/>
  <c r="C434" i="57" s="1"/>
  <c r="A435" i="57"/>
  <c r="A436" i="57"/>
  <c r="A437" i="57"/>
  <c r="A438" i="57"/>
  <c r="A439" i="57"/>
  <c r="A440" i="57"/>
  <c r="C440" i="57" s="1"/>
  <c r="A441" i="57"/>
  <c r="A442" i="57"/>
  <c r="A443" i="57"/>
  <c r="A444" i="57"/>
  <c r="A445" i="57"/>
  <c r="A446" i="57"/>
  <c r="C446" i="57" s="1"/>
  <c r="A447" i="57"/>
  <c r="A448" i="57"/>
  <c r="A449" i="57"/>
  <c r="A450" i="57"/>
  <c r="A451" i="57"/>
  <c r="A452" i="57"/>
  <c r="C452" i="57" s="1"/>
  <c r="A453" i="57"/>
  <c r="A454" i="57"/>
  <c r="A455" i="57"/>
  <c r="A456" i="57"/>
  <c r="A457" i="57"/>
  <c r="A458" i="57"/>
  <c r="C458" i="57" s="1"/>
  <c r="A459" i="57"/>
  <c r="A460" i="57"/>
  <c r="A461" i="57"/>
  <c r="A462" i="57"/>
  <c r="A463" i="57"/>
  <c r="A464" i="57"/>
  <c r="C464" i="57" s="1"/>
  <c r="A465" i="57"/>
  <c r="A466" i="57"/>
  <c r="A467" i="57"/>
  <c r="A468" i="57"/>
  <c r="A469" i="57"/>
  <c r="A470" i="57"/>
  <c r="C470" i="57" s="1"/>
  <c r="A471" i="57"/>
  <c r="A472" i="57"/>
  <c r="A473" i="57"/>
  <c r="A474" i="57"/>
  <c r="A475" i="57"/>
  <c r="A476" i="57"/>
  <c r="C476" i="57" s="1"/>
  <c r="A477" i="57"/>
  <c r="A478" i="57"/>
  <c r="A479" i="57"/>
  <c r="A480" i="57"/>
  <c r="A481" i="57"/>
  <c r="A482" i="57"/>
  <c r="C482" i="57" s="1"/>
  <c r="A483" i="57"/>
  <c r="A484" i="57"/>
  <c r="A485" i="57"/>
  <c r="A486" i="57"/>
  <c r="A487" i="57"/>
  <c r="A488" i="57"/>
  <c r="C488" i="57" s="1"/>
  <c r="A489" i="57"/>
  <c r="A490" i="57"/>
  <c r="A491" i="57"/>
  <c r="A492" i="57"/>
  <c r="A493" i="57"/>
  <c r="A494" i="57"/>
  <c r="C494" i="57" s="1"/>
  <c r="A495" i="57"/>
  <c r="A496" i="57"/>
  <c r="A497" i="57"/>
  <c r="A498" i="57"/>
  <c r="A499" i="57"/>
  <c r="A500" i="57"/>
  <c r="C500" i="57" s="1"/>
  <c r="A501" i="57"/>
  <c r="A502" i="57"/>
  <c r="A503" i="57"/>
  <c r="A504" i="57"/>
  <c r="A505" i="57"/>
  <c r="A506" i="57"/>
  <c r="C506" i="57" s="1"/>
  <c r="A507" i="57"/>
  <c r="A508" i="57"/>
  <c r="A509" i="57"/>
  <c r="A510" i="57"/>
  <c r="A511" i="57"/>
  <c r="A512" i="57"/>
  <c r="C512" i="57" s="1"/>
  <c r="A513" i="57"/>
  <c r="A514" i="57"/>
  <c r="A515" i="57"/>
  <c r="A516" i="57"/>
  <c r="A517" i="57"/>
  <c r="A518" i="57"/>
  <c r="C518" i="57" s="1"/>
  <c r="A519" i="57"/>
  <c r="A520" i="57"/>
  <c r="A521" i="57"/>
  <c r="A522" i="57"/>
  <c r="A523" i="57"/>
  <c r="A524" i="57"/>
  <c r="C524" i="57" s="1"/>
  <c r="A525" i="57"/>
  <c r="A526" i="57"/>
  <c r="A527" i="57"/>
  <c r="A528" i="57"/>
  <c r="A529" i="57"/>
  <c r="A530" i="57"/>
  <c r="C530" i="57" s="1"/>
  <c r="A531" i="57"/>
  <c r="A532" i="57"/>
  <c r="A533" i="57"/>
  <c r="A534" i="57"/>
  <c r="A535" i="57"/>
  <c r="A536" i="57"/>
  <c r="C536" i="57" s="1"/>
  <c r="A537" i="57"/>
  <c r="A538" i="57"/>
  <c r="A539" i="57"/>
  <c r="A540" i="57"/>
  <c r="A541" i="57"/>
  <c r="A542" i="57"/>
  <c r="C542" i="57" s="1"/>
  <c r="A543" i="57"/>
  <c r="A544" i="57"/>
  <c r="A545" i="57"/>
  <c r="A546" i="57"/>
  <c r="A547" i="57"/>
  <c r="A548" i="57"/>
  <c r="C548" i="57" s="1"/>
  <c r="A549" i="57"/>
  <c r="A550" i="57"/>
  <c r="A551" i="57"/>
  <c r="A552" i="57"/>
  <c r="A553" i="57"/>
  <c r="A554" i="57"/>
  <c r="C554" i="57" s="1"/>
  <c r="A555" i="57"/>
  <c r="A556" i="57"/>
  <c r="A557" i="57"/>
  <c r="A558" i="57"/>
  <c r="A559" i="57"/>
  <c r="A560" i="57"/>
  <c r="C560" i="57" s="1"/>
  <c r="A561" i="57"/>
  <c r="A562" i="57"/>
  <c r="A563" i="57"/>
  <c r="A564" i="57"/>
  <c r="A565" i="57"/>
  <c r="A566" i="57"/>
  <c r="C566" i="57" s="1"/>
  <c r="A567" i="57"/>
  <c r="A568" i="57"/>
  <c r="A569" i="57"/>
  <c r="A570" i="57"/>
  <c r="A571" i="57"/>
  <c r="A572" i="57"/>
  <c r="C572" i="57" s="1"/>
  <c r="A573" i="57"/>
  <c r="A574" i="57"/>
  <c r="A575" i="57"/>
  <c r="A576" i="57"/>
  <c r="A577" i="57"/>
  <c r="A578" i="57"/>
  <c r="C578" i="57" s="1"/>
  <c r="A579" i="57"/>
  <c r="A580" i="57"/>
  <c r="A581" i="57"/>
  <c r="A582" i="57"/>
  <c r="A583" i="57"/>
  <c r="A584" i="57"/>
  <c r="C584" i="57" s="1"/>
  <c r="A585" i="57"/>
  <c r="A586" i="57"/>
  <c r="A587" i="57"/>
  <c r="A588" i="57"/>
  <c r="A589" i="57"/>
  <c r="A590" i="57"/>
  <c r="C590" i="57" s="1"/>
  <c r="A591" i="57"/>
  <c r="A592" i="57"/>
  <c r="A593" i="57"/>
  <c r="A594" i="57"/>
  <c r="A595" i="57"/>
  <c r="A596" i="57"/>
  <c r="C596" i="57" s="1"/>
  <c r="A597" i="57"/>
  <c r="A598" i="57"/>
  <c r="A599" i="57"/>
  <c r="A600" i="57"/>
  <c r="A601" i="57"/>
  <c r="A602" i="57"/>
  <c r="C602" i="57" s="1"/>
  <c r="A603" i="57"/>
  <c r="A604" i="57"/>
  <c r="A605" i="57"/>
  <c r="A606" i="57"/>
  <c r="A607" i="57"/>
  <c r="A608" i="57"/>
  <c r="C608" i="57" s="1"/>
  <c r="A609" i="57"/>
  <c r="A610" i="57"/>
  <c r="A611" i="57"/>
  <c r="A612" i="57"/>
  <c r="A613" i="57"/>
  <c r="A614" i="57"/>
  <c r="C614" i="57" s="1"/>
  <c r="A615" i="57"/>
  <c r="A616" i="57"/>
  <c r="A617" i="57"/>
  <c r="A618" i="57"/>
  <c r="A619" i="57"/>
  <c r="A620" i="57"/>
  <c r="C620" i="57" s="1"/>
  <c r="A621" i="57"/>
  <c r="A622" i="57"/>
  <c r="A623" i="57"/>
  <c r="A624" i="57"/>
  <c r="A625" i="57"/>
  <c r="A626" i="57"/>
  <c r="C626" i="57" s="1"/>
  <c r="A627" i="57"/>
  <c r="A628" i="57"/>
  <c r="A629" i="57"/>
  <c r="A630" i="57"/>
  <c r="A631" i="57"/>
  <c r="A632" i="57"/>
  <c r="C632" i="57" s="1"/>
  <c r="A633" i="57"/>
  <c r="A634" i="57"/>
  <c r="A635" i="57"/>
  <c r="A636" i="57"/>
  <c r="A637" i="57"/>
  <c r="A638" i="57"/>
  <c r="C638" i="57" s="1"/>
  <c r="A639" i="57"/>
  <c r="A640" i="57"/>
  <c r="A641" i="57"/>
  <c r="A642" i="57"/>
  <c r="A643" i="57"/>
  <c r="A644" i="57"/>
  <c r="C644" i="57" s="1"/>
  <c r="A645" i="57"/>
  <c r="A646" i="57"/>
  <c r="A647" i="57"/>
  <c r="A648" i="57"/>
  <c r="A649" i="57"/>
  <c r="A650" i="57"/>
  <c r="C650" i="57" s="1"/>
  <c r="A651" i="57"/>
  <c r="A652" i="57"/>
  <c r="A653" i="57"/>
  <c r="A654" i="57"/>
  <c r="A655" i="57"/>
  <c r="A656" i="57"/>
  <c r="C656" i="57" s="1"/>
  <c r="A657" i="57"/>
  <c r="A658" i="57"/>
  <c r="A659" i="57"/>
  <c r="A660" i="57"/>
  <c r="A661" i="57"/>
  <c r="A662" i="57"/>
  <c r="C662" i="57" s="1"/>
  <c r="A663" i="57"/>
  <c r="A664" i="57"/>
  <c r="A665" i="57"/>
  <c r="A666" i="57"/>
  <c r="A667" i="57"/>
  <c r="A668" i="57"/>
  <c r="C668" i="57" s="1"/>
  <c r="A669" i="57"/>
  <c r="A670" i="57"/>
  <c r="A671" i="57"/>
  <c r="A672" i="57"/>
  <c r="A673" i="57"/>
  <c r="A674" i="57"/>
  <c r="C674" i="57" s="1"/>
  <c r="A675" i="57"/>
  <c r="A676" i="57"/>
  <c r="A677" i="57"/>
  <c r="A678" i="57"/>
  <c r="A679" i="57"/>
  <c r="A680" i="57"/>
  <c r="C680" i="57" s="1"/>
  <c r="A681" i="57"/>
  <c r="A682" i="57"/>
  <c r="A683" i="57"/>
  <c r="A684" i="57"/>
  <c r="A685" i="57"/>
  <c r="A686" i="57"/>
  <c r="C686" i="57" s="1"/>
  <c r="A687" i="57"/>
  <c r="A688" i="57"/>
  <c r="A689" i="57"/>
  <c r="A690" i="57"/>
  <c r="A691" i="57"/>
  <c r="A692" i="57"/>
  <c r="C692" i="57" s="1"/>
  <c r="A693" i="57"/>
  <c r="A694" i="57"/>
  <c r="A695" i="57"/>
  <c r="A696" i="57"/>
  <c r="A697" i="57"/>
  <c r="A698" i="57"/>
  <c r="C698" i="57" s="1"/>
  <c r="A699" i="57"/>
  <c r="A700" i="57"/>
  <c r="A701" i="57"/>
  <c r="A702" i="57"/>
  <c r="A703" i="57"/>
  <c r="A704" i="57"/>
  <c r="C704" i="57" s="1"/>
  <c r="A705" i="57"/>
  <c r="A706" i="57"/>
  <c r="A707" i="57"/>
  <c r="A708" i="57"/>
  <c r="A709" i="57"/>
  <c r="A710" i="57"/>
  <c r="C710" i="57" s="1"/>
  <c r="A711" i="57"/>
  <c r="A712" i="57"/>
  <c r="A713" i="57"/>
  <c r="A714" i="57"/>
  <c r="A715" i="57"/>
  <c r="A716" i="57"/>
  <c r="C716" i="57" s="1"/>
  <c r="A717" i="57"/>
  <c r="A718" i="57"/>
  <c r="A719" i="57"/>
  <c r="A720" i="57"/>
  <c r="A721" i="57"/>
  <c r="A722" i="57"/>
  <c r="C722" i="57" s="1"/>
  <c r="A723" i="57"/>
  <c r="A724" i="57"/>
  <c r="A725" i="57"/>
  <c r="A726" i="57"/>
  <c r="A727" i="57"/>
  <c r="A728" i="57"/>
  <c r="C728" i="57" s="1"/>
  <c r="A729" i="57"/>
  <c r="A730" i="57"/>
  <c r="A731" i="57"/>
  <c r="A732" i="57"/>
  <c r="A733" i="57"/>
  <c r="A734" i="57"/>
  <c r="C734" i="57" s="1"/>
  <c r="A735" i="57"/>
  <c r="A736" i="57"/>
  <c r="A737" i="57"/>
  <c r="A738" i="57"/>
  <c r="A739" i="57"/>
  <c r="A740" i="57"/>
  <c r="C740" i="57" s="1"/>
  <c r="A741" i="57"/>
  <c r="A742" i="57"/>
  <c r="A743" i="57"/>
  <c r="A744" i="57"/>
  <c r="A745" i="57"/>
  <c r="A746" i="57"/>
  <c r="C746" i="57" s="1"/>
  <c r="A747" i="57"/>
  <c r="A748" i="57"/>
  <c r="A749" i="57"/>
  <c r="A750" i="57"/>
  <c r="A751" i="57"/>
  <c r="A752" i="57"/>
  <c r="C752" i="57" s="1"/>
  <c r="A753" i="57"/>
  <c r="A754" i="57"/>
  <c r="A755" i="57"/>
  <c r="A756" i="57"/>
  <c r="A757" i="57"/>
  <c r="A758" i="57"/>
  <c r="C758" i="57" s="1"/>
  <c r="A759" i="57"/>
  <c r="A760" i="57"/>
  <c r="A761" i="57"/>
  <c r="A762" i="57"/>
  <c r="A763" i="57"/>
  <c r="A764" i="57"/>
  <c r="C764" i="57" s="1"/>
  <c r="A765" i="57"/>
  <c r="A766" i="57"/>
  <c r="A767" i="57"/>
  <c r="A768" i="57"/>
  <c r="A769" i="57"/>
  <c r="A770" i="57"/>
  <c r="C770" i="57" s="1"/>
  <c r="A771" i="57"/>
  <c r="A772" i="57"/>
  <c r="A773" i="57"/>
  <c r="A774" i="57"/>
  <c r="A775" i="57"/>
  <c r="A776" i="57"/>
  <c r="C776" i="57" s="1"/>
  <c r="A777" i="57"/>
  <c r="A778" i="57"/>
  <c r="A779" i="57"/>
  <c r="A780" i="57"/>
  <c r="A781" i="57"/>
  <c r="A782" i="57"/>
  <c r="C782" i="57" s="1"/>
  <c r="A783" i="57"/>
  <c r="A784" i="57"/>
  <c r="A785" i="57"/>
  <c r="A786" i="57"/>
  <c r="A787" i="57"/>
  <c r="A788" i="57"/>
  <c r="C788" i="57" s="1"/>
  <c r="A789" i="57"/>
  <c r="A790" i="57"/>
  <c r="A791" i="57"/>
  <c r="A792" i="57"/>
  <c r="A793" i="57"/>
  <c r="A794" i="57"/>
  <c r="C794" i="57" s="1"/>
  <c r="A795" i="57"/>
  <c r="A796" i="57"/>
  <c r="A797" i="57"/>
  <c r="A798" i="57"/>
  <c r="A799" i="57"/>
  <c r="A800" i="57"/>
  <c r="C800" i="57" s="1"/>
  <c r="A801" i="57"/>
  <c r="A802" i="57"/>
  <c r="A803" i="57"/>
  <c r="A804" i="57"/>
  <c r="A805" i="57"/>
  <c r="A806" i="57"/>
  <c r="C806" i="57" s="1"/>
  <c r="A807" i="57"/>
  <c r="A808" i="57"/>
  <c r="A809" i="57"/>
  <c r="A810" i="57"/>
  <c r="A811" i="57"/>
  <c r="A812" i="57"/>
  <c r="C812" i="57" s="1"/>
  <c r="A813" i="57"/>
  <c r="A814" i="57"/>
  <c r="A815" i="57"/>
  <c r="A816" i="57"/>
  <c r="A817" i="57"/>
  <c r="A818" i="57"/>
  <c r="C818" i="57" s="1"/>
  <c r="A819" i="57"/>
  <c r="A820" i="57"/>
  <c r="A821" i="57"/>
  <c r="A822" i="57"/>
  <c r="A823" i="57"/>
  <c r="A824" i="57"/>
  <c r="C824" i="57" s="1"/>
  <c r="A825" i="57"/>
  <c r="A826" i="57"/>
  <c r="A827" i="57"/>
  <c r="A828" i="57"/>
  <c r="A829" i="57"/>
  <c r="A830" i="57"/>
  <c r="C830" i="57" s="1"/>
  <c r="A831" i="57"/>
  <c r="A832" i="57"/>
  <c r="A833" i="57"/>
  <c r="A834" i="57"/>
  <c r="A835" i="57"/>
  <c r="A836" i="57"/>
  <c r="C836" i="57" s="1"/>
  <c r="A837" i="57"/>
  <c r="A838" i="57"/>
  <c r="A839" i="57"/>
  <c r="A840" i="57"/>
  <c r="A841" i="57"/>
  <c r="A842" i="57"/>
  <c r="C842" i="57" s="1"/>
  <c r="A843" i="57"/>
  <c r="A844" i="57"/>
  <c r="A845" i="57"/>
  <c r="A846" i="57"/>
  <c r="A847" i="57"/>
  <c r="A848" i="57"/>
  <c r="C848" i="57" s="1"/>
  <c r="A849" i="57"/>
  <c r="A850" i="57"/>
  <c r="A851" i="57"/>
  <c r="A852" i="57"/>
  <c r="A853" i="57"/>
  <c r="A854" i="57"/>
  <c r="C854" i="57" s="1"/>
  <c r="A855" i="57"/>
  <c r="A856" i="57"/>
  <c r="A857" i="57"/>
  <c r="A858" i="57"/>
  <c r="A859" i="57"/>
  <c r="A860" i="57"/>
  <c r="C860" i="57" s="1"/>
  <c r="A861" i="57"/>
  <c r="A862" i="57"/>
  <c r="A863" i="57"/>
  <c r="A864" i="57"/>
  <c r="A865" i="57"/>
  <c r="A866" i="57"/>
  <c r="C866" i="57" s="1"/>
  <c r="A867" i="57"/>
  <c r="A868" i="57"/>
  <c r="A869" i="57"/>
  <c r="A870" i="57"/>
  <c r="A871" i="57"/>
  <c r="A872" i="57"/>
  <c r="C872" i="57" s="1"/>
  <c r="A873" i="57"/>
  <c r="A874" i="57"/>
  <c r="A875" i="57"/>
  <c r="A876" i="57"/>
  <c r="A877" i="57"/>
  <c r="A878" i="57"/>
  <c r="C878" i="57" s="1"/>
  <c r="A879" i="57"/>
  <c r="A880" i="57"/>
  <c r="A881" i="57"/>
  <c r="A882" i="57"/>
  <c r="A883" i="57"/>
  <c r="A884" i="57"/>
  <c r="C884" i="57" s="1"/>
  <c r="A885" i="57"/>
  <c r="A886" i="57"/>
  <c r="A887" i="57"/>
  <c r="A888" i="57"/>
  <c r="A889" i="57"/>
  <c r="A890" i="57"/>
  <c r="C890" i="57" s="1"/>
  <c r="A891" i="57"/>
  <c r="A892" i="57"/>
  <c r="A893" i="57"/>
  <c r="A894" i="57"/>
  <c r="A895" i="57"/>
  <c r="A896" i="57"/>
  <c r="C896" i="57" s="1"/>
  <c r="A897" i="57"/>
  <c r="A898" i="57"/>
  <c r="A899" i="57"/>
  <c r="A900" i="57"/>
  <c r="A901" i="57"/>
  <c r="A902" i="57"/>
  <c r="C902" i="57" s="1"/>
  <c r="A903" i="57"/>
  <c r="A904" i="57"/>
  <c r="A905" i="57"/>
  <c r="A906" i="57"/>
  <c r="A907" i="57"/>
  <c r="A908" i="57"/>
  <c r="C908" i="57" s="1"/>
  <c r="A909" i="57"/>
  <c r="A910" i="57"/>
  <c r="A911" i="57"/>
  <c r="A912" i="57"/>
  <c r="A913" i="57"/>
  <c r="A914" i="57"/>
  <c r="C914" i="57" s="1"/>
  <c r="A915" i="57"/>
  <c r="A916" i="57"/>
  <c r="A917" i="57"/>
  <c r="A918" i="57"/>
  <c r="A919" i="57"/>
  <c r="A920" i="57"/>
  <c r="C920" i="57" s="1"/>
  <c r="A921" i="57"/>
  <c r="A922" i="57"/>
  <c r="A923" i="57"/>
  <c r="A924" i="57"/>
  <c r="A925" i="57"/>
  <c r="A926" i="57"/>
  <c r="C926" i="57" s="1"/>
  <c r="A927" i="57"/>
  <c r="A928" i="57"/>
  <c r="A929" i="57"/>
  <c r="A930" i="57"/>
  <c r="A931" i="57"/>
  <c r="A932" i="57"/>
  <c r="C932" i="57" s="1"/>
  <c r="A933" i="57"/>
  <c r="A934" i="57"/>
  <c r="A935" i="57"/>
  <c r="A936" i="57"/>
  <c r="A937" i="57"/>
  <c r="A938" i="57"/>
  <c r="C938" i="57" s="1"/>
  <c r="A939" i="57"/>
  <c r="A940" i="57"/>
  <c r="A941" i="57"/>
  <c r="A942" i="57"/>
  <c r="A943" i="57"/>
  <c r="A944" i="57"/>
  <c r="C944" i="57" s="1"/>
  <c r="A945" i="57"/>
  <c r="A946" i="57"/>
  <c r="A947" i="57"/>
  <c r="A948" i="57"/>
  <c r="A949" i="57"/>
  <c r="A950" i="57"/>
  <c r="C950" i="57" s="1"/>
  <c r="A951" i="57"/>
  <c r="A952" i="57"/>
  <c r="A953" i="57"/>
  <c r="A954" i="57"/>
  <c r="A955" i="57"/>
  <c r="A956" i="57"/>
  <c r="C956" i="57" s="1"/>
  <c r="A957" i="57"/>
  <c r="A958" i="57"/>
  <c r="A959" i="57"/>
  <c r="A960" i="57"/>
  <c r="A961" i="57"/>
  <c r="A962" i="57"/>
  <c r="C962" i="57" s="1"/>
  <c r="A963" i="57"/>
  <c r="A964" i="57"/>
  <c r="A965" i="57"/>
  <c r="A966" i="57"/>
  <c r="A967" i="57"/>
  <c r="A968" i="57"/>
  <c r="C968" i="57" s="1"/>
  <c r="A969" i="57"/>
  <c r="A970" i="57"/>
  <c r="A971" i="57"/>
  <c r="A972" i="57"/>
  <c r="A973" i="57"/>
  <c r="A974" i="57"/>
  <c r="C974" i="57" s="1"/>
  <c r="A975" i="57"/>
  <c r="A976" i="57"/>
  <c r="A977" i="57"/>
  <c r="A978" i="57"/>
  <c r="A979" i="57"/>
  <c r="A980" i="57"/>
  <c r="C980" i="57" s="1"/>
  <c r="A981" i="57"/>
  <c r="A982" i="57"/>
  <c r="A983" i="57"/>
  <c r="A984" i="57"/>
  <c r="A985" i="57"/>
  <c r="A986" i="57"/>
  <c r="C986" i="57" s="1"/>
  <c r="A987" i="57"/>
  <c r="A988" i="57"/>
  <c r="A989" i="57"/>
  <c r="A990" i="57"/>
  <c r="A991" i="57"/>
  <c r="A992" i="57"/>
  <c r="C992" i="57" s="1"/>
  <c r="A993" i="57"/>
  <c r="A994" i="57"/>
  <c r="A995" i="57"/>
  <c r="A996" i="57"/>
  <c r="A997" i="57"/>
  <c r="A998" i="57"/>
  <c r="C998" i="57" s="1"/>
  <c r="A999" i="57"/>
  <c r="A1000" i="57"/>
  <c r="A1001" i="57"/>
  <c r="A1002" i="57"/>
  <c r="A1003" i="57"/>
  <c r="A1004" i="57"/>
  <c r="C1004" i="57" s="1"/>
  <c r="A1005" i="57"/>
  <c r="A1006" i="57"/>
  <c r="A1007" i="57"/>
  <c r="A1008" i="57"/>
  <c r="A1009" i="57"/>
  <c r="A1010" i="57"/>
  <c r="C1010" i="57" s="1"/>
  <c r="A1011" i="57"/>
  <c r="A1012" i="57"/>
  <c r="A1013" i="57"/>
  <c r="A1014" i="57"/>
  <c r="A1015" i="57"/>
  <c r="A1016" i="57"/>
  <c r="C1016" i="57" s="1"/>
  <c r="A1017" i="57"/>
  <c r="A1018" i="57"/>
  <c r="A1019" i="57"/>
  <c r="A1020" i="57"/>
  <c r="A1021" i="57"/>
  <c r="A1022" i="57"/>
  <c r="C1022" i="57" s="1"/>
  <c r="A1023" i="57"/>
  <c r="A1024" i="57"/>
  <c r="A1025" i="57"/>
  <c r="A1026" i="57"/>
  <c r="A1027" i="57"/>
  <c r="A1028" i="57"/>
  <c r="C1028" i="57" s="1"/>
  <c r="A1029" i="57"/>
  <c r="A1030" i="57"/>
  <c r="A1031" i="57"/>
  <c r="A1032" i="57"/>
  <c r="A1033" i="57"/>
  <c r="A1034" i="57"/>
  <c r="C1034" i="57" s="1"/>
  <c r="A1035" i="57"/>
  <c r="A1036" i="57"/>
  <c r="A1037" i="57"/>
  <c r="A1038" i="57"/>
  <c r="A1039" i="57"/>
  <c r="A1040" i="57"/>
  <c r="C1040" i="57" s="1"/>
  <c r="A1041" i="57"/>
  <c r="A1042" i="57"/>
  <c r="A1043" i="57"/>
  <c r="A1044" i="57"/>
  <c r="A1045" i="57"/>
  <c r="A1046" i="57"/>
  <c r="C1046" i="57" s="1"/>
  <c r="A1047" i="57"/>
  <c r="A1048" i="57"/>
  <c r="A1049" i="57"/>
  <c r="A1050" i="57"/>
  <c r="A1051" i="57"/>
  <c r="A1052" i="57"/>
  <c r="C1052" i="57" s="1"/>
  <c r="A1053" i="57"/>
  <c r="A1054" i="57"/>
  <c r="A1055" i="57"/>
  <c r="A1056" i="57"/>
  <c r="A1057" i="57"/>
  <c r="A1058" i="57"/>
  <c r="C1058" i="57" s="1"/>
  <c r="A1059" i="57"/>
  <c r="A1060" i="57"/>
  <c r="A1061" i="57"/>
  <c r="A1062" i="57"/>
  <c r="A1063" i="57"/>
  <c r="A1064" i="57"/>
  <c r="C1064" i="57" s="1"/>
  <c r="A1065" i="57"/>
  <c r="A1066" i="57"/>
  <c r="A1067" i="57"/>
  <c r="A1068" i="57"/>
  <c r="A1069" i="57"/>
  <c r="A1070" i="57"/>
  <c r="C1070" i="57" s="1"/>
  <c r="A1071" i="57"/>
  <c r="A1072" i="57"/>
  <c r="A1073" i="57"/>
  <c r="A1074" i="57"/>
  <c r="A1075" i="57"/>
  <c r="A1076" i="57"/>
  <c r="C1076" i="57" s="1"/>
  <c r="A1077" i="57"/>
  <c r="A1078" i="57"/>
  <c r="A1079" i="57"/>
  <c r="A1080" i="57"/>
  <c r="A1081" i="57"/>
  <c r="A1082" i="57"/>
  <c r="C1082" i="57" s="1"/>
  <c r="A1083" i="57"/>
  <c r="A1084" i="57"/>
  <c r="A1085" i="57"/>
  <c r="A1086" i="57"/>
  <c r="A1087" i="57"/>
  <c r="A1088" i="57"/>
  <c r="C1088" i="57" s="1"/>
  <c r="A1089" i="57"/>
  <c r="A1090" i="57"/>
  <c r="A1091" i="57"/>
  <c r="A1092" i="57"/>
  <c r="A1093" i="57"/>
  <c r="A1094" i="57"/>
  <c r="C1094" i="57" s="1"/>
  <c r="A1095" i="57"/>
  <c r="A1096" i="57"/>
  <c r="A1097" i="57"/>
  <c r="A1098" i="57"/>
  <c r="A1099" i="57"/>
  <c r="A1100" i="57"/>
  <c r="C1100" i="57" s="1"/>
  <c r="A1101" i="57"/>
  <c r="A1102" i="57"/>
  <c r="A1103" i="57"/>
  <c r="A1104" i="57"/>
  <c r="A1105" i="57"/>
  <c r="A1106" i="57"/>
  <c r="C1106" i="57" s="1"/>
  <c r="A1107" i="57"/>
  <c r="A1108" i="57"/>
  <c r="A1109" i="57"/>
  <c r="A1110" i="57"/>
  <c r="A1111" i="57"/>
  <c r="A1112" i="57"/>
  <c r="C1112" i="57" s="1"/>
  <c r="A1113" i="57"/>
  <c r="A1114" i="57"/>
  <c r="A1115" i="57"/>
  <c r="A1116" i="57"/>
  <c r="A1117" i="57"/>
  <c r="A1118" i="57"/>
  <c r="C1118" i="57" s="1"/>
  <c r="A1119" i="57"/>
  <c r="A1120" i="57"/>
  <c r="A1121" i="57"/>
  <c r="A1122" i="57"/>
  <c r="A1123" i="57"/>
  <c r="A1124" i="57"/>
  <c r="C1124" i="57" s="1"/>
  <c r="A1125" i="57"/>
  <c r="A1126" i="57"/>
  <c r="A1127" i="57"/>
  <c r="A1128" i="57"/>
  <c r="A1129" i="57"/>
  <c r="A1130" i="57"/>
  <c r="C1130" i="57" s="1"/>
  <c r="A1131" i="57"/>
  <c r="A1132" i="57"/>
  <c r="A1133" i="57"/>
  <c r="A1134" i="57"/>
  <c r="A1135" i="57"/>
  <c r="A1136" i="57"/>
  <c r="C1136" i="57" s="1"/>
  <c r="A1137" i="57"/>
  <c r="A1138" i="57"/>
  <c r="A1139" i="57"/>
  <c r="A1140" i="57"/>
  <c r="A1141" i="57"/>
  <c r="A1142" i="57"/>
  <c r="C1142" i="57" s="1"/>
  <c r="A1143" i="57"/>
  <c r="A1144" i="57"/>
  <c r="A1145" i="57"/>
  <c r="A1146" i="57"/>
  <c r="A1147" i="57"/>
  <c r="A1148" i="57"/>
  <c r="C1148" i="57" s="1"/>
  <c r="A1149" i="57"/>
  <c r="A1150" i="57"/>
  <c r="A1151" i="57"/>
  <c r="A1152" i="57"/>
  <c r="A1153" i="57"/>
  <c r="A1154" i="57"/>
  <c r="C1154" i="57" s="1"/>
  <c r="A1155" i="57"/>
  <c r="A1156" i="57"/>
  <c r="A1157" i="57"/>
  <c r="A1158" i="57"/>
  <c r="A1159" i="57"/>
  <c r="A1160" i="57"/>
  <c r="C1160" i="57" s="1"/>
  <c r="A1161" i="57"/>
  <c r="A1162" i="57"/>
  <c r="A1163" i="57"/>
  <c r="A1164" i="57"/>
  <c r="A1165" i="57"/>
  <c r="A1166" i="57"/>
  <c r="C1166" i="57" s="1"/>
  <c r="A1167" i="57"/>
  <c r="A1168" i="57"/>
  <c r="A1169" i="57"/>
  <c r="A1170" i="57"/>
  <c r="A1171" i="57"/>
  <c r="A1172" i="57"/>
  <c r="C1172" i="57" s="1"/>
  <c r="A1173" i="57"/>
  <c r="A1174" i="57"/>
  <c r="A1175" i="57"/>
  <c r="A1176" i="57"/>
  <c r="A1177" i="57"/>
  <c r="A1178" i="57"/>
  <c r="C1178" i="57" s="1"/>
  <c r="A1179" i="57"/>
  <c r="A1180" i="57"/>
  <c r="A1181" i="57"/>
  <c r="A1182" i="57"/>
  <c r="A1183" i="57"/>
  <c r="A1184" i="57"/>
  <c r="C1184" i="57" s="1"/>
  <c r="A1185" i="57"/>
  <c r="A1186" i="57"/>
  <c r="A1187" i="57"/>
  <c r="A1188" i="57"/>
  <c r="A1189" i="57"/>
  <c r="A1190" i="57"/>
  <c r="C1190" i="57" s="1"/>
  <c r="A1191" i="57"/>
  <c r="A1192" i="57"/>
  <c r="A1193" i="57"/>
  <c r="A1194" i="57"/>
  <c r="A1195" i="57"/>
  <c r="A1196" i="57"/>
  <c r="C1196" i="57" s="1"/>
  <c r="A1197" i="57"/>
  <c r="A1198" i="57"/>
  <c r="A1199" i="57"/>
  <c r="A1200" i="57"/>
  <c r="A1201" i="57"/>
  <c r="A1202" i="57"/>
  <c r="C1202" i="57" s="1"/>
  <c r="A1203" i="57"/>
  <c r="A1204" i="57"/>
  <c r="A1205" i="57"/>
  <c r="A1206" i="57"/>
  <c r="A1207" i="57"/>
  <c r="A1208" i="57"/>
  <c r="C1208" i="57" s="1"/>
  <c r="A1209" i="57"/>
  <c r="A1210" i="57"/>
  <c r="A1211" i="57"/>
  <c r="A1212" i="57"/>
  <c r="A1213" i="57"/>
  <c r="A1214" i="57"/>
  <c r="C1214" i="57" s="1"/>
  <c r="A1215" i="57"/>
  <c r="A1216" i="57"/>
  <c r="A1217" i="57"/>
  <c r="A1218" i="57"/>
  <c r="A1219" i="57"/>
  <c r="A1220" i="57"/>
  <c r="C1220" i="57" s="1"/>
  <c r="A1221" i="57"/>
  <c r="A1222" i="57"/>
  <c r="A1223" i="57"/>
  <c r="A1224" i="57"/>
  <c r="A1225" i="57"/>
  <c r="A1226" i="57"/>
  <c r="C1226" i="57" s="1"/>
  <c r="A1227" i="57"/>
  <c r="A1228" i="57"/>
  <c r="A1229" i="57"/>
  <c r="A1230" i="57"/>
  <c r="A1231" i="57"/>
  <c r="A1232" i="57"/>
  <c r="C1232" i="57" s="1"/>
  <c r="A1233" i="57"/>
  <c r="A1234" i="57"/>
  <c r="A1235" i="57"/>
  <c r="A1236" i="57"/>
  <c r="A1237" i="57"/>
  <c r="A1238" i="57"/>
  <c r="C1238" i="57" s="1"/>
  <c r="A1239" i="57"/>
  <c r="A1240" i="57"/>
  <c r="A1241" i="57"/>
  <c r="A1242" i="57"/>
  <c r="A1243" i="57"/>
  <c r="A1244" i="57"/>
  <c r="C1244" i="57" s="1"/>
  <c r="A1245" i="57"/>
  <c r="A1246" i="57"/>
  <c r="A1247" i="57"/>
  <c r="A1248" i="57"/>
  <c r="A1249" i="57"/>
  <c r="A1250" i="57"/>
  <c r="C1250" i="57" s="1"/>
  <c r="A1251" i="57"/>
  <c r="A1252" i="57"/>
  <c r="A1253" i="57"/>
  <c r="A1254" i="57"/>
  <c r="A1255" i="57"/>
  <c r="A1256" i="57"/>
  <c r="C1256" i="57" s="1"/>
  <c r="A1257" i="57"/>
  <c r="A1258" i="57"/>
  <c r="A1259" i="57"/>
  <c r="A1260" i="57"/>
  <c r="A1261" i="57"/>
  <c r="A1262" i="57"/>
  <c r="C1262" i="57" s="1"/>
  <c r="A1263" i="57"/>
  <c r="A1264" i="57"/>
  <c r="A1265" i="57"/>
  <c r="A1266" i="57"/>
  <c r="A1267" i="57"/>
  <c r="A1268" i="57"/>
  <c r="C1268" i="57" s="1"/>
  <c r="A1269" i="57"/>
  <c r="A1270" i="57"/>
  <c r="A1271" i="57"/>
  <c r="A1272" i="57"/>
  <c r="A1273" i="57"/>
  <c r="A1274" i="57"/>
  <c r="C1274" i="57" s="1"/>
  <c r="A1275" i="57"/>
  <c r="A1276" i="57"/>
  <c r="A1277" i="57"/>
  <c r="A1278" i="57"/>
  <c r="A1279" i="57"/>
  <c r="A1280" i="57"/>
  <c r="C1280" i="57" s="1"/>
  <c r="A1281" i="57"/>
  <c r="A1282" i="57"/>
  <c r="A1283" i="57"/>
  <c r="A1284" i="57"/>
  <c r="A1285" i="57"/>
  <c r="A1286" i="57"/>
  <c r="C1286" i="57" s="1"/>
  <c r="A1287" i="57"/>
  <c r="A1288" i="57"/>
  <c r="A1289" i="57"/>
  <c r="A1290" i="57"/>
  <c r="A1291" i="57"/>
  <c r="A1292" i="57"/>
  <c r="C1292" i="57" s="1"/>
  <c r="A1293" i="57"/>
  <c r="A1294" i="57"/>
  <c r="A1295" i="57"/>
  <c r="A1296" i="57"/>
  <c r="A1297" i="57"/>
  <c r="A1298" i="57"/>
  <c r="C1298" i="57" s="1"/>
  <c r="A1299" i="57"/>
  <c r="A1300" i="57"/>
  <c r="A1301" i="57"/>
  <c r="A1302" i="57"/>
  <c r="A1303" i="57"/>
  <c r="A1304" i="57"/>
  <c r="C1304" i="57" s="1"/>
  <c r="A1305" i="57"/>
  <c r="A1306" i="57"/>
  <c r="A1307" i="57"/>
  <c r="A1308" i="57"/>
  <c r="A1309" i="57"/>
  <c r="A1310" i="57"/>
  <c r="C1310" i="57" s="1"/>
  <c r="A1311" i="57"/>
  <c r="A1312" i="57"/>
  <c r="A1313" i="57"/>
  <c r="A1314" i="57"/>
  <c r="A1315" i="57"/>
  <c r="A1316" i="57"/>
  <c r="C1316" i="57" s="1"/>
  <c r="A1317" i="57"/>
  <c r="A1318" i="57"/>
  <c r="A1319" i="57"/>
  <c r="A1320" i="57"/>
  <c r="A1321" i="57"/>
  <c r="A1322" i="57"/>
  <c r="C1322" i="57" s="1"/>
  <c r="A1323" i="57"/>
  <c r="A1324" i="57"/>
  <c r="A1325" i="57"/>
  <c r="A1326" i="57"/>
  <c r="A1327" i="57"/>
  <c r="A1328" i="57"/>
  <c r="C1328" i="57" s="1"/>
  <c r="A1329" i="57"/>
  <c r="A1330" i="57"/>
  <c r="A1331" i="57"/>
  <c r="A1332" i="57"/>
  <c r="A1333" i="57"/>
  <c r="A1334" i="57"/>
  <c r="C1334" i="57" s="1"/>
  <c r="A1335" i="57"/>
  <c r="A1336" i="57"/>
  <c r="A1337" i="57"/>
  <c r="A1338" i="57"/>
  <c r="A1339" i="57"/>
  <c r="A1340" i="57"/>
  <c r="C1340" i="57" s="1"/>
  <c r="A1341" i="57"/>
  <c r="A1342" i="57"/>
  <c r="A1343" i="57"/>
  <c r="A1344" i="57"/>
  <c r="A1345" i="57"/>
  <c r="A1346" i="57"/>
  <c r="C1346" i="57" s="1"/>
  <c r="A1347" i="57"/>
  <c r="A1348" i="57"/>
  <c r="A1349" i="57"/>
  <c r="A1350" i="57"/>
  <c r="A1351" i="57"/>
  <c r="A1352" i="57"/>
  <c r="C1352" i="57" s="1"/>
  <c r="A1353" i="57"/>
  <c r="A1354" i="57"/>
  <c r="A1355" i="57"/>
  <c r="A1356" i="57"/>
  <c r="A1357" i="57"/>
  <c r="A1358" i="57"/>
  <c r="C1358" i="57" s="1"/>
  <c r="A1359" i="57"/>
  <c r="A1360" i="57"/>
  <c r="A1361" i="57"/>
  <c r="A1362" i="57"/>
  <c r="A1363" i="57"/>
  <c r="A1364" i="57"/>
  <c r="C1364" i="57" s="1"/>
  <c r="A1365" i="57"/>
  <c r="A1366" i="57"/>
  <c r="A1367" i="57"/>
  <c r="A1368" i="57"/>
  <c r="A1369" i="57"/>
  <c r="A1370" i="57"/>
  <c r="C1370" i="57" s="1"/>
  <c r="A1371" i="57"/>
  <c r="A1372" i="57"/>
  <c r="A1373" i="57"/>
  <c r="A1374" i="57"/>
  <c r="A1375" i="57"/>
  <c r="A1376" i="57"/>
  <c r="C1376" i="57" s="1"/>
  <c r="A1377" i="57"/>
  <c r="A1378" i="57"/>
  <c r="A1379" i="57"/>
  <c r="A1380" i="57"/>
  <c r="A1381" i="57"/>
  <c r="A1382" i="57"/>
  <c r="C1382" i="57" s="1"/>
  <c r="A1383" i="57"/>
  <c r="A1384" i="57"/>
  <c r="A1385" i="57"/>
  <c r="A1386" i="57"/>
  <c r="A1387" i="57"/>
  <c r="A1388" i="57"/>
  <c r="C1388" i="57" s="1"/>
  <c r="A1389" i="57"/>
  <c r="A1390" i="57"/>
  <c r="A1391" i="57"/>
  <c r="A1392" i="57"/>
  <c r="A1393" i="57"/>
  <c r="A1394" i="57"/>
  <c r="C1394" i="57" s="1"/>
  <c r="A1395" i="57"/>
  <c r="A1396" i="57"/>
  <c r="A1397" i="57"/>
  <c r="A1398" i="57"/>
  <c r="A1399" i="57"/>
  <c r="A1400" i="57"/>
  <c r="C1400" i="57" s="1"/>
  <c r="A1401" i="57"/>
  <c r="A1402" i="57"/>
  <c r="A1403" i="57"/>
  <c r="A1404" i="57"/>
  <c r="A1405" i="57"/>
  <c r="A1406" i="57"/>
  <c r="C1406" i="57" s="1"/>
  <c r="A1407" i="57"/>
  <c r="A1408" i="57"/>
  <c r="A1409" i="57"/>
  <c r="A1410" i="57"/>
  <c r="A1411" i="57"/>
  <c r="A1412" i="57"/>
  <c r="C1412" i="57" s="1"/>
  <c r="A1413" i="57"/>
  <c r="A1414" i="57"/>
  <c r="A1415" i="57"/>
  <c r="A1416" i="57"/>
  <c r="A1417" i="57"/>
  <c r="A1418" i="57"/>
  <c r="C1418" i="57" s="1"/>
  <c r="A1419" i="57"/>
  <c r="A1420" i="57"/>
  <c r="A1421" i="57"/>
  <c r="A1422" i="57"/>
  <c r="A1423" i="57"/>
  <c r="A1424" i="57"/>
  <c r="C1424" i="57" s="1"/>
  <c r="A1425" i="57"/>
  <c r="A1426" i="57"/>
  <c r="A1427" i="57"/>
  <c r="A1428" i="57"/>
  <c r="A1429" i="57"/>
  <c r="A1430" i="57"/>
  <c r="C1430" i="57" s="1"/>
  <c r="A1431" i="57"/>
  <c r="A1432" i="57"/>
  <c r="A1433" i="57"/>
  <c r="A1434" i="57"/>
  <c r="A1435" i="57"/>
  <c r="A1436" i="57"/>
  <c r="C1436" i="57" s="1"/>
  <c r="A1437" i="57"/>
  <c r="A1438" i="57"/>
  <c r="A1439" i="57"/>
  <c r="A1440" i="57"/>
  <c r="A1441" i="57"/>
  <c r="A1442" i="57"/>
  <c r="C1442" i="57" s="1"/>
  <c r="A1443" i="57"/>
  <c r="A1444" i="57"/>
  <c r="A1445" i="57"/>
  <c r="A11" i="57"/>
  <c r="H12" i="57"/>
  <c r="H13" i="57"/>
  <c r="H14" i="57"/>
  <c r="H16" i="57"/>
  <c r="C1273" i="57" l="1"/>
  <c r="C1255" i="57"/>
  <c r="C1249" i="57"/>
  <c r="C1231" i="57"/>
  <c r="C1207" i="57"/>
  <c r="C1183" i="57"/>
  <c r="C1177" i="57"/>
  <c r="C1135" i="57"/>
  <c r="C1093" i="57"/>
  <c r="C1015" i="57"/>
  <c r="C991" i="57"/>
  <c r="C961" i="57"/>
  <c r="C919" i="57"/>
  <c r="C895" i="57"/>
  <c r="C877" i="57"/>
  <c r="C817" i="57"/>
  <c r="C787" i="57"/>
  <c r="C745" i="57"/>
  <c r="C721" i="57"/>
  <c r="C691" i="57"/>
  <c r="C661" i="57"/>
  <c r="C583" i="57"/>
  <c r="C505" i="57"/>
  <c r="C481" i="57"/>
  <c r="C451" i="57"/>
  <c r="C427" i="57"/>
  <c r="C403" i="57"/>
  <c r="C1429" i="57"/>
  <c r="C1375" i="57"/>
  <c r="C1339" i="57"/>
  <c r="C1303" i="57"/>
  <c r="C11" i="57"/>
  <c r="C1440" i="57"/>
  <c r="C1434" i="57"/>
  <c r="C1428" i="57"/>
  <c r="C1416" i="57"/>
  <c r="C1404" i="57"/>
  <c r="C1398" i="57"/>
  <c r="C1392" i="57"/>
  <c r="C1386" i="57"/>
  <c r="C1380" i="57"/>
  <c r="C1374" i="57"/>
  <c r="C1368" i="57"/>
  <c r="C1362" i="57"/>
  <c r="C1356" i="57"/>
  <c r="C1350" i="57"/>
  <c r="C1344" i="57"/>
  <c r="C1338" i="57"/>
  <c r="C1332" i="57"/>
  <c r="C1326" i="57"/>
  <c r="C1320" i="57"/>
  <c r="C1314" i="57"/>
  <c r="C1308" i="57"/>
  <c r="C1296" i="57"/>
  <c r="C1290" i="57"/>
  <c r="C1284" i="57"/>
  <c r="C1278" i="57"/>
  <c r="C1272" i="57"/>
  <c r="C1266" i="57"/>
  <c r="C1260" i="57"/>
  <c r="C1254" i="57"/>
  <c r="C1248" i="57"/>
  <c r="C1242" i="57"/>
  <c r="C1236" i="57"/>
  <c r="C1230" i="57"/>
  <c r="C1218" i="57"/>
  <c r="C1212" i="57"/>
  <c r="C1206" i="57"/>
  <c r="C1200" i="57"/>
  <c r="C1188" i="57"/>
  <c r="C1182" i="57"/>
  <c r="C1176" i="57"/>
  <c r="C1170" i="57"/>
  <c r="C1164" i="57"/>
  <c r="C1158" i="57"/>
  <c r="C1152" i="57"/>
  <c r="C1146" i="57"/>
  <c r="C1140" i="57"/>
  <c r="C1134" i="57"/>
  <c r="C1128" i="57"/>
  <c r="C1122" i="57"/>
  <c r="C1116" i="57"/>
  <c r="C1110" i="57"/>
  <c r="C1104" i="57"/>
  <c r="C1092" i="57"/>
  <c r="C1080" i="57"/>
  <c r="C1074" i="57"/>
  <c r="C1068" i="57"/>
  <c r="C1062" i="57"/>
  <c r="C1056" i="57"/>
  <c r="C1050" i="57"/>
  <c r="C1044" i="57"/>
  <c r="C1038" i="57"/>
  <c r="C1032" i="57"/>
  <c r="C1026" i="57"/>
  <c r="C1020" i="57"/>
  <c r="C1014" i="57"/>
  <c r="C1002" i="57"/>
  <c r="C996" i="57"/>
  <c r="C984" i="57"/>
  <c r="C972" i="57"/>
  <c r="C966" i="57"/>
  <c r="C960" i="57"/>
  <c r="C954" i="57"/>
  <c r="C948" i="57"/>
  <c r="C942" i="57"/>
  <c r="C936" i="57"/>
  <c r="C930" i="57"/>
  <c r="C924" i="57"/>
  <c r="C1357" i="57"/>
  <c r="C1445" i="57"/>
  <c r="C1439" i="57"/>
  <c r="C1433" i="57"/>
  <c r="C1427" i="57"/>
  <c r="C1421" i="57"/>
  <c r="C1415" i="57"/>
  <c r="C1409" i="57"/>
  <c r="C1403" i="57"/>
  <c r="C1397" i="57"/>
  <c r="C1391" i="57"/>
  <c r="C1385" i="57"/>
  <c r="C1379" i="57"/>
  <c r="C1373" i="57"/>
  <c r="C1367" i="57"/>
  <c r="C1361" i="57"/>
  <c r="C1355" i="57"/>
  <c r="C1349" i="57"/>
  <c r="C1343" i="57"/>
  <c r="C1337" i="57"/>
  <c r="C1331" i="57"/>
  <c r="C1325" i="57"/>
  <c r="C1319" i="57"/>
  <c r="C1313" i="57"/>
  <c r="C1307" i="57"/>
  <c r="C1301" i="57"/>
  <c r="C1295" i="57"/>
  <c r="C1289" i="57"/>
  <c r="C1283" i="57"/>
  <c r="C1277" i="57"/>
  <c r="C1271" i="57"/>
  <c r="C1265" i="57"/>
  <c r="C1259" i="57"/>
  <c r="C1253" i="57"/>
  <c r="C1247" i="57"/>
  <c r="C1241" i="57"/>
  <c r="C1235" i="57"/>
  <c r="C1229" i="57"/>
  <c r="C1223" i="57"/>
  <c r="C1217" i="57"/>
  <c r="C1211" i="57"/>
  <c r="C1205" i="57"/>
  <c r="C1199" i="57"/>
  <c r="C1193" i="57"/>
  <c r="C1187" i="57"/>
  <c r="C1181" i="57"/>
  <c r="C1175" i="57"/>
  <c r="C1169" i="57"/>
  <c r="C1163" i="57"/>
  <c r="C1157" i="57"/>
  <c r="C1151" i="57"/>
  <c r="C1145" i="57"/>
  <c r="C1139" i="57"/>
  <c r="C1133" i="57"/>
  <c r="C1127" i="57"/>
  <c r="C1121" i="57"/>
  <c r="C1115" i="57"/>
  <c r="C1109" i="57"/>
  <c r="C1103" i="57"/>
  <c r="C1097" i="57"/>
  <c r="C1091" i="57"/>
  <c r="C1085" i="57"/>
  <c r="C1079" i="57"/>
  <c r="C1073" i="57"/>
  <c r="C1067" i="57"/>
  <c r="C1061" i="57"/>
  <c r="C1055" i="57"/>
  <c r="C1049" i="57"/>
  <c r="C1043" i="57"/>
  <c r="C1037" i="57"/>
  <c r="C1031" i="57"/>
  <c r="C1025" i="57"/>
  <c r="C1019" i="57"/>
  <c r="C1013" i="57"/>
  <c r="C1007" i="57"/>
  <c r="C1001" i="57"/>
  <c r="C995" i="57"/>
  <c r="C989" i="57"/>
  <c r="C983" i="57"/>
  <c r="C977" i="57"/>
  <c r="C971" i="57"/>
  <c r="C965" i="57"/>
  <c r="C959" i="57"/>
  <c r="C953" i="57"/>
  <c r="C947" i="57"/>
  <c r="C941" i="57"/>
  <c r="C935" i="57"/>
  <c r="C929" i="57"/>
  <c r="C923" i="57"/>
  <c r="C1405" i="57"/>
  <c r="C1381" i="57"/>
  <c r="C1444" i="57"/>
  <c r="C1438" i="57"/>
  <c r="C1432" i="57"/>
  <c r="C1426" i="57"/>
  <c r="C1420" i="57"/>
  <c r="C1414" i="57"/>
  <c r="C1408" i="57"/>
  <c r="C1402" i="57"/>
  <c r="C1396" i="57"/>
  <c r="C1390" i="57"/>
  <c r="C1384" i="57"/>
  <c r="C1378" i="57"/>
  <c r="C1372" i="57"/>
  <c r="C1366" i="57"/>
  <c r="C1360" i="57"/>
  <c r="C1354" i="57"/>
  <c r="C1348" i="57"/>
  <c r="C1342" i="57"/>
  <c r="C1336" i="57"/>
  <c r="C1330" i="57"/>
  <c r="C1324" i="57"/>
  <c r="C1318" i="57"/>
  <c r="C1312" i="57"/>
  <c r="C1306" i="57"/>
  <c r="C1300" i="57"/>
  <c r="C1294" i="57"/>
  <c r="C1288" i="57"/>
  <c r="C1282" i="57"/>
  <c r="C1276" i="57"/>
  <c r="C1270" i="57"/>
  <c r="C1264" i="57"/>
  <c r="C1258" i="57"/>
  <c r="C1252" i="57"/>
  <c r="C1246" i="57"/>
  <c r="C1240" i="57"/>
  <c r="C1234" i="57"/>
  <c r="C1228" i="57"/>
  <c r="C1222" i="57"/>
  <c r="C1216" i="57"/>
  <c r="C1210" i="57"/>
  <c r="C1204" i="57"/>
  <c r="C1198" i="57"/>
  <c r="C1192" i="57"/>
  <c r="C1186" i="57"/>
  <c r="C1180" i="57"/>
  <c r="C1174" i="57"/>
  <c r="C1168" i="57"/>
  <c r="C1162" i="57"/>
  <c r="C1156" i="57"/>
  <c r="C1150" i="57"/>
  <c r="C1144" i="57"/>
  <c r="C1138" i="57"/>
  <c r="C1132" i="57"/>
  <c r="C1126" i="57"/>
  <c r="C1120" i="57"/>
  <c r="C1114" i="57"/>
  <c r="C1108" i="57"/>
  <c r="C1102" i="57"/>
  <c r="C1096" i="57"/>
  <c r="C1090" i="57"/>
  <c r="C1084" i="57"/>
  <c r="C1078" i="57"/>
  <c r="C1072" i="57"/>
  <c r="C1066" i="57"/>
  <c r="C1060" i="57"/>
  <c r="C1054" i="57"/>
  <c r="C1048" i="57"/>
  <c r="C1042" i="57"/>
  <c r="C1036" i="57"/>
  <c r="C1030" i="57"/>
  <c r="C1024" i="57"/>
  <c r="C1018" i="57"/>
  <c r="C1012" i="57"/>
  <c r="C1006" i="57"/>
  <c r="C1000" i="57"/>
  <c r="C994" i="57"/>
  <c r="C988" i="57"/>
  <c r="C982" i="57"/>
  <c r="C976" i="57"/>
  <c r="C970" i="57"/>
  <c r="C964" i="57"/>
  <c r="C958" i="57"/>
  <c r="C952" i="57"/>
  <c r="C946" i="57"/>
  <c r="C940" i="57"/>
  <c r="C934" i="57"/>
  <c r="C928" i="57"/>
  <c r="C922" i="57"/>
  <c r="C916" i="57"/>
  <c r="C910" i="57"/>
  <c r="C904" i="57"/>
  <c r="C898" i="57"/>
  <c r="C892" i="57"/>
  <c r="C886" i="57"/>
  <c r="C880" i="57"/>
  <c r="C874" i="57"/>
  <c r="C868" i="57"/>
  <c r="C862" i="57"/>
  <c r="C856" i="57"/>
  <c r="C1435" i="57"/>
  <c r="C1279" i="57"/>
  <c r="C1443" i="57"/>
  <c r="C1437" i="57"/>
  <c r="C1431" i="57"/>
  <c r="C1425" i="57"/>
  <c r="C1419" i="57"/>
  <c r="C1413" i="57"/>
  <c r="C1407" i="57"/>
  <c r="C1401" i="57"/>
  <c r="C1395" i="57"/>
  <c r="C1389" i="57"/>
  <c r="C1383" i="57"/>
  <c r="C1377" i="57"/>
  <c r="C1371" i="57"/>
  <c r="C1365" i="57"/>
  <c r="C1359" i="57"/>
  <c r="C1353" i="57"/>
  <c r="C1347" i="57"/>
  <c r="C1341" i="57"/>
  <c r="C1335" i="57"/>
  <c r="C1329" i="57"/>
  <c r="C1323" i="57"/>
  <c r="C1317" i="57"/>
  <c r="C1311" i="57"/>
  <c r="C1305" i="57"/>
  <c r="C1299" i="57"/>
  <c r="C1293" i="57"/>
  <c r="C1287" i="57"/>
  <c r="C1281" i="57"/>
  <c r="C1275" i="57"/>
  <c r="C1269" i="57"/>
  <c r="C1263" i="57"/>
  <c r="C1257" i="57"/>
  <c r="C1251" i="57"/>
  <c r="C1245" i="57"/>
  <c r="C1239" i="57"/>
  <c r="C1233" i="57"/>
  <c r="C1227" i="57"/>
  <c r="C1221" i="57"/>
  <c r="C1215" i="57"/>
  <c r="C1209" i="57"/>
  <c r="C1203" i="57"/>
  <c r="C1197" i="57"/>
  <c r="C1191" i="57"/>
  <c r="C1185" i="57"/>
  <c r="C1179" i="57"/>
  <c r="C1173" i="57"/>
  <c r="C1167" i="57"/>
  <c r="C1161" i="57"/>
  <c r="C1155" i="57"/>
  <c r="C1149" i="57"/>
  <c r="C1143" i="57"/>
  <c r="C1137" i="57"/>
  <c r="C1131" i="57"/>
  <c r="C1125" i="57"/>
  <c r="C1119" i="57"/>
  <c r="C1113" i="57"/>
  <c r="C1107" i="57"/>
  <c r="C1101" i="57"/>
  <c r="C1095" i="57"/>
  <c r="C1089" i="57"/>
  <c r="C1083" i="57"/>
  <c r="C1077" i="57"/>
  <c r="C1071" i="57"/>
  <c r="C1065" i="57"/>
  <c r="C1059" i="57"/>
  <c r="C1053" i="57"/>
  <c r="C1047" i="57"/>
  <c r="C1041" i="57"/>
  <c r="C1035" i="57"/>
  <c r="C1029" i="57"/>
  <c r="C1023" i="57"/>
  <c r="C1017" i="57"/>
  <c r="C1011" i="57"/>
  <c r="C1005" i="57"/>
  <c r="C999" i="57"/>
  <c r="C993" i="57"/>
  <c r="C987" i="57"/>
  <c r="C981" i="57"/>
  <c r="C975" i="57"/>
  <c r="C969" i="57"/>
  <c r="C963" i="57"/>
  <c r="C957" i="57"/>
  <c r="C951" i="57"/>
  <c r="C945" i="57"/>
  <c r="C939" i="57"/>
  <c r="C933" i="57"/>
  <c r="C927" i="57"/>
  <c r="C921" i="57"/>
  <c r="C918" i="57"/>
  <c r="C912" i="57"/>
  <c r="C906" i="57"/>
  <c r="C894" i="57"/>
  <c r="C888" i="57"/>
  <c r="C876" i="57"/>
  <c r="C864" i="57"/>
  <c r="C858" i="57"/>
  <c r="C852" i="57"/>
  <c r="C846" i="57"/>
  <c r="C840" i="57"/>
  <c r="C834" i="57"/>
  <c r="C828" i="57"/>
  <c r="C822" i="57"/>
  <c r="C816" i="57"/>
  <c r="C804" i="57"/>
  <c r="C792" i="57"/>
  <c r="C780" i="57"/>
  <c r="C774" i="57"/>
  <c r="C762" i="57"/>
  <c r="C750" i="57"/>
  <c r="C744" i="57"/>
  <c r="C732" i="57"/>
  <c r="C720" i="57"/>
  <c r="C708" i="57"/>
  <c r="C702" i="57"/>
  <c r="C696" i="57"/>
  <c r="C690" i="57"/>
  <c r="C684" i="57"/>
  <c r="C678" i="57"/>
  <c r="C666" i="57"/>
  <c r="C660" i="57"/>
  <c r="C654" i="57"/>
  <c r="C648" i="57"/>
  <c r="C642" i="57"/>
  <c r="C636" i="57"/>
  <c r="C630" i="57"/>
  <c r="C624" i="57"/>
  <c r="C618" i="57"/>
  <c r="C612" i="57"/>
  <c r="C606" i="57"/>
  <c r="C594" i="57"/>
  <c r="C588" i="57"/>
  <c r="C582" i="57"/>
  <c r="C576" i="57"/>
  <c r="C570" i="57"/>
  <c r="C564" i="57"/>
  <c r="C552" i="57"/>
  <c r="C546" i="57"/>
  <c r="C540" i="57"/>
  <c r="C534" i="57"/>
  <c r="C528" i="57"/>
  <c r="C522" i="57"/>
  <c r="C516" i="57"/>
  <c r="C510" i="57"/>
  <c r="C504" i="57"/>
  <c r="C498" i="57"/>
  <c r="C492" i="57"/>
  <c r="C486" i="57"/>
  <c r="C480" i="57"/>
  <c r="C468" i="57"/>
  <c r="C456" i="57"/>
  <c r="C450" i="57"/>
  <c r="C444" i="57"/>
  <c r="C438" i="57"/>
  <c r="C426" i="57"/>
  <c r="C420" i="57"/>
  <c r="C408" i="57"/>
  <c r="C402" i="57"/>
  <c r="C396" i="57"/>
  <c r="C384" i="57"/>
  <c r="C917" i="57"/>
  <c r="C911" i="57"/>
  <c r="C905" i="57"/>
  <c r="C899" i="57"/>
  <c r="C893" i="57"/>
  <c r="C887" i="57"/>
  <c r="C881" i="57"/>
  <c r="C875" i="57"/>
  <c r="C869" i="57"/>
  <c r="C863" i="57"/>
  <c r="C857" i="57"/>
  <c r="C851" i="57"/>
  <c r="C845" i="57"/>
  <c r="C839" i="57"/>
  <c r="C833" i="57"/>
  <c r="C827" i="57"/>
  <c r="C821" i="57"/>
  <c r="C815" i="57"/>
  <c r="C809" i="57"/>
  <c r="C803" i="57"/>
  <c r="C797" i="57"/>
  <c r="C791" i="57"/>
  <c r="C785" i="57"/>
  <c r="C779" i="57"/>
  <c r="C773" i="57"/>
  <c r="C767" i="57"/>
  <c r="C761" i="57"/>
  <c r="C755" i="57"/>
  <c r="C749" i="57"/>
  <c r="C743" i="57"/>
  <c r="C737" i="57"/>
  <c r="C731" i="57"/>
  <c r="C725" i="57"/>
  <c r="C719" i="57"/>
  <c r="C713" i="57"/>
  <c r="C707" i="57"/>
  <c r="C701" i="57"/>
  <c r="C695" i="57"/>
  <c r="C689" i="57"/>
  <c r="C683" i="57"/>
  <c r="C677" i="57"/>
  <c r="C671" i="57"/>
  <c r="C665" i="57"/>
  <c r="C659" i="57"/>
  <c r="C653" i="57"/>
  <c r="C647" i="57"/>
  <c r="C641" i="57"/>
  <c r="C635" i="57"/>
  <c r="C629" i="57"/>
  <c r="C623" i="57"/>
  <c r="C617" i="57"/>
  <c r="C611" i="57"/>
  <c r="C605" i="57"/>
  <c r="C599" i="57"/>
  <c r="C593" i="57"/>
  <c r="C587" i="57"/>
  <c r="C581" i="57"/>
  <c r="C575" i="57"/>
  <c r="C569" i="57"/>
  <c r="C563" i="57"/>
  <c r="C557" i="57"/>
  <c r="C551" i="57"/>
  <c r="C545" i="57"/>
  <c r="C539" i="57"/>
  <c r="C533" i="57"/>
  <c r="C527" i="57"/>
  <c r="C521" i="57"/>
  <c r="C515" i="57"/>
  <c r="C509" i="57"/>
  <c r="C503" i="57"/>
  <c r="C497" i="57"/>
  <c r="C491" i="57"/>
  <c r="C485" i="57"/>
  <c r="C479" i="57"/>
  <c r="C473" i="57"/>
  <c r="C467" i="57"/>
  <c r="C461" i="57"/>
  <c r="C455" i="57"/>
  <c r="C449" i="57"/>
  <c r="C443" i="57"/>
  <c r="C437" i="57"/>
  <c r="C431" i="57"/>
  <c r="C425" i="57"/>
  <c r="C419" i="57"/>
  <c r="C413" i="57"/>
  <c r="C407" i="57"/>
  <c r="C401" i="57"/>
  <c r="C395" i="57"/>
  <c r="C389" i="57"/>
  <c r="C383" i="57"/>
  <c r="C850" i="57"/>
  <c r="C844" i="57"/>
  <c r="C838" i="57"/>
  <c r="C832" i="57"/>
  <c r="C826" i="57"/>
  <c r="C820" i="57"/>
  <c r="C814" i="57"/>
  <c r="C808" i="57"/>
  <c r="C802" i="57"/>
  <c r="C796" i="57"/>
  <c r="C790" i="57"/>
  <c r="C784" i="57"/>
  <c r="C778" i="57"/>
  <c r="C772" i="57"/>
  <c r="C766" i="57"/>
  <c r="C760" i="57"/>
  <c r="C754" i="57"/>
  <c r="C748" i="57"/>
  <c r="C742" i="57"/>
  <c r="C736" i="57"/>
  <c r="C730" i="57"/>
  <c r="C724" i="57"/>
  <c r="C718" i="57"/>
  <c r="C712" i="57"/>
  <c r="C706" i="57"/>
  <c r="C700" i="57"/>
  <c r="C694" i="57"/>
  <c r="C688" i="57"/>
  <c r="C682" i="57"/>
  <c r="C676" i="57"/>
  <c r="C670" i="57"/>
  <c r="C664" i="57"/>
  <c r="C658" i="57"/>
  <c r="C652" i="57"/>
  <c r="C646" i="57"/>
  <c r="C640" i="57"/>
  <c r="C634" i="57"/>
  <c r="C628" i="57"/>
  <c r="C622" i="57"/>
  <c r="C616" i="57"/>
  <c r="C610" i="57"/>
  <c r="C604" i="57"/>
  <c r="C598" i="57"/>
  <c r="C592" i="57"/>
  <c r="C586" i="57"/>
  <c r="C580" i="57"/>
  <c r="C574" i="57"/>
  <c r="C568" i="57"/>
  <c r="C562" i="57"/>
  <c r="C556" i="57"/>
  <c r="C550" i="57"/>
  <c r="C544" i="57"/>
  <c r="C538" i="57"/>
  <c r="C532" i="57"/>
  <c r="C526" i="57"/>
  <c r="C520" i="57"/>
  <c r="C514" i="57"/>
  <c r="C508" i="57"/>
  <c r="C502" i="57"/>
  <c r="C496" i="57"/>
  <c r="C490" i="57"/>
  <c r="C484" i="57"/>
  <c r="C478" i="57"/>
  <c r="C472" i="57"/>
  <c r="C466" i="57"/>
  <c r="C460" i="57"/>
  <c r="C454" i="57"/>
  <c r="C448" i="57"/>
  <c r="C442" i="57"/>
  <c r="C436" i="57"/>
  <c r="C430" i="57"/>
  <c r="C424" i="57"/>
  <c r="C418" i="57"/>
  <c r="C412" i="57"/>
  <c r="C406" i="57"/>
  <c r="C400" i="57"/>
  <c r="C394" i="57"/>
  <c r="C388" i="57"/>
  <c r="C382" i="57"/>
  <c r="C376" i="57"/>
  <c r="C370" i="57"/>
  <c r="C364" i="57"/>
  <c r="C358" i="57"/>
  <c r="C352" i="57"/>
  <c r="C346" i="57"/>
  <c r="C915" i="57"/>
  <c r="C909" i="57"/>
  <c r="C903" i="57"/>
  <c r="C897" i="57"/>
  <c r="C891" i="57"/>
  <c r="C885" i="57"/>
  <c r="C879" i="57"/>
  <c r="C873" i="57"/>
  <c r="C867" i="57"/>
  <c r="C861" i="57"/>
  <c r="C855" i="57"/>
  <c r="C849" i="57"/>
  <c r="C843" i="57"/>
  <c r="C837" i="57"/>
  <c r="C831" i="57"/>
  <c r="C825" i="57"/>
  <c r="C819" i="57"/>
  <c r="C813" i="57"/>
  <c r="C807" i="57"/>
  <c r="C801" i="57"/>
  <c r="C795" i="57"/>
  <c r="C789" i="57"/>
  <c r="C783" i="57"/>
  <c r="C777" i="57"/>
  <c r="C771" i="57"/>
  <c r="C765" i="57"/>
  <c r="C759" i="57"/>
  <c r="C753" i="57"/>
  <c r="C747" i="57"/>
  <c r="C741" i="57"/>
  <c r="C735" i="57"/>
  <c r="C729" i="57"/>
  <c r="C723" i="57"/>
  <c r="C717" i="57"/>
  <c r="C711" i="57"/>
  <c r="C705" i="57"/>
  <c r="C699" i="57"/>
  <c r="C693" i="57"/>
  <c r="C687" i="57"/>
  <c r="C681" i="57"/>
  <c r="C675" i="57"/>
  <c r="C669" i="57"/>
  <c r="C663" i="57"/>
  <c r="C657" i="57"/>
  <c r="C651" i="57"/>
  <c r="C645" i="57"/>
  <c r="C639" i="57"/>
  <c r="C633" i="57"/>
  <c r="C627" i="57"/>
  <c r="C621" i="57"/>
  <c r="C615" i="57"/>
  <c r="C609" i="57"/>
  <c r="C603" i="57"/>
  <c r="C597" i="57"/>
  <c r="C591" i="57"/>
  <c r="C585" i="57"/>
  <c r="C579" i="57"/>
  <c r="C573" i="57"/>
  <c r="C567" i="57"/>
  <c r="C561" i="57"/>
  <c r="C555" i="57"/>
  <c r="C549" i="57"/>
  <c r="C543" i="57"/>
  <c r="C537" i="57"/>
  <c r="C531" i="57"/>
  <c r="C525" i="57"/>
  <c r="C519" i="57"/>
  <c r="C513" i="57"/>
  <c r="C507" i="57"/>
  <c r="C501" i="57"/>
  <c r="C495" i="57"/>
  <c r="C489" i="57"/>
  <c r="C483" i="57"/>
  <c r="C477" i="57"/>
  <c r="C471" i="57"/>
  <c r="C465" i="57"/>
  <c r="C459" i="57"/>
  <c r="C453" i="57"/>
  <c r="C447" i="57"/>
  <c r="C441" i="57"/>
  <c r="C435" i="57"/>
  <c r="C429" i="57"/>
  <c r="C423" i="57"/>
  <c r="C417" i="57"/>
  <c r="C411" i="57"/>
  <c r="C405" i="57"/>
  <c r="C399" i="57"/>
  <c r="C393" i="57"/>
  <c r="C387" i="57"/>
  <c r="C381" i="57"/>
  <c r="C373" i="57"/>
  <c r="C301" i="57"/>
  <c r="C271" i="57"/>
  <c r="C229" i="57"/>
  <c r="C205" i="57"/>
  <c r="C181" i="57"/>
  <c r="C133" i="57"/>
  <c r="C115" i="57"/>
  <c r="C67" i="57"/>
  <c r="C49" i="57"/>
  <c r="C37" i="57"/>
  <c r="C25" i="57"/>
  <c r="C19" i="57"/>
  <c r="C12" i="57"/>
  <c r="C1450" i="57"/>
  <c r="C2477" i="57"/>
  <c r="C2471" i="57"/>
  <c r="C2465" i="57"/>
  <c r="C2459" i="57"/>
  <c r="C2453" i="57"/>
  <c r="C2447" i="57"/>
  <c r="C2441" i="57"/>
  <c r="C2435" i="57"/>
  <c r="C2429" i="57"/>
  <c r="C2423" i="57"/>
  <c r="C2417" i="57"/>
  <c r="C2411" i="57"/>
  <c r="C2405" i="57"/>
  <c r="C2399" i="57"/>
  <c r="C2393" i="57"/>
  <c r="C2387" i="57"/>
  <c r="C2381" i="57"/>
  <c r="C2375" i="57"/>
  <c r="C2369" i="57"/>
  <c r="C2363" i="57"/>
  <c r="C2357" i="57"/>
  <c r="C2351" i="57"/>
  <c r="C2345" i="57"/>
  <c r="C2339" i="57"/>
  <c r="C2333" i="57"/>
  <c r="C2327" i="57"/>
  <c r="C2321" i="57"/>
  <c r="C2315" i="57"/>
  <c r="C2309" i="57"/>
  <c r="C2303" i="57"/>
  <c r="C2297" i="57"/>
  <c r="C2291" i="57"/>
  <c r="C378" i="57"/>
  <c r="C372" i="57"/>
  <c r="C366" i="57"/>
  <c r="C360" i="57"/>
  <c r="C354" i="57"/>
  <c r="C342" i="57"/>
  <c r="C336" i="57"/>
  <c r="C330" i="57"/>
  <c r="C324" i="57"/>
  <c r="C318" i="57"/>
  <c r="C312" i="57"/>
  <c r="C306" i="57"/>
  <c r="C300" i="57"/>
  <c r="C294" i="57"/>
  <c r="C288" i="57"/>
  <c r="C282" i="57"/>
  <c r="C276" i="57"/>
  <c r="C270" i="57"/>
  <c r="C264" i="57"/>
  <c r="C258" i="57"/>
  <c r="C252" i="57"/>
  <c r="C246" i="57"/>
  <c r="C240" i="57"/>
  <c r="C234" i="57"/>
  <c r="C222" i="57"/>
  <c r="C216" i="57"/>
  <c r="C210" i="57"/>
  <c r="C204" i="57"/>
  <c r="C192" i="57"/>
  <c r="C180" i="57"/>
  <c r="C174" i="57"/>
  <c r="C168" i="57"/>
  <c r="C162" i="57"/>
  <c r="C156" i="57"/>
  <c r="C150" i="57"/>
  <c r="C144" i="57"/>
  <c r="C138" i="57"/>
  <c r="C132" i="57"/>
  <c r="C126" i="57"/>
  <c r="C120" i="57"/>
  <c r="C114" i="57"/>
  <c r="C108" i="57"/>
  <c r="C102" i="57"/>
  <c r="C90" i="57"/>
  <c r="C84" i="57"/>
  <c r="C78" i="57"/>
  <c r="C72" i="57"/>
  <c r="C66" i="57"/>
  <c r="C60" i="57"/>
  <c r="C54" i="57"/>
  <c r="C48" i="57"/>
  <c r="C42" i="57"/>
  <c r="C36" i="57"/>
  <c r="C30" i="57"/>
  <c r="C24" i="57"/>
  <c r="C18" i="57"/>
  <c r="C1455" i="57"/>
  <c r="C1449" i="57"/>
  <c r="C2476" i="57"/>
  <c r="C2470" i="57"/>
  <c r="C2464" i="57"/>
  <c r="C2458" i="57"/>
  <c r="C2452" i="57"/>
  <c r="C2446" i="57"/>
  <c r="C2440" i="57"/>
  <c r="C2434" i="57"/>
  <c r="C2428" i="57"/>
  <c r="C2422" i="57"/>
  <c r="C2416" i="57"/>
  <c r="C2410" i="57"/>
  <c r="C2404" i="57"/>
  <c r="C2398" i="57"/>
  <c r="C2392" i="57"/>
  <c r="C2386" i="57"/>
  <c r="C2380" i="57"/>
  <c r="C2374" i="57"/>
  <c r="C2368" i="57"/>
  <c r="C2362" i="57"/>
  <c r="C2356" i="57"/>
  <c r="C2350" i="57"/>
  <c r="C2344" i="57"/>
  <c r="C377" i="57"/>
  <c r="C371" i="57"/>
  <c r="C365" i="57"/>
  <c r="C359" i="57"/>
  <c r="C353" i="57"/>
  <c r="C347" i="57"/>
  <c r="C341" i="57"/>
  <c r="C335" i="57"/>
  <c r="C329" i="57"/>
  <c r="C323" i="57"/>
  <c r="C317" i="57"/>
  <c r="C311" i="57"/>
  <c r="C305" i="57"/>
  <c r="C299" i="57"/>
  <c r="C293" i="57"/>
  <c r="C287" i="57"/>
  <c r="C281" i="57"/>
  <c r="C275" i="57"/>
  <c r="C269" i="57"/>
  <c r="C263" i="57"/>
  <c r="C257" i="57"/>
  <c r="C251" i="57"/>
  <c r="C245" i="57"/>
  <c r="C239" i="57"/>
  <c r="C233" i="57"/>
  <c r="C227" i="57"/>
  <c r="C221" i="57"/>
  <c r="C215" i="57"/>
  <c r="C209" i="57"/>
  <c r="C203" i="57"/>
  <c r="C197" i="57"/>
  <c r="C191" i="57"/>
  <c r="C185" i="57"/>
  <c r="C179" i="57"/>
  <c r="C173" i="57"/>
  <c r="C167" i="57"/>
  <c r="C161" i="57"/>
  <c r="C155" i="57"/>
  <c r="C149" i="57"/>
  <c r="C143" i="57"/>
  <c r="C137" i="57"/>
  <c r="C131" i="57"/>
  <c r="C125" i="57"/>
  <c r="C119" i="57"/>
  <c r="C113" i="57"/>
  <c r="C107" i="57"/>
  <c r="C101" i="57"/>
  <c r="C95" i="57"/>
  <c r="C89" i="57"/>
  <c r="C83" i="57"/>
  <c r="C77" i="57"/>
  <c r="C71" i="57"/>
  <c r="C65" i="57"/>
  <c r="C59" i="57"/>
  <c r="C53" i="57"/>
  <c r="C47" i="57"/>
  <c r="C41" i="57"/>
  <c r="C35" i="57"/>
  <c r="C29" i="57"/>
  <c r="C23" i="57"/>
  <c r="C17" i="57"/>
  <c r="C1454" i="57"/>
  <c r="C1448" i="57"/>
  <c r="C2481" i="57"/>
  <c r="C2475" i="57"/>
  <c r="C2469" i="57"/>
  <c r="C2463" i="57"/>
  <c r="C2457" i="57"/>
  <c r="C2451" i="57"/>
  <c r="C2445" i="57"/>
  <c r="C2439" i="57"/>
  <c r="C2433" i="57"/>
  <c r="C2427" i="57"/>
  <c r="C2421" i="57"/>
  <c r="C2415" i="57"/>
  <c r="C2409" i="57"/>
  <c r="C2403" i="57"/>
  <c r="C2397" i="57"/>
  <c r="C2391" i="57"/>
  <c r="C2385" i="57"/>
  <c r="C2379" i="57"/>
  <c r="C2373" i="57"/>
  <c r="C2367" i="57"/>
  <c r="C2361" i="57"/>
  <c r="C2355" i="57"/>
  <c r="C2349" i="57"/>
  <c r="C2343" i="57"/>
  <c r="C2337" i="57"/>
  <c r="C2331" i="57"/>
  <c r="C2325" i="57"/>
  <c r="C2319" i="57"/>
  <c r="C2313" i="57"/>
  <c r="C2307" i="57"/>
  <c r="C2301" i="57"/>
  <c r="C2295" i="57"/>
  <c r="C2289" i="57"/>
  <c r="C2283" i="57"/>
  <c r="C2277" i="57"/>
  <c r="C2271" i="57"/>
  <c r="C2265" i="57"/>
  <c r="C2259" i="57"/>
  <c r="C2253" i="57"/>
  <c r="C2247" i="57"/>
  <c r="C2241" i="57"/>
  <c r="C2235" i="57"/>
  <c r="C2229" i="57"/>
  <c r="C2223" i="57"/>
  <c r="C2217" i="57"/>
  <c r="C2211" i="57"/>
  <c r="C2205" i="57"/>
  <c r="C2199" i="57"/>
  <c r="C2193" i="57"/>
  <c r="C2187" i="57"/>
  <c r="C2181" i="57"/>
  <c r="C2175" i="57"/>
  <c r="C340" i="57"/>
  <c r="C334" i="57"/>
  <c r="C328" i="57"/>
  <c r="C322" i="57"/>
  <c r="C316" i="57"/>
  <c r="C310" i="57"/>
  <c r="C304" i="57"/>
  <c r="C298" i="57"/>
  <c r="C292" i="57"/>
  <c r="C286" i="57"/>
  <c r="C280" i="57"/>
  <c r="C274" i="57"/>
  <c r="C268" i="57"/>
  <c r="C262" i="57"/>
  <c r="C256" i="57"/>
  <c r="C250" i="57"/>
  <c r="C244" i="57"/>
  <c r="C238" i="57"/>
  <c r="C232" i="57"/>
  <c r="C226" i="57"/>
  <c r="C220" i="57"/>
  <c r="C214" i="57"/>
  <c r="C208" i="57"/>
  <c r="C202" i="57"/>
  <c r="C196" i="57"/>
  <c r="C190" i="57"/>
  <c r="C184" i="57"/>
  <c r="C178" i="57"/>
  <c r="C172" i="57"/>
  <c r="C166" i="57"/>
  <c r="C160" i="57"/>
  <c r="C154" i="57"/>
  <c r="C148" i="57"/>
  <c r="C142" i="57"/>
  <c r="C136" i="57"/>
  <c r="C130" i="57"/>
  <c r="C124" i="57"/>
  <c r="C118" i="57"/>
  <c r="C112" i="57"/>
  <c r="C106" i="57"/>
  <c r="C100" i="57"/>
  <c r="C94" i="57"/>
  <c r="C88" i="57"/>
  <c r="C82" i="57"/>
  <c r="C76" i="57"/>
  <c r="C70" i="57"/>
  <c r="C64" i="57"/>
  <c r="C58" i="57"/>
  <c r="C52" i="57"/>
  <c r="C46" i="57"/>
  <c r="C40" i="57"/>
  <c r="C34" i="57"/>
  <c r="C28" i="57"/>
  <c r="C22" i="57"/>
  <c r="C16" i="57"/>
  <c r="C1453" i="57"/>
  <c r="C1447" i="57"/>
  <c r="C2480" i="57"/>
  <c r="C2474" i="57"/>
  <c r="C2468" i="57"/>
  <c r="C2462" i="57"/>
  <c r="C2456" i="57"/>
  <c r="C2450" i="57"/>
  <c r="C2444" i="57"/>
  <c r="C2438" i="57"/>
  <c r="C2432" i="57"/>
  <c r="C2426" i="57"/>
  <c r="C2420" i="57"/>
  <c r="C2414" i="57"/>
  <c r="C2408" i="57"/>
  <c r="C2402" i="57"/>
  <c r="C2396" i="57"/>
  <c r="C2390" i="57"/>
  <c r="C2384" i="57"/>
  <c r="C2378" i="57"/>
  <c r="C2372" i="57"/>
  <c r="C2366" i="57"/>
  <c r="C2360" i="57"/>
  <c r="C2354" i="57"/>
  <c r="C375" i="57"/>
  <c r="C369" i="57"/>
  <c r="C363" i="57"/>
  <c r="C357" i="57"/>
  <c r="C351" i="57"/>
  <c r="C345" i="57"/>
  <c r="C339" i="57"/>
  <c r="C333" i="57"/>
  <c r="C327" i="57"/>
  <c r="C321" i="57"/>
  <c r="C315" i="57"/>
  <c r="C309" i="57"/>
  <c r="C303" i="57"/>
  <c r="C297" i="57"/>
  <c r="C291" i="57"/>
  <c r="C285" i="57"/>
  <c r="C279" i="57"/>
  <c r="C273" i="57"/>
  <c r="C267" i="57"/>
  <c r="C261" i="57"/>
  <c r="C255" i="57"/>
  <c r="C249" i="57"/>
  <c r="C243" i="57"/>
  <c r="C237" i="57"/>
  <c r="C231" i="57"/>
  <c r="C225" i="57"/>
  <c r="C219" i="57"/>
  <c r="C213" i="57"/>
  <c r="C207" i="57"/>
  <c r="C201" i="57"/>
  <c r="C195" i="57"/>
  <c r="C189" i="57"/>
  <c r="C183" i="57"/>
  <c r="C177" i="57"/>
  <c r="C171" i="57"/>
  <c r="C165" i="57"/>
  <c r="C159" i="57"/>
  <c r="C153" i="57"/>
  <c r="C147" i="57"/>
  <c r="C141" i="57"/>
  <c r="C135" i="57"/>
  <c r="C129" i="57"/>
  <c r="C123" i="57"/>
  <c r="C117" i="57"/>
  <c r="C111" i="57"/>
  <c r="C105" i="57"/>
  <c r="C99" i="57"/>
  <c r="C93" i="57"/>
  <c r="C87" i="57"/>
  <c r="C81" i="57"/>
  <c r="C75" i="57"/>
  <c r="C69" i="57"/>
  <c r="C63" i="57"/>
  <c r="C57" i="57"/>
  <c r="C51" i="57"/>
  <c r="C45" i="57"/>
  <c r="C39" i="57"/>
  <c r="C33" i="57"/>
  <c r="C27" i="57"/>
  <c r="C21" i="57"/>
  <c r="C14" i="57"/>
  <c r="C1446" i="57"/>
  <c r="C2479" i="57"/>
  <c r="C2473" i="57"/>
  <c r="C2467" i="57"/>
  <c r="C2461" i="57"/>
  <c r="C2455" i="57"/>
  <c r="C2449" i="57"/>
  <c r="C2443" i="57"/>
  <c r="C2437" i="57"/>
  <c r="C2431" i="57"/>
  <c r="C2425" i="57"/>
  <c r="C2419" i="57"/>
  <c r="C2413" i="57"/>
  <c r="C2407" i="57"/>
  <c r="C2401" i="57"/>
  <c r="C2395" i="57"/>
  <c r="C2389" i="57"/>
  <c r="C2383" i="57"/>
  <c r="C2377" i="57"/>
  <c r="C2371" i="57"/>
  <c r="C2365" i="57"/>
  <c r="C2359" i="57"/>
  <c r="C2353" i="57"/>
  <c r="C2347" i="57"/>
  <c r="C2338" i="57"/>
  <c r="C2332" i="57"/>
  <c r="C2326" i="57"/>
  <c r="C2320" i="57"/>
  <c r="C2314" i="57"/>
  <c r="C2308" i="57"/>
  <c r="C2302" i="57"/>
  <c r="C2296" i="57"/>
  <c r="C2290" i="57"/>
  <c r="C2284" i="57"/>
  <c r="C2278" i="57"/>
  <c r="C2272" i="57"/>
  <c r="C2266" i="57"/>
  <c r="C2260" i="57"/>
  <c r="C2254" i="57"/>
  <c r="C2248" i="57"/>
  <c r="C2242" i="57"/>
  <c r="C2236" i="57"/>
  <c r="C2230" i="57"/>
  <c r="C2224" i="57"/>
  <c r="C2218" i="57"/>
  <c r="C2212" i="57"/>
  <c r="C2206" i="57"/>
  <c r="C2200" i="57"/>
  <c r="C2194" i="57"/>
  <c r="C2188" i="57"/>
  <c r="C2182" i="57"/>
  <c r="C2176" i="57"/>
  <c r="C2170" i="57"/>
  <c r="C2164" i="57"/>
  <c r="C2158" i="57"/>
  <c r="C2152" i="57"/>
  <c r="C2146" i="57"/>
  <c r="C2140" i="57"/>
  <c r="C2134" i="57"/>
  <c r="C2128" i="57"/>
  <c r="C2122" i="57"/>
  <c r="C2116" i="57"/>
  <c r="C2110" i="57"/>
  <c r="C2104" i="57"/>
  <c r="C2098" i="57"/>
  <c r="C2092" i="57"/>
  <c r="C2086" i="57"/>
  <c r="C2080" i="57"/>
  <c r="C2074" i="57"/>
  <c r="C2068" i="57"/>
  <c r="C2062" i="57"/>
  <c r="C2056" i="57"/>
  <c r="C2050" i="57"/>
  <c r="C2044" i="57"/>
  <c r="C2038" i="57"/>
  <c r="C2032" i="57"/>
  <c r="C2026" i="57"/>
  <c r="C2020" i="57"/>
  <c r="C2014" i="57"/>
  <c r="C2008" i="57"/>
  <c r="C2002" i="57"/>
  <c r="C1996" i="57"/>
  <c r="C1990" i="57"/>
  <c r="C1984" i="57"/>
  <c r="C1978" i="57"/>
  <c r="C1972" i="57"/>
  <c r="C1966" i="57"/>
  <c r="C1960" i="57"/>
  <c r="C1954" i="57"/>
  <c r="C1948" i="57"/>
  <c r="C1942" i="57"/>
  <c r="C2169" i="57"/>
  <c r="C2163" i="57"/>
  <c r="C2157" i="57"/>
  <c r="C2151" i="57"/>
  <c r="C2145" i="57"/>
  <c r="C2139" i="57"/>
  <c r="C2133" i="57"/>
  <c r="C2127" i="57"/>
  <c r="C2121" i="57"/>
  <c r="C2115" i="57"/>
  <c r="C2109" i="57"/>
  <c r="C2103" i="57"/>
  <c r="C2097" i="57"/>
  <c r="C2091" i="57"/>
  <c r="C2085" i="57"/>
  <c r="C2079" i="57"/>
  <c r="C2073" i="57"/>
  <c r="C2067" i="57"/>
  <c r="C2061" i="57"/>
  <c r="C2055" i="57"/>
  <c r="C2049" i="57"/>
  <c r="C2043" i="57"/>
  <c r="C2037" i="57"/>
  <c r="C2031" i="57"/>
  <c r="C2025" i="57"/>
  <c r="C2019" i="57"/>
  <c r="C2013" i="57"/>
  <c r="C2007" i="57"/>
  <c r="C2001" i="57"/>
  <c r="C1995" i="57"/>
  <c r="C1989" i="57"/>
  <c r="C1983" i="57"/>
  <c r="C1977" i="57"/>
  <c r="C1971" i="57"/>
  <c r="C1965" i="57"/>
  <c r="C1959" i="57"/>
  <c r="C1953" i="57"/>
  <c r="C1947" i="57"/>
  <c r="C1941" i="57"/>
  <c r="C1935" i="57"/>
  <c r="C1929" i="57"/>
  <c r="C1923" i="57"/>
  <c r="C1917" i="57"/>
  <c r="C1911" i="57"/>
  <c r="C1905" i="57"/>
  <c r="C1899" i="57"/>
  <c r="C1893" i="57"/>
  <c r="C1887" i="57"/>
  <c r="C1881" i="57"/>
  <c r="C1875" i="57"/>
  <c r="C1869" i="57"/>
  <c r="C1863" i="57"/>
  <c r="C1857" i="57"/>
  <c r="C1851" i="57"/>
  <c r="C1845" i="57"/>
  <c r="C1839" i="57"/>
  <c r="C1833" i="57"/>
  <c r="C1827" i="57"/>
  <c r="C1821" i="57"/>
  <c r="C1815" i="57"/>
  <c r="C1809" i="57"/>
  <c r="C1803" i="57"/>
  <c r="C1797" i="57"/>
  <c r="C1791" i="57"/>
  <c r="C1785" i="57"/>
  <c r="C1779" i="57"/>
  <c r="C1773" i="57"/>
  <c r="C1767" i="57"/>
  <c r="C1761" i="57"/>
  <c r="C1755" i="57"/>
  <c r="C1749" i="57"/>
  <c r="C1743" i="57"/>
  <c r="C1737" i="57"/>
  <c r="C1731" i="57"/>
  <c r="C1725" i="57"/>
  <c r="C1719" i="57"/>
  <c r="C1713" i="57"/>
  <c r="C1707" i="57"/>
  <c r="C1701" i="57"/>
  <c r="C1695" i="57"/>
  <c r="C1689" i="57"/>
  <c r="C1683" i="57"/>
  <c r="C1677" i="57"/>
  <c r="C1671" i="57"/>
  <c r="C1665" i="57"/>
  <c r="C2348" i="57"/>
  <c r="C2342" i="57"/>
  <c r="C2336" i="57"/>
  <c r="C2330" i="57"/>
  <c r="C2324" i="57"/>
  <c r="C2318" i="57"/>
  <c r="C2312" i="57"/>
  <c r="C2306" i="57"/>
  <c r="C2300" i="57"/>
  <c r="C2294" i="57"/>
  <c r="C2288" i="57"/>
  <c r="C2282" i="57"/>
  <c r="C2276" i="57"/>
  <c r="C2270" i="57"/>
  <c r="C2264" i="57"/>
  <c r="C2258" i="57"/>
  <c r="C2252" i="57"/>
  <c r="C2240" i="57"/>
  <c r="C2222" i="57"/>
  <c r="C2216" i="57"/>
  <c r="C2204" i="57"/>
  <c r="C2186" i="57"/>
  <c r="C2180" i="57"/>
  <c r="C2168" i="57"/>
  <c r="C2150" i="57"/>
  <c r="C2144" i="57"/>
  <c r="C2138" i="57"/>
  <c r="C2132" i="57"/>
  <c r="C2126" i="57"/>
  <c r="C2120" i="57"/>
  <c r="C2341" i="57"/>
  <c r="C2335" i="57"/>
  <c r="C2329" i="57"/>
  <c r="C2323" i="57"/>
  <c r="C2317" i="57"/>
  <c r="C2311" i="57"/>
  <c r="C2305" i="57"/>
  <c r="C2299" i="57"/>
  <c r="C2293" i="57"/>
  <c r="C2287" i="57"/>
  <c r="C2281" i="57"/>
  <c r="C2275" i="57"/>
  <c r="C2269" i="57"/>
  <c r="C2263" i="57"/>
  <c r="C2257" i="57"/>
  <c r="C2251" i="57"/>
  <c r="C2245" i="57"/>
  <c r="C2239" i="57"/>
  <c r="C2233" i="57"/>
  <c r="C2227" i="57"/>
  <c r="C2221" i="57"/>
  <c r="C2215" i="57"/>
  <c r="C2209" i="57"/>
  <c r="C2203" i="57"/>
  <c r="C2197" i="57"/>
  <c r="C2191" i="57"/>
  <c r="C2185" i="57"/>
  <c r="C2179" i="57"/>
  <c r="C2173" i="57"/>
  <c r="C2167" i="57"/>
  <c r="C2161" i="57"/>
  <c r="C2155" i="57"/>
  <c r="C2149" i="57"/>
  <c r="C2143" i="57"/>
  <c r="C2137" i="57"/>
  <c r="C2131" i="57"/>
  <c r="C2125" i="57"/>
  <c r="C2119" i="57"/>
  <c r="C2113" i="57"/>
  <c r="C2107" i="57"/>
  <c r="C2101" i="57"/>
  <c r="C2095" i="57"/>
  <c r="C2089" i="57"/>
  <c r="C2083" i="57"/>
  <c r="C2077" i="57"/>
  <c r="C2071" i="57"/>
  <c r="C2065" i="57"/>
  <c r="C2059" i="57"/>
  <c r="C2053" i="57"/>
  <c r="C2047" i="57"/>
  <c r="C2041" i="57"/>
  <c r="C2035" i="57"/>
  <c r="C2029" i="57"/>
  <c r="C2023" i="57"/>
  <c r="C2017" i="57"/>
  <c r="C2011" i="57"/>
  <c r="C2005" i="57"/>
  <c r="C1999" i="57"/>
  <c r="C1993" i="57"/>
  <c r="C1987" i="57"/>
  <c r="C1981" i="57"/>
  <c r="C1975" i="57"/>
  <c r="C1969" i="57"/>
  <c r="C1963" i="57"/>
  <c r="C1957" i="57"/>
  <c r="C1951" i="57"/>
  <c r="C1945" i="57"/>
  <c r="C1939" i="57"/>
  <c r="C1933" i="57"/>
  <c r="C1927" i="57"/>
  <c r="C1921" i="57"/>
  <c r="C1915" i="57"/>
  <c r="C1936" i="57"/>
  <c r="C1930" i="57"/>
  <c r="C1924" i="57"/>
  <c r="C1918" i="57"/>
  <c r="C1912" i="57"/>
  <c r="C1906" i="57"/>
  <c r="C1900" i="57"/>
  <c r="C1894" i="57"/>
  <c r="C1888" i="57"/>
  <c r="C1882" i="57"/>
  <c r="C1876" i="57"/>
  <c r="C1870" i="57"/>
  <c r="C1864" i="57"/>
  <c r="C1858" i="57"/>
  <c r="C1852" i="57"/>
  <c r="C1846" i="57"/>
  <c r="C1840" i="57"/>
  <c r="C1834" i="57"/>
  <c r="C1828" i="57"/>
  <c r="C1822" i="57"/>
  <c r="C1816" i="57"/>
  <c r="C1810" i="57"/>
  <c r="C1804" i="57"/>
  <c r="C1798" i="57"/>
  <c r="C1792" i="57"/>
  <c r="C1786" i="57"/>
  <c r="C1780" i="57"/>
  <c r="C1774" i="57"/>
  <c r="C1768" i="57"/>
  <c r="C1762" i="57"/>
  <c r="C1756" i="57"/>
  <c r="C1750" i="57"/>
  <c r="C1744" i="57"/>
  <c r="C1738" i="57"/>
  <c r="C1732" i="57"/>
  <c r="C1726" i="57"/>
  <c r="C1720" i="57"/>
  <c r="C1714" i="57"/>
  <c r="C1708" i="57"/>
  <c r="C1702" i="57"/>
  <c r="C1696" i="57"/>
  <c r="C1690" i="57"/>
  <c r="C1684" i="57"/>
  <c r="C1678" i="57"/>
  <c r="C1672" i="57"/>
  <c r="C1666" i="57"/>
  <c r="C1660" i="57"/>
  <c r="C1654" i="57"/>
  <c r="C1648" i="57"/>
  <c r="C1642" i="57"/>
  <c r="C1636" i="57"/>
  <c r="C1630" i="57"/>
  <c r="C1624" i="57"/>
  <c r="C1618" i="57"/>
  <c r="C1612" i="57"/>
  <c r="C1606" i="57"/>
  <c r="C1600" i="57"/>
  <c r="C1594" i="57"/>
  <c r="C1588" i="57"/>
  <c r="C1582" i="57"/>
  <c r="C1576" i="57"/>
  <c r="C1570" i="57"/>
  <c r="C1564" i="57"/>
  <c r="C1558" i="57"/>
  <c r="C1552" i="57"/>
  <c r="C1546" i="57"/>
  <c r="C1540" i="57"/>
  <c r="C1534" i="57"/>
  <c r="C1528" i="57"/>
  <c r="C1522" i="57"/>
  <c r="C1516" i="57"/>
  <c r="C1510" i="57"/>
  <c r="C1504" i="57"/>
  <c r="C1498" i="57"/>
  <c r="C1492" i="57"/>
  <c r="C1486" i="57"/>
  <c r="C1480" i="57"/>
  <c r="C1474" i="57"/>
  <c r="C1468" i="57"/>
  <c r="C1462" i="57"/>
  <c r="C1456" i="57"/>
  <c r="C2489" i="57"/>
  <c r="C2483" i="57"/>
  <c r="C2506" i="57"/>
  <c r="C2500" i="57"/>
  <c r="C1659" i="57"/>
  <c r="C1653" i="57"/>
  <c r="C1647" i="57"/>
  <c r="C1641" i="57"/>
  <c r="C1635" i="57"/>
  <c r="C1629" i="57"/>
  <c r="C1623" i="57"/>
  <c r="C1617" i="57"/>
  <c r="C1611" i="57"/>
  <c r="C1605" i="57"/>
  <c r="C1599" i="57"/>
  <c r="C1593" i="57"/>
  <c r="C1587" i="57"/>
  <c r="C1581" i="57"/>
  <c r="C1575" i="57"/>
  <c r="C1569" i="57"/>
  <c r="C1563" i="57"/>
  <c r="C1557" i="57"/>
  <c r="C1551" i="57"/>
  <c r="C1545" i="57"/>
  <c r="C1539" i="57"/>
  <c r="C1533" i="57"/>
  <c r="C1527" i="57"/>
  <c r="C1521" i="57"/>
  <c r="C1515" i="57"/>
  <c r="C1509" i="57"/>
  <c r="C1503" i="57"/>
  <c r="C1497" i="57"/>
  <c r="C1491" i="57"/>
  <c r="C1485" i="57"/>
  <c r="C1479" i="57"/>
  <c r="C1473" i="57"/>
  <c r="C1467" i="57"/>
  <c r="C1461" i="57"/>
  <c r="C2494" i="57"/>
  <c r="C2488" i="57"/>
  <c r="C2482" i="57"/>
  <c r="C2505" i="57"/>
  <c r="C2499" i="57"/>
  <c r="C1688" i="57"/>
  <c r="C1682" i="57"/>
  <c r="C1676" i="57"/>
  <c r="C1670" i="57"/>
  <c r="C1664" i="57"/>
  <c r="C1658" i="57"/>
  <c r="C1652" i="57"/>
  <c r="C1646" i="57"/>
  <c r="C1640" i="57"/>
  <c r="C1634" i="57"/>
  <c r="C1628" i="57"/>
  <c r="C1622" i="57"/>
  <c r="C1616" i="57"/>
  <c r="C1610" i="57"/>
  <c r="C1604" i="57"/>
  <c r="C1598" i="57"/>
  <c r="C1592" i="57"/>
  <c r="C1586" i="57"/>
  <c r="C1580" i="57"/>
  <c r="C1574" i="57"/>
  <c r="C1568" i="57"/>
  <c r="C1562" i="57"/>
  <c r="C1556" i="57"/>
  <c r="C1550" i="57"/>
  <c r="C1544" i="57"/>
  <c r="C1538" i="57"/>
  <c r="C1532" i="57"/>
  <c r="C1526" i="57"/>
  <c r="C1520" i="57"/>
  <c r="C1514" i="57"/>
  <c r="C1508" i="57"/>
  <c r="C1502" i="57"/>
  <c r="C1496" i="57"/>
  <c r="C1490" i="57"/>
  <c r="C1484" i="57"/>
  <c r="C1478" i="57"/>
  <c r="C1472" i="57"/>
  <c r="C1466" i="57"/>
  <c r="C1460" i="57"/>
  <c r="C2493" i="57"/>
  <c r="C2487" i="57"/>
  <c r="C2509" i="57"/>
  <c r="C2503" i="57"/>
  <c r="C2497" i="57"/>
  <c r="H2451" i="57"/>
  <c r="H2391" i="57"/>
  <c r="H2337" i="57"/>
  <c r="H2301" i="57"/>
  <c r="H2271" i="57"/>
  <c r="H2235" i="57"/>
  <c r="H2205" i="57"/>
  <c r="H2169" i="57"/>
  <c r="H2139" i="57"/>
  <c r="H2103" i="57"/>
  <c r="H2068" i="57"/>
  <c r="H1906" i="57"/>
  <c r="H1744" i="57"/>
  <c r="H2445" i="57"/>
  <c r="H2379" i="57"/>
  <c r="H2331" i="57"/>
  <c r="H2295" i="57"/>
  <c r="H2265" i="57"/>
  <c r="H2229" i="57"/>
  <c r="H2199" i="57"/>
  <c r="H2163" i="57"/>
  <c r="H2133" i="57"/>
  <c r="H2367" i="57"/>
  <c r="H2325" i="57"/>
  <c r="H2289" i="57"/>
  <c r="H2259" i="57"/>
  <c r="H2193" i="57"/>
  <c r="H2157" i="57"/>
  <c r="H2127" i="57"/>
  <c r="H2091" i="57"/>
  <c r="H1960" i="57"/>
  <c r="H1798" i="57"/>
  <c r="H2469" i="57"/>
  <c r="H2355" i="57"/>
  <c r="H2319" i="57"/>
  <c r="H2253" i="57"/>
  <c r="H2223" i="57"/>
  <c r="H2187" i="57"/>
  <c r="H2121" i="57"/>
  <c r="H2085" i="57"/>
  <c r="H1989" i="57"/>
  <c r="H2453" i="57"/>
  <c r="H2398" i="57"/>
  <c r="H2152" i="57"/>
  <c r="H2086" i="57"/>
  <c r="H2032" i="57"/>
  <c r="H1978" i="57"/>
  <c r="H1924" i="57"/>
  <c r="H1870" i="57"/>
  <c r="H1816" i="57"/>
  <c r="H1762" i="57"/>
  <c r="H1708" i="57"/>
  <c r="H2050" i="57"/>
  <c r="H1996" i="57"/>
  <c r="H1942" i="57"/>
  <c r="H1888" i="57"/>
  <c r="H1834" i="57"/>
  <c r="H1780" i="57"/>
  <c r="H1726" i="57"/>
  <c r="H2134" i="57"/>
  <c r="H2368" i="57"/>
  <c r="H2176" i="57"/>
  <c r="H2200" i="57"/>
  <c r="H2446" i="57"/>
  <c r="H2458" i="57"/>
  <c r="H2350" i="57"/>
  <c r="H2242" i="57"/>
  <c r="H2224" i="57"/>
  <c r="H2104" i="57"/>
  <c r="H2476" i="57"/>
  <c r="H2362" i="57"/>
  <c r="H2338" i="57"/>
  <c r="H2308" i="57"/>
  <c r="H2260" i="57"/>
  <c r="H2146" i="57"/>
  <c r="H2080" i="57"/>
  <c r="H2062" i="57"/>
  <c r="H2044" i="57"/>
  <c r="H2026" i="57"/>
  <c r="H2008" i="57"/>
  <c r="H1990" i="57"/>
  <c r="H1972" i="57"/>
  <c r="H1954" i="57"/>
  <c r="H1936" i="57"/>
  <c r="H1918" i="57"/>
  <c r="H1900" i="57"/>
  <c r="H1882" i="57"/>
  <c r="H1864" i="57"/>
  <c r="H1846" i="57"/>
  <c r="H1828" i="57"/>
  <c r="H1810" i="57"/>
  <c r="H1792" i="57"/>
  <c r="H1774" i="57"/>
  <c r="H1756" i="57"/>
  <c r="H1738" i="57"/>
  <c r="H1720" i="57"/>
  <c r="H1702" i="57"/>
  <c r="H2470" i="57"/>
  <c r="H2386" i="57"/>
  <c r="H2356" i="57"/>
  <c r="H2284" i="57"/>
  <c r="H2452" i="57"/>
  <c r="H2416" i="57"/>
  <c r="H2254" i="57"/>
  <c r="H2230" i="57"/>
  <c r="H2182" i="57"/>
  <c r="H2140" i="57"/>
  <c r="H2092" i="57"/>
  <c r="H2074" i="57"/>
  <c r="H2056" i="57"/>
  <c r="H2038" i="57"/>
  <c r="H2020" i="57"/>
  <c r="H2002" i="57"/>
  <c r="H1984" i="57"/>
  <c r="H1966" i="57"/>
  <c r="H1948" i="57"/>
  <c r="H1930" i="57"/>
  <c r="H1912" i="57"/>
  <c r="H1894" i="57"/>
  <c r="H1876" i="57"/>
  <c r="H1858" i="57"/>
  <c r="H1840" i="57"/>
  <c r="H1822" i="57"/>
  <c r="H1804" i="57"/>
  <c r="H1786" i="57"/>
  <c r="H1768" i="57"/>
  <c r="H1750" i="57"/>
  <c r="H1732" i="57"/>
  <c r="H1714" i="57"/>
  <c r="H1696" i="57"/>
  <c r="H58" i="57"/>
  <c r="H2464" i="57"/>
  <c r="H2374" i="57"/>
  <c r="H2296" i="57"/>
  <c r="H2110" i="57"/>
  <c r="H2417" i="57"/>
  <c r="H2387" i="57"/>
  <c r="H2345" i="57"/>
  <c r="H2459" i="57"/>
  <c r="H2315" i="57"/>
  <c r="H2381" i="57"/>
  <c r="H2309" i="57"/>
  <c r="H2384" i="57"/>
  <c r="H2366" i="57"/>
  <c r="H2186" i="57"/>
  <c r="H2420" i="57"/>
  <c r="H2348" i="57"/>
  <c r="H2330" i="57"/>
  <c r="H2312" i="57"/>
  <c r="H2474" i="57"/>
  <c r="H2396" i="57"/>
  <c r="H2360" i="57"/>
  <c r="H2294" i="57"/>
  <c r="H2144" i="57"/>
  <c r="H2324" i="57"/>
  <c r="H2276" i="57"/>
  <c r="H2258" i="57"/>
  <c r="H2126" i="57"/>
  <c r="H2468" i="57"/>
  <c r="H2432" i="57"/>
  <c r="H2402" i="57"/>
  <c r="H2216" i="57"/>
  <c r="H2138" i="57"/>
  <c r="H2120" i="57"/>
  <c r="H93" i="57"/>
  <c r="H2481" i="57"/>
  <c r="H2439" i="57"/>
  <c r="H2421" i="57"/>
  <c r="H2403" i="57"/>
  <c r="H2361" i="57"/>
  <c r="H2349" i="57"/>
  <c r="H2373" i="57"/>
  <c r="H2475" i="57"/>
  <c r="H2463" i="57"/>
  <c r="H2433" i="57"/>
  <c r="H2385" i="57"/>
  <c r="H2427" i="57"/>
  <c r="H2415" i="57"/>
  <c r="H2434" i="57"/>
  <c r="H2422" i="57"/>
  <c r="H2410" i="57"/>
  <c r="H2332" i="57"/>
  <c r="H2320" i="57"/>
  <c r="H2272" i="57"/>
  <c r="H2212" i="57"/>
  <c r="H2194" i="57"/>
  <c r="H2164" i="57"/>
  <c r="H2122" i="57"/>
  <c r="H2404" i="57"/>
  <c r="H2392" i="57"/>
  <c r="H2344" i="57"/>
  <c r="H2290" i="57"/>
  <c r="H2278" i="57"/>
  <c r="H2266" i="57"/>
  <c r="H2236" i="57"/>
  <c r="H2206" i="57"/>
  <c r="H2188" i="57"/>
  <c r="H2158" i="57"/>
  <c r="H2440" i="57"/>
  <c r="H2428" i="57"/>
  <c r="H2380" i="57"/>
  <c r="H2326" i="57"/>
  <c r="H2314" i="57"/>
  <c r="H2302" i="57"/>
  <c r="H2248" i="57"/>
  <c r="H2218" i="57"/>
  <c r="H2170" i="57"/>
  <c r="H2128" i="57"/>
  <c r="H2116" i="57"/>
  <c r="H2098" i="57"/>
  <c r="H628" i="57"/>
  <c r="H1206" i="57"/>
  <c r="H2137" i="57"/>
  <c r="H2125" i="57"/>
  <c r="H2113" i="57"/>
  <c r="H2101" i="57"/>
  <c r="H2089" i="57"/>
  <c r="H2077" i="57"/>
  <c r="H2065" i="57"/>
  <c r="H2053" i="57"/>
  <c r="H2041" i="57"/>
  <c r="H2029" i="57"/>
  <c r="H2017" i="57"/>
  <c r="H2005" i="57"/>
  <c r="H1993" i="57"/>
  <c r="H1981" i="57"/>
  <c r="H1969" i="57"/>
  <c r="H1957" i="57"/>
  <c r="H1945" i="57"/>
  <c r="H1933" i="57"/>
  <c r="H1921" i="57"/>
  <c r="H2143" i="57"/>
  <c r="H2131" i="57"/>
  <c r="H2107" i="57"/>
  <c r="H2095" i="57"/>
  <c r="H2083" i="57"/>
  <c r="H2071" i="57"/>
  <c r="H2059" i="57"/>
  <c r="H2047" i="57"/>
  <c r="H2035" i="57"/>
  <c r="H2023" i="57"/>
  <c r="H2011" i="57"/>
  <c r="H1999" i="57"/>
  <c r="H1987" i="57"/>
  <c r="H1975" i="57"/>
  <c r="H1963" i="57"/>
  <c r="H1951" i="57"/>
  <c r="H1939" i="57"/>
  <c r="H1927" i="57"/>
  <c r="H1915" i="57"/>
  <c r="H2460" i="57"/>
  <c r="H2424" i="57"/>
  <c r="H2388" i="57"/>
  <c r="H2352" i="57"/>
  <c r="H2316" i="57"/>
  <c r="H1226" i="57"/>
  <c r="H2394" i="57"/>
  <c r="H2466" i="57"/>
  <c r="H2358" i="57"/>
  <c r="H2322" i="57"/>
  <c r="H891" i="57"/>
  <c r="H63" i="57"/>
  <c r="H2480" i="57"/>
  <c r="H2472" i="57"/>
  <c r="H2465" i="57"/>
  <c r="H2444" i="57"/>
  <c r="H2436" i="57"/>
  <c r="H2429" i="57"/>
  <c r="H2408" i="57"/>
  <c r="H2400" i="57"/>
  <c r="H2393" i="57"/>
  <c r="H2372" i="57"/>
  <c r="H2364" i="57"/>
  <c r="H2357" i="57"/>
  <c r="H2336" i="57"/>
  <c r="H2328" i="57"/>
  <c r="H2321" i="57"/>
  <c r="H2300" i="57"/>
  <c r="H2292" i="57"/>
  <c r="H2264" i="57"/>
  <c r="H2204" i="57"/>
  <c r="H2132" i="57"/>
  <c r="H2430" i="57"/>
  <c r="H2286" i="57"/>
  <c r="H2478" i="57"/>
  <c r="H2471" i="57"/>
  <c r="H2450" i="57"/>
  <c r="H2442" i="57"/>
  <c r="H2435" i="57"/>
  <c r="H2414" i="57"/>
  <c r="H2406" i="57"/>
  <c r="H2399" i="57"/>
  <c r="H2378" i="57"/>
  <c r="H2370" i="57"/>
  <c r="H2363" i="57"/>
  <c r="H2342" i="57"/>
  <c r="H2334" i="57"/>
  <c r="H2327" i="57"/>
  <c r="H2306" i="57"/>
  <c r="H2298" i="57"/>
  <c r="H2291" i="57"/>
  <c r="H2270" i="57"/>
  <c r="H2252" i="57"/>
  <c r="H2222" i="57"/>
  <c r="H2180" i="57"/>
  <c r="H2150" i="57"/>
  <c r="H69" i="57"/>
  <c r="H45" i="57"/>
  <c r="H2477" i="57"/>
  <c r="H2448" i="57"/>
  <c r="H2441" i="57"/>
  <c r="H2412" i="57"/>
  <c r="H2405" i="57"/>
  <c r="H2376" i="57"/>
  <c r="H2369" i="57"/>
  <c r="H2340" i="57"/>
  <c r="H2333" i="57"/>
  <c r="H2304" i="57"/>
  <c r="H2297" i="57"/>
  <c r="C2246" i="57"/>
  <c r="H2246" i="57"/>
  <c r="C2234" i="57"/>
  <c r="H2234" i="57"/>
  <c r="C2228" i="57"/>
  <c r="H2228" i="57"/>
  <c r="C2210" i="57"/>
  <c r="H2210" i="57"/>
  <c r="C2198" i="57"/>
  <c r="H2198" i="57"/>
  <c r="C2192" i="57"/>
  <c r="H2192" i="57"/>
  <c r="C2174" i="57"/>
  <c r="H2174" i="57"/>
  <c r="C2162" i="57"/>
  <c r="H2162" i="57"/>
  <c r="C2156" i="57"/>
  <c r="H2156" i="57"/>
  <c r="C2114" i="57"/>
  <c r="H2114" i="57"/>
  <c r="C2108" i="57"/>
  <c r="H2108" i="57"/>
  <c r="C2102" i="57"/>
  <c r="H2102" i="57"/>
  <c r="C2096" i="57"/>
  <c r="H2096" i="57"/>
  <c r="C2090" i="57"/>
  <c r="H2090" i="57"/>
  <c r="C2084" i="57"/>
  <c r="H2084" i="57"/>
  <c r="C2078" i="57"/>
  <c r="H2078" i="57"/>
  <c r="C2072" i="57"/>
  <c r="H2072" i="57"/>
  <c r="C2066" i="57"/>
  <c r="H2066" i="57"/>
  <c r="C2060" i="57"/>
  <c r="H2060" i="57"/>
  <c r="C2054" i="57"/>
  <c r="H2054" i="57"/>
  <c r="C2048" i="57"/>
  <c r="H2048" i="57"/>
  <c r="C2042" i="57"/>
  <c r="H2042" i="57"/>
  <c r="C2036" i="57"/>
  <c r="H2036" i="57"/>
  <c r="C2030" i="57"/>
  <c r="H2030" i="57"/>
  <c r="C2024" i="57"/>
  <c r="H2024" i="57"/>
  <c r="C2018" i="57"/>
  <c r="H2018" i="57"/>
  <c r="C2012" i="57"/>
  <c r="H2012" i="57"/>
  <c r="C2006" i="57"/>
  <c r="H2006" i="57"/>
  <c r="C2000" i="57"/>
  <c r="H2000" i="57"/>
  <c r="C1994" i="57"/>
  <c r="H1994" i="57"/>
  <c r="C1988" i="57"/>
  <c r="H1988" i="57"/>
  <c r="C1982" i="57"/>
  <c r="H1982" i="57"/>
  <c r="C1976" i="57"/>
  <c r="H1976" i="57"/>
  <c r="C1970" i="57"/>
  <c r="H1970" i="57"/>
  <c r="C1964" i="57"/>
  <c r="H1964" i="57"/>
  <c r="C1958" i="57"/>
  <c r="H1958" i="57"/>
  <c r="C1952" i="57"/>
  <c r="H1952" i="57"/>
  <c r="C1946" i="57"/>
  <c r="H1946" i="57"/>
  <c r="C1940" i="57"/>
  <c r="H1940" i="57"/>
  <c r="C1934" i="57"/>
  <c r="H1934" i="57"/>
  <c r="C1928" i="57"/>
  <c r="H1928" i="57"/>
  <c r="C1922" i="57"/>
  <c r="H1922" i="57"/>
  <c r="C1916" i="57"/>
  <c r="H1916" i="57"/>
  <c r="C1910" i="57"/>
  <c r="H1910" i="57"/>
  <c r="C1904" i="57"/>
  <c r="H1904" i="57"/>
  <c r="C1898" i="57"/>
  <c r="H1898" i="57"/>
  <c r="C1892" i="57"/>
  <c r="H1892" i="57"/>
  <c r="C1886" i="57"/>
  <c r="H1886" i="57"/>
  <c r="C1880" i="57"/>
  <c r="H1880" i="57"/>
  <c r="C1874" i="57"/>
  <c r="H1874" i="57"/>
  <c r="C1868" i="57"/>
  <c r="H1868" i="57"/>
  <c r="C1862" i="57"/>
  <c r="H1862" i="57"/>
  <c r="C1856" i="57"/>
  <c r="H1856" i="57"/>
  <c r="C1850" i="57"/>
  <c r="H1850" i="57"/>
  <c r="C1844" i="57"/>
  <c r="H1844" i="57"/>
  <c r="C1838" i="57"/>
  <c r="H1838" i="57"/>
  <c r="C1832" i="57"/>
  <c r="H1832" i="57"/>
  <c r="C1826" i="57"/>
  <c r="H1826" i="57"/>
  <c r="C1820" i="57"/>
  <c r="H1820" i="57"/>
  <c r="C1814" i="57"/>
  <c r="H1814" i="57"/>
  <c r="C1808" i="57"/>
  <c r="H1808" i="57"/>
  <c r="C1802" i="57"/>
  <c r="H1802" i="57"/>
  <c r="C1796" i="57"/>
  <c r="H1796" i="57"/>
  <c r="C1790" i="57"/>
  <c r="H1790" i="57"/>
  <c r="C1784" i="57"/>
  <c r="H1784" i="57"/>
  <c r="C1778" i="57"/>
  <c r="H1778" i="57"/>
  <c r="C1772" i="57"/>
  <c r="H1772" i="57"/>
  <c r="C1766" i="57"/>
  <c r="H1766" i="57"/>
  <c r="C1760" i="57"/>
  <c r="H1760" i="57"/>
  <c r="C1754" i="57"/>
  <c r="H1754" i="57"/>
  <c r="C1748" i="57"/>
  <c r="H1748" i="57"/>
  <c r="C1742" i="57"/>
  <c r="H1742" i="57"/>
  <c r="C1736" i="57"/>
  <c r="H1736" i="57"/>
  <c r="C1730" i="57"/>
  <c r="H1730" i="57"/>
  <c r="C1724" i="57"/>
  <c r="H1724" i="57"/>
  <c r="C1718" i="57"/>
  <c r="H1718" i="57"/>
  <c r="C1712" i="57"/>
  <c r="H1712" i="57"/>
  <c r="C1706" i="57"/>
  <c r="H1706" i="57"/>
  <c r="C1700" i="57"/>
  <c r="H1700" i="57"/>
  <c r="C1694" i="57"/>
  <c r="H1694" i="57"/>
  <c r="H351" i="57"/>
  <c r="H1245" i="57"/>
  <c r="H243" i="57"/>
  <c r="H2462" i="57"/>
  <c r="H2454" i="57"/>
  <c r="H2447" i="57"/>
  <c r="H2426" i="57"/>
  <c r="H2418" i="57"/>
  <c r="H2411" i="57"/>
  <c r="H2390" i="57"/>
  <c r="H2382" i="57"/>
  <c r="H2375" i="57"/>
  <c r="H2354" i="57"/>
  <c r="H2346" i="57"/>
  <c r="H2339" i="57"/>
  <c r="H2318" i="57"/>
  <c r="H2310" i="57"/>
  <c r="H2303" i="57"/>
  <c r="H2282" i="57"/>
  <c r="H2240" i="57"/>
  <c r="H2168" i="57"/>
  <c r="H2479" i="57"/>
  <c r="H2473" i="57"/>
  <c r="H2467" i="57"/>
  <c r="H2461" i="57"/>
  <c r="H2455" i="57"/>
  <c r="H2449" i="57"/>
  <c r="H2443" i="57"/>
  <c r="H2437" i="57"/>
  <c r="H2431" i="57"/>
  <c r="H2425" i="57"/>
  <c r="H2419" i="57"/>
  <c r="H2413" i="57"/>
  <c r="H2407" i="57"/>
  <c r="H2401" i="57"/>
  <c r="H2395" i="57"/>
  <c r="H2389" i="57"/>
  <c r="H2383" i="57"/>
  <c r="H2377" i="57"/>
  <c r="H2371" i="57"/>
  <c r="H2365" i="57"/>
  <c r="H2359" i="57"/>
  <c r="H2353" i="57"/>
  <c r="H2347" i="57"/>
  <c r="H2341" i="57"/>
  <c r="H2335" i="57"/>
  <c r="H2329" i="57"/>
  <c r="H2323" i="57"/>
  <c r="H2317" i="57"/>
  <c r="H2311" i="57"/>
  <c r="H2305" i="57"/>
  <c r="H2299" i="57"/>
  <c r="H2293" i="57"/>
  <c r="H2287" i="57"/>
  <c r="H2281" i="57"/>
  <c r="H2275" i="57"/>
  <c r="H2269" i="57"/>
  <c r="H2263" i="57"/>
  <c r="H2257" i="57"/>
  <c r="H2251" i="57"/>
  <c r="H2245" i="57"/>
  <c r="H2239" i="57"/>
  <c r="H2233" i="57"/>
  <c r="H2227" i="57"/>
  <c r="H2221" i="57"/>
  <c r="H2215" i="57"/>
  <c r="H2209" i="57"/>
  <c r="H2203" i="57"/>
  <c r="H2197" i="57"/>
  <c r="H2191" i="57"/>
  <c r="H2185" i="57"/>
  <c r="H2179" i="57"/>
  <c r="H2173" i="57"/>
  <c r="H2167" i="57"/>
  <c r="H2161" i="57"/>
  <c r="H2155" i="57"/>
  <c r="H2149" i="57"/>
  <c r="H2119" i="57"/>
  <c r="H130" i="57"/>
  <c r="H496" i="57"/>
  <c r="H82" i="57"/>
  <c r="H328" i="57"/>
  <c r="H610" i="57"/>
  <c r="H472" i="57"/>
  <c r="H52" i="57"/>
  <c r="H784" i="57"/>
  <c r="H598" i="57"/>
  <c r="H412" i="57"/>
  <c r="H232" i="57"/>
  <c r="H100" i="57"/>
  <c r="H70" i="57"/>
  <c r="H46" i="57"/>
  <c r="H1156" i="57"/>
  <c r="H772" i="57"/>
  <c r="H556" i="57"/>
  <c r="H370" i="57"/>
  <c r="H220" i="57"/>
  <c r="H94" i="57"/>
  <c r="H880" i="57"/>
  <c r="H76" i="57"/>
  <c r="H940" i="57"/>
  <c r="H760" i="57"/>
  <c r="H526" i="57"/>
  <c r="H352" i="57"/>
  <c r="H184" i="57"/>
  <c r="H64" i="57"/>
  <c r="H40" i="57"/>
  <c r="H106" i="57"/>
  <c r="H1312" i="57"/>
  <c r="H916" i="57"/>
  <c r="H724" i="57"/>
  <c r="H514" i="57"/>
  <c r="H160" i="57"/>
  <c r="H88" i="57"/>
  <c r="H34" i="57"/>
  <c r="C2280" i="57"/>
  <c r="C2274" i="57"/>
  <c r="C2268" i="57"/>
  <c r="C2262" i="57"/>
  <c r="C2256" i="57"/>
  <c r="C2250" i="57"/>
  <c r="C2244" i="57"/>
  <c r="C2238" i="57"/>
  <c r="C2232" i="57"/>
  <c r="C2226" i="57"/>
  <c r="C2220" i="57"/>
  <c r="C2214" i="57"/>
  <c r="C2208" i="57"/>
  <c r="C2202" i="57"/>
  <c r="C2196" i="57"/>
  <c r="C2190" i="57"/>
  <c r="C2184" i="57"/>
  <c r="C2178" i="57"/>
  <c r="C2172" i="57"/>
  <c r="C2166" i="57"/>
  <c r="C2160" i="57"/>
  <c r="C2154" i="57"/>
  <c r="C2148" i="57"/>
  <c r="C2142" i="57"/>
  <c r="C2136" i="57"/>
  <c r="C2130" i="57"/>
  <c r="C2124" i="57"/>
  <c r="C2118" i="57"/>
  <c r="C2112" i="57"/>
  <c r="C2106" i="57"/>
  <c r="C2100" i="57"/>
  <c r="C2094" i="57"/>
  <c r="C2088" i="57"/>
  <c r="C2082" i="57"/>
  <c r="C2076" i="57"/>
  <c r="C2070" i="57"/>
  <c r="C2064" i="57"/>
  <c r="C2058" i="57"/>
  <c r="C2052" i="57"/>
  <c r="C2046" i="57"/>
  <c r="C2040" i="57"/>
  <c r="C2034" i="57"/>
  <c r="C2028" i="57"/>
  <c r="C2022" i="57"/>
  <c r="C2016" i="57"/>
  <c r="C2010" i="57"/>
  <c r="C2004" i="57"/>
  <c r="C1998" i="57"/>
  <c r="C1992" i="57"/>
  <c r="C1986" i="57"/>
  <c r="C1980" i="57"/>
  <c r="C1974" i="57"/>
  <c r="C1968" i="57"/>
  <c r="C1962" i="57"/>
  <c r="C1956" i="57"/>
  <c r="C1950" i="57"/>
  <c r="C1944" i="57"/>
  <c r="C1938" i="57"/>
  <c r="C1932" i="57"/>
  <c r="C1926" i="57"/>
  <c r="C1920" i="57"/>
  <c r="C1914" i="57"/>
  <c r="C1908" i="57"/>
  <c r="C1902" i="57"/>
  <c r="C1896" i="57"/>
  <c r="C1890" i="57"/>
  <c r="C1884" i="57"/>
  <c r="C1878" i="57"/>
  <c r="C1872" i="57"/>
  <c r="C1866" i="57"/>
  <c r="C1860" i="57"/>
  <c r="C1854" i="57"/>
  <c r="C1848" i="57"/>
  <c r="C1842" i="57"/>
  <c r="C1836" i="57"/>
  <c r="C1830" i="57"/>
  <c r="C1824" i="57"/>
  <c r="C1818" i="57"/>
  <c r="C1812" i="57"/>
  <c r="C1806" i="57"/>
  <c r="C1800" i="57"/>
  <c r="C1794" i="57"/>
  <c r="C1788" i="57"/>
  <c r="C1782" i="57"/>
  <c r="C1776" i="57"/>
  <c r="C1770" i="57"/>
  <c r="C1764" i="57"/>
  <c r="C1758" i="57"/>
  <c r="C1752" i="57"/>
  <c r="C1746" i="57"/>
  <c r="C1740" i="57"/>
  <c r="C1734" i="57"/>
  <c r="C1728" i="57"/>
  <c r="C1722" i="57"/>
  <c r="C1716" i="57"/>
  <c r="C1710" i="57"/>
  <c r="C1704" i="57"/>
  <c r="C1698" i="57"/>
  <c r="C1692" i="57"/>
  <c r="C1686" i="57"/>
  <c r="C1680" i="57"/>
  <c r="C1674" i="57"/>
  <c r="C1668" i="57"/>
  <c r="C1662" i="57"/>
  <c r="C1656" i="57"/>
  <c r="C1650" i="57"/>
  <c r="C1644" i="57"/>
  <c r="C1638" i="57"/>
  <c r="C1632" i="57"/>
  <c r="C1626" i="57"/>
  <c r="C1620" i="57"/>
  <c r="C1614" i="57"/>
  <c r="C1608" i="57"/>
  <c r="C1602" i="57"/>
  <c r="C1596" i="57"/>
  <c r="C1590" i="57"/>
  <c r="C1584" i="57"/>
  <c r="C1578" i="57"/>
  <c r="C1572" i="57"/>
  <c r="C1566" i="57"/>
  <c r="C1560" i="57"/>
  <c r="C1554" i="57"/>
  <c r="C1548" i="57"/>
  <c r="C1542" i="57"/>
  <c r="C1536" i="57"/>
  <c r="C1530" i="57"/>
  <c r="C1524" i="57"/>
  <c r="C1518" i="57"/>
  <c r="C1512" i="57"/>
  <c r="C1506" i="57"/>
  <c r="C1500" i="57"/>
  <c r="C1494" i="57"/>
  <c r="C1488" i="57"/>
  <c r="C1482" i="57"/>
  <c r="C1476" i="57"/>
  <c r="C1470" i="57"/>
  <c r="C1464" i="57"/>
  <c r="C1458" i="57"/>
  <c r="C2491" i="57"/>
  <c r="C2485" i="57"/>
  <c r="C2508" i="57"/>
  <c r="C2502" i="57"/>
  <c r="C2496" i="57"/>
  <c r="C2285" i="57"/>
  <c r="C2279" i="57"/>
  <c r="C2273" i="57"/>
  <c r="C2267" i="57"/>
  <c r="C2261" i="57"/>
  <c r="C2255" i="57"/>
  <c r="C2249" i="57"/>
  <c r="C2243" i="57"/>
  <c r="C2237" i="57"/>
  <c r="C2231" i="57"/>
  <c r="C2225" i="57"/>
  <c r="C2219" i="57"/>
  <c r="C2213" i="57"/>
  <c r="C2207" i="57"/>
  <c r="C2201" i="57"/>
  <c r="C2195" i="57"/>
  <c r="C2189" i="57"/>
  <c r="C2183" i="57"/>
  <c r="C2177" i="57"/>
  <c r="C2171" i="57"/>
  <c r="C2165" i="57"/>
  <c r="C2159" i="57"/>
  <c r="C2153" i="57"/>
  <c r="C2147" i="57"/>
  <c r="C2141" i="57"/>
  <c r="C2135" i="57"/>
  <c r="C2129" i="57"/>
  <c r="C2123" i="57"/>
  <c r="C2117" i="57"/>
  <c r="C2111" i="57"/>
  <c r="C2105" i="57"/>
  <c r="C2099" i="57"/>
  <c r="C2093" i="57"/>
  <c r="C2087" i="57"/>
  <c r="C2081" i="57"/>
  <c r="C2075" i="57"/>
  <c r="C2069" i="57"/>
  <c r="C2063" i="57"/>
  <c r="C2057" i="57"/>
  <c r="C2051" i="57"/>
  <c r="C2045" i="57"/>
  <c r="C2039" i="57"/>
  <c r="C2033" i="57"/>
  <c r="C2027" i="57"/>
  <c r="C2021" i="57"/>
  <c r="C2015" i="57"/>
  <c r="C2009" i="57"/>
  <c r="C2003" i="57"/>
  <c r="C1997" i="57"/>
  <c r="C1991" i="57"/>
  <c r="C1985" i="57"/>
  <c r="C1979" i="57"/>
  <c r="C1973" i="57"/>
  <c r="C1967" i="57"/>
  <c r="C1961" i="57"/>
  <c r="C1955" i="57"/>
  <c r="C1949" i="57"/>
  <c r="C1943" i="57"/>
  <c r="C1937" i="57"/>
  <c r="C1931" i="57"/>
  <c r="C1925" i="57"/>
  <c r="C1919" i="57"/>
  <c r="C1913" i="57"/>
  <c r="C1907" i="57"/>
  <c r="C1901" i="57"/>
  <c r="C1895" i="57"/>
  <c r="C1889" i="57"/>
  <c r="C1883" i="57"/>
  <c r="C1877" i="57"/>
  <c r="C1871" i="57"/>
  <c r="C1865" i="57"/>
  <c r="C1859" i="57"/>
  <c r="C1853" i="57"/>
  <c r="C1847" i="57"/>
  <c r="C1841" i="57"/>
  <c r="C1835" i="57"/>
  <c r="C1829" i="57"/>
  <c r="C1823" i="57"/>
  <c r="C1817" i="57"/>
  <c r="C1811" i="57"/>
  <c r="C1805" i="57"/>
  <c r="C1799" i="57"/>
  <c r="C1793" i="57"/>
  <c r="C1787" i="57"/>
  <c r="C1781" i="57"/>
  <c r="C1775" i="57"/>
  <c r="C1769" i="57"/>
  <c r="C1763" i="57"/>
  <c r="C1757" i="57"/>
  <c r="C1751" i="57"/>
  <c r="C1745" i="57"/>
  <c r="C1739" i="57"/>
  <c r="C1733" i="57"/>
  <c r="C1727" i="57"/>
  <c r="C1721" i="57"/>
  <c r="C1715" i="57"/>
  <c r="C1709" i="57"/>
  <c r="C1703" i="57"/>
  <c r="C1697" i="57"/>
  <c r="C1691" i="57"/>
  <c r="C1685" i="57"/>
  <c r="C1679" i="57"/>
  <c r="C1673" i="57"/>
  <c r="C1667" i="57"/>
  <c r="C1661" i="57"/>
  <c r="C1655" i="57"/>
  <c r="C1649" i="57"/>
  <c r="C1643" i="57"/>
  <c r="C1637" i="57"/>
  <c r="C1631" i="57"/>
  <c r="C1625" i="57"/>
  <c r="C1619" i="57"/>
  <c r="C1613" i="57"/>
  <c r="C1607" i="57"/>
  <c r="C1601" i="57"/>
  <c r="C1595" i="57"/>
  <c r="C1589" i="57"/>
  <c r="C1583" i="57"/>
  <c r="C1577" i="57"/>
  <c r="C1571" i="57"/>
  <c r="C1565" i="57"/>
  <c r="C1559" i="57"/>
  <c r="C1553" i="57"/>
  <c r="C1547" i="57"/>
  <c r="C1541" i="57"/>
  <c r="C1535" i="57"/>
  <c r="C1529" i="57"/>
  <c r="C1523" i="57"/>
  <c r="C1517" i="57"/>
  <c r="C1511" i="57"/>
  <c r="C1505" i="57"/>
  <c r="C1499" i="57"/>
  <c r="C1493" i="57"/>
  <c r="C1487" i="57"/>
  <c r="C1481" i="57"/>
  <c r="C1475" i="57"/>
  <c r="C1469" i="57"/>
  <c r="C1463" i="57"/>
  <c r="C1457" i="57"/>
  <c r="C2490" i="57"/>
  <c r="C2484" i="57"/>
  <c r="C2507" i="57"/>
  <c r="C2501" i="57"/>
  <c r="C2495" i="57"/>
  <c r="H2499" i="57"/>
  <c r="H927" i="57"/>
  <c r="H777" i="57"/>
  <c r="H813" i="57"/>
  <c r="H711" i="57"/>
  <c r="H1353" i="57"/>
  <c r="H639" i="57"/>
  <c r="C1909" i="57"/>
  <c r="C1903" i="57"/>
  <c r="C1897" i="57"/>
  <c r="C1891" i="57"/>
  <c r="C1885" i="57"/>
  <c r="C1879" i="57"/>
  <c r="C1873" i="57"/>
  <c r="C1867" i="57"/>
  <c r="C1861" i="57"/>
  <c r="C1855" i="57"/>
  <c r="C1849" i="57"/>
  <c r="C1843" i="57"/>
  <c r="C1837" i="57"/>
  <c r="C1831" i="57"/>
  <c r="C1825" i="57"/>
  <c r="C1819" i="57"/>
  <c r="C1813" i="57"/>
  <c r="C1807" i="57"/>
  <c r="C1801" i="57"/>
  <c r="C1795" i="57"/>
  <c r="C1789" i="57"/>
  <c r="C1783" i="57"/>
  <c r="C1777" i="57"/>
  <c r="C1771" i="57"/>
  <c r="C1765" i="57"/>
  <c r="C1759" i="57"/>
  <c r="C1753" i="57"/>
  <c r="C1747" i="57"/>
  <c r="C1741" i="57"/>
  <c r="C1735" i="57"/>
  <c r="C1729" i="57"/>
  <c r="C1723" i="57"/>
  <c r="C1717" i="57"/>
  <c r="C1711" i="57"/>
  <c r="C1705" i="57"/>
  <c r="C1699" i="57"/>
  <c r="C1693" i="57"/>
  <c r="C1687" i="57"/>
  <c r="C1681" i="57"/>
  <c r="C1675" i="57"/>
  <c r="C1669" i="57"/>
  <c r="C1663" i="57"/>
  <c r="C1657" i="57"/>
  <c r="C1651" i="57"/>
  <c r="C1645" i="57"/>
  <c r="C1639" i="57"/>
  <c r="C1633" i="57"/>
  <c r="C1627" i="57"/>
  <c r="C1621" i="57"/>
  <c r="C1615" i="57"/>
  <c r="C1609" i="57"/>
  <c r="C1603" i="57"/>
  <c r="C1597" i="57"/>
  <c r="C1591" i="57"/>
  <c r="C1585" i="57"/>
  <c r="C1579" i="57"/>
  <c r="C1573" i="57"/>
  <c r="C1567" i="57"/>
  <c r="C1561" i="57"/>
  <c r="C1555" i="57"/>
  <c r="C1549" i="57"/>
  <c r="C1543" i="57"/>
  <c r="C1537" i="57"/>
  <c r="C1531" i="57"/>
  <c r="C1525" i="57"/>
  <c r="C1519" i="57"/>
  <c r="C1513" i="57"/>
  <c r="C1507" i="57"/>
  <c r="C1501" i="57"/>
  <c r="C1495" i="57"/>
  <c r="C1489" i="57"/>
  <c r="C1483" i="57"/>
  <c r="C1477" i="57"/>
  <c r="C1471" i="57"/>
  <c r="C1465" i="57"/>
  <c r="C1459" i="57"/>
  <c r="C2492" i="57"/>
  <c r="C2486" i="57"/>
  <c r="C2510" i="57"/>
  <c r="C2504" i="57"/>
  <c r="C2498" i="57"/>
  <c r="C15" i="57"/>
  <c r="H524" i="57"/>
  <c r="H902" i="57"/>
  <c r="H1046" i="57"/>
  <c r="H740" i="57"/>
  <c r="H308" i="57"/>
  <c r="H1136" i="57"/>
  <c r="H956" i="57"/>
  <c r="H1298" i="57"/>
  <c r="H1208" i="57"/>
  <c r="H1132" i="57"/>
  <c r="H1042" i="57"/>
  <c r="H266" i="57"/>
  <c r="H200" i="57"/>
  <c r="H128" i="57"/>
  <c r="H92" i="57"/>
  <c r="H1280" i="57"/>
  <c r="H1100" i="57"/>
  <c r="H1028" i="57"/>
  <c r="H938" i="57"/>
  <c r="H884" i="57"/>
  <c r="H122" i="57"/>
  <c r="H1352" i="57"/>
  <c r="H1262" i="57"/>
  <c r="H1172" i="57"/>
  <c r="H1096" i="57"/>
  <c r="H1010" i="57"/>
  <c r="H662" i="57"/>
  <c r="H236" i="57"/>
  <c r="H164" i="57"/>
  <c r="H62" i="57"/>
  <c r="H1334" i="57"/>
  <c r="H992" i="57"/>
  <c r="H770" i="57"/>
  <c r="H446" i="57"/>
  <c r="H1082" i="57"/>
  <c r="H920" i="57"/>
  <c r="H866" i="57"/>
  <c r="H554" i="57"/>
  <c r="H338" i="57"/>
  <c r="H1316" i="57"/>
  <c r="H1244" i="57"/>
  <c r="H1154" i="57"/>
  <c r="H1064" i="57"/>
  <c r="H974" i="57"/>
  <c r="H848" i="57"/>
  <c r="H632" i="57"/>
  <c r="H416" i="57"/>
  <c r="H230" i="57"/>
  <c r="H158" i="57"/>
  <c r="H1372" i="57"/>
  <c r="H1370" i="57"/>
  <c r="H1442" i="57"/>
  <c r="H1317" i="57"/>
  <c r="H1258" i="57"/>
  <c r="H1190" i="57"/>
  <c r="H1118" i="57"/>
  <c r="H1388" i="57"/>
  <c r="H1116" i="57"/>
  <c r="H817" i="57"/>
  <c r="H402" i="57"/>
  <c r="H66" i="57"/>
  <c r="H1424" i="57"/>
  <c r="H1348" i="57"/>
  <c r="H1406" i="57"/>
  <c r="H403" i="57"/>
  <c r="H1207" i="57"/>
  <c r="H1249" i="57"/>
  <c r="H991" i="57"/>
  <c r="H205" i="57"/>
  <c r="C1441" i="57"/>
  <c r="H1441" i="57"/>
  <c r="C1417" i="57"/>
  <c r="H1417" i="57"/>
  <c r="C1393" i="57"/>
  <c r="H1393" i="57"/>
  <c r="C1369" i="57"/>
  <c r="H1369" i="57"/>
  <c r="C1285" i="57"/>
  <c r="H1285" i="57"/>
  <c r="C1213" i="57"/>
  <c r="H1213" i="57"/>
  <c r="C1171" i="57"/>
  <c r="H1171" i="57"/>
  <c r="C1147" i="57"/>
  <c r="H1147" i="57"/>
  <c r="C1123" i="57"/>
  <c r="H1123" i="57"/>
  <c r="C1105" i="57"/>
  <c r="H1105" i="57"/>
  <c r="C1075" i="57"/>
  <c r="H1075" i="57"/>
  <c r="C1045" i="57"/>
  <c r="H1045" i="57"/>
  <c r="C997" i="57"/>
  <c r="H997" i="57"/>
  <c r="C973" i="57"/>
  <c r="H973" i="57"/>
  <c r="C955" i="57"/>
  <c r="H955" i="57"/>
  <c r="C925" i="57"/>
  <c r="H925" i="57"/>
  <c r="C883" i="57"/>
  <c r="H883" i="57"/>
  <c r="C871" i="57"/>
  <c r="H871" i="57"/>
  <c r="C853" i="57"/>
  <c r="H853" i="57"/>
  <c r="C835" i="57"/>
  <c r="H835" i="57"/>
  <c r="C823" i="57"/>
  <c r="H823" i="57"/>
  <c r="C805" i="57"/>
  <c r="H805" i="57"/>
  <c r="C793" i="57"/>
  <c r="H793" i="57"/>
  <c r="C775" i="57"/>
  <c r="H775" i="57"/>
  <c r="C757" i="57"/>
  <c r="H757" i="57"/>
  <c r="C739" i="57"/>
  <c r="H739" i="57"/>
  <c r="C727" i="57"/>
  <c r="H727" i="57"/>
  <c r="C703" i="57"/>
  <c r="H703" i="57"/>
  <c r="C685" i="57"/>
  <c r="H685" i="57"/>
  <c r="C649" i="57"/>
  <c r="H649" i="57"/>
  <c r="C547" i="57"/>
  <c r="H547" i="57"/>
  <c r="C529" i="57"/>
  <c r="H529" i="57"/>
  <c r="C511" i="57"/>
  <c r="H511" i="57"/>
  <c r="C379" i="57"/>
  <c r="H379" i="57"/>
  <c r="C361" i="57"/>
  <c r="H361" i="57"/>
  <c r="C343" i="57"/>
  <c r="H343" i="57"/>
  <c r="C325" i="57"/>
  <c r="H325" i="57"/>
  <c r="C253" i="57"/>
  <c r="H253" i="57"/>
  <c r="C217" i="57"/>
  <c r="H217" i="57"/>
  <c r="C199" i="57"/>
  <c r="H199" i="57"/>
  <c r="C187" i="57"/>
  <c r="H187" i="57"/>
  <c r="C163" i="57"/>
  <c r="H163" i="57"/>
  <c r="C121" i="57"/>
  <c r="H121" i="57"/>
  <c r="C97" i="57"/>
  <c r="H97" i="57"/>
  <c r="C55" i="57"/>
  <c r="H55" i="57"/>
  <c r="C43" i="57"/>
  <c r="H43" i="57"/>
  <c r="C31" i="57"/>
  <c r="H31" i="57"/>
  <c r="H1405" i="57"/>
  <c r="H1279" i="57"/>
  <c r="H919" i="57"/>
  <c r="C1411" i="57"/>
  <c r="H1411" i="57"/>
  <c r="C1363" i="57"/>
  <c r="H1363" i="57"/>
  <c r="C1345" i="57"/>
  <c r="H1345" i="57"/>
  <c r="C1321" i="57"/>
  <c r="H1321" i="57"/>
  <c r="C1297" i="57"/>
  <c r="H1297" i="57"/>
  <c r="C1291" i="57"/>
  <c r="H1291" i="57"/>
  <c r="C1267" i="57"/>
  <c r="H1267" i="57"/>
  <c r="C1243" i="57"/>
  <c r="H1243" i="57"/>
  <c r="C1219" i="57"/>
  <c r="H1219" i="57"/>
  <c r="C1195" i="57"/>
  <c r="H1195" i="57"/>
  <c r="C1153" i="57"/>
  <c r="H1153" i="57"/>
  <c r="C1069" i="57"/>
  <c r="H1069" i="57"/>
  <c r="C1051" i="57"/>
  <c r="H1051" i="57"/>
  <c r="C1033" i="57"/>
  <c r="H1033" i="57"/>
  <c r="C1009" i="57"/>
  <c r="H1009" i="57"/>
  <c r="C979" i="57"/>
  <c r="H979" i="57"/>
  <c r="C937" i="57"/>
  <c r="H937" i="57"/>
  <c r="C859" i="57"/>
  <c r="H859" i="57"/>
  <c r="C637" i="57"/>
  <c r="H637" i="57"/>
  <c r="H1357" i="57"/>
  <c r="H691" i="57"/>
  <c r="H1273" i="57"/>
  <c r="H745" i="57"/>
  <c r="H1435" i="57"/>
  <c r="H1381" i="57"/>
  <c r="H1231" i="57"/>
  <c r="H1183" i="57"/>
  <c r="H1135" i="57"/>
  <c r="H1093" i="57"/>
  <c r="H1015" i="57"/>
  <c r="H877" i="57"/>
  <c r="H661" i="57"/>
  <c r="H583" i="57"/>
  <c r="H505" i="57"/>
  <c r="H427" i="57"/>
  <c r="H301" i="57"/>
  <c r="H181" i="57"/>
  <c r="C1387" i="57"/>
  <c r="H1387" i="57"/>
  <c r="C1333" i="57"/>
  <c r="H1333" i="57"/>
  <c r="C1315" i="57"/>
  <c r="H1315" i="57"/>
  <c r="C1261" i="57"/>
  <c r="H1261" i="57"/>
  <c r="C1237" i="57"/>
  <c r="H1237" i="57"/>
  <c r="C1159" i="57"/>
  <c r="H1159" i="57"/>
  <c r="C1141" i="57"/>
  <c r="H1141" i="57"/>
  <c r="C1129" i="57"/>
  <c r="H1129" i="57"/>
  <c r="C1111" i="57"/>
  <c r="H1111" i="57"/>
  <c r="C1087" i="57"/>
  <c r="H1087" i="57"/>
  <c r="C1063" i="57"/>
  <c r="H1063" i="57"/>
  <c r="C1039" i="57"/>
  <c r="H1039" i="57"/>
  <c r="C1021" i="57"/>
  <c r="H1021" i="57"/>
  <c r="C1003" i="57"/>
  <c r="H1003" i="57"/>
  <c r="C985" i="57"/>
  <c r="H985" i="57"/>
  <c r="C967" i="57"/>
  <c r="H967" i="57"/>
  <c r="C949" i="57"/>
  <c r="H949" i="57"/>
  <c r="C931" i="57"/>
  <c r="H931" i="57"/>
  <c r="C913" i="57"/>
  <c r="H913" i="57"/>
  <c r="C907" i="57"/>
  <c r="H907" i="57"/>
  <c r="C889" i="57"/>
  <c r="H889" i="57"/>
  <c r="C865" i="57"/>
  <c r="H865" i="57"/>
  <c r="C847" i="57"/>
  <c r="H847" i="57"/>
  <c r="C829" i="57"/>
  <c r="H829" i="57"/>
  <c r="C811" i="57"/>
  <c r="H811" i="57"/>
  <c r="C769" i="57"/>
  <c r="H769" i="57"/>
  <c r="C733" i="57"/>
  <c r="H733" i="57"/>
  <c r="C715" i="57"/>
  <c r="H715" i="57"/>
  <c r="C673" i="57"/>
  <c r="H673" i="57"/>
  <c r="C667" i="57"/>
  <c r="H667" i="57"/>
  <c r="C655" i="57"/>
  <c r="H655" i="57"/>
  <c r="C631" i="57"/>
  <c r="H631" i="57"/>
  <c r="C619" i="57"/>
  <c r="H619" i="57"/>
  <c r="C607" i="57"/>
  <c r="H607" i="57"/>
  <c r="C595" i="57"/>
  <c r="H595" i="57"/>
  <c r="C589" i="57"/>
  <c r="H589" i="57"/>
  <c r="C577" i="57"/>
  <c r="H577" i="57"/>
  <c r="C565" i="57"/>
  <c r="H565" i="57"/>
  <c r="C553" i="57"/>
  <c r="H553" i="57"/>
  <c r="C541" i="57"/>
  <c r="H541" i="57"/>
  <c r="C523" i="57"/>
  <c r="H523" i="57"/>
  <c r="C517" i="57"/>
  <c r="H517" i="57"/>
  <c r="C499" i="57"/>
  <c r="H499" i="57"/>
  <c r="C487" i="57"/>
  <c r="H487" i="57"/>
  <c r="C469" i="57"/>
  <c r="H469" i="57"/>
  <c r="C457" i="57"/>
  <c r="H457" i="57"/>
  <c r="C445" i="57"/>
  <c r="H445" i="57"/>
  <c r="C433" i="57"/>
  <c r="H433" i="57"/>
  <c r="C415" i="57"/>
  <c r="H415" i="57"/>
  <c r="C391" i="57"/>
  <c r="H391" i="57"/>
  <c r="C355" i="57"/>
  <c r="H355" i="57"/>
  <c r="C337" i="57"/>
  <c r="H337" i="57"/>
  <c r="C319" i="57"/>
  <c r="H319" i="57"/>
  <c r="C307" i="57"/>
  <c r="H307" i="57"/>
  <c r="C295" i="57"/>
  <c r="H295" i="57"/>
  <c r="C283" i="57"/>
  <c r="H283" i="57"/>
  <c r="C265" i="57"/>
  <c r="H265" i="57"/>
  <c r="C247" i="57"/>
  <c r="H247" i="57"/>
  <c r="C235" i="57"/>
  <c r="H235" i="57"/>
  <c r="C169" i="57"/>
  <c r="H169" i="57"/>
  <c r="C151" i="57"/>
  <c r="H151" i="57"/>
  <c r="C139" i="57"/>
  <c r="H139" i="57"/>
  <c r="C103" i="57"/>
  <c r="H103" i="57"/>
  <c r="C85" i="57"/>
  <c r="H85" i="57"/>
  <c r="C73" i="57"/>
  <c r="H73" i="57"/>
  <c r="H961" i="57"/>
  <c r="H787" i="57"/>
  <c r="H373" i="57"/>
  <c r="H1429" i="57"/>
  <c r="H1375" i="57"/>
  <c r="H1303" i="57"/>
  <c r="H1177" i="57"/>
  <c r="H271" i="57"/>
  <c r="H229" i="57"/>
  <c r="H67" i="57"/>
  <c r="C1423" i="57"/>
  <c r="H1423" i="57"/>
  <c r="C1399" i="57"/>
  <c r="H1399" i="57"/>
  <c r="C1351" i="57"/>
  <c r="H1351" i="57"/>
  <c r="C1327" i="57"/>
  <c r="H1327" i="57"/>
  <c r="C1309" i="57"/>
  <c r="H1309" i="57"/>
  <c r="C1225" i="57"/>
  <c r="H1225" i="57"/>
  <c r="C1201" i="57"/>
  <c r="H1201" i="57"/>
  <c r="C1189" i="57"/>
  <c r="H1189" i="57"/>
  <c r="C1165" i="57"/>
  <c r="H1165" i="57"/>
  <c r="C1117" i="57"/>
  <c r="H1117" i="57"/>
  <c r="C1099" i="57"/>
  <c r="H1099" i="57"/>
  <c r="C1081" i="57"/>
  <c r="H1081" i="57"/>
  <c r="C1057" i="57"/>
  <c r="H1057" i="57"/>
  <c r="C1027" i="57"/>
  <c r="H1027" i="57"/>
  <c r="C943" i="57"/>
  <c r="H943" i="57"/>
  <c r="C901" i="57"/>
  <c r="H901" i="57"/>
  <c r="C841" i="57"/>
  <c r="H841" i="57"/>
  <c r="C799" i="57"/>
  <c r="H799" i="57"/>
  <c r="C781" i="57"/>
  <c r="H781" i="57"/>
  <c r="C763" i="57"/>
  <c r="H763" i="57"/>
  <c r="C751" i="57"/>
  <c r="H751" i="57"/>
  <c r="C709" i="57"/>
  <c r="H709" i="57"/>
  <c r="C697" i="57"/>
  <c r="H697" i="57"/>
  <c r="C679" i="57"/>
  <c r="H679" i="57"/>
  <c r="C643" i="57"/>
  <c r="H643" i="57"/>
  <c r="C625" i="57"/>
  <c r="H625" i="57"/>
  <c r="C613" i="57"/>
  <c r="H613" i="57"/>
  <c r="C601" i="57"/>
  <c r="H601" i="57"/>
  <c r="C571" i="57"/>
  <c r="H571" i="57"/>
  <c r="C559" i="57"/>
  <c r="H559" i="57"/>
  <c r="C535" i="57"/>
  <c r="H535" i="57"/>
  <c r="C493" i="57"/>
  <c r="H493" i="57"/>
  <c r="C475" i="57"/>
  <c r="H475" i="57"/>
  <c r="C463" i="57"/>
  <c r="H463" i="57"/>
  <c r="C439" i="57"/>
  <c r="H439" i="57"/>
  <c r="C421" i="57"/>
  <c r="H421" i="57"/>
  <c r="C409" i="57"/>
  <c r="H409" i="57"/>
  <c r="C397" i="57"/>
  <c r="H397" i="57"/>
  <c r="C385" i="57"/>
  <c r="H385" i="57"/>
  <c r="C367" i="57"/>
  <c r="H367" i="57"/>
  <c r="C349" i="57"/>
  <c r="H349" i="57"/>
  <c r="C331" i="57"/>
  <c r="H331" i="57"/>
  <c r="C313" i="57"/>
  <c r="H313" i="57"/>
  <c r="C289" i="57"/>
  <c r="H289" i="57"/>
  <c r="C277" i="57"/>
  <c r="H277" i="57"/>
  <c r="C259" i="57"/>
  <c r="H259" i="57"/>
  <c r="C241" i="57"/>
  <c r="H241" i="57"/>
  <c r="C223" i="57"/>
  <c r="H223" i="57"/>
  <c r="C211" i="57"/>
  <c r="H211" i="57"/>
  <c r="C193" i="57"/>
  <c r="H193" i="57"/>
  <c r="C175" i="57"/>
  <c r="H175" i="57"/>
  <c r="C157" i="57"/>
  <c r="H157" i="57"/>
  <c r="C145" i="57"/>
  <c r="H145" i="57"/>
  <c r="C127" i="57"/>
  <c r="H127" i="57"/>
  <c r="C109" i="57"/>
  <c r="H109" i="57"/>
  <c r="C91" i="57"/>
  <c r="H91" i="57"/>
  <c r="C79" i="57"/>
  <c r="H79" i="57"/>
  <c r="C61" i="57"/>
  <c r="H61" i="57"/>
  <c r="H451" i="57"/>
  <c r="H133" i="57"/>
  <c r="H1339" i="57"/>
  <c r="H1255" i="57"/>
  <c r="H895" i="57"/>
  <c r="H721" i="57"/>
  <c r="H481" i="57"/>
  <c r="H115" i="57"/>
  <c r="H174" i="57"/>
  <c r="H1332" i="57"/>
  <c r="H1314" i="57"/>
  <c r="H444" i="57"/>
  <c r="H216" i="57"/>
  <c r="H1440" i="57"/>
  <c r="H486" i="57"/>
  <c r="H276" i="57"/>
  <c r="H1422" i="57"/>
  <c r="C1422" i="57"/>
  <c r="H1410" i="57"/>
  <c r="C1410" i="57"/>
  <c r="H1302" i="57"/>
  <c r="C1302" i="57"/>
  <c r="H1224" i="57"/>
  <c r="C1224" i="57"/>
  <c r="H1194" i="57"/>
  <c r="C1194" i="57"/>
  <c r="H1098" i="57"/>
  <c r="C1098" i="57"/>
  <c r="H1086" i="57"/>
  <c r="C1086" i="57"/>
  <c r="H1008" i="57"/>
  <c r="C1008" i="57"/>
  <c r="H990" i="57"/>
  <c r="C990" i="57"/>
  <c r="H978" i="57"/>
  <c r="C978" i="57"/>
  <c r="H900" i="57"/>
  <c r="C900" i="57"/>
  <c r="H882" i="57"/>
  <c r="C882" i="57"/>
  <c r="H870" i="57"/>
  <c r="C870" i="57"/>
  <c r="H810" i="57"/>
  <c r="C810" i="57"/>
  <c r="H798" i="57"/>
  <c r="C798" i="57"/>
  <c r="H786" i="57"/>
  <c r="C786" i="57"/>
  <c r="H768" i="57"/>
  <c r="C768" i="57"/>
  <c r="H756" i="57"/>
  <c r="C756" i="57"/>
  <c r="H738" i="57"/>
  <c r="C738" i="57"/>
  <c r="H726" i="57"/>
  <c r="C726" i="57"/>
  <c r="H714" i="57"/>
  <c r="C714" i="57"/>
  <c r="H672" i="57"/>
  <c r="C672" i="57"/>
  <c r="H600" i="57"/>
  <c r="C600" i="57"/>
  <c r="H558" i="57"/>
  <c r="C558" i="57"/>
  <c r="H474" i="57"/>
  <c r="C474" i="57"/>
  <c r="H462" i="57"/>
  <c r="C462" i="57"/>
  <c r="H432" i="57"/>
  <c r="C432" i="57"/>
  <c r="H414" i="57"/>
  <c r="C414" i="57"/>
  <c r="H390" i="57"/>
  <c r="C390" i="57"/>
  <c r="H348" i="57"/>
  <c r="C348" i="57"/>
  <c r="H228" i="57"/>
  <c r="C228" i="57"/>
  <c r="H198" i="57"/>
  <c r="C198" i="57"/>
  <c r="H186" i="57"/>
  <c r="C186" i="57"/>
  <c r="H96" i="57"/>
  <c r="C96" i="57"/>
  <c r="H1452" i="57"/>
  <c r="C1452" i="57"/>
  <c r="H11" i="57"/>
  <c r="H1434" i="57"/>
  <c r="H1416" i="57"/>
  <c r="H1356" i="57"/>
  <c r="H1445" i="57"/>
  <c r="H1439" i="57"/>
  <c r="H1427" i="57"/>
  <c r="H1421" i="57"/>
  <c r="H1409" i="57"/>
  <c r="H1403" i="57"/>
  <c r="H1391" i="57"/>
  <c r="H1379" i="57"/>
  <c r="H1367" i="57"/>
  <c r="H1355" i="57"/>
  <c r="H1307" i="57"/>
  <c r="H1444" i="57"/>
  <c r="H1438" i="57"/>
  <c r="H1432" i="57"/>
  <c r="H1426" i="57"/>
  <c r="H1420" i="57"/>
  <c r="H1414" i="57"/>
  <c r="H1408" i="57"/>
  <c r="H1402" i="57"/>
  <c r="H1396" i="57"/>
  <c r="H1390" i="57"/>
  <c r="H1384" i="57"/>
  <c r="H1378" i="57"/>
  <c r="H1366" i="57"/>
  <c r="H1360" i="57"/>
  <c r="H1354" i="57"/>
  <c r="H1342" i="57"/>
  <c r="H1336" i="57"/>
  <c r="H1330" i="57"/>
  <c r="H1324" i="57"/>
  <c r="H1318" i="57"/>
  <c r="H1306" i="57"/>
  <c r="H1300" i="57"/>
  <c r="H1294" i="57"/>
  <c r="H1288" i="57"/>
  <c r="H1282" i="57"/>
  <c r="H1276" i="57"/>
  <c r="H1270" i="57"/>
  <c r="H1264" i="57"/>
  <c r="H1252" i="57"/>
  <c r="H1246" i="57"/>
  <c r="H1240" i="57"/>
  <c r="H1234" i="57"/>
  <c r="H1228" i="57"/>
  <c r="H1222" i="57"/>
  <c r="H1216" i="57"/>
  <c r="H1210" i="57"/>
  <c r="H1204" i="57"/>
  <c r="H1198" i="57"/>
  <c r="H1192" i="57"/>
  <c r="H1186" i="57"/>
  <c r="H1180" i="57"/>
  <c r="H1174" i="57"/>
  <c r="H1168" i="57"/>
  <c r="H1162" i="57"/>
  <c r="H1150" i="57"/>
  <c r="H1144" i="57"/>
  <c r="H1138" i="57"/>
  <c r="H1126" i="57"/>
  <c r="H1120" i="57"/>
  <c r="H1114" i="57"/>
  <c r="H1108" i="57"/>
  <c r="H1102" i="57"/>
  <c r="H1090" i="57"/>
  <c r="H1084" i="57"/>
  <c r="H1078" i="57"/>
  <c r="H1072" i="57"/>
  <c r="H1066" i="57"/>
  <c r="H1060" i="57"/>
  <c r="H1054" i="57"/>
  <c r="H1048" i="57"/>
  <c r="H1036" i="57"/>
  <c r="H1030" i="57"/>
  <c r="H1024" i="57"/>
  <c r="H1018" i="57"/>
  <c r="H1012" i="57"/>
  <c r="H1006" i="57"/>
  <c r="H1000" i="57"/>
  <c r="H994" i="57"/>
  <c r="H988" i="57"/>
  <c r="H982" i="57"/>
  <c r="H976" i="57"/>
  <c r="H970" i="57"/>
  <c r="H964" i="57"/>
  <c r="H958" i="57"/>
  <c r="H952" i="57"/>
  <c r="H946" i="57"/>
  <c r="H934" i="57"/>
  <c r="H928" i="57"/>
  <c r="H922" i="57"/>
  <c r="H910" i="57"/>
  <c r="H904" i="57"/>
  <c r="H898" i="57"/>
  <c r="H892" i="57"/>
  <c r="H886" i="57"/>
  <c r="H874" i="57"/>
  <c r="H868" i="57"/>
  <c r="H862" i="57"/>
  <c r="H856" i="57"/>
  <c r="H850" i="57"/>
  <c r="H844" i="57"/>
  <c r="H838" i="57"/>
  <c r="H832" i="57"/>
  <c r="H826" i="57"/>
  <c r="H820" i="57"/>
  <c r="H814" i="57"/>
  <c r="H808" i="57"/>
  <c r="H802" i="57"/>
  <c r="H796" i="57"/>
  <c r="H790" i="57"/>
  <c r="H778" i="57"/>
  <c r="H766" i="57"/>
  <c r="H754" i="57"/>
  <c r="H748" i="57"/>
  <c r="H742" i="57"/>
  <c r="H736" i="57"/>
  <c r="H730" i="57"/>
  <c r="H718" i="57"/>
  <c r="H712" i="57"/>
  <c r="H706" i="57"/>
  <c r="H700" i="57"/>
  <c r="H694" i="57"/>
  <c r="H688" i="57"/>
  <c r="H682" i="57"/>
  <c r="H676" i="57"/>
  <c r="H670" i="57"/>
  <c r="H664" i="57"/>
  <c r="H658" i="57"/>
  <c r="H652" i="57"/>
  <c r="H646" i="57"/>
  <c r="H640" i="57"/>
  <c r="H634" i="57"/>
  <c r="H622" i="57"/>
  <c r="H616" i="57"/>
  <c r="H604" i="57"/>
  <c r="H592" i="57"/>
  <c r="H586" i="57"/>
  <c r="H580" i="57"/>
  <c r="H574" i="57"/>
  <c r="H568" i="57"/>
  <c r="H562" i="57"/>
  <c r="H1443" i="57"/>
  <c r="H1437" i="57"/>
  <c r="H1431" i="57"/>
  <c r="H1425" i="57"/>
  <c r="H1419" i="57"/>
  <c r="H1413" i="57"/>
  <c r="H1407" i="57"/>
  <c r="H1401" i="57"/>
  <c r="H1395" i="57"/>
  <c r="H1389" i="57"/>
  <c r="H1383" i="57"/>
  <c r="H1377" i="57"/>
  <c r="H1371" i="57"/>
  <c r="H1365" i="57"/>
  <c r="H1359" i="57"/>
  <c r="H1347" i="57"/>
  <c r="H1341" i="57"/>
  <c r="H1335" i="57"/>
  <c r="H1329" i="57"/>
  <c r="H1323" i="57"/>
  <c r="H1311" i="57"/>
  <c r="H1305" i="57"/>
  <c r="H1299" i="57"/>
  <c r="H1293" i="57"/>
  <c r="H1287" i="57"/>
  <c r="H1281" i="57"/>
  <c r="H1275" i="57"/>
  <c r="H1269" i="57"/>
  <c r="H1263" i="57"/>
  <c r="H1257" i="57"/>
  <c r="H1251" i="57"/>
  <c r="H1239" i="57"/>
  <c r="H1233" i="57"/>
  <c r="H1227" i="57"/>
  <c r="H1221" i="57"/>
  <c r="H1215" i="57"/>
  <c r="H1209" i="57"/>
  <c r="H1203" i="57"/>
  <c r="H1197" i="57"/>
  <c r="H1191" i="57"/>
  <c r="H1185" i="57"/>
  <c r="H1179" i="57"/>
  <c r="H1173" i="57"/>
  <c r="H1167" i="57"/>
  <c r="H1161" i="57"/>
  <c r="H1155" i="57"/>
  <c r="H1149" i="57"/>
  <c r="H1143" i="57"/>
  <c r="H1137" i="57"/>
  <c r="H1131" i="57"/>
  <c r="H1125" i="57"/>
  <c r="H1119" i="57"/>
  <c r="H1113" i="57"/>
  <c r="H1107" i="57"/>
  <c r="H1101" i="57"/>
  <c r="H1095" i="57"/>
  <c r="H1089" i="57"/>
  <c r="H1083" i="57"/>
  <c r="H1077" i="57"/>
  <c r="H1071" i="57"/>
  <c r="H1065" i="57"/>
  <c r="H1059" i="57"/>
  <c r="H1053" i="57"/>
  <c r="H1047" i="57"/>
  <c r="H1041" i="57"/>
  <c r="H1035" i="57"/>
  <c r="H1029" i="57"/>
  <c r="H1023" i="57"/>
  <c r="H1017" i="57"/>
  <c r="H1011" i="57"/>
  <c r="H1005" i="57"/>
  <c r="H999" i="57"/>
  <c r="H993" i="57"/>
  <c r="H987" i="57"/>
  <c r="H981" i="57"/>
  <c r="H975" i="57"/>
  <c r="H969" i="57"/>
  <c r="H963" i="57"/>
  <c r="H957" i="57"/>
  <c r="H951" i="57"/>
  <c r="H945" i="57"/>
  <c r="H939" i="57"/>
  <c r="H933" i="57"/>
  <c r="H921" i="57"/>
  <c r="H915" i="57"/>
  <c r="H909" i="57"/>
  <c r="H903" i="57"/>
  <c r="H897" i="57"/>
  <c r="H885" i="57"/>
  <c r="H879" i="57"/>
  <c r="H873" i="57"/>
  <c r="H867" i="57"/>
  <c r="H861" i="57"/>
  <c r="H855" i="57"/>
  <c r="H849" i="57"/>
  <c r="H843" i="57"/>
  <c r="H837" i="57"/>
  <c r="H831" i="57"/>
  <c r="H825" i="57"/>
  <c r="H819" i="57"/>
  <c r="H807" i="57"/>
  <c r="H801" i="57"/>
  <c r="H795" i="57"/>
  <c r="H789" i="57"/>
  <c r="H783" i="57"/>
  <c r="H771" i="57"/>
  <c r="H765" i="57"/>
  <c r="H759" i="57"/>
  <c r="H753" i="57"/>
  <c r="H747" i="57"/>
  <c r="H741" i="57"/>
  <c r="H735" i="57"/>
  <c r="H729" i="57"/>
  <c r="H723" i="57"/>
  <c r="H717" i="57"/>
  <c r="H705" i="57"/>
  <c r="H699" i="57"/>
  <c r="H693" i="57"/>
  <c r="H687" i="57"/>
  <c r="H681" i="57"/>
  <c r="H675" i="57"/>
  <c r="H669" i="57"/>
  <c r="H663" i="57"/>
  <c r="H657" i="57"/>
  <c r="H651" i="57"/>
  <c r="H645" i="57"/>
  <c r="H1436" i="57"/>
  <c r="H1430" i="57"/>
  <c r="H1418" i="57"/>
  <c r="H1412" i="57"/>
  <c r="H1400" i="57"/>
  <c r="H1394" i="57"/>
  <c r="H1382" i="57"/>
  <c r="H1376" i="57"/>
  <c r="H1364" i="57"/>
  <c r="H1358" i="57"/>
  <c r="H1346" i="57"/>
  <c r="H1340" i="57"/>
  <c r="H1328" i="57"/>
  <c r="H1322" i="57"/>
  <c r="H1310" i="57"/>
  <c r="H1304" i="57"/>
  <c r="H1292" i="57"/>
  <c r="H1286" i="57"/>
  <c r="H1274" i="57"/>
  <c r="H1268" i="57"/>
  <c r="H1256" i="57"/>
  <c r="H1250" i="57"/>
  <c r="H1238" i="57"/>
  <c r="H1232" i="57"/>
  <c r="H1220" i="57"/>
  <c r="H1214" i="57"/>
  <c r="H1202" i="57"/>
  <c r="H1196" i="57"/>
  <c r="H1184" i="57"/>
  <c r="H1178" i="57"/>
  <c r="H1166" i="57"/>
  <c r="H1160" i="57"/>
  <c r="H1148" i="57"/>
  <c r="H1142" i="57"/>
  <c r="H1130" i="57"/>
  <c r="H1124" i="57"/>
  <c r="H1112" i="57"/>
  <c r="H1106" i="57"/>
  <c r="H1094" i="57"/>
  <c r="H1088" i="57"/>
  <c r="H1076" i="57"/>
  <c r="H1070" i="57"/>
  <c r="H1058" i="57"/>
  <c r="H1052" i="57"/>
  <c r="H1040" i="57"/>
  <c r="H1034" i="57"/>
  <c r="H1022" i="57"/>
  <c r="H1016" i="57"/>
  <c r="H1004" i="57"/>
  <c r="H998" i="57"/>
  <c r="H986" i="57"/>
  <c r="H980" i="57"/>
  <c r="H968" i="57"/>
  <c r="H962" i="57"/>
  <c r="H950" i="57"/>
  <c r="H944" i="57"/>
  <c r="H932" i="57"/>
  <c r="H926" i="57"/>
  <c r="H914" i="57"/>
  <c r="H908" i="57"/>
  <c r="H896" i="57"/>
  <c r="H890" i="57"/>
  <c r="H878" i="57"/>
  <c r="H872" i="57"/>
  <c r="H860" i="57"/>
  <c r="H854" i="57"/>
  <c r="H842" i="57"/>
  <c r="H836" i="57"/>
  <c r="H830" i="57"/>
  <c r="H824" i="57"/>
  <c r="H818" i="57"/>
  <c r="H812" i="57"/>
  <c r="H806" i="57"/>
  <c r="H800" i="57"/>
  <c r="H794" i="57"/>
  <c r="H788" i="57"/>
  <c r="H782" i="57"/>
  <c r="H776" i="57"/>
  <c r="H764" i="57"/>
  <c r="H758" i="57"/>
  <c r="H752" i="57"/>
  <c r="H746" i="57"/>
  <c r="H734" i="57"/>
  <c r="H728" i="57"/>
  <c r="H722" i="57"/>
  <c r="H716" i="57"/>
  <c r="H710" i="57"/>
  <c r="H704" i="57"/>
  <c r="H698" i="57"/>
  <c r="H692" i="57"/>
  <c r="H686" i="57"/>
  <c r="H680" i="57"/>
  <c r="H674" i="57"/>
  <c r="H668" i="57"/>
  <c r="H656" i="57"/>
  <c r="H650" i="57"/>
  <c r="H644" i="57"/>
  <c r="H638" i="57"/>
  <c r="H626" i="57"/>
  <c r="H620" i="57"/>
  <c r="H614" i="57"/>
  <c r="H608" i="57"/>
  <c r="H602" i="57"/>
  <c r="H1428" i="57"/>
  <c r="H1404" i="57"/>
  <c r="H1398" i="57"/>
  <c r="H1392" i="57"/>
  <c r="H1386" i="57"/>
  <c r="H1374" i="57"/>
  <c r="H1368" i="57"/>
  <c r="H1362" i="57"/>
  <c r="H1350" i="57"/>
  <c r="H1344" i="57"/>
  <c r="H1338" i="57"/>
  <c r="H1326" i="57"/>
  <c r="H1320" i="57"/>
  <c r="H1308" i="57"/>
  <c r="H1296" i="57"/>
  <c r="H1290" i="57"/>
  <c r="H1284" i="57"/>
  <c r="H1278" i="57"/>
  <c r="H1272" i="57"/>
  <c r="H1266" i="57"/>
  <c r="H1260" i="57"/>
  <c r="H1254" i="57"/>
  <c r="H1248" i="57"/>
  <c r="H1242" i="57"/>
  <c r="H1236" i="57"/>
  <c r="H1230" i="57"/>
  <c r="H1218" i="57"/>
  <c r="H1212" i="57"/>
  <c r="H1200" i="57"/>
  <c r="H1188" i="57"/>
  <c r="H1182" i="57"/>
  <c r="H1176" i="57"/>
  <c r="H1170" i="57"/>
  <c r="H1164" i="57"/>
  <c r="H1158" i="57"/>
  <c r="H1152" i="57"/>
  <c r="H1146" i="57"/>
  <c r="H1140" i="57"/>
  <c r="H1134" i="57"/>
  <c r="H1128" i="57"/>
  <c r="H1122" i="57"/>
  <c r="H1110" i="57"/>
  <c r="H1104" i="57"/>
  <c r="H1092" i="57"/>
  <c r="H1080" i="57"/>
  <c r="H1074" i="57"/>
  <c r="H1068" i="57"/>
  <c r="H1062" i="57"/>
  <c r="H1056" i="57"/>
  <c r="H1050" i="57"/>
  <c r="H1044" i="57"/>
  <c r="H1038" i="57"/>
  <c r="H1032" i="57"/>
  <c r="H1026" i="57"/>
  <c r="H1020" i="57"/>
  <c r="H1014" i="57"/>
  <c r="H1002" i="57"/>
  <c r="H996" i="57"/>
  <c r="H984" i="57"/>
  <c r="H972" i="57"/>
  <c r="H966" i="57"/>
  <c r="H960" i="57"/>
  <c r="H954" i="57"/>
  <c r="H948" i="57"/>
  <c r="H942" i="57"/>
  <c r="H936" i="57"/>
  <c r="H930" i="57"/>
  <c r="H924" i="57"/>
  <c r="H918" i="57"/>
  <c r="H912" i="57"/>
  <c r="H906" i="57"/>
  <c r="H894" i="57"/>
  <c r="H888" i="57"/>
  <c r="H876" i="57"/>
  <c r="H864" i="57"/>
  <c r="H858" i="57"/>
  <c r="H852" i="57"/>
  <c r="H846" i="57"/>
  <c r="H840" i="57"/>
  <c r="H834" i="57"/>
  <c r="H828" i="57"/>
  <c r="H822" i="57"/>
  <c r="H816" i="57"/>
  <c r="H804" i="57"/>
  <c r="H792" i="57"/>
  <c r="H780" i="57"/>
  <c r="H774" i="57"/>
  <c r="H762" i="57"/>
  <c r="H750" i="57"/>
  <c r="H744" i="57"/>
  <c r="H732" i="57"/>
  <c r="H720" i="57"/>
  <c r="H708" i="57"/>
  <c r="H702" i="57"/>
  <c r="H696" i="57"/>
  <c r="H690" i="57"/>
  <c r="H684" i="57"/>
  <c r="H678" i="57"/>
  <c r="H666" i="57"/>
  <c r="H660" i="57"/>
  <c r="H654" i="57"/>
  <c r="H1380" i="57"/>
  <c r="H1433" i="57"/>
  <c r="H1415" i="57"/>
  <c r="H1397" i="57"/>
  <c r="H1385" i="57"/>
  <c r="H1373" i="57"/>
  <c r="H1361" i="57"/>
  <c r="H1349" i="57"/>
  <c r="H1343" i="57"/>
  <c r="H1337" i="57"/>
  <c r="H1331" i="57"/>
  <c r="H1325" i="57"/>
  <c r="H1319" i="57"/>
  <c r="H1313" i="57"/>
  <c r="H1301" i="57"/>
  <c r="H1295" i="57"/>
  <c r="H1289" i="57"/>
  <c r="H1283" i="57"/>
  <c r="H1277" i="57"/>
  <c r="H1271" i="57"/>
  <c r="H1265" i="57"/>
  <c r="H1259" i="57"/>
  <c r="H1253" i="57"/>
  <c r="H1247" i="57"/>
  <c r="H1241" i="57"/>
  <c r="H1235" i="57"/>
  <c r="H1229" i="57"/>
  <c r="H1223" i="57"/>
  <c r="H1217" i="57"/>
  <c r="H1211" i="57"/>
  <c r="H1205" i="57"/>
  <c r="H1199" i="57"/>
  <c r="H1193" i="57"/>
  <c r="H1187" i="57"/>
  <c r="H1181" i="57"/>
  <c r="H1175" i="57"/>
  <c r="H1169" i="57"/>
  <c r="H1163" i="57"/>
  <c r="H1157" i="57"/>
  <c r="H1151" i="57"/>
  <c r="H1145" i="57"/>
  <c r="H1139" i="57"/>
  <c r="H1133" i="57"/>
  <c r="H1127" i="57"/>
  <c r="H1121" i="57"/>
  <c r="H1115" i="57"/>
  <c r="H1109" i="57"/>
  <c r="H1103" i="57"/>
  <c r="H1097" i="57"/>
  <c r="H1091" i="57"/>
  <c r="H1085" i="57"/>
  <c r="H1079" i="57"/>
  <c r="H1073" i="57"/>
  <c r="H1067" i="57"/>
  <c r="H1061" i="57"/>
  <c r="H1055" i="57"/>
  <c r="H1049" i="57"/>
  <c r="H1043" i="57"/>
  <c r="H1037" i="57"/>
  <c r="H1031" i="57"/>
  <c r="H1025" i="57"/>
  <c r="H1019" i="57"/>
  <c r="H1013" i="57"/>
  <c r="H1007" i="57"/>
  <c r="H1001" i="57"/>
  <c r="H995" i="57"/>
  <c r="H989" i="57"/>
  <c r="H983" i="57"/>
  <c r="H977" i="57"/>
  <c r="H971" i="57"/>
  <c r="H965" i="57"/>
  <c r="H959" i="57"/>
  <c r="H953" i="57"/>
  <c r="H947" i="57"/>
  <c r="H941" i="57"/>
  <c r="H935" i="57"/>
  <c r="H929" i="57"/>
  <c r="H923" i="57"/>
  <c r="H917" i="57"/>
  <c r="H911" i="57"/>
  <c r="H905" i="57"/>
  <c r="H899" i="57"/>
  <c r="H893" i="57"/>
  <c r="H887" i="57"/>
  <c r="H881" i="57"/>
  <c r="H875" i="57"/>
  <c r="H648" i="57"/>
  <c r="H642" i="57"/>
  <c r="H636" i="57"/>
  <c r="H630" i="57"/>
  <c r="H624" i="57"/>
  <c r="H618" i="57"/>
  <c r="H612" i="57"/>
  <c r="H606" i="57"/>
  <c r="H594" i="57"/>
  <c r="H588" i="57"/>
  <c r="H582" i="57"/>
  <c r="H576" i="57"/>
  <c r="H570" i="57"/>
  <c r="H564" i="57"/>
  <c r="H552" i="57"/>
  <c r="H546" i="57"/>
  <c r="H540" i="57"/>
  <c r="H534" i="57"/>
  <c r="H528" i="57"/>
  <c r="H522" i="57"/>
  <c r="H516" i="57"/>
  <c r="H510" i="57"/>
  <c r="H504" i="57"/>
  <c r="H498" i="57"/>
  <c r="H492" i="57"/>
  <c r="H480" i="57"/>
  <c r="H468" i="57"/>
  <c r="H456" i="57"/>
  <c r="H450" i="57"/>
  <c r="H438" i="57"/>
  <c r="H426" i="57"/>
  <c r="H420" i="57"/>
  <c r="H408" i="57"/>
  <c r="H396" i="57"/>
  <c r="H384" i="57"/>
  <c r="H378" i="57"/>
  <c r="H372" i="57"/>
  <c r="H366" i="57"/>
  <c r="H360" i="57"/>
  <c r="H354" i="57"/>
  <c r="H342" i="57"/>
  <c r="H336" i="57"/>
  <c r="H330" i="57"/>
  <c r="H324" i="57"/>
  <c r="H318" i="57"/>
  <c r="H312" i="57"/>
  <c r="H306" i="57"/>
  <c r="H300" i="57"/>
  <c r="H294" i="57"/>
  <c r="H288" i="57"/>
  <c r="H282" i="57"/>
  <c r="H270" i="57"/>
  <c r="H264" i="57"/>
  <c r="H258" i="57"/>
  <c r="H252" i="57"/>
  <c r="H246" i="57"/>
  <c r="H240" i="57"/>
  <c r="H234" i="57"/>
  <c r="H222" i="57"/>
  <c r="H210" i="57"/>
  <c r="H204" i="57"/>
  <c r="H192" i="57"/>
  <c r="H180" i="57"/>
  <c r="H168" i="57"/>
  <c r="H162" i="57"/>
  <c r="H156" i="57"/>
  <c r="H150" i="57"/>
  <c r="H144" i="57"/>
  <c r="H138" i="57"/>
  <c r="H132" i="57"/>
  <c r="H126" i="57"/>
  <c r="H120" i="57"/>
  <c r="H114" i="57"/>
  <c r="H108" i="57"/>
  <c r="H102" i="57"/>
  <c r="H90" i="57"/>
  <c r="H84" i="57"/>
  <c r="H78" i="57"/>
  <c r="H72" i="57"/>
  <c r="H60" i="57"/>
  <c r="H54" i="57"/>
  <c r="H48" i="57"/>
  <c r="H42" i="57"/>
  <c r="H36" i="57"/>
  <c r="H30" i="57"/>
  <c r="H24" i="57"/>
  <c r="H18" i="57"/>
  <c r="H1450" i="57"/>
  <c r="H2493" i="57"/>
  <c r="H2487" i="57"/>
  <c r="H2505" i="57"/>
  <c r="H869" i="57"/>
  <c r="H863" i="57"/>
  <c r="H857" i="57"/>
  <c r="H851" i="57"/>
  <c r="H845" i="57"/>
  <c r="H839" i="57"/>
  <c r="H833" i="57"/>
  <c r="H827" i="57"/>
  <c r="H821" i="57"/>
  <c r="H815" i="57"/>
  <c r="H809" i="57"/>
  <c r="H803" i="57"/>
  <c r="H797" i="57"/>
  <c r="H791" i="57"/>
  <c r="H785" i="57"/>
  <c r="H779" i="57"/>
  <c r="H773" i="57"/>
  <c r="H767" i="57"/>
  <c r="H761" i="57"/>
  <c r="H755" i="57"/>
  <c r="H749" i="57"/>
  <c r="H743" i="57"/>
  <c r="H737" i="57"/>
  <c r="H731" i="57"/>
  <c r="H725" i="57"/>
  <c r="H719" i="57"/>
  <c r="H713" i="57"/>
  <c r="H707" i="57"/>
  <c r="H701" i="57"/>
  <c r="H695" i="57"/>
  <c r="H689" i="57"/>
  <c r="H683" i="57"/>
  <c r="H677" i="57"/>
  <c r="H671" i="57"/>
  <c r="H665" i="57"/>
  <c r="H659" i="57"/>
  <c r="H653" i="57"/>
  <c r="H647" i="57"/>
  <c r="H641" i="57"/>
  <c r="H635" i="57"/>
  <c r="H629" i="57"/>
  <c r="H623" i="57"/>
  <c r="H617" i="57"/>
  <c r="H611" i="57"/>
  <c r="H605" i="57"/>
  <c r="H599" i="57"/>
  <c r="H593" i="57"/>
  <c r="H587" i="57"/>
  <c r="H581" i="57"/>
  <c r="H575" i="57"/>
  <c r="H569" i="57"/>
  <c r="H563" i="57"/>
  <c r="H557" i="57"/>
  <c r="H551" i="57"/>
  <c r="H545" i="57"/>
  <c r="H539" i="57"/>
  <c r="H533" i="57"/>
  <c r="H527" i="57"/>
  <c r="H521" i="57"/>
  <c r="H515" i="57"/>
  <c r="H509" i="57"/>
  <c r="H503" i="57"/>
  <c r="H497" i="57"/>
  <c r="H491" i="57"/>
  <c r="H485" i="57"/>
  <c r="H479" i="57"/>
  <c r="H473" i="57"/>
  <c r="H467" i="57"/>
  <c r="H461" i="57"/>
  <c r="H455" i="57"/>
  <c r="H449" i="57"/>
  <c r="H443" i="57"/>
  <c r="H437" i="57"/>
  <c r="H431" i="57"/>
  <c r="H425" i="57"/>
  <c r="H419" i="57"/>
  <c r="H413" i="57"/>
  <c r="H407" i="57"/>
  <c r="H401" i="57"/>
  <c r="H395" i="57"/>
  <c r="H389" i="57"/>
  <c r="H383" i="57"/>
  <c r="H377" i="57"/>
  <c r="H371" i="57"/>
  <c r="H365" i="57"/>
  <c r="H359" i="57"/>
  <c r="H353" i="57"/>
  <c r="H347" i="57"/>
  <c r="H341" i="57"/>
  <c r="H335" i="57"/>
  <c r="H329" i="57"/>
  <c r="H323" i="57"/>
  <c r="H317" i="57"/>
  <c r="H311" i="57"/>
  <c r="H305" i="57"/>
  <c r="H299" i="57"/>
  <c r="H293" i="57"/>
  <c r="H287" i="57"/>
  <c r="H281" i="57"/>
  <c r="H275" i="57"/>
  <c r="H269" i="57"/>
  <c r="H263" i="57"/>
  <c r="H257" i="57"/>
  <c r="H251" i="57"/>
  <c r="H245" i="57"/>
  <c r="H239" i="57"/>
  <c r="H233" i="57"/>
  <c r="H227" i="57"/>
  <c r="H221" i="57"/>
  <c r="H215" i="57"/>
  <c r="H209" i="57"/>
  <c r="H203" i="57"/>
  <c r="H197" i="57"/>
  <c r="H191" i="57"/>
  <c r="H185" i="57"/>
  <c r="H179" i="57"/>
  <c r="H173" i="57"/>
  <c r="H167" i="57"/>
  <c r="H161" i="57"/>
  <c r="H155" i="57"/>
  <c r="H149" i="57"/>
  <c r="H143" i="57"/>
  <c r="H137" i="57"/>
  <c r="H131" i="57"/>
  <c r="H125" i="57"/>
  <c r="H119" i="57"/>
  <c r="H113" i="57"/>
  <c r="H107" i="57"/>
  <c r="H101" i="57"/>
  <c r="H95" i="57"/>
  <c r="H89" i="57"/>
  <c r="H83" i="57"/>
  <c r="H77" i="57"/>
  <c r="H71" i="57"/>
  <c r="H65" i="57"/>
  <c r="H59" i="57"/>
  <c r="H53" i="57"/>
  <c r="H47" i="57"/>
  <c r="H41" i="57"/>
  <c r="H35" i="57"/>
  <c r="H29" i="57"/>
  <c r="H23" i="57"/>
  <c r="H17" i="57"/>
  <c r="H1455" i="57"/>
  <c r="H1449" i="57"/>
  <c r="H2492" i="57"/>
  <c r="H2486" i="57"/>
  <c r="H2510" i="57"/>
  <c r="H2504" i="57"/>
  <c r="H2498" i="57"/>
  <c r="H15" i="57"/>
  <c r="H550" i="57"/>
  <c r="H544" i="57"/>
  <c r="H538" i="57"/>
  <c r="H532" i="57"/>
  <c r="H520" i="57"/>
  <c r="H508" i="57"/>
  <c r="H502" i="57"/>
  <c r="H490" i="57"/>
  <c r="H484" i="57"/>
  <c r="H478" i="57"/>
  <c r="H466" i="57"/>
  <c r="H460" i="57"/>
  <c r="H454" i="57"/>
  <c r="H448" i="57"/>
  <c r="H442" i="57"/>
  <c r="H436" i="57"/>
  <c r="H430" i="57"/>
  <c r="H424" i="57"/>
  <c r="H418" i="57"/>
  <c r="H406" i="57"/>
  <c r="H400" i="57"/>
  <c r="H394" i="57"/>
  <c r="H388" i="57"/>
  <c r="H382" i="57"/>
  <c r="H376" i="57"/>
  <c r="H364" i="57"/>
  <c r="H358" i="57"/>
  <c r="H346" i="57"/>
  <c r="H340" i="57"/>
  <c r="H334" i="57"/>
  <c r="H322" i="57"/>
  <c r="H316" i="57"/>
  <c r="H310" i="57"/>
  <c r="H304" i="57"/>
  <c r="H298" i="57"/>
  <c r="H292" i="57"/>
  <c r="H286" i="57"/>
  <c r="H280" i="57"/>
  <c r="H274" i="57"/>
  <c r="H268" i="57"/>
  <c r="H262" i="57"/>
  <c r="H256" i="57"/>
  <c r="H250" i="57"/>
  <c r="H244" i="57"/>
  <c r="H238" i="57"/>
  <c r="H226" i="57"/>
  <c r="H214" i="57"/>
  <c r="H208" i="57"/>
  <c r="H202" i="57"/>
  <c r="H196" i="57"/>
  <c r="H190" i="57"/>
  <c r="H178" i="57"/>
  <c r="H172" i="57"/>
  <c r="H166" i="57"/>
  <c r="H154" i="57"/>
  <c r="H148" i="57"/>
  <c r="H142" i="57"/>
  <c r="H136" i="57"/>
  <c r="H124" i="57"/>
  <c r="H118" i="57"/>
  <c r="H112" i="57"/>
  <c r="H28" i="57"/>
  <c r="H22" i="57"/>
  <c r="H1454" i="57"/>
  <c r="H1448" i="57"/>
  <c r="H2491" i="57"/>
  <c r="H2485" i="57"/>
  <c r="H633" i="57"/>
  <c r="H627" i="57"/>
  <c r="H621" i="57"/>
  <c r="H615" i="57"/>
  <c r="H609" i="57"/>
  <c r="H603" i="57"/>
  <c r="H597" i="57"/>
  <c r="H591" i="57"/>
  <c r="H585" i="57"/>
  <c r="H579" i="57"/>
  <c r="H573" i="57"/>
  <c r="H567" i="57"/>
  <c r="H561" i="57"/>
  <c r="H555" i="57"/>
  <c r="H549" i="57"/>
  <c r="H543" i="57"/>
  <c r="H537" i="57"/>
  <c r="H531" i="57"/>
  <c r="H525" i="57"/>
  <c r="H519" i="57"/>
  <c r="H513" i="57"/>
  <c r="H507" i="57"/>
  <c r="H501" i="57"/>
  <c r="H495" i="57"/>
  <c r="H489" i="57"/>
  <c r="H483" i="57"/>
  <c r="H477" i="57"/>
  <c r="H471" i="57"/>
  <c r="H465" i="57"/>
  <c r="H459" i="57"/>
  <c r="H453" i="57"/>
  <c r="H447" i="57"/>
  <c r="H441" i="57"/>
  <c r="H435" i="57"/>
  <c r="H429" i="57"/>
  <c r="H423" i="57"/>
  <c r="H417" i="57"/>
  <c r="H411" i="57"/>
  <c r="H405" i="57"/>
  <c r="H399" i="57"/>
  <c r="H393" i="57"/>
  <c r="H387" i="57"/>
  <c r="H381" i="57"/>
  <c r="H375" i="57"/>
  <c r="H369" i="57"/>
  <c r="H363" i="57"/>
  <c r="H357" i="57"/>
  <c r="H345" i="57"/>
  <c r="H339" i="57"/>
  <c r="H333" i="57"/>
  <c r="H327" i="57"/>
  <c r="H321" i="57"/>
  <c r="H315" i="57"/>
  <c r="H309" i="57"/>
  <c r="H303" i="57"/>
  <c r="H297" i="57"/>
  <c r="H291" i="57"/>
  <c r="H285" i="57"/>
  <c r="H279" i="57"/>
  <c r="H273" i="57"/>
  <c r="H267" i="57"/>
  <c r="H261" i="57"/>
  <c r="H255" i="57"/>
  <c r="H249" i="57"/>
  <c r="H237" i="57"/>
  <c r="H231" i="57"/>
  <c r="H225" i="57"/>
  <c r="H219" i="57"/>
  <c r="H213" i="57"/>
  <c r="H207" i="57"/>
  <c r="H201" i="57"/>
  <c r="H195" i="57"/>
  <c r="H189" i="57"/>
  <c r="H183" i="57"/>
  <c r="H177" i="57"/>
  <c r="H171" i="57"/>
  <c r="H165" i="57"/>
  <c r="H159" i="57"/>
  <c r="H153" i="57"/>
  <c r="H147" i="57"/>
  <c r="H141" i="57"/>
  <c r="H135" i="57"/>
  <c r="H129" i="57"/>
  <c r="H123" i="57"/>
  <c r="H117" i="57"/>
  <c r="H111" i="57"/>
  <c r="H105" i="57"/>
  <c r="H99" i="57"/>
  <c r="H87" i="57"/>
  <c r="H81" i="57"/>
  <c r="H75" i="57"/>
  <c r="H57" i="57"/>
  <c r="H51" i="57"/>
  <c r="H39" i="57"/>
  <c r="H33" i="57"/>
  <c r="H27" i="57"/>
  <c r="H21" i="57"/>
  <c r="H1453" i="57"/>
  <c r="H1447" i="57"/>
  <c r="H2508" i="57"/>
  <c r="H2502" i="57"/>
  <c r="H2496" i="57"/>
  <c r="H596" i="57"/>
  <c r="H590" i="57"/>
  <c r="H584" i="57"/>
  <c r="H578" i="57"/>
  <c r="H572" i="57"/>
  <c r="H566" i="57"/>
  <c r="H560" i="57"/>
  <c r="H548" i="57"/>
  <c r="H542" i="57"/>
  <c r="H536" i="57"/>
  <c r="H530" i="57"/>
  <c r="H518" i="57"/>
  <c r="H512" i="57"/>
  <c r="H506" i="57"/>
  <c r="H500" i="57"/>
  <c r="H494" i="57"/>
  <c r="H488" i="57"/>
  <c r="H482" i="57"/>
  <c r="H476" i="57"/>
  <c r="H470" i="57"/>
  <c r="H464" i="57"/>
  <c r="H458" i="57"/>
  <c r="H452" i="57"/>
  <c r="H440" i="57"/>
  <c r="H434" i="57"/>
  <c r="H428" i="57"/>
  <c r="H422" i="57"/>
  <c r="H410" i="57"/>
  <c r="H404" i="57"/>
  <c r="H398" i="57"/>
  <c r="H392" i="57"/>
  <c r="H386" i="57"/>
  <c r="H380" i="57"/>
  <c r="H374" i="57"/>
  <c r="H368" i="57"/>
  <c r="H362" i="57"/>
  <c r="H356" i="57"/>
  <c r="H350" i="57"/>
  <c r="H344" i="57"/>
  <c r="H332" i="57"/>
  <c r="H326" i="57"/>
  <c r="H320" i="57"/>
  <c r="H314" i="57"/>
  <c r="H302" i="57"/>
  <c r="H296" i="57"/>
  <c r="H290" i="57"/>
  <c r="H284" i="57"/>
  <c r="H278" i="57"/>
  <c r="H272" i="57"/>
  <c r="H260" i="57"/>
  <c r="H254" i="57"/>
  <c r="H248" i="57"/>
  <c r="H242" i="57"/>
  <c r="H224" i="57"/>
  <c r="H218" i="57"/>
  <c r="H212" i="57"/>
  <c r="H206" i="57"/>
  <c r="H194" i="57"/>
  <c r="H188" i="57"/>
  <c r="H182" i="57"/>
  <c r="H176" i="57"/>
  <c r="H170" i="57"/>
  <c r="H152" i="57"/>
  <c r="H146" i="57"/>
  <c r="H140" i="57"/>
  <c r="H134" i="57"/>
  <c r="H116" i="57"/>
  <c r="H110" i="57"/>
  <c r="H104" i="57"/>
  <c r="H98" i="57"/>
  <c r="H86" i="57"/>
  <c r="H80" i="57"/>
  <c r="H74" i="57"/>
  <c r="H68" i="57"/>
  <c r="H56" i="57"/>
  <c r="H50" i="57"/>
  <c r="H44" i="57"/>
  <c r="H38" i="57"/>
  <c r="H32" i="57"/>
  <c r="H26" i="57"/>
  <c r="H20" i="57"/>
  <c r="H1446" i="57"/>
  <c r="H2489" i="57"/>
  <c r="H2483" i="57"/>
  <c r="H2507" i="57"/>
  <c r="H2501" i="57"/>
  <c r="H2495" i="57"/>
  <c r="H49" i="57"/>
  <c r="H37" i="57"/>
  <c r="H25" i="57"/>
  <c r="H19" i="57"/>
  <c r="H1451" i="57"/>
  <c r="H2494" i="57"/>
  <c r="H2488" i="57"/>
  <c r="H2482" i="57"/>
  <c r="H2506" i="57"/>
  <c r="H2500" i="57"/>
  <c r="B2" i="64"/>
  <c r="B4" i="57"/>
  <c r="H2509" i="57"/>
  <c r="H2503" i="57"/>
  <c r="H2497" i="57"/>
  <c r="H2490" i="57"/>
  <c r="H2484" i="57"/>
  <c r="B7" i="57" l="1" a="1"/>
  <c r="B7" i="57" s="1"/>
  <c r="B6" i="57" l="1"/>
  <c r="B1435" i="57"/>
  <c r="E1435" i="57" s="1"/>
  <c r="B1369" i="57"/>
  <c r="E1369" i="57" s="1"/>
  <c r="B1297" i="57"/>
  <c r="E1297" i="57" s="1"/>
  <c r="B1231" i="57"/>
  <c r="E1231" i="57" s="1"/>
  <c r="B1165" i="57"/>
  <c r="E1165" i="57" s="1"/>
  <c r="B1093" i="57"/>
  <c r="E1093" i="57" s="1"/>
  <c r="B1021" i="57"/>
  <c r="E1021" i="57" s="1"/>
  <c r="B961" i="57"/>
  <c r="E961" i="57" s="1"/>
  <c r="B895" i="57"/>
  <c r="E895" i="57" s="1"/>
  <c r="B835" i="57"/>
  <c r="E835" i="57" s="1"/>
  <c r="B793" i="57"/>
  <c r="E793" i="57" s="1"/>
  <c r="B757" i="57"/>
  <c r="E757" i="57" s="1"/>
  <c r="B721" i="57"/>
  <c r="E721" i="57" s="1"/>
  <c r="B685" i="57"/>
  <c r="E685" i="57" s="1"/>
  <c r="B649" i="57"/>
  <c r="E649" i="57" s="1"/>
  <c r="B2467" i="57"/>
  <c r="E2467" i="57" s="1"/>
  <c r="B2431" i="57"/>
  <c r="E2431" i="57" s="1"/>
  <c r="B2395" i="57"/>
  <c r="E2395" i="57" s="1"/>
  <c r="B2359" i="57"/>
  <c r="E2359" i="57" s="1"/>
  <c r="B2323" i="57"/>
  <c r="E2323" i="57" s="1"/>
  <c r="B2287" i="57"/>
  <c r="E2287" i="57" s="1"/>
  <c r="B2251" i="57"/>
  <c r="E2251" i="57" s="1"/>
  <c r="B1096" i="57"/>
  <c r="E1096" i="57" s="1"/>
  <c r="B514" i="57"/>
  <c r="E514" i="57" s="1"/>
  <c r="B88" i="57"/>
  <c r="E88" i="57" s="1"/>
  <c r="B1156" i="57"/>
  <c r="E1156" i="57" s="1"/>
  <c r="B610" i="57"/>
  <c r="E610" i="57" s="1"/>
  <c r="B328" i="57"/>
  <c r="E328" i="57" s="1"/>
  <c r="B82" i="57"/>
  <c r="E82" i="57" s="1"/>
  <c r="B1312" i="57"/>
  <c r="E1312" i="57" s="1"/>
  <c r="B1405" i="57"/>
  <c r="E1405" i="57" s="1"/>
  <c r="B1333" i="57"/>
  <c r="E1333" i="57" s="1"/>
  <c r="B1249" i="57"/>
  <c r="E1249" i="57" s="1"/>
  <c r="B1171" i="57"/>
  <c r="E1171" i="57" s="1"/>
  <c r="B1099" i="57"/>
  <c r="E1099" i="57" s="1"/>
  <c r="B1027" i="57"/>
  <c r="E1027" i="57" s="1"/>
  <c r="B937" i="57"/>
  <c r="E937" i="57" s="1"/>
  <c r="B859" i="57"/>
  <c r="E859" i="57" s="1"/>
  <c r="B1410" i="57"/>
  <c r="E1410" i="57" s="1"/>
  <c r="B1194" i="57"/>
  <c r="E1194" i="57" s="1"/>
  <c r="B978" i="57"/>
  <c r="E978" i="57" s="1"/>
  <c r="B786" i="57"/>
  <c r="E786" i="57" s="1"/>
  <c r="B672" i="57"/>
  <c r="E672" i="57" s="1"/>
  <c r="B444" i="57"/>
  <c r="E444" i="57" s="1"/>
  <c r="B2221" i="57"/>
  <c r="E2221" i="57" s="1"/>
  <c r="B2185" i="57"/>
  <c r="E2185" i="57" s="1"/>
  <c r="B2149" i="57"/>
  <c r="E2149" i="57" s="1"/>
  <c r="B1423" i="57"/>
  <c r="E1423" i="57" s="1"/>
  <c r="B1357" i="57"/>
  <c r="E1357" i="57" s="1"/>
  <c r="B1285" i="57"/>
  <c r="E1285" i="57" s="1"/>
  <c r="B1225" i="57"/>
  <c r="E1225" i="57" s="1"/>
  <c r="B1153" i="57"/>
  <c r="E1153" i="57" s="1"/>
  <c r="B1081" i="57"/>
  <c r="E1081" i="57" s="1"/>
  <c r="B1009" i="57"/>
  <c r="E1009" i="57" s="1"/>
  <c r="B955" i="57"/>
  <c r="E955" i="57" s="1"/>
  <c r="B883" i="57"/>
  <c r="E883" i="57" s="1"/>
  <c r="B829" i="57"/>
  <c r="E829" i="57" s="1"/>
  <c r="B787" i="57"/>
  <c r="E787" i="57" s="1"/>
  <c r="B751" i="57"/>
  <c r="E751" i="57" s="1"/>
  <c r="B715" i="57"/>
  <c r="E715" i="57" s="1"/>
  <c r="B679" i="57"/>
  <c r="E679" i="57" s="1"/>
  <c r="B643" i="57"/>
  <c r="E643" i="57" s="1"/>
  <c r="B2461" i="57"/>
  <c r="E2461" i="57" s="1"/>
  <c r="B2425" i="57"/>
  <c r="E2425" i="57" s="1"/>
  <c r="B2389" i="57"/>
  <c r="E2389" i="57" s="1"/>
  <c r="B2353" i="57"/>
  <c r="E2353" i="57" s="1"/>
  <c r="B2317" i="57"/>
  <c r="E2317" i="57" s="1"/>
  <c r="B2281" i="57"/>
  <c r="E2281" i="57" s="1"/>
  <c r="B2245" i="57"/>
  <c r="E2245" i="57" s="1"/>
  <c r="B916" i="57"/>
  <c r="E916" i="57" s="1"/>
  <c r="B412" i="57"/>
  <c r="E412" i="57" s="1"/>
  <c r="B76" i="57"/>
  <c r="E76" i="57" s="1"/>
  <c r="B1042" i="57"/>
  <c r="E1042" i="57" s="1"/>
  <c r="B598" i="57"/>
  <c r="E598" i="57" s="1"/>
  <c r="B220" i="57"/>
  <c r="E220" i="57" s="1"/>
  <c r="B70" i="57"/>
  <c r="E70" i="57" s="1"/>
  <c r="B1132" i="57"/>
  <c r="E1132" i="57" s="1"/>
  <c r="B1411" i="57"/>
  <c r="E1411" i="57" s="1"/>
  <c r="B1345" i="57"/>
  <c r="E1345" i="57" s="1"/>
  <c r="B1279" i="57"/>
  <c r="E1279" i="57" s="1"/>
  <c r="B1213" i="57"/>
  <c r="E1213" i="57" s="1"/>
  <c r="B1141" i="57"/>
  <c r="E1141" i="57" s="1"/>
  <c r="B1069" i="57"/>
  <c r="E1069" i="57" s="1"/>
  <c r="B997" i="57"/>
  <c r="E997" i="57" s="1"/>
  <c r="B943" i="57"/>
  <c r="E943" i="57" s="1"/>
  <c r="B877" i="57"/>
  <c r="E877" i="57" s="1"/>
  <c r="B823" i="57"/>
  <c r="E823" i="57" s="1"/>
  <c r="B781" i="57"/>
  <c r="E781" i="57" s="1"/>
  <c r="B745" i="57"/>
  <c r="E745" i="57" s="1"/>
  <c r="B709" i="57"/>
  <c r="E709" i="57" s="1"/>
  <c r="B673" i="57"/>
  <c r="E673" i="57" s="1"/>
  <c r="B637" i="57"/>
  <c r="E637" i="57" s="1"/>
  <c r="B2455" i="57"/>
  <c r="E2455" i="57" s="1"/>
  <c r="B2419" i="57"/>
  <c r="E2419" i="57" s="1"/>
  <c r="B2383" i="57"/>
  <c r="E2383" i="57" s="1"/>
  <c r="B2347" i="57"/>
  <c r="E2347" i="57" s="1"/>
  <c r="B2311" i="57"/>
  <c r="E2311" i="57" s="1"/>
  <c r="B2275" i="57"/>
  <c r="E2275" i="57" s="1"/>
  <c r="B2239" i="57"/>
  <c r="E2239" i="57" s="1"/>
  <c r="B784" i="57"/>
  <c r="E784" i="57" s="1"/>
  <c r="B352" i="57"/>
  <c r="E352" i="57" s="1"/>
  <c r="B64" i="57"/>
  <c r="E64" i="57" s="1"/>
  <c r="B940" i="57"/>
  <c r="E940" i="57" s="1"/>
  <c r="B526" i="57"/>
  <c r="E526" i="57" s="1"/>
  <c r="B184" i="57"/>
  <c r="E184" i="57" s="1"/>
  <c r="B58" i="57"/>
  <c r="E58" i="57" s="1"/>
  <c r="B1442" i="57"/>
  <c r="E1442" i="57" s="1"/>
  <c r="B1399" i="57"/>
  <c r="E1399" i="57" s="1"/>
  <c r="B1327" i="57"/>
  <c r="E1327" i="57" s="1"/>
  <c r="B1267" i="57"/>
  <c r="E1267" i="57" s="1"/>
  <c r="B1201" i="57"/>
  <c r="E1201" i="57" s="1"/>
  <c r="B1129" i="57"/>
  <c r="E1129" i="57" s="1"/>
  <c r="B1057" i="57"/>
  <c r="E1057" i="57" s="1"/>
  <c r="B991" i="57"/>
  <c r="E991" i="57" s="1"/>
  <c r="B931" i="57"/>
  <c r="E931" i="57" s="1"/>
  <c r="B865" i="57"/>
  <c r="E865" i="57" s="1"/>
  <c r="B817" i="57"/>
  <c r="E817" i="57" s="1"/>
  <c r="B775" i="57"/>
  <c r="E775" i="57" s="1"/>
  <c r="B739" i="57"/>
  <c r="E739" i="57" s="1"/>
  <c r="B703" i="57"/>
  <c r="E703" i="57" s="1"/>
  <c r="B667" i="57"/>
  <c r="E667" i="57" s="1"/>
  <c r="B625" i="57"/>
  <c r="E625" i="57" s="1"/>
  <c r="B2449" i="57"/>
  <c r="E2449" i="57" s="1"/>
  <c r="B2413" i="57"/>
  <c r="E2413" i="57" s="1"/>
  <c r="B2377" i="57"/>
  <c r="E2377" i="57" s="1"/>
  <c r="B2341" i="57"/>
  <c r="E2341" i="57" s="1"/>
  <c r="B2305" i="57"/>
  <c r="E2305" i="57" s="1"/>
  <c r="B1387" i="57"/>
  <c r="E1387" i="57" s="1"/>
  <c r="B1321" i="57"/>
  <c r="E1321" i="57" s="1"/>
  <c r="B1255" i="57"/>
  <c r="E1255" i="57" s="1"/>
  <c r="B1189" i="57"/>
  <c r="E1189" i="57" s="1"/>
  <c r="B1117" i="57"/>
  <c r="E1117" i="57" s="1"/>
  <c r="B1045" i="57"/>
  <c r="E1045" i="57" s="1"/>
  <c r="B979" i="57"/>
  <c r="E979" i="57" s="1"/>
  <c r="B919" i="57"/>
  <c r="E919" i="57" s="1"/>
  <c r="B853" i="57"/>
  <c r="E853" i="57" s="1"/>
  <c r="B811" i="57"/>
  <c r="E811" i="57" s="1"/>
  <c r="B769" i="57"/>
  <c r="E769" i="57" s="1"/>
  <c r="B733" i="57"/>
  <c r="E733" i="57" s="1"/>
  <c r="B697" i="57"/>
  <c r="E697" i="57" s="1"/>
  <c r="B661" i="57"/>
  <c r="E661" i="57" s="1"/>
  <c r="B2479" i="57"/>
  <c r="E2479" i="57" s="1"/>
  <c r="B2443" i="57"/>
  <c r="E2443" i="57" s="1"/>
  <c r="B2407" i="57"/>
  <c r="E2407" i="57" s="1"/>
  <c r="B2371" i="57"/>
  <c r="E2371" i="57" s="1"/>
  <c r="B2335" i="57"/>
  <c r="E2335" i="57" s="1"/>
  <c r="B2299" i="57"/>
  <c r="E2299" i="57" s="1"/>
  <c r="B2263" i="57"/>
  <c r="E2263" i="57" s="1"/>
  <c r="B2227" i="57"/>
  <c r="E2227" i="57" s="1"/>
  <c r="B628" i="57"/>
  <c r="E628" i="57" s="1"/>
  <c r="B160" i="57"/>
  <c r="E160" i="57" s="1"/>
  <c r="B34" i="57"/>
  <c r="E34" i="57" s="1"/>
  <c r="B760" i="57"/>
  <c r="E760" i="57" s="1"/>
  <c r="B472" i="57"/>
  <c r="E472" i="57" s="1"/>
  <c r="B106" i="57"/>
  <c r="E106" i="57" s="1"/>
  <c r="B40" i="57"/>
  <c r="E40" i="57" s="1"/>
  <c r="B1375" i="57"/>
  <c r="E1375" i="57" s="1"/>
  <c r="B1309" i="57"/>
  <c r="E1309" i="57" s="1"/>
  <c r="B1243" i="57"/>
  <c r="E1243" i="57" s="1"/>
  <c r="B1177" i="57"/>
  <c r="E1177" i="57" s="1"/>
  <c r="B1105" i="57"/>
  <c r="E1105" i="57" s="1"/>
  <c r="B1033" i="57"/>
  <c r="E1033" i="57" s="1"/>
  <c r="B973" i="57"/>
  <c r="E973" i="57" s="1"/>
  <c r="B907" i="57"/>
  <c r="E907" i="57" s="1"/>
  <c r="B847" i="57"/>
  <c r="E847" i="57" s="1"/>
  <c r="B799" i="57"/>
  <c r="E799" i="57" s="1"/>
  <c r="B763" i="57"/>
  <c r="E763" i="57" s="1"/>
  <c r="B727" i="57"/>
  <c r="E727" i="57" s="1"/>
  <c r="B691" i="57"/>
  <c r="E691" i="57" s="1"/>
  <c r="B655" i="57"/>
  <c r="E655" i="57" s="1"/>
  <c r="B2473" i="57"/>
  <c r="E2473" i="57" s="1"/>
  <c r="B2437" i="57"/>
  <c r="E2437" i="57" s="1"/>
  <c r="B2401" i="57"/>
  <c r="E2401" i="57" s="1"/>
  <c r="B2365" i="57"/>
  <c r="E2365" i="57" s="1"/>
  <c r="B2329" i="57"/>
  <c r="E2329" i="57" s="1"/>
  <c r="B2293" i="57"/>
  <c r="E2293" i="57" s="1"/>
  <c r="B2257" i="57"/>
  <c r="E2257" i="57" s="1"/>
  <c r="B1372" i="57"/>
  <c r="E1372" i="57" s="1"/>
  <c r="B556" i="57"/>
  <c r="E556" i="57" s="1"/>
  <c r="B100" i="57"/>
  <c r="E100" i="57" s="1"/>
  <c r="B1258" i="57"/>
  <c r="E1258" i="57" s="1"/>
  <c r="B724" i="57"/>
  <c r="E724" i="57" s="1"/>
  <c r="B370" i="57"/>
  <c r="E370" i="57" s="1"/>
  <c r="B94" i="57"/>
  <c r="E94" i="57" s="1"/>
  <c r="B1348" i="57"/>
  <c r="E1348" i="57" s="1"/>
  <c r="B1417" i="57"/>
  <c r="E1417" i="57" s="1"/>
  <c r="B1339" i="57"/>
  <c r="E1339" i="57" s="1"/>
  <c r="B1261" i="57"/>
  <c r="E1261" i="57" s="1"/>
  <c r="B1183" i="57"/>
  <c r="E1183" i="57" s="1"/>
  <c r="B1111" i="57"/>
  <c r="E1111" i="57" s="1"/>
  <c r="B1039" i="57"/>
  <c r="E1039" i="57" s="1"/>
  <c r="B949" i="57"/>
  <c r="E949" i="57" s="1"/>
  <c r="B871" i="57"/>
  <c r="E871" i="57" s="1"/>
  <c r="B1422" i="57"/>
  <c r="E1422" i="57" s="1"/>
  <c r="B1206" i="57"/>
  <c r="E1206" i="57" s="1"/>
  <c r="B990" i="57"/>
  <c r="E990" i="57" s="1"/>
  <c r="B798" i="57"/>
  <c r="E798" i="57" s="1"/>
  <c r="B714" i="57"/>
  <c r="E714" i="57" s="1"/>
  <c r="B462" i="57"/>
  <c r="E462" i="57" s="1"/>
  <c r="B348" i="57"/>
  <c r="E348" i="57" s="1"/>
  <c r="B2191" i="57"/>
  <c r="E2191" i="57" s="1"/>
  <c r="B2155" i="57"/>
  <c r="E2155" i="57" s="1"/>
  <c r="B2119" i="57"/>
  <c r="E2119" i="57" s="1"/>
  <c r="B2083" i="57"/>
  <c r="E2083" i="57" s="1"/>
  <c r="B2047" i="57"/>
  <c r="E2047" i="57" s="1"/>
  <c r="B2011" i="57"/>
  <c r="E2011" i="57" s="1"/>
  <c r="B1975" i="57"/>
  <c r="E1975" i="57" s="1"/>
  <c r="B1939" i="57"/>
  <c r="E1939" i="57" s="1"/>
  <c r="B1903" i="57"/>
  <c r="E1903" i="57" s="1"/>
  <c r="B1867" i="57"/>
  <c r="E1867" i="57" s="1"/>
  <c r="B1831" i="57"/>
  <c r="E1831" i="57" s="1"/>
  <c r="B1795" i="57"/>
  <c r="E1795" i="57" s="1"/>
  <c r="B1759" i="57"/>
  <c r="E1759" i="57" s="1"/>
  <c r="B1723" i="57"/>
  <c r="E1723" i="57" s="1"/>
  <c r="B2460" i="57"/>
  <c r="E2460" i="57" s="1"/>
  <c r="B2424" i="57"/>
  <c r="E2424" i="57" s="1"/>
  <c r="B2388" i="57"/>
  <c r="E2388" i="57" s="1"/>
  <c r="B2352" i="57"/>
  <c r="E2352" i="57" s="1"/>
  <c r="B2316" i="57"/>
  <c r="E2316" i="57" s="1"/>
  <c r="B2280" i="57"/>
  <c r="E2280" i="57" s="1"/>
  <c r="B2244" i="57"/>
  <c r="E2244" i="57" s="1"/>
  <c r="B2208" i="57"/>
  <c r="E2208" i="57" s="1"/>
  <c r="B2172" i="57"/>
  <c r="E2172" i="57" s="1"/>
  <c r="B2136" i="57"/>
  <c r="E2136" i="57" s="1"/>
  <c r="B2100" i="57"/>
  <c r="E2100" i="57" s="1"/>
  <c r="B2064" i="57"/>
  <c r="E2064" i="57" s="1"/>
  <c r="B2028" i="57"/>
  <c r="E2028" i="57" s="1"/>
  <c r="B1992" i="57"/>
  <c r="E1992" i="57" s="1"/>
  <c r="B1956" i="57"/>
  <c r="E1956" i="57" s="1"/>
  <c r="B891" i="57"/>
  <c r="E891" i="57" s="1"/>
  <c r="B1424" i="57"/>
  <c r="E1424" i="57" s="1"/>
  <c r="B1316" i="57"/>
  <c r="E1316" i="57" s="1"/>
  <c r="B1208" i="57"/>
  <c r="E1208" i="57" s="1"/>
  <c r="B1100" i="57"/>
  <c r="E1100" i="57" s="1"/>
  <c r="B992" i="57"/>
  <c r="E992" i="57" s="1"/>
  <c r="B884" i="57"/>
  <c r="E884" i="57" s="1"/>
  <c r="B632" i="57"/>
  <c r="E632" i="57" s="1"/>
  <c r="B619" i="57"/>
  <c r="E619" i="57" s="1"/>
  <c r="B583" i="57"/>
  <c r="E583" i="57" s="1"/>
  <c r="B547" i="57"/>
  <c r="E547" i="57" s="1"/>
  <c r="B511" i="57"/>
  <c r="E511" i="57" s="1"/>
  <c r="B475" i="57"/>
  <c r="E475" i="57" s="1"/>
  <c r="B439" i="57"/>
  <c r="E439" i="57" s="1"/>
  <c r="B403" i="57"/>
  <c r="E403" i="57" s="1"/>
  <c r="B367" i="57"/>
  <c r="E367" i="57" s="1"/>
  <c r="B331" i="57"/>
  <c r="E331" i="57" s="1"/>
  <c r="B295" i="57"/>
  <c r="E295" i="57" s="1"/>
  <c r="B259" i="57"/>
  <c r="E259" i="57" s="1"/>
  <c r="B228" i="57"/>
  <c r="E228" i="57" s="1"/>
  <c r="B66" i="57"/>
  <c r="E66" i="57" s="1"/>
  <c r="B1699" i="57"/>
  <c r="E1699" i="57" s="1"/>
  <c r="B1663" i="57"/>
  <c r="E1663" i="57" s="1"/>
  <c r="B1627" i="57"/>
  <c r="E1627" i="57" s="1"/>
  <c r="B1591" i="57"/>
  <c r="E1591" i="57" s="1"/>
  <c r="B1555" i="57"/>
  <c r="E1555" i="57" s="1"/>
  <c r="B1519" i="57"/>
  <c r="E1519" i="57" s="1"/>
  <c r="B1483" i="57"/>
  <c r="E1483" i="57" s="1"/>
  <c r="B1938" i="57"/>
  <c r="E1938" i="57" s="1"/>
  <c r="B1902" i="57"/>
  <c r="E1902" i="57" s="1"/>
  <c r="B1866" i="57"/>
  <c r="E1866" i="57" s="1"/>
  <c r="B1830" i="57"/>
  <c r="E1830" i="57" s="1"/>
  <c r="B1794" i="57"/>
  <c r="E1794" i="57" s="1"/>
  <c r="B1758" i="57"/>
  <c r="E1758" i="57" s="1"/>
  <c r="B1722" i="57"/>
  <c r="E1722" i="57" s="1"/>
  <c r="B1686" i="57"/>
  <c r="E1686" i="57" s="1"/>
  <c r="B1650" i="57"/>
  <c r="E1650" i="57" s="1"/>
  <c r="B1614" i="57"/>
  <c r="E1614" i="57" s="1"/>
  <c r="B1578" i="57"/>
  <c r="E1578" i="57" s="1"/>
  <c r="B1542" i="57"/>
  <c r="E1542" i="57" s="1"/>
  <c r="B1506" i="57"/>
  <c r="E1506" i="57" s="1"/>
  <c r="B1470" i="57"/>
  <c r="E1470" i="57" s="1"/>
  <c r="B243" i="57"/>
  <c r="E243" i="57" s="1"/>
  <c r="B2477" i="57"/>
  <c r="E2477" i="57" s="1"/>
  <c r="B2441" i="57"/>
  <c r="E2441" i="57" s="1"/>
  <c r="B266" i="57"/>
  <c r="E266" i="57" s="1"/>
  <c r="B128" i="57"/>
  <c r="E128" i="57" s="1"/>
  <c r="B2476" i="57"/>
  <c r="E2476" i="57" s="1"/>
  <c r="B2440" i="57"/>
  <c r="E2440" i="57" s="1"/>
  <c r="B211" i="57"/>
  <c r="E211" i="57" s="1"/>
  <c r="B175" i="57"/>
  <c r="E175" i="57" s="1"/>
  <c r="B139" i="57"/>
  <c r="E139" i="57" s="1"/>
  <c r="B103" i="57"/>
  <c r="E103" i="57" s="1"/>
  <c r="B67" i="57"/>
  <c r="E67" i="57" s="1"/>
  <c r="B2481" i="57"/>
  <c r="E2481" i="57" s="1"/>
  <c r="B2444" i="57"/>
  <c r="E2444" i="57" s="1"/>
  <c r="B2408" i="57"/>
  <c r="E2408" i="57" s="1"/>
  <c r="B2372" i="57"/>
  <c r="E2372" i="57" s="1"/>
  <c r="B2336" i="57"/>
  <c r="E2336" i="57" s="1"/>
  <c r="B2300" i="57"/>
  <c r="E2300" i="57" s="1"/>
  <c r="B2264" i="57"/>
  <c r="E2264" i="57" s="1"/>
  <c r="B2228" i="57"/>
  <c r="E2228" i="57" s="1"/>
  <c r="B2192" i="57"/>
  <c r="E2192" i="57" s="1"/>
  <c r="B2156" i="57"/>
  <c r="E2156" i="57" s="1"/>
  <c r="B2120" i="57"/>
  <c r="E2120" i="57" s="1"/>
  <c r="B2084" i="57"/>
  <c r="E2084" i="57" s="1"/>
  <c r="B2048" i="57"/>
  <c r="E2048" i="57" s="1"/>
  <c r="B2012" i="57"/>
  <c r="E2012" i="57" s="1"/>
  <c r="B1976" i="57"/>
  <c r="E1976" i="57" s="1"/>
  <c r="B2399" i="57"/>
  <c r="E2399" i="57" s="1"/>
  <c r="B2363" i="57"/>
  <c r="E2363" i="57" s="1"/>
  <c r="B2327" i="57"/>
  <c r="E2327" i="57" s="1"/>
  <c r="B2291" i="57"/>
  <c r="E2291" i="57" s="1"/>
  <c r="B2255" i="57"/>
  <c r="E2255" i="57" s="1"/>
  <c r="B2219" i="57"/>
  <c r="E2219" i="57" s="1"/>
  <c r="B2183" i="57"/>
  <c r="E2183" i="57" s="1"/>
  <c r="B2147" i="57"/>
  <c r="E2147" i="57" s="1"/>
  <c r="B2111" i="57"/>
  <c r="E2111" i="57" s="1"/>
  <c r="B2075" i="57"/>
  <c r="E2075" i="57" s="1"/>
  <c r="B2039" i="57"/>
  <c r="E2039" i="57" s="1"/>
  <c r="B2003" i="57"/>
  <c r="E2003" i="57" s="1"/>
  <c r="B1967" i="57"/>
  <c r="E1967" i="57" s="1"/>
  <c r="B2404" i="57"/>
  <c r="E2404" i="57" s="1"/>
  <c r="B2368" i="57"/>
  <c r="E2368" i="57" s="1"/>
  <c r="B2332" i="57"/>
  <c r="E2332" i="57" s="1"/>
  <c r="B2296" i="57"/>
  <c r="E2296" i="57" s="1"/>
  <c r="B2260" i="57"/>
  <c r="E2260" i="57" s="1"/>
  <c r="B2224" i="57"/>
  <c r="E2224" i="57" s="1"/>
  <c r="B2188" i="57"/>
  <c r="E2188" i="57" s="1"/>
  <c r="B2152" i="57"/>
  <c r="E2152" i="57" s="1"/>
  <c r="B2116" i="57"/>
  <c r="E2116" i="57" s="1"/>
  <c r="B2080" i="57"/>
  <c r="E2080" i="57" s="1"/>
  <c r="B2044" i="57"/>
  <c r="E2044" i="57" s="1"/>
  <c r="B2008" i="57"/>
  <c r="E2008" i="57" s="1"/>
  <c r="B1972" i="57"/>
  <c r="E1972" i="57" s="1"/>
  <c r="B2445" i="57"/>
  <c r="E2445" i="57" s="1"/>
  <c r="B2409" i="57"/>
  <c r="E2409" i="57" s="1"/>
  <c r="B2269" i="57"/>
  <c r="E2269" i="57" s="1"/>
  <c r="B496" i="57"/>
  <c r="E496" i="57" s="1"/>
  <c r="B1381" i="57"/>
  <c r="E1381" i="57" s="1"/>
  <c r="B1273" i="57"/>
  <c r="E1273" i="57" s="1"/>
  <c r="B1147" i="57"/>
  <c r="E1147" i="57" s="1"/>
  <c r="B1051" i="57"/>
  <c r="E1051" i="57" s="1"/>
  <c r="B913" i="57"/>
  <c r="E913" i="57" s="1"/>
  <c r="B1440" i="57"/>
  <c r="E1440" i="57" s="1"/>
  <c r="B1098" i="57"/>
  <c r="E1098" i="57" s="1"/>
  <c r="B810" i="57"/>
  <c r="E810" i="57" s="1"/>
  <c r="B558" i="57"/>
  <c r="E558" i="57" s="1"/>
  <c r="B390" i="57"/>
  <c r="E390" i="57" s="1"/>
  <c r="B2173" i="57"/>
  <c r="E2173" i="57" s="1"/>
  <c r="B2125" i="57"/>
  <c r="E2125" i="57" s="1"/>
  <c r="B2077" i="57"/>
  <c r="E2077" i="57" s="1"/>
  <c r="B2035" i="57"/>
  <c r="E2035" i="57" s="1"/>
  <c r="B1993" i="57"/>
  <c r="E1993" i="57" s="1"/>
  <c r="B1951" i="57"/>
  <c r="E1951" i="57" s="1"/>
  <c r="B1909" i="57"/>
  <c r="E1909" i="57" s="1"/>
  <c r="B1861" i="57"/>
  <c r="E1861" i="57" s="1"/>
  <c r="B1819" i="57"/>
  <c r="E1819" i="57" s="1"/>
  <c r="B1777" i="57"/>
  <c r="E1777" i="57" s="1"/>
  <c r="B1735" i="57"/>
  <c r="E1735" i="57" s="1"/>
  <c r="B2466" i="57"/>
  <c r="E2466" i="57" s="1"/>
  <c r="B2418" i="57"/>
  <c r="E2418" i="57" s="1"/>
  <c r="B2376" i="57"/>
  <c r="E2376" i="57" s="1"/>
  <c r="B2334" i="57"/>
  <c r="E2334" i="57" s="1"/>
  <c r="B2292" i="57"/>
  <c r="E2292" i="57" s="1"/>
  <c r="B2250" i="57"/>
  <c r="E2250" i="57" s="1"/>
  <c r="B2202" i="57"/>
  <c r="E2202" i="57" s="1"/>
  <c r="B2160" i="57"/>
  <c r="E2160" i="57" s="1"/>
  <c r="B2118" i="57"/>
  <c r="E2118" i="57" s="1"/>
  <c r="B2076" i="57"/>
  <c r="E2076" i="57" s="1"/>
  <c r="B2034" i="57"/>
  <c r="E2034" i="57" s="1"/>
  <c r="B1986" i="57"/>
  <c r="E1986" i="57" s="1"/>
  <c r="B1353" i="57"/>
  <c r="E1353" i="57" s="1"/>
  <c r="B711" i="57"/>
  <c r="E711" i="57" s="1"/>
  <c r="B1352" i="57"/>
  <c r="E1352" i="57" s="1"/>
  <c r="B1226" i="57"/>
  <c r="E1226" i="57" s="1"/>
  <c r="B1082" i="57"/>
  <c r="E1082" i="57" s="1"/>
  <c r="B956" i="57"/>
  <c r="E956" i="57" s="1"/>
  <c r="B770" i="57"/>
  <c r="E770" i="57" s="1"/>
  <c r="B416" i="57"/>
  <c r="E416" i="57" s="1"/>
  <c r="B589" i="57"/>
  <c r="E589" i="57" s="1"/>
  <c r="B541" i="57"/>
  <c r="E541" i="57" s="1"/>
  <c r="B499" i="57"/>
  <c r="E499" i="57" s="1"/>
  <c r="B457" i="57"/>
  <c r="E457" i="57" s="1"/>
  <c r="B415" i="57"/>
  <c r="E415" i="57" s="1"/>
  <c r="B373" i="57"/>
  <c r="E373" i="57" s="1"/>
  <c r="B325" i="57"/>
  <c r="E325" i="57" s="1"/>
  <c r="B283" i="57"/>
  <c r="E283" i="57" s="1"/>
  <c r="B241" i="57"/>
  <c r="E241" i="57" s="1"/>
  <c r="B174" i="57"/>
  <c r="E174" i="57" s="1"/>
  <c r="B1705" i="57"/>
  <c r="E1705" i="57" s="1"/>
  <c r="B1657" i="57"/>
  <c r="E1657" i="57" s="1"/>
  <c r="B1615" i="57"/>
  <c r="E1615" i="57" s="1"/>
  <c r="B1573" i="57"/>
  <c r="E1573" i="57" s="1"/>
  <c r="B1531" i="57"/>
  <c r="E1531" i="57" s="1"/>
  <c r="B1489" i="57"/>
  <c r="E1489" i="57" s="1"/>
  <c r="B1932" i="57"/>
  <c r="E1932" i="57" s="1"/>
  <c r="B1890" i="57"/>
  <c r="E1890" i="57" s="1"/>
  <c r="B1848" i="57"/>
  <c r="E1848" i="57" s="1"/>
  <c r="B1806" i="57"/>
  <c r="E1806" i="57" s="1"/>
  <c r="B1764" i="57"/>
  <c r="E1764" i="57" s="1"/>
  <c r="B1716" i="57"/>
  <c r="E1716" i="57" s="1"/>
  <c r="B1674" i="57"/>
  <c r="E1674" i="57" s="1"/>
  <c r="B1632" i="57"/>
  <c r="E1632" i="57" s="1"/>
  <c r="B1590" i="57"/>
  <c r="E1590" i="57" s="1"/>
  <c r="B1548" i="57"/>
  <c r="E1548" i="57" s="1"/>
  <c r="B1500" i="57"/>
  <c r="E1500" i="57" s="1"/>
  <c r="B1458" i="57"/>
  <c r="E1458" i="57" s="1"/>
  <c r="B63" i="57"/>
  <c r="E63" i="57" s="1"/>
  <c r="B2453" i="57"/>
  <c r="E2453" i="57" s="1"/>
  <c r="B308" i="57"/>
  <c r="E308" i="57" s="1"/>
  <c r="B122" i="57"/>
  <c r="E122" i="57" s="1"/>
  <c r="B2464" i="57"/>
  <c r="E2464" i="57" s="1"/>
  <c r="B229" i="57"/>
  <c r="E229" i="57" s="1"/>
  <c r="B187" i="57"/>
  <c r="E187" i="57" s="1"/>
  <c r="B145" i="57"/>
  <c r="E145" i="57" s="1"/>
  <c r="B97" i="57"/>
  <c r="E97" i="57" s="1"/>
  <c r="B55" i="57"/>
  <c r="E55" i="57" s="1"/>
  <c r="B2462" i="57"/>
  <c r="E2462" i="57" s="1"/>
  <c r="B2420" i="57"/>
  <c r="E2420" i="57" s="1"/>
  <c r="B2378" i="57"/>
  <c r="E2378" i="57" s="1"/>
  <c r="B2330" i="57"/>
  <c r="E2330" i="57" s="1"/>
  <c r="B2233" i="57"/>
  <c r="E2233" i="57" s="1"/>
  <c r="B130" i="57"/>
  <c r="E130" i="57" s="1"/>
  <c r="B1363" i="57"/>
  <c r="E1363" i="57" s="1"/>
  <c r="B1237" i="57"/>
  <c r="E1237" i="57" s="1"/>
  <c r="B1135" i="57"/>
  <c r="E1135" i="57" s="1"/>
  <c r="B1015" i="57"/>
  <c r="E1015" i="57" s="1"/>
  <c r="B901" i="57"/>
  <c r="E901" i="57" s="1"/>
  <c r="B1332" i="57"/>
  <c r="E1332" i="57" s="1"/>
  <c r="B1086" i="57"/>
  <c r="E1086" i="57" s="1"/>
  <c r="B768" i="57"/>
  <c r="E768" i="57" s="1"/>
  <c r="B486" i="57"/>
  <c r="E486" i="57" s="1"/>
  <c r="B2215" i="57"/>
  <c r="E2215" i="57" s="1"/>
  <c r="B2167" i="57"/>
  <c r="E2167" i="57" s="1"/>
  <c r="B2113" i="57"/>
  <c r="E2113" i="57" s="1"/>
  <c r="B2071" i="57"/>
  <c r="E2071" i="57" s="1"/>
  <c r="B2029" i="57"/>
  <c r="E2029" i="57" s="1"/>
  <c r="B1987" i="57"/>
  <c r="E1987" i="57" s="1"/>
  <c r="B1945" i="57"/>
  <c r="E1945" i="57" s="1"/>
  <c r="B1897" i="57"/>
  <c r="E1897" i="57" s="1"/>
  <c r="B1855" i="57"/>
  <c r="E1855" i="57" s="1"/>
  <c r="B1813" i="57"/>
  <c r="E1813" i="57" s="1"/>
  <c r="B1771" i="57"/>
  <c r="E1771" i="57" s="1"/>
  <c r="B1729" i="57"/>
  <c r="E1729" i="57" s="1"/>
  <c r="B2454" i="57"/>
  <c r="E2454" i="57" s="1"/>
  <c r="B2412" i="57"/>
  <c r="E2412" i="57" s="1"/>
  <c r="B2370" i="57"/>
  <c r="E2370" i="57" s="1"/>
  <c r="B2328" i="57"/>
  <c r="E2328" i="57" s="1"/>
  <c r="B2286" i="57"/>
  <c r="E2286" i="57" s="1"/>
  <c r="B2238" i="57"/>
  <c r="E2238" i="57" s="1"/>
  <c r="B2196" i="57"/>
  <c r="E2196" i="57" s="1"/>
  <c r="B2154" i="57"/>
  <c r="E2154" i="57" s="1"/>
  <c r="B2112" i="57"/>
  <c r="E2112" i="57" s="1"/>
  <c r="B2070" i="57"/>
  <c r="E2070" i="57" s="1"/>
  <c r="B2022" i="57"/>
  <c r="E2022" i="57" s="1"/>
  <c r="B1980" i="57"/>
  <c r="E1980" i="57" s="1"/>
  <c r="B1317" i="57"/>
  <c r="E1317" i="57" s="1"/>
  <c r="B639" i="57"/>
  <c r="E639" i="57" s="1"/>
  <c r="B1334" i="57"/>
  <c r="E1334" i="57" s="1"/>
  <c r="B1190" i="57"/>
  <c r="E1190" i="57" s="1"/>
  <c r="B1064" i="57"/>
  <c r="E1064" i="57" s="1"/>
  <c r="B938" i="57"/>
  <c r="E938" i="57" s="1"/>
  <c r="B740" i="57"/>
  <c r="E740" i="57" s="1"/>
  <c r="B338" i="57"/>
  <c r="E338" i="57" s="1"/>
  <c r="B577" i="57"/>
  <c r="E577" i="57" s="1"/>
  <c r="B535" i="57"/>
  <c r="E535" i="57" s="1"/>
  <c r="B493" i="57"/>
  <c r="E493" i="57" s="1"/>
  <c r="B451" i="57"/>
  <c r="E451" i="57" s="1"/>
  <c r="B409" i="57"/>
  <c r="E409" i="57" s="1"/>
  <c r="B361" i="57"/>
  <c r="E361" i="57" s="1"/>
  <c r="B319" i="57"/>
  <c r="E319" i="57" s="1"/>
  <c r="B277" i="57"/>
  <c r="E277" i="57" s="1"/>
  <c r="B235" i="57"/>
  <c r="E235" i="57" s="1"/>
  <c r="B96" i="57"/>
  <c r="E96" i="57" s="1"/>
  <c r="B1693" i="57"/>
  <c r="E1693" i="57" s="1"/>
  <c r="B1651" i="57"/>
  <c r="E1651" i="57" s="1"/>
  <c r="B1609" i="57"/>
  <c r="E1609" i="57" s="1"/>
  <c r="B1567" i="57"/>
  <c r="E1567" i="57" s="1"/>
  <c r="B1525" i="57"/>
  <c r="E1525" i="57" s="1"/>
  <c r="B1477" i="57"/>
  <c r="E1477" i="57" s="1"/>
  <c r="B1926" i="57"/>
  <c r="E1926" i="57" s="1"/>
  <c r="B1884" i="57"/>
  <c r="E1884" i="57" s="1"/>
  <c r="B1842" i="57"/>
  <c r="E1842" i="57" s="1"/>
  <c r="B1800" i="57"/>
  <c r="E1800" i="57" s="1"/>
  <c r="B772" i="57"/>
  <c r="E772" i="57" s="1"/>
  <c r="B52" i="57"/>
  <c r="E52" i="57" s="1"/>
  <c r="B1351" i="57"/>
  <c r="E1351" i="57" s="1"/>
  <c r="B1219" i="57"/>
  <c r="E1219" i="57" s="1"/>
  <c r="B1123" i="57"/>
  <c r="E1123" i="57" s="1"/>
  <c r="B1003" i="57"/>
  <c r="E1003" i="57" s="1"/>
  <c r="B889" i="57"/>
  <c r="E889" i="57" s="1"/>
  <c r="B1314" i="57"/>
  <c r="E1314" i="57" s="1"/>
  <c r="B1008" i="57"/>
  <c r="E1008" i="57" s="1"/>
  <c r="B756" i="57"/>
  <c r="E756" i="57" s="1"/>
  <c r="B474" i="57"/>
  <c r="E474" i="57" s="1"/>
  <c r="B2209" i="57"/>
  <c r="E2209" i="57" s="1"/>
  <c r="B2161" i="57"/>
  <c r="E2161" i="57" s="1"/>
  <c r="B2107" i="57"/>
  <c r="E2107" i="57" s="1"/>
  <c r="B2065" i="57"/>
  <c r="E2065" i="57" s="1"/>
  <c r="B2023" i="57"/>
  <c r="E2023" i="57" s="1"/>
  <c r="B1981" i="57"/>
  <c r="E1981" i="57" s="1"/>
  <c r="B1933" i="57"/>
  <c r="E1933" i="57" s="1"/>
  <c r="B1891" i="57"/>
  <c r="E1891" i="57" s="1"/>
  <c r="B1849" i="57"/>
  <c r="E1849" i="57" s="1"/>
  <c r="B1807" i="57"/>
  <c r="E1807" i="57" s="1"/>
  <c r="B1765" i="57"/>
  <c r="E1765" i="57" s="1"/>
  <c r="B1717" i="57"/>
  <c r="E1717" i="57" s="1"/>
  <c r="B2448" i="57"/>
  <c r="E2448" i="57" s="1"/>
  <c r="B2406" i="57"/>
  <c r="E2406" i="57" s="1"/>
  <c r="B2364" i="57"/>
  <c r="E2364" i="57" s="1"/>
  <c r="B2322" i="57"/>
  <c r="E2322" i="57" s="1"/>
  <c r="B2274" i="57"/>
  <c r="E2274" i="57" s="1"/>
  <c r="B2232" i="57"/>
  <c r="E2232" i="57" s="1"/>
  <c r="B2190" i="57"/>
  <c r="E2190" i="57" s="1"/>
  <c r="B2148" i="57"/>
  <c r="E2148" i="57" s="1"/>
  <c r="B2106" i="57"/>
  <c r="E2106" i="57" s="1"/>
  <c r="B2058" i="57"/>
  <c r="E2058" i="57" s="1"/>
  <c r="B2016" i="57"/>
  <c r="E2016" i="57" s="1"/>
  <c r="B1974" i="57"/>
  <c r="E1974" i="57" s="1"/>
  <c r="B1245" i="57"/>
  <c r="E1245" i="57" s="1"/>
  <c r="B351" i="57"/>
  <c r="E351" i="57" s="1"/>
  <c r="B1298" i="57"/>
  <c r="E1298" i="57" s="1"/>
  <c r="B1172" i="57"/>
  <c r="E1172" i="57" s="1"/>
  <c r="B1046" i="57"/>
  <c r="E1046" i="57" s="1"/>
  <c r="B920" i="57"/>
  <c r="E920" i="57" s="1"/>
  <c r="B662" i="57"/>
  <c r="E662" i="57" s="1"/>
  <c r="B613" i="57"/>
  <c r="E613" i="57" s="1"/>
  <c r="B571" i="57"/>
  <c r="E571" i="57" s="1"/>
  <c r="B529" i="57"/>
  <c r="E529" i="57" s="1"/>
  <c r="B487" i="57"/>
  <c r="E487" i="57" s="1"/>
  <c r="B445" i="57"/>
  <c r="E445" i="57" s="1"/>
  <c r="B397" i="57"/>
  <c r="E397" i="57" s="1"/>
  <c r="B355" i="57"/>
  <c r="E355" i="57" s="1"/>
  <c r="B313" i="57"/>
  <c r="E313" i="57" s="1"/>
  <c r="B271" i="57"/>
  <c r="E271" i="57" s="1"/>
  <c r="B276" i="57"/>
  <c r="E276" i="57" s="1"/>
  <c r="B2480" i="57"/>
  <c r="E2480" i="57" s="1"/>
  <c r="B1687" i="57"/>
  <c r="E1687" i="57" s="1"/>
  <c r="B1645" i="57"/>
  <c r="E1645" i="57" s="1"/>
  <c r="B1603" i="57"/>
  <c r="E1603" i="57" s="1"/>
  <c r="B1561" i="57"/>
  <c r="E1561" i="57" s="1"/>
  <c r="B1513" i="57"/>
  <c r="E1513" i="57" s="1"/>
  <c r="B1471" i="57"/>
  <c r="E1471" i="57" s="1"/>
  <c r="B1920" i="57"/>
  <c r="E1920" i="57" s="1"/>
  <c r="B1878" i="57"/>
  <c r="E1878" i="57" s="1"/>
  <c r="B1836" i="57"/>
  <c r="E1836" i="57" s="1"/>
  <c r="B1788" i="57"/>
  <c r="E1788" i="57" s="1"/>
  <c r="B46" i="57"/>
  <c r="E46" i="57" s="1"/>
  <c r="B1429" i="57"/>
  <c r="E1429" i="57" s="1"/>
  <c r="B1303" i="57"/>
  <c r="E1303" i="57" s="1"/>
  <c r="B1195" i="57"/>
  <c r="E1195" i="57" s="1"/>
  <c r="B1075" i="57"/>
  <c r="E1075" i="57" s="1"/>
  <c r="B967" i="57"/>
  <c r="E967" i="57" s="1"/>
  <c r="B805" i="57"/>
  <c r="E805" i="57" s="1"/>
  <c r="B1224" i="57"/>
  <c r="E1224" i="57" s="1"/>
  <c r="B882" i="57"/>
  <c r="E882" i="57" s="1"/>
  <c r="B726" i="57"/>
  <c r="E726" i="57" s="1"/>
  <c r="B414" i="57"/>
  <c r="E414" i="57" s="1"/>
  <c r="B2197" i="57"/>
  <c r="E2197" i="57" s="1"/>
  <c r="B2137" i="57"/>
  <c r="E2137" i="57" s="1"/>
  <c r="B2095" i="57"/>
  <c r="E2095" i="57" s="1"/>
  <c r="B2053" i="57"/>
  <c r="E2053" i="57" s="1"/>
  <c r="B2005" i="57"/>
  <c r="E2005" i="57" s="1"/>
  <c r="B1963" i="57"/>
  <c r="E1963" i="57" s="1"/>
  <c r="B1921" i="57"/>
  <c r="E1921" i="57" s="1"/>
  <c r="B1879" i="57"/>
  <c r="E1879" i="57" s="1"/>
  <c r="B1837" i="57"/>
  <c r="E1837" i="57" s="1"/>
  <c r="B1789" i="57"/>
  <c r="E1789" i="57" s="1"/>
  <c r="B1747" i="57"/>
  <c r="E1747" i="57" s="1"/>
  <c r="B2478" i="57"/>
  <c r="E2478" i="57" s="1"/>
  <c r="B2436" i="57"/>
  <c r="E2436" i="57" s="1"/>
  <c r="B2394" i="57"/>
  <c r="E2394" i="57" s="1"/>
  <c r="B2346" i="57"/>
  <c r="E2346" i="57" s="1"/>
  <c r="B2304" i="57"/>
  <c r="E2304" i="57" s="1"/>
  <c r="B2262" i="57"/>
  <c r="E2262" i="57" s="1"/>
  <c r="B2220" i="57"/>
  <c r="E2220" i="57" s="1"/>
  <c r="B2178" i="57"/>
  <c r="E2178" i="57" s="1"/>
  <c r="B2130" i="57"/>
  <c r="E2130" i="57" s="1"/>
  <c r="B2088" i="57"/>
  <c r="E2088" i="57" s="1"/>
  <c r="B2046" i="57"/>
  <c r="E2046" i="57" s="1"/>
  <c r="B2004" i="57"/>
  <c r="E2004" i="57" s="1"/>
  <c r="B1962" i="57"/>
  <c r="E1962" i="57" s="1"/>
  <c r="B813" i="57"/>
  <c r="E813" i="57" s="1"/>
  <c r="B1388" i="57"/>
  <c r="E1388" i="57" s="1"/>
  <c r="B1262" i="57"/>
  <c r="E1262" i="57" s="1"/>
  <c r="B1136" i="57"/>
  <c r="E1136" i="57" s="1"/>
  <c r="B1010" i="57"/>
  <c r="E1010" i="57" s="1"/>
  <c r="B866" i="57"/>
  <c r="E866" i="57" s="1"/>
  <c r="B524" i="57"/>
  <c r="E524" i="57" s="1"/>
  <c r="B601" i="57"/>
  <c r="E601" i="57" s="1"/>
  <c r="B559" i="57"/>
  <c r="E559" i="57" s="1"/>
  <c r="B517" i="57"/>
  <c r="E517" i="57" s="1"/>
  <c r="B469" i="57"/>
  <c r="E469" i="57" s="1"/>
  <c r="B427" i="57"/>
  <c r="E427" i="57" s="1"/>
  <c r="B385" i="57"/>
  <c r="E385" i="57" s="1"/>
  <c r="B343" i="57"/>
  <c r="E343" i="57" s="1"/>
  <c r="B301" i="57"/>
  <c r="E301" i="57" s="1"/>
  <c r="B253" i="57"/>
  <c r="E253" i="57" s="1"/>
  <c r="B198" i="57"/>
  <c r="E198" i="57" s="1"/>
  <c r="B2468" i="57"/>
  <c r="E2468" i="57" s="1"/>
  <c r="B1675" i="57"/>
  <c r="E1675" i="57" s="1"/>
  <c r="B1633" i="57"/>
  <c r="E1633" i="57" s="1"/>
  <c r="B1585" i="57"/>
  <c r="E1585" i="57" s="1"/>
  <c r="B1543" i="57"/>
  <c r="E1543" i="57" s="1"/>
  <c r="B1501" i="57"/>
  <c r="E1501" i="57" s="1"/>
  <c r="B1459" i="57"/>
  <c r="E1459" i="57" s="1"/>
  <c r="B1908" i="57"/>
  <c r="E1908" i="57" s="1"/>
  <c r="B1860" i="57"/>
  <c r="E1860" i="57" s="1"/>
  <c r="B1818" i="57"/>
  <c r="E1818" i="57" s="1"/>
  <c r="B880" i="57"/>
  <c r="E880" i="57" s="1"/>
  <c r="B1393" i="57"/>
  <c r="E1393" i="57" s="1"/>
  <c r="B1291" i="57"/>
  <c r="E1291" i="57" s="1"/>
  <c r="B1159" i="57"/>
  <c r="E1159" i="57" s="1"/>
  <c r="B1063" i="57"/>
  <c r="E1063" i="57" s="1"/>
  <c r="B925" i="57"/>
  <c r="E925" i="57" s="1"/>
  <c r="B631" i="57"/>
  <c r="E631" i="57" s="1"/>
  <c r="B1116" i="57"/>
  <c r="E1116" i="57" s="1"/>
  <c r="B870" i="57"/>
  <c r="E870" i="57" s="1"/>
  <c r="B600" i="57"/>
  <c r="E600" i="57" s="1"/>
  <c r="B402" i="57"/>
  <c r="E402" i="57" s="1"/>
  <c r="B2179" i="57"/>
  <c r="E2179" i="57" s="1"/>
  <c r="B2131" i="57"/>
  <c r="E2131" i="57" s="1"/>
  <c r="B2089" i="57"/>
  <c r="E2089" i="57" s="1"/>
  <c r="B2041" i="57"/>
  <c r="E2041" i="57" s="1"/>
  <c r="B1999" i="57"/>
  <c r="E1999" i="57" s="1"/>
  <c r="B1957" i="57"/>
  <c r="E1957" i="57" s="1"/>
  <c r="B1915" i="57"/>
  <c r="E1915" i="57" s="1"/>
  <c r="B1873" i="57"/>
  <c r="E1873" i="57" s="1"/>
  <c r="B1825" i="57"/>
  <c r="E1825" i="57" s="1"/>
  <c r="B1783" i="57"/>
  <c r="E1783" i="57" s="1"/>
  <c r="B1741" i="57"/>
  <c r="E1741" i="57" s="1"/>
  <c r="B2472" i="57"/>
  <c r="E2472" i="57" s="1"/>
  <c r="B2430" i="57"/>
  <c r="E2430" i="57" s="1"/>
  <c r="B2382" i="57"/>
  <c r="E2382" i="57" s="1"/>
  <c r="B2340" i="57"/>
  <c r="E2340" i="57" s="1"/>
  <c r="B2298" i="57"/>
  <c r="E2298" i="57" s="1"/>
  <c r="B2256" i="57"/>
  <c r="E2256" i="57" s="1"/>
  <c r="B2214" i="57"/>
  <c r="E2214" i="57" s="1"/>
  <c r="B2166" i="57"/>
  <c r="E2166" i="57" s="1"/>
  <c r="B2124" i="57"/>
  <c r="E2124" i="57" s="1"/>
  <c r="B2082" i="57"/>
  <c r="E2082" i="57" s="1"/>
  <c r="B2040" i="57"/>
  <c r="E2040" i="57" s="1"/>
  <c r="B1998" i="57"/>
  <c r="E1998" i="57" s="1"/>
  <c r="B1950" i="57"/>
  <c r="E1950" i="57" s="1"/>
  <c r="B777" i="57"/>
  <c r="E777" i="57" s="1"/>
  <c r="B1370" i="57"/>
  <c r="E1370" i="57" s="1"/>
  <c r="B1244" i="57"/>
  <c r="E1244" i="57" s="1"/>
  <c r="B1118" i="57"/>
  <c r="E1118" i="57" s="1"/>
  <c r="B974" i="57"/>
  <c r="E974" i="57" s="1"/>
  <c r="B848" i="57"/>
  <c r="E848" i="57" s="1"/>
  <c r="B446" i="57"/>
  <c r="E446" i="57" s="1"/>
  <c r="B595" i="57"/>
  <c r="E595" i="57" s="1"/>
  <c r="B553" i="57"/>
  <c r="E553" i="57" s="1"/>
  <c r="B505" i="57"/>
  <c r="E505" i="57" s="1"/>
  <c r="B463" i="57"/>
  <c r="E463" i="57" s="1"/>
  <c r="B421" i="57"/>
  <c r="E421" i="57" s="1"/>
  <c r="B379" i="57"/>
  <c r="E379" i="57" s="1"/>
  <c r="B337" i="57"/>
  <c r="E337" i="57" s="1"/>
  <c r="B289" i="57"/>
  <c r="E289" i="57" s="1"/>
  <c r="B247" i="57"/>
  <c r="E247" i="57" s="1"/>
  <c r="B186" i="57"/>
  <c r="E186" i="57" s="1"/>
  <c r="B1711" i="57"/>
  <c r="E1711" i="57" s="1"/>
  <c r="B1669" i="57"/>
  <c r="E1669" i="57" s="1"/>
  <c r="B1621" i="57"/>
  <c r="E1621" i="57" s="1"/>
  <c r="B1579" i="57"/>
  <c r="E1579" i="57" s="1"/>
  <c r="B1537" i="57"/>
  <c r="E1537" i="57" s="1"/>
  <c r="B1495" i="57"/>
  <c r="E1495" i="57" s="1"/>
  <c r="B1944" i="57"/>
  <c r="E1944" i="57" s="1"/>
  <c r="B1896" i="57"/>
  <c r="E1896" i="57" s="1"/>
  <c r="B1854" i="57"/>
  <c r="E1854" i="57" s="1"/>
  <c r="B1812" i="57"/>
  <c r="E1812" i="57" s="1"/>
  <c r="B1770" i="57"/>
  <c r="E1770" i="57" s="1"/>
  <c r="B1728" i="57"/>
  <c r="E1728" i="57" s="1"/>
  <c r="B1680" i="57"/>
  <c r="E1680" i="57" s="1"/>
  <c r="B1638" i="57"/>
  <c r="E1638" i="57" s="1"/>
  <c r="B1596" i="57"/>
  <c r="E1596" i="57" s="1"/>
  <c r="B1554" i="57"/>
  <c r="E1554" i="57" s="1"/>
  <c r="B1512" i="57"/>
  <c r="E1512" i="57" s="1"/>
  <c r="B1464" i="57"/>
  <c r="E1464" i="57" s="1"/>
  <c r="B69" i="57"/>
  <c r="E69" i="57" s="1"/>
  <c r="B2459" i="57"/>
  <c r="E2459" i="57" s="1"/>
  <c r="B2417" i="57"/>
  <c r="E2417" i="57" s="1"/>
  <c r="B158" i="57"/>
  <c r="E158" i="57" s="1"/>
  <c r="B2470" i="57"/>
  <c r="E2470" i="57" s="1"/>
  <c r="B2428" i="57"/>
  <c r="E2428" i="57" s="1"/>
  <c r="B193" i="57"/>
  <c r="E193" i="57" s="1"/>
  <c r="B151" i="57"/>
  <c r="E151" i="57" s="1"/>
  <c r="B109" i="57"/>
  <c r="E109" i="57" s="1"/>
  <c r="B61" i="57"/>
  <c r="E61" i="57" s="1"/>
  <c r="B2469" i="57"/>
  <c r="E2469" i="57" s="1"/>
  <c r="B2426" i="57"/>
  <c r="E2426" i="57" s="1"/>
  <c r="B2384" i="57"/>
  <c r="E2384" i="57" s="1"/>
  <c r="B2342" i="57"/>
  <c r="E2342" i="57" s="1"/>
  <c r="B2294" i="57"/>
  <c r="E2294" i="57" s="1"/>
  <c r="B2252" i="57"/>
  <c r="E2252" i="57" s="1"/>
  <c r="B2210" i="57"/>
  <c r="E2210" i="57" s="1"/>
  <c r="B2168" i="57"/>
  <c r="E2168" i="57" s="1"/>
  <c r="B2126" i="57"/>
  <c r="E2126" i="57" s="1"/>
  <c r="B2078" i="57"/>
  <c r="E2078" i="57" s="1"/>
  <c r="B2036" i="57"/>
  <c r="E2036" i="57" s="1"/>
  <c r="B1994" i="57"/>
  <c r="E1994" i="57" s="1"/>
  <c r="B2411" i="57"/>
  <c r="E2411" i="57" s="1"/>
  <c r="B2369" i="57"/>
  <c r="E2369" i="57" s="1"/>
  <c r="B2321" i="57"/>
  <c r="E2321" i="57" s="1"/>
  <c r="B2279" i="57"/>
  <c r="E2279" i="57" s="1"/>
  <c r="B2237" i="57"/>
  <c r="E2237" i="57" s="1"/>
  <c r="B2195" i="57"/>
  <c r="E2195" i="57" s="1"/>
  <c r="B2153" i="57"/>
  <c r="E2153" i="57" s="1"/>
  <c r="B2105" i="57"/>
  <c r="E2105" i="57" s="1"/>
  <c r="B2063" i="57"/>
  <c r="E2063" i="57" s="1"/>
  <c r="B2021" i="57"/>
  <c r="E2021" i="57" s="1"/>
  <c r="B1979" i="57"/>
  <c r="E1979" i="57" s="1"/>
  <c r="B2410" i="57"/>
  <c r="E2410" i="57" s="1"/>
  <c r="B2362" i="57"/>
  <c r="E2362" i="57" s="1"/>
  <c r="B2320" i="57"/>
  <c r="E2320" i="57" s="1"/>
  <c r="B2278" i="57"/>
  <c r="E2278" i="57" s="1"/>
  <c r="B2236" i="57"/>
  <c r="E2236" i="57" s="1"/>
  <c r="B2194" i="57"/>
  <c r="E2194" i="57" s="1"/>
  <c r="B2146" i="57"/>
  <c r="E2146" i="57" s="1"/>
  <c r="B2104" i="57"/>
  <c r="E2104" i="57" s="1"/>
  <c r="B2062" i="57"/>
  <c r="E2062" i="57" s="1"/>
  <c r="B2020" i="57"/>
  <c r="E2020" i="57" s="1"/>
  <c r="B1978" i="57"/>
  <c r="E1978" i="57" s="1"/>
  <c r="B2439" i="57"/>
  <c r="E2439" i="57" s="1"/>
  <c r="B2397" i="57"/>
  <c r="E2397" i="57" s="1"/>
  <c r="B2361" i="57"/>
  <c r="E2361" i="57" s="1"/>
  <c r="B2325" i="57"/>
  <c r="E2325" i="57" s="1"/>
  <c r="B2289" i="57"/>
  <c r="E2289" i="57" s="1"/>
  <c r="B2253" i="57"/>
  <c r="E2253" i="57" s="1"/>
  <c r="B2217" i="57"/>
  <c r="E2217" i="57" s="1"/>
  <c r="B2181" i="57"/>
  <c r="E2181" i="57" s="1"/>
  <c r="B2145" i="57"/>
  <c r="E2145" i="57" s="1"/>
  <c r="B2109" i="57"/>
  <c r="E2109" i="57" s="1"/>
  <c r="B2073" i="57"/>
  <c r="E2073" i="57" s="1"/>
  <c r="B2037" i="57"/>
  <c r="E2037" i="57" s="1"/>
  <c r="B2001" i="57"/>
  <c r="E2001" i="57" s="1"/>
  <c r="B1965" i="57"/>
  <c r="E1965" i="57" s="1"/>
  <c r="B1928" i="57"/>
  <c r="E1928" i="57" s="1"/>
  <c r="B1892" i="57"/>
  <c r="E1892" i="57" s="1"/>
  <c r="B1856" i="57"/>
  <c r="E1856" i="57" s="1"/>
  <c r="B1820" i="57"/>
  <c r="E1820" i="57" s="1"/>
  <c r="B1784" i="57"/>
  <c r="E1784" i="57" s="1"/>
  <c r="B1748" i="57"/>
  <c r="E1748" i="57" s="1"/>
  <c r="B1712" i="57"/>
  <c r="E1712" i="57" s="1"/>
  <c r="B1676" i="57"/>
  <c r="E1676" i="57" s="1"/>
  <c r="B1640" i="57"/>
  <c r="E1640" i="57" s="1"/>
  <c r="B1604" i="57"/>
  <c r="E1604" i="57" s="1"/>
  <c r="B1568" i="57"/>
  <c r="E1568" i="57" s="1"/>
  <c r="B1532" i="57"/>
  <c r="E1532" i="57" s="1"/>
  <c r="B1496" i="57"/>
  <c r="E1496" i="57" s="1"/>
  <c r="B1460" i="57"/>
  <c r="E1460" i="57" s="1"/>
  <c r="B1925" i="57"/>
  <c r="E1925" i="57" s="1"/>
  <c r="B1889" i="57"/>
  <c r="E1889" i="57" s="1"/>
  <c r="B1853" i="57"/>
  <c r="E1853" i="57" s="1"/>
  <c r="B1817" i="57"/>
  <c r="E1817" i="57" s="1"/>
  <c r="B1781" i="57"/>
  <c r="E1781" i="57" s="1"/>
  <c r="B1745" i="57"/>
  <c r="E1745" i="57" s="1"/>
  <c r="B1709" i="57"/>
  <c r="E1709" i="57" s="1"/>
  <c r="B1673" i="57"/>
  <c r="E1673" i="57" s="1"/>
  <c r="B1637" i="57"/>
  <c r="E1637" i="57" s="1"/>
  <c r="B1601" i="57"/>
  <c r="E1601" i="57" s="1"/>
  <c r="B1565" i="57"/>
  <c r="E1565" i="57" s="1"/>
  <c r="B1529" i="57"/>
  <c r="E1529" i="57" s="1"/>
  <c r="B1493" i="57"/>
  <c r="E1493" i="57" s="1"/>
  <c r="B1457" i="57"/>
  <c r="E1457" i="57" s="1"/>
  <c r="B1936" i="57"/>
  <c r="E1936" i="57" s="1"/>
  <c r="B1900" i="57"/>
  <c r="E1900" i="57" s="1"/>
  <c r="B1864" i="57"/>
  <c r="E1864" i="57" s="1"/>
  <c r="B1828" i="57"/>
  <c r="E1828" i="57" s="1"/>
  <c r="B1792" i="57"/>
  <c r="E1792" i="57" s="1"/>
  <c r="B1756" i="57"/>
  <c r="E1756" i="57" s="1"/>
  <c r="B1720" i="57"/>
  <c r="E1720" i="57" s="1"/>
  <c r="B1684" i="57"/>
  <c r="E1684" i="57" s="1"/>
  <c r="B1648" i="57"/>
  <c r="E1648" i="57" s="1"/>
  <c r="B1612" i="57"/>
  <c r="E1612" i="57" s="1"/>
  <c r="B1576" i="57"/>
  <c r="E1576" i="57" s="1"/>
  <c r="B1540" i="57"/>
  <c r="E1540" i="57" s="1"/>
  <c r="B1504" i="57"/>
  <c r="E1504" i="57" s="1"/>
  <c r="B1468" i="57"/>
  <c r="E1468" i="57" s="1"/>
  <c r="B1935" i="57"/>
  <c r="E1935" i="57" s="1"/>
  <c r="B1899" i="57"/>
  <c r="E1899" i="57" s="1"/>
  <c r="B1863" i="57"/>
  <c r="E1863" i="57" s="1"/>
  <c r="B1827" i="57"/>
  <c r="E1827" i="57" s="1"/>
  <c r="B1791" i="57"/>
  <c r="E1791" i="57" s="1"/>
  <c r="B1755" i="57"/>
  <c r="E1755" i="57" s="1"/>
  <c r="B1719" i="57"/>
  <c r="E1719" i="57" s="1"/>
  <c r="B1683" i="57"/>
  <c r="E1683" i="57" s="1"/>
  <c r="B1647" i="57"/>
  <c r="E1647" i="57" s="1"/>
  <c r="B1611" i="57"/>
  <c r="E1611" i="57" s="1"/>
  <c r="B1575" i="57"/>
  <c r="E1575" i="57" s="1"/>
  <c r="B1539" i="57"/>
  <c r="E1539" i="57" s="1"/>
  <c r="B1503" i="57"/>
  <c r="E1503" i="57" s="1"/>
  <c r="B1467" i="57"/>
  <c r="E1467" i="57" s="1"/>
  <c r="B232" i="57"/>
  <c r="E232" i="57" s="1"/>
  <c r="B841" i="57"/>
  <c r="E841" i="57" s="1"/>
  <c r="B2143" i="57"/>
  <c r="E2143" i="57" s="1"/>
  <c r="B1885" i="57"/>
  <c r="E1885" i="57" s="1"/>
  <c r="B2400" i="57"/>
  <c r="E2400" i="57" s="1"/>
  <c r="B2142" i="57"/>
  <c r="E2142" i="57" s="1"/>
  <c r="B1406" i="57"/>
  <c r="E1406" i="57" s="1"/>
  <c r="B607" i="57"/>
  <c r="E607" i="57" s="1"/>
  <c r="B349" i="57"/>
  <c r="E349" i="57" s="1"/>
  <c r="B1639" i="57"/>
  <c r="E1639" i="57" s="1"/>
  <c r="B1872" i="57"/>
  <c r="E1872" i="57" s="1"/>
  <c r="B1740" i="57"/>
  <c r="E1740" i="57" s="1"/>
  <c r="B1668" i="57"/>
  <c r="E1668" i="57" s="1"/>
  <c r="B1608" i="57"/>
  <c r="E1608" i="57" s="1"/>
  <c r="B1536" i="57"/>
  <c r="E1536" i="57" s="1"/>
  <c r="B1482" i="57"/>
  <c r="E1482" i="57" s="1"/>
  <c r="B45" i="57"/>
  <c r="E45" i="57" s="1"/>
  <c r="B2429" i="57"/>
  <c r="E2429" i="57" s="1"/>
  <c r="B92" i="57"/>
  <c r="E92" i="57" s="1"/>
  <c r="B2446" i="57"/>
  <c r="E2446" i="57" s="1"/>
  <c r="B181" i="57"/>
  <c r="E181" i="57" s="1"/>
  <c r="B121" i="57"/>
  <c r="E121" i="57" s="1"/>
  <c r="B43" i="57"/>
  <c r="E43" i="57" s="1"/>
  <c r="B2438" i="57"/>
  <c r="E2438" i="57" s="1"/>
  <c r="B2366" i="57"/>
  <c r="E2366" i="57" s="1"/>
  <c r="B2312" i="57"/>
  <c r="E2312" i="57" s="1"/>
  <c r="B2258" i="57"/>
  <c r="E2258" i="57" s="1"/>
  <c r="B2204" i="57"/>
  <c r="E2204" i="57" s="1"/>
  <c r="B2150" i="57"/>
  <c r="E2150" i="57" s="1"/>
  <c r="B2102" i="57"/>
  <c r="E2102" i="57" s="1"/>
  <c r="B2054" i="57"/>
  <c r="E2054" i="57" s="1"/>
  <c r="B2000" i="57"/>
  <c r="E2000" i="57" s="1"/>
  <c r="B2405" i="57"/>
  <c r="E2405" i="57" s="1"/>
  <c r="B2351" i="57"/>
  <c r="E2351" i="57" s="1"/>
  <c r="B2303" i="57"/>
  <c r="E2303" i="57" s="1"/>
  <c r="B2249" i="57"/>
  <c r="E2249" i="57" s="1"/>
  <c r="B2201" i="57"/>
  <c r="E2201" i="57" s="1"/>
  <c r="B2141" i="57"/>
  <c r="E2141" i="57" s="1"/>
  <c r="B2093" i="57"/>
  <c r="E2093" i="57" s="1"/>
  <c r="B2045" i="57"/>
  <c r="E2045" i="57" s="1"/>
  <c r="B1991" i="57"/>
  <c r="E1991" i="57" s="1"/>
  <c r="B2416" i="57"/>
  <c r="E2416" i="57" s="1"/>
  <c r="B2356" i="57"/>
  <c r="E2356" i="57" s="1"/>
  <c r="B2308" i="57"/>
  <c r="E2308" i="57" s="1"/>
  <c r="B2254" i="57"/>
  <c r="E2254" i="57" s="1"/>
  <c r="B2206" i="57"/>
  <c r="E2206" i="57" s="1"/>
  <c r="B2158" i="57"/>
  <c r="E2158" i="57" s="1"/>
  <c r="B2098" i="57"/>
  <c r="E2098" i="57" s="1"/>
  <c r="B2050" i="57"/>
  <c r="E2050" i="57" s="1"/>
  <c r="B1996" i="57"/>
  <c r="E1996" i="57" s="1"/>
  <c r="B2457" i="57"/>
  <c r="E2457" i="57" s="1"/>
  <c r="B2403" i="57"/>
  <c r="E2403" i="57" s="1"/>
  <c r="B2355" i="57"/>
  <c r="E2355" i="57" s="1"/>
  <c r="B2313" i="57"/>
  <c r="E2313" i="57" s="1"/>
  <c r="B2271" i="57"/>
  <c r="E2271" i="57" s="1"/>
  <c r="B2229" i="57"/>
  <c r="E2229" i="57" s="1"/>
  <c r="B2187" i="57"/>
  <c r="E2187" i="57" s="1"/>
  <c r="B2139" i="57"/>
  <c r="E2139" i="57" s="1"/>
  <c r="B2097" i="57"/>
  <c r="E2097" i="57" s="1"/>
  <c r="B2055" i="57"/>
  <c r="E2055" i="57" s="1"/>
  <c r="B2013" i="57"/>
  <c r="E2013" i="57" s="1"/>
  <c r="B1971" i="57"/>
  <c r="E1971" i="57" s="1"/>
  <c r="B1922" i="57"/>
  <c r="E1922" i="57" s="1"/>
  <c r="B1880" i="57"/>
  <c r="E1880" i="57" s="1"/>
  <c r="B1838" i="57"/>
  <c r="E1838" i="57" s="1"/>
  <c r="B1796" i="57"/>
  <c r="E1796" i="57" s="1"/>
  <c r="B1754" i="57"/>
  <c r="E1754" i="57" s="1"/>
  <c r="B1706" i="57"/>
  <c r="E1706" i="57" s="1"/>
  <c r="B1664" i="57"/>
  <c r="E1664" i="57" s="1"/>
  <c r="B1622" i="57"/>
  <c r="E1622" i="57" s="1"/>
  <c r="B1580" i="57"/>
  <c r="E1580" i="57" s="1"/>
  <c r="B1538" i="57"/>
  <c r="E1538" i="57" s="1"/>
  <c r="B1490" i="57"/>
  <c r="E1490" i="57" s="1"/>
  <c r="B1949" i="57"/>
  <c r="E1949" i="57" s="1"/>
  <c r="B1907" i="57"/>
  <c r="E1907" i="57" s="1"/>
  <c r="B1865" i="57"/>
  <c r="E1865" i="57" s="1"/>
  <c r="B1823" i="57"/>
  <c r="E1823" i="57" s="1"/>
  <c r="B1775" i="57"/>
  <c r="E1775" i="57" s="1"/>
  <c r="B1733" i="57"/>
  <c r="E1733" i="57" s="1"/>
  <c r="B1691" i="57"/>
  <c r="E1691" i="57" s="1"/>
  <c r="B1649" i="57"/>
  <c r="E1649" i="57" s="1"/>
  <c r="B1607" i="57"/>
  <c r="E1607" i="57" s="1"/>
  <c r="B1559" i="57"/>
  <c r="E1559" i="57" s="1"/>
  <c r="B1517" i="57"/>
  <c r="E1517" i="57" s="1"/>
  <c r="B1475" i="57"/>
  <c r="E1475" i="57" s="1"/>
  <c r="B1948" i="57"/>
  <c r="E1948" i="57" s="1"/>
  <c r="B1441" i="57"/>
  <c r="E1441" i="57" s="1"/>
  <c r="B1302" i="57"/>
  <c r="E1302" i="57" s="1"/>
  <c r="B2101" i="57"/>
  <c r="E2101" i="57" s="1"/>
  <c r="B1843" i="57"/>
  <c r="E1843" i="57" s="1"/>
  <c r="B2358" i="57"/>
  <c r="E2358" i="57" s="1"/>
  <c r="B2094" i="57"/>
  <c r="E2094" i="57" s="1"/>
  <c r="B1280" i="57"/>
  <c r="E1280" i="57" s="1"/>
  <c r="B565" i="57"/>
  <c r="E565" i="57" s="1"/>
  <c r="B307" i="57"/>
  <c r="E307" i="57" s="1"/>
  <c r="B1597" i="57"/>
  <c r="E1597" i="57" s="1"/>
  <c r="B1824" i="57"/>
  <c r="E1824" i="57" s="1"/>
  <c r="B1734" i="57"/>
  <c r="E1734" i="57" s="1"/>
  <c r="B1662" i="57"/>
  <c r="E1662" i="57" s="1"/>
  <c r="B1602" i="57"/>
  <c r="E1602" i="57" s="1"/>
  <c r="B1530" i="57"/>
  <c r="E1530" i="57" s="1"/>
  <c r="B1476" i="57"/>
  <c r="E1476" i="57" s="1"/>
  <c r="B14" i="57"/>
  <c r="E14" i="57" s="1"/>
  <c r="B2423" i="57"/>
  <c r="E2423" i="57" s="1"/>
  <c r="B62" i="57"/>
  <c r="E62" i="57" s="1"/>
  <c r="B2434" i="57"/>
  <c r="E2434" i="57" s="1"/>
  <c r="B169" i="57"/>
  <c r="E169" i="57" s="1"/>
  <c r="B115" i="57"/>
  <c r="E115" i="57" s="1"/>
  <c r="B31" i="57"/>
  <c r="E31" i="57" s="1"/>
  <c r="B2432" i="57"/>
  <c r="E2432" i="57" s="1"/>
  <c r="B2360" i="57"/>
  <c r="E2360" i="57" s="1"/>
  <c r="B2306" i="57"/>
  <c r="E2306" i="57" s="1"/>
  <c r="B2246" i="57"/>
  <c r="E2246" i="57" s="1"/>
  <c r="B2198" i="57"/>
  <c r="E2198" i="57" s="1"/>
  <c r="B2144" i="57"/>
  <c r="E2144" i="57" s="1"/>
  <c r="B2096" i="57"/>
  <c r="E2096" i="57" s="1"/>
  <c r="B2042" i="57"/>
  <c r="E2042" i="57" s="1"/>
  <c r="B1988" i="57"/>
  <c r="E1988" i="57" s="1"/>
  <c r="B2393" i="57"/>
  <c r="E2393" i="57" s="1"/>
  <c r="B2345" i="57"/>
  <c r="E2345" i="57" s="1"/>
  <c r="B2297" i="57"/>
  <c r="E2297" i="57" s="1"/>
  <c r="B2243" i="57"/>
  <c r="E2243" i="57" s="1"/>
  <c r="B2189" i="57"/>
  <c r="E2189" i="57" s="1"/>
  <c r="B2135" i="57"/>
  <c r="E2135" i="57" s="1"/>
  <c r="B2087" i="57"/>
  <c r="E2087" i="57" s="1"/>
  <c r="B2033" i="57"/>
  <c r="E2033" i="57" s="1"/>
  <c r="B1985" i="57"/>
  <c r="E1985" i="57" s="1"/>
  <c r="B2398" i="57"/>
  <c r="E2398" i="57" s="1"/>
  <c r="B2350" i="57"/>
  <c r="E2350" i="57" s="1"/>
  <c r="B2302" i="57"/>
  <c r="E2302" i="57" s="1"/>
  <c r="B2248" i="57"/>
  <c r="E2248" i="57" s="1"/>
  <c r="B2200" i="57"/>
  <c r="E2200" i="57" s="1"/>
  <c r="B2140" i="57"/>
  <c r="E2140" i="57" s="1"/>
  <c r="B2092" i="57"/>
  <c r="E2092" i="57" s="1"/>
  <c r="B2038" i="57"/>
  <c r="E2038" i="57" s="1"/>
  <c r="B1990" i="57"/>
  <c r="E1990" i="57" s="1"/>
  <c r="B2451" i="57"/>
  <c r="E2451" i="57" s="1"/>
  <c r="B2391" i="57"/>
  <c r="E2391" i="57" s="1"/>
  <c r="B2349" i="57"/>
  <c r="E2349" i="57" s="1"/>
  <c r="B2307" i="57"/>
  <c r="E2307" i="57" s="1"/>
  <c r="B2265" i="57"/>
  <c r="E2265" i="57" s="1"/>
  <c r="B2223" i="57"/>
  <c r="E2223" i="57" s="1"/>
  <c r="B2175" i="57"/>
  <c r="E2175" i="57" s="1"/>
  <c r="B2133" i="57"/>
  <c r="E2133" i="57" s="1"/>
  <c r="B2091" i="57"/>
  <c r="E2091" i="57" s="1"/>
  <c r="B2049" i="57"/>
  <c r="E2049" i="57" s="1"/>
  <c r="B2007" i="57"/>
  <c r="E2007" i="57" s="1"/>
  <c r="B1959" i="57"/>
  <c r="E1959" i="57" s="1"/>
  <c r="B1916" i="57"/>
  <c r="E1916" i="57" s="1"/>
  <c r="B1874" i="57"/>
  <c r="E1874" i="57" s="1"/>
  <c r="B1832" i="57"/>
  <c r="E1832" i="57" s="1"/>
  <c r="B1790" i="57"/>
  <c r="E1790" i="57" s="1"/>
  <c r="B1742" i="57"/>
  <c r="E1742" i="57" s="1"/>
  <c r="B1700" i="57"/>
  <c r="E1700" i="57" s="1"/>
  <c r="B1658" i="57"/>
  <c r="E1658" i="57" s="1"/>
  <c r="B1616" i="57"/>
  <c r="E1616" i="57" s="1"/>
  <c r="B1574" i="57"/>
  <c r="E1574" i="57" s="1"/>
  <c r="B1526" i="57"/>
  <c r="E1526" i="57" s="1"/>
  <c r="B1484" i="57"/>
  <c r="E1484" i="57" s="1"/>
  <c r="B1943" i="57"/>
  <c r="E1943" i="57" s="1"/>
  <c r="B1901" i="57"/>
  <c r="E1901" i="57" s="1"/>
  <c r="B1859" i="57"/>
  <c r="E1859" i="57" s="1"/>
  <c r="B1811" i="57"/>
  <c r="E1811" i="57" s="1"/>
  <c r="B1769" i="57"/>
  <c r="E1769" i="57" s="1"/>
  <c r="B1727" i="57"/>
  <c r="E1727" i="57" s="1"/>
  <c r="B1685" i="57"/>
  <c r="E1685" i="57" s="1"/>
  <c r="B1643" i="57"/>
  <c r="E1643" i="57" s="1"/>
  <c r="B1595" i="57"/>
  <c r="E1595" i="57" s="1"/>
  <c r="B1553" i="57"/>
  <c r="E1553" i="57" s="1"/>
  <c r="B1511" i="57"/>
  <c r="E1511" i="57" s="1"/>
  <c r="B1469" i="57"/>
  <c r="E1469" i="57" s="1"/>
  <c r="B1315" i="57"/>
  <c r="E1315" i="57" s="1"/>
  <c r="B900" i="57"/>
  <c r="E900" i="57" s="1"/>
  <c r="B2059" i="57"/>
  <c r="E2059" i="57" s="1"/>
  <c r="B1801" i="57"/>
  <c r="E1801" i="57" s="1"/>
  <c r="B2310" i="57"/>
  <c r="E2310" i="57" s="1"/>
  <c r="B2052" i="57"/>
  <c r="E2052" i="57" s="1"/>
  <c r="B1154" i="57"/>
  <c r="E1154" i="57" s="1"/>
  <c r="B523" i="57"/>
  <c r="E523" i="57" s="1"/>
  <c r="B265" i="57"/>
  <c r="E265" i="57" s="1"/>
  <c r="B1549" i="57"/>
  <c r="E1549" i="57" s="1"/>
  <c r="B1782" i="57"/>
  <c r="E1782" i="57" s="1"/>
  <c r="B1710" i="57"/>
  <c r="E1710" i="57" s="1"/>
  <c r="B1656" i="57"/>
  <c r="E1656" i="57" s="1"/>
  <c r="B1584" i="57"/>
  <c r="E1584" i="57" s="1"/>
  <c r="B1524" i="57"/>
  <c r="E1524" i="57" s="1"/>
  <c r="B2509" i="57"/>
  <c r="E2509" i="57" s="1"/>
  <c r="B2471" i="57"/>
  <c r="E2471" i="57" s="1"/>
  <c r="B236" i="57"/>
  <c r="E236" i="57" s="1"/>
  <c r="B13" i="57"/>
  <c r="E13" i="57" s="1"/>
  <c r="B223" i="57"/>
  <c r="E223" i="57" s="1"/>
  <c r="B163" i="57"/>
  <c r="E163" i="57" s="1"/>
  <c r="B91" i="57"/>
  <c r="E91" i="57" s="1"/>
  <c r="B12" i="57"/>
  <c r="E12" i="57" s="1"/>
  <c r="B2414" i="57"/>
  <c r="E2414" i="57" s="1"/>
  <c r="B2354" i="57"/>
  <c r="E2354" i="57" s="1"/>
  <c r="B2288" i="57"/>
  <c r="E2288" i="57" s="1"/>
  <c r="B2240" i="57"/>
  <c r="E2240" i="57" s="1"/>
  <c r="B2186" i="57"/>
  <c r="E2186" i="57" s="1"/>
  <c r="B2138" i="57"/>
  <c r="E2138" i="57" s="1"/>
  <c r="B2090" i="57"/>
  <c r="E2090" i="57" s="1"/>
  <c r="B2030" i="57"/>
  <c r="E2030" i="57" s="1"/>
  <c r="B1982" i="57"/>
  <c r="E1982" i="57" s="1"/>
  <c r="B2387" i="57"/>
  <c r="B2339" i="57"/>
  <c r="E2339" i="57" s="1"/>
  <c r="B2285" i="57"/>
  <c r="E2285" i="57" s="1"/>
  <c r="B2231" i="57"/>
  <c r="E2231" i="57" s="1"/>
  <c r="B2177" i="57"/>
  <c r="E2177" i="57" s="1"/>
  <c r="B2129" i="57"/>
  <c r="E2129" i="57" s="1"/>
  <c r="B2081" i="57"/>
  <c r="E2081" i="57" s="1"/>
  <c r="B2027" i="57"/>
  <c r="E2027" i="57" s="1"/>
  <c r="B1973" i="57"/>
  <c r="E1973" i="57" s="1"/>
  <c r="B2392" i="57"/>
  <c r="E2392" i="57" s="1"/>
  <c r="B2344" i="57"/>
  <c r="E2344" i="57" s="1"/>
  <c r="B2290" i="57"/>
  <c r="E2290" i="57" s="1"/>
  <c r="B2242" i="57"/>
  <c r="E2242" i="57" s="1"/>
  <c r="B2182" i="57"/>
  <c r="E2182" i="57" s="1"/>
  <c r="B2134" i="57"/>
  <c r="E2134" i="57" s="1"/>
  <c r="B2086" i="57"/>
  <c r="E2086" i="57" s="1"/>
  <c r="B2032" i="57"/>
  <c r="E2032" i="57" s="1"/>
  <c r="B1984" i="57"/>
  <c r="E1984" i="57" s="1"/>
  <c r="B2433" i="57"/>
  <c r="E2433" i="57" s="1"/>
  <c r="B2385" i="57"/>
  <c r="E2385" i="57" s="1"/>
  <c r="B2343" i="57"/>
  <c r="E2343" i="57" s="1"/>
  <c r="B2301" i="57"/>
  <c r="E2301" i="57" s="1"/>
  <c r="B2259" i="57"/>
  <c r="E2259" i="57" s="1"/>
  <c r="B2211" i="57"/>
  <c r="E2211" i="57" s="1"/>
  <c r="B2169" i="57"/>
  <c r="E2169" i="57" s="1"/>
  <c r="B2127" i="57"/>
  <c r="E2127" i="57" s="1"/>
  <c r="B2085" i="57"/>
  <c r="E2085" i="57" s="1"/>
  <c r="B1207" i="57"/>
  <c r="E1207" i="57" s="1"/>
  <c r="B738" i="57"/>
  <c r="E738" i="57" s="1"/>
  <c r="B2017" i="57"/>
  <c r="E2017" i="57" s="1"/>
  <c r="B1753" i="57"/>
  <c r="E1753" i="57" s="1"/>
  <c r="B2268" i="57"/>
  <c r="E2268" i="57" s="1"/>
  <c r="B2010" i="57"/>
  <c r="E2010" i="57" s="1"/>
  <c r="B1028" i="57"/>
  <c r="E1028" i="57" s="1"/>
  <c r="B481" i="57"/>
  <c r="E481" i="57" s="1"/>
  <c r="B216" i="57"/>
  <c r="E216" i="57" s="1"/>
  <c r="B1507" i="57"/>
  <c r="E1507" i="57" s="1"/>
  <c r="B1776" i="57"/>
  <c r="E1776" i="57" s="1"/>
  <c r="B1704" i="57"/>
  <c r="E1704" i="57" s="1"/>
  <c r="B1644" i="57"/>
  <c r="E1644" i="57" s="1"/>
  <c r="B1572" i="57"/>
  <c r="E1572" i="57" s="1"/>
  <c r="B1518" i="57"/>
  <c r="E1518" i="57" s="1"/>
  <c r="B2503" i="57"/>
  <c r="E2503" i="57" s="1"/>
  <c r="B2465" i="57"/>
  <c r="E2465" i="57" s="1"/>
  <c r="B230" i="57"/>
  <c r="E230" i="57" s="1"/>
  <c r="B1452" i="57"/>
  <c r="E1452" i="57" s="1"/>
  <c r="B217" i="57"/>
  <c r="E217" i="57" s="1"/>
  <c r="B157" i="57"/>
  <c r="E157" i="57" s="1"/>
  <c r="B85" i="57"/>
  <c r="E85" i="57" s="1"/>
  <c r="B2475" i="57"/>
  <c r="E2475" i="57" s="1"/>
  <c r="B2402" i="57"/>
  <c r="E2402" i="57" s="1"/>
  <c r="B2348" i="57"/>
  <c r="E2348" i="57" s="1"/>
  <c r="B2282" i="57"/>
  <c r="E2282" i="57" s="1"/>
  <c r="B2234" i="57"/>
  <c r="E2234" i="57" s="1"/>
  <c r="B2180" i="57"/>
  <c r="E2180" i="57" s="1"/>
  <c r="B2132" i="57"/>
  <c r="E2132" i="57" s="1"/>
  <c r="B2072" i="57"/>
  <c r="E2072" i="57" s="1"/>
  <c r="B2024" i="57"/>
  <c r="E2024" i="57" s="1"/>
  <c r="B1970" i="57"/>
  <c r="E1970" i="57" s="1"/>
  <c r="B2381" i="57"/>
  <c r="E2381" i="57" s="1"/>
  <c r="B2333" i="57"/>
  <c r="E2333" i="57" s="1"/>
  <c r="B2273" i="57"/>
  <c r="E2273" i="57" s="1"/>
  <c r="B2225" i="57"/>
  <c r="E2225" i="57" s="1"/>
  <c r="B2171" i="57"/>
  <c r="E2171" i="57" s="1"/>
  <c r="B2123" i="57"/>
  <c r="E2123" i="57" s="1"/>
  <c r="B2069" i="57"/>
  <c r="E2069" i="57" s="1"/>
  <c r="B2015" i="57"/>
  <c r="E2015" i="57" s="1"/>
  <c r="B1961" i="57"/>
  <c r="E1961" i="57" s="1"/>
  <c r="B2386" i="57"/>
  <c r="E2386" i="57" s="1"/>
  <c r="B2338" i="57"/>
  <c r="E2338" i="57" s="1"/>
  <c r="B2284" i="57"/>
  <c r="E2284" i="57" s="1"/>
  <c r="B2230" i="57"/>
  <c r="E2230" i="57" s="1"/>
  <c r="B2176" i="57"/>
  <c r="E2176" i="57" s="1"/>
  <c r="B2128" i="57"/>
  <c r="E2128" i="57" s="1"/>
  <c r="B2074" i="57"/>
  <c r="E2074" i="57" s="1"/>
  <c r="B2026" i="57"/>
  <c r="E2026" i="57" s="1"/>
  <c r="B1966" i="57"/>
  <c r="E1966" i="57" s="1"/>
  <c r="B2427" i="57"/>
  <c r="E2427" i="57" s="1"/>
  <c r="B2379" i="57"/>
  <c r="E2379" i="57" s="1"/>
  <c r="B2337" i="57"/>
  <c r="E2337" i="57" s="1"/>
  <c r="B2295" i="57"/>
  <c r="E2295" i="57" s="1"/>
  <c r="B2247" i="57"/>
  <c r="E2247" i="57" s="1"/>
  <c r="B2205" i="57"/>
  <c r="E2205" i="57" s="1"/>
  <c r="B2163" i="57"/>
  <c r="E2163" i="57" s="1"/>
  <c r="B2121" i="57"/>
  <c r="E2121" i="57" s="1"/>
  <c r="B2079" i="57"/>
  <c r="E2079" i="57" s="1"/>
  <c r="B1087" i="57"/>
  <c r="E1087" i="57" s="1"/>
  <c r="B432" i="57"/>
  <c r="E432" i="57" s="1"/>
  <c r="B1969" i="57"/>
  <c r="E1969" i="57" s="1"/>
  <c r="B16" i="57"/>
  <c r="B2226" i="57"/>
  <c r="E2226" i="57" s="1"/>
  <c r="B1968" i="57"/>
  <c r="E1968" i="57" s="1"/>
  <c r="B902" i="57"/>
  <c r="E902" i="57" s="1"/>
  <c r="B433" i="57"/>
  <c r="E433" i="57" s="1"/>
  <c r="B2474" i="57"/>
  <c r="E2474" i="57" s="1"/>
  <c r="B1465" i="57"/>
  <c r="E1465" i="57" s="1"/>
  <c r="B1752" i="57"/>
  <c r="E1752" i="57" s="1"/>
  <c r="B1698" i="57"/>
  <c r="E1698" i="57" s="1"/>
  <c r="B1626" i="57"/>
  <c r="E1626" i="57" s="1"/>
  <c r="B1566" i="57"/>
  <c r="E1566" i="57" s="1"/>
  <c r="B1494" i="57"/>
  <c r="E1494" i="57" s="1"/>
  <c r="B2497" i="57"/>
  <c r="E2497" i="57" s="1"/>
  <c r="B2447" i="57"/>
  <c r="E2447" i="57" s="1"/>
  <c r="B200" i="57"/>
  <c r="E200" i="57" s="1"/>
  <c r="B2458" i="57"/>
  <c r="E2458" i="57" s="1"/>
  <c r="B205" i="57"/>
  <c r="E205" i="57" s="1"/>
  <c r="B133" i="57"/>
  <c r="E133" i="57" s="1"/>
  <c r="B79" i="57"/>
  <c r="E79" i="57" s="1"/>
  <c r="B2456" i="57"/>
  <c r="E2456" i="57" s="1"/>
  <c r="B2396" i="57"/>
  <c r="E2396" i="57" s="1"/>
  <c r="B2324" i="57"/>
  <c r="E2324" i="57" s="1"/>
  <c r="B2276" i="57"/>
  <c r="E2276" i="57" s="1"/>
  <c r="B2222" i="57"/>
  <c r="E2222" i="57" s="1"/>
  <c r="B2174" i="57"/>
  <c r="E2174" i="57" s="1"/>
  <c r="B2114" i="57"/>
  <c r="E2114" i="57" s="1"/>
  <c r="B2066" i="57"/>
  <c r="E2066" i="57" s="1"/>
  <c r="B2018" i="57"/>
  <c r="E2018" i="57" s="1"/>
  <c r="B1964" i="57"/>
  <c r="E1964" i="57" s="1"/>
  <c r="B2375" i="57"/>
  <c r="E2375" i="57" s="1"/>
  <c r="B2315" i="57"/>
  <c r="E2315" i="57" s="1"/>
  <c r="B2267" i="57"/>
  <c r="E2267" i="57" s="1"/>
  <c r="B2213" i="57"/>
  <c r="E2213" i="57" s="1"/>
  <c r="B2165" i="57"/>
  <c r="E2165" i="57" s="1"/>
  <c r="B2117" i="57"/>
  <c r="E2117" i="57" s="1"/>
  <c r="B2057" i="57"/>
  <c r="E2057" i="57" s="1"/>
  <c r="B2009" i="57"/>
  <c r="E2009" i="57" s="1"/>
  <c r="B1955" i="57"/>
  <c r="E1955" i="57" s="1"/>
  <c r="B2380" i="57"/>
  <c r="E2380" i="57" s="1"/>
  <c r="B2326" i="57"/>
  <c r="E2326" i="57" s="1"/>
  <c r="B2272" i="57"/>
  <c r="E2272" i="57" s="1"/>
  <c r="B2218" i="57"/>
  <c r="E2218" i="57" s="1"/>
  <c r="B2170" i="57"/>
  <c r="E2170" i="57" s="1"/>
  <c r="B2122" i="57"/>
  <c r="E2122" i="57" s="1"/>
  <c r="B2068" i="57"/>
  <c r="E2068" i="57" s="1"/>
  <c r="B2014" i="57"/>
  <c r="E2014" i="57" s="1"/>
  <c r="B1960" i="57"/>
  <c r="E1960" i="57" s="1"/>
  <c r="B2421" i="57"/>
  <c r="E2421" i="57" s="1"/>
  <c r="B2373" i="57"/>
  <c r="E2373" i="57" s="1"/>
  <c r="B2331" i="57"/>
  <c r="E2331" i="57" s="1"/>
  <c r="B2283" i="57"/>
  <c r="E2283" i="57" s="1"/>
  <c r="B2241" i="57"/>
  <c r="E2241" i="57" s="1"/>
  <c r="B2199" i="57"/>
  <c r="E2199" i="57" s="1"/>
  <c r="B2157" i="57"/>
  <c r="E2157" i="57" s="1"/>
  <c r="B2115" i="57"/>
  <c r="E2115" i="57" s="1"/>
  <c r="B2067" i="57"/>
  <c r="E2067" i="57" s="1"/>
  <c r="B2025" i="57"/>
  <c r="E2025" i="57" s="1"/>
  <c r="B985" i="57"/>
  <c r="E985" i="57" s="1"/>
  <c r="B2203" i="57"/>
  <c r="E2203" i="57" s="1"/>
  <c r="B1927" i="57"/>
  <c r="E1927" i="57" s="1"/>
  <c r="B2442" i="57"/>
  <c r="E2442" i="57" s="1"/>
  <c r="B2184" i="57"/>
  <c r="E2184" i="57" s="1"/>
  <c r="B927" i="57"/>
  <c r="E927" i="57" s="1"/>
  <c r="B554" i="57"/>
  <c r="E554" i="57" s="1"/>
  <c r="B391" i="57"/>
  <c r="E391" i="57" s="1"/>
  <c r="B1681" i="57"/>
  <c r="E1681" i="57" s="1"/>
  <c r="B1914" i="57"/>
  <c r="E1914" i="57" s="1"/>
  <c r="B1746" i="57"/>
  <c r="E1746" i="57" s="1"/>
  <c r="B1692" i="57"/>
  <c r="E1692" i="57" s="1"/>
  <c r="B1620" i="57"/>
  <c r="E1620" i="57" s="1"/>
  <c r="B1560" i="57"/>
  <c r="E1560" i="57" s="1"/>
  <c r="B1488" i="57"/>
  <c r="E1488" i="57" s="1"/>
  <c r="B93" i="57"/>
  <c r="E93" i="57" s="1"/>
  <c r="B2435" i="57"/>
  <c r="E2435" i="57" s="1"/>
  <c r="B164" i="57"/>
  <c r="E164" i="57" s="1"/>
  <c r="B2452" i="57"/>
  <c r="E2452" i="57" s="1"/>
  <c r="B199" i="57"/>
  <c r="E199" i="57" s="1"/>
  <c r="B127" i="57"/>
  <c r="E127" i="57" s="1"/>
  <c r="B73" i="57"/>
  <c r="E73" i="57" s="1"/>
  <c r="B2450" i="57"/>
  <c r="E2450" i="57" s="1"/>
  <c r="B2390" i="57"/>
  <c r="E2390" i="57" s="1"/>
  <c r="B2318" i="57"/>
  <c r="E2318" i="57" s="1"/>
  <c r="B2270" i="57"/>
  <c r="E2270" i="57" s="1"/>
  <c r="B2216" i="57"/>
  <c r="E2216" i="57" s="1"/>
  <c r="B2162" i="57"/>
  <c r="E2162" i="57" s="1"/>
  <c r="B2108" i="57"/>
  <c r="E2108" i="57" s="1"/>
  <c r="B2060" i="57"/>
  <c r="E2060" i="57" s="1"/>
  <c r="B2006" i="57"/>
  <c r="E2006" i="57" s="1"/>
  <c r="B1958" i="57"/>
  <c r="E1958" i="57" s="1"/>
  <c r="B2357" i="57"/>
  <c r="E2357" i="57" s="1"/>
  <c r="B2309" i="57"/>
  <c r="E2309" i="57" s="1"/>
  <c r="B2261" i="57"/>
  <c r="E2261" i="57" s="1"/>
  <c r="B2207" i="57"/>
  <c r="E2207" i="57" s="1"/>
  <c r="B2159" i="57"/>
  <c r="E2159" i="57" s="1"/>
  <c r="B2099" i="57"/>
  <c r="E2099" i="57" s="1"/>
  <c r="B2051" i="57"/>
  <c r="E2051" i="57" s="1"/>
  <c r="B1997" i="57"/>
  <c r="E1997" i="57" s="1"/>
  <c r="B2422" i="57"/>
  <c r="E2422" i="57" s="1"/>
  <c r="B2374" i="57"/>
  <c r="E2374" i="57" s="1"/>
  <c r="B2314" i="57"/>
  <c r="E2314" i="57" s="1"/>
  <c r="B2266" i="57"/>
  <c r="E2266" i="57" s="1"/>
  <c r="B2212" i="57"/>
  <c r="E2212" i="57" s="1"/>
  <c r="B2164" i="57"/>
  <c r="E2164" i="57" s="1"/>
  <c r="B2110" i="57"/>
  <c r="E2110" i="57" s="1"/>
  <c r="B2056" i="57"/>
  <c r="E2056" i="57" s="1"/>
  <c r="B2002" i="57"/>
  <c r="E2002" i="57" s="1"/>
  <c r="B2463" i="57"/>
  <c r="E2463" i="57" s="1"/>
  <c r="B2415" i="57"/>
  <c r="E2415" i="57" s="1"/>
  <c r="B2367" i="57"/>
  <c r="E2367" i="57" s="1"/>
  <c r="B2319" i="57"/>
  <c r="E2319" i="57" s="1"/>
  <c r="B2277" i="57"/>
  <c r="E2277" i="57" s="1"/>
  <c r="B2235" i="57"/>
  <c r="E2235" i="57" s="1"/>
  <c r="B2193" i="57"/>
  <c r="E2193" i="57" s="1"/>
  <c r="B2151" i="57"/>
  <c r="E2151" i="57" s="1"/>
  <c r="B2103" i="57"/>
  <c r="E2103" i="57" s="1"/>
  <c r="B2061" i="57"/>
  <c r="E2061" i="57" s="1"/>
  <c r="B2019" i="57"/>
  <c r="E2019" i="57" s="1"/>
  <c r="B1977" i="57"/>
  <c r="E1977" i="57" s="1"/>
  <c r="B1934" i="57"/>
  <c r="E1934" i="57" s="1"/>
  <c r="B1886" i="57"/>
  <c r="E1886" i="57" s="1"/>
  <c r="B1844" i="57"/>
  <c r="E1844" i="57" s="1"/>
  <c r="B1802" i="57"/>
  <c r="E1802" i="57" s="1"/>
  <c r="B1760" i="57"/>
  <c r="E1760" i="57" s="1"/>
  <c r="B1718" i="57"/>
  <c r="E1718" i="57" s="1"/>
  <c r="B1670" i="57"/>
  <c r="E1670" i="57" s="1"/>
  <c r="B1628" i="57"/>
  <c r="E1628" i="57" s="1"/>
  <c r="B1586" i="57"/>
  <c r="E1586" i="57" s="1"/>
  <c r="B1544" i="57"/>
  <c r="E1544" i="57" s="1"/>
  <c r="B1502" i="57"/>
  <c r="E1502" i="57" s="1"/>
  <c r="B2499" i="57"/>
  <c r="E2499" i="57" s="1"/>
  <c r="B1913" i="57"/>
  <c r="E1913" i="57" s="1"/>
  <c r="B1871" i="57"/>
  <c r="E1871" i="57" s="1"/>
  <c r="B1829" i="57"/>
  <c r="E1829" i="57" s="1"/>
  <c r="B1787" i="57"/>
  <c r="E1787" i="57" s="1"/>
  <c r="B1739" i="57"/>
  <c r="E1739" i="57" s="1"/>
  <c r="B1697" i="57"/>
  <c r="E1697" i="57" s="1"/>
  <c r="B1655" i="57"/>
  <c r="E1655" i="57" s="1"/>
  <c r="B1613" i="57"/>
  <c r="E1613" i="57" s="1"/>
  <c r="B1571" i="57"/>
  <c r="E1571" i="57" s="1"/>
  <c r="B1523" i="57"/>
  <c r="E1523" i="57" s="1"/>
  <c r="B1481" i="57"/>
  <c r="E1481" i="57" s="1"/>
  <c r="B1954" i="57"/>
  <c r="E1954" i="57" s="1"/>
  <c r="B1912" i="57"/>
  <c r="E1912" i="57" s="1"/>
  <c r="B1870" i="57"/>
  <c r="E1870" i="57" s="1"/>
  <c r="B1822" i="57"/>
  <c r="E1822" i="57" s="1"/>
  <c r="B1780" i="57"/>
  <c r="E1780" i="57" s="1"/>
  <c r="B1738" i="57"/>
  <c r="E1738" i="57" s="1"/>
  <c r="B1696" i="57"/>
  <c r="E1696" i="57" s="1"/>
  <c r="B1654" i="57"/>
  <c r="E1654" i="57" s="1"/>
  <c r="B1606" i="57"/>
  <c r="E1606" i="57" s="1"/>
  <c r="B1564" i="57"/>
  <c r="E1564" i="57" s="1"/>
  <c r="B1522" i="57"/>
  <c r="E1522" i="57" s="1"/>
  <c r="B1480" i="57"/>
  <c r="E1480" i="57" s="1"/>
  <c r="B1941" i="57"/>
  <c r="E1941" i="57" s="1"/>
  <c r="B1893" i="57"/>
  <c r="E1893" i="57" s="1"/>
  <c r="B1851" i="57"/>
  <c r="E1851" i="57" s="1"/>
  <c r="B1809" i="57"/>
  <c r="E1809" i="57" s="1"/>
  <c r="B1767" i="57"/>
  <c r="E1767" i="57" s="1"/>
  <c r="B1725" i="57"/>
  <c r="E1725" i="57" s="1"/>
  <c r="B1677" i="57"/>
  <c r="E1677" i="57" s="1"/>
  <c r="B1635" i="57"/>
  <c r="E1635" i="57" s="1"/>
  <c r="B1593" i="57"/>
  <c r="E1593" i="57" s="1"/>
  <c r="B1551" i="57"/>
  <c r="E1551" i="57" s="1"/>
  <c r="B1509" i="57"/>
  <c r="E1509" i="57" s="1"/>
  <c r="B1461" i="57"/>
  <c r="E1461" i="57" s="1"/>
  <c r="B1416" i="57"/>
  <c r="E1416" i="57" s="1"/>
  <c r="B1439" i="57"/>
  <c r="E1439" i="57" s="1"/>
  <c r="B1409" i="57"/>
  <c r="E1409" i="57" s="1"/>
  <c r="B1379" i="57"/>
  <c r="E1379" i="57" s="1"/>
  <c r="B1307" i="57"/>
  <c r="E1307" i="57" s="1"/>
  <c r="B1432" i="57"/>
  <c r="E1432" i="57" s="1"/>
  <c r="B1414" i="57"/>
  <c r="E1414" i="57" s="1"/>
  <c r="B1396" i="57"/>
  <c r="E1396" i="57" s="1"/>
  <c r="B1378" i="57"/>
  <c r="E1378" i="57" s="1"/>
  <c r="B1354" i="57"/>
  <c r="E1354" i="57" s="1"/>
  <c r="B1330" i="57"/>
  <c r="E1330" i="57" s="1"/>
  <c r="B1306" i="57"/>
  <c r="E1306" i="57" s="1"/>
  <c r="B1288" i="57"/>
  <c r="E1288" i="57" s="1"/>
  <c r="B1270" i="57"/>
  <c r="E1270" i="57" s="1"/>
  <c r="B1246" i="57"/>
  <c r="E1246" i="57" s="1"/>
  <c r="B1228" i="57"/>
  <c r="E1228" i="57" s="1"/>
  <c r="B1210" i="57"/>
  <c r="E1210" i="57" s="1"/>
  <c r="B1192" i="57"/>
  <c r="E1192" i="57" s="1"/>
  <c r="B1174" i="57"/>
  <c r="E1174" i="57" s="1"/>
  <c r="B1150" i="57"/>
  <c r="E1150" i="57" s="1"/>
  <c r="B1126" i="57"/>
  <c r="E1126" i="57" s="1"/>
  <c r="B1108" i="57"/>
  <c r="E1108" i="57" s="1"/>
  <c r="B1084" i="57"/>
  <c r="E1084" i="57" s="1"/>
  <c r="B1066" i="57"/>
  <c r="E1066" i="57" s="1"/>
  <c r="B1048" i="57"/>
  <c r="E1048" i="57" s="1"/>
  <c r="B1024" i="57"/>
  <c r="E1024" i="57" s="1"/>
  <c r="B1006" i="57"/>
  <c r="E1006" i="57" s="1"/>
  <c r="B988" i="57"/>
  <c r="E988" i="57" s="1"/>
  <c r="B970" i="57"/>
  <c r="E970" i="57" s="1"/>
  <c r="B952" i="57"/>
  <c r="E952" i="57" s="1"/>
  <c r="B928" i="57"/>
  <c r="E928" i="57" s="1"/>
  <c r="B904" i="57"/>
  <c r="E904" i="57" s="1"/>
  <c r="B886" i="57"/>
  <c r="E886" i="57" s="1"/>
  <c r="B862" i="57"/>
  <c r="E862" i="57" s="1"/>
  <c r="B844" i="57"/>
  <c r="E844" i="57" s="1"/>
  <c r="B826" i="57"/>
  <c r="E826" i="57" s="1"/>
  <c r="B808" i="57"/>
  <c r="E808" i="57" s="1"/>
  <c r="B790" i="57"/>
  <c r="E790" i="57" s="1"/>
  <c r="B754" i="57"/>
  <c r="E754" i="57" s="1"/>
  <c r="B736" i="57"/>
  <c r="E736" i="57" s="1"/>
  <c r="B712" i="57"/>
  <c r="E712" i="57" s="1"/>
  <c r="B694" i="57"/>
  <c r="E694" i="57" s="1"/>
  <c r="B676" i="57"/>
  <c r="E676" i="57" s="1"/>
  <c r="B658" i="57"/>
  <c r="E658" i="57" s="1"/>
  <c r="B640" i="57"/>
  <c r="E640" i="57" s="1"/>
  <c r="B616" i="57"/>
  <c r="E616" i="57" s="1"/>
  <c r="B586" i="57"/>
  <c r="E586" i="57" s="1"/>
  <c r="B568" i="57"/>
  <c r="E568" i="57" s="1"/>
  <c r="B1437" i="57"/>
  <c r="E1437" i="57" s="1"/>
  <c r="B1419" i="57"/>
  <c r="E1419" i="57" s="1"/>
  <c r="B1401" i="57"/>
  <c r="E1401" i="57" s="1"/>
  <c r="B1383" i="57"/>
  <c r="E1383" i="57" s="1"/>
  <c r="B1365" i="57"/>
  <c r="E1365" i="57" s="1"/>
  <c r="B1341" i="57"/>
  <c r="E1341" i="57" s="1"/>
  <c r="B1323" i="57"/>
  <c r="E1323" i="57" s="1"/>
  <c r="B1299" i="57"/>
  <c r="E1299" i="57" s="1"/>
  <c r="B1281" i="57"/>
  <c r="E1281" i="57" s="1"/>
  <c r="B1263" i="57"/>
  <c r="E1263" i="57" s="1"/>
  <c r="B1239" i="57"/>
  <c r="E1239" i="57" s="1"/>
  <c r="B1221" i="57"/>
  <c r="E1221" i="57" s="1"/>
  <c r="B1203" i="57"/>
  <c r="E1203" i="57" s="1"/>
  <c r="B1185" i="57"/>
  <c r="E1185" i="57" s="1"/>
  <c r="B1167" i="57"/>
  <c r="E1167" i="57" s="1"/>
  <c r="B1149" i="57"/>
  <c r="E1149" i="57" s="1"/>
  <c r="B1131" i="57"/>
  <c r="E1131" i="57" s="1"/>
  <c r="B1113" i="57"/>
  <c r="E1113" i="57" s="1"/>
  <c r="B1095" i="57"/>
  <c r="E1095" i="57" s="1"/>
  <c r="B1077" i="57"/>
  <c r="E1077" i="57" s="1"/>
  <c r="B1059" i="57"/>
  <c r="E1059" i="57" s="1"/>
  <c r="B1041" i="57"/>
  <c r="E1041" i="57" s="1"/>
  <c r="B1023" i="57"/>
  <c r="E1023" i="57" s="1"/>
  <c r="B1005" i="57"/>
  <c r="E1005" i="57" s="1"/>
  <c r="B987" i="57"/>
  <c r="E987" i="57" s="1"/>
  <c r="B969" i="57"/>
  <c r="E969" i="57" s="1"/>
  <c r="B951" i="57"/>
  <c r="E951" i="57" s="1"/>
  <c r="B933" i="57"/>
  <c r="E933" i="57" s="1"/>
  <c r="B909" i="57"/>
  <c r="E909" i="57" s="1"/>
  <c r="B885" i="57"/>
  <c r="E885" i="57" s="1"/>
  <c r="B867" i="57"/>
  <c r="E867" i="57" s="1"/>
  <c r="B849" i="57"/>
  <c r="E849" i="57" s="1"/>
  <c r="B831" i="57"/>
  <c r="E831" i="57" s="1"/>
  <c r="B2043" i="57"/>
  <c r="E2043" i="57" s="1"/>
  <c r="B1946" i="57"/>
  <c r="E1946" i="57" s="1"/>
  <c r="B1862" i="57"/>
  <c r="E1862" i="57" s="1"/>
  <c r="B1772" i="57"/>
  <c r="E1772" i="57" s="1"/>
  <c r="B1688" i="57"/>
  <c r="E1688" i="57" s="1"/>
  <c r="B1598" i="57"/>
  <c r="E1598" i="57" s="1"/>
  <c r="B1514" i="57"/>
  <c r="E1514" i="57" s="1"/>
  <c r="B1931" i="57"/>
  <c r="E1931" i="57" s="1"/>
  <c r="B1841" i="57"/>
  <c r="E1841" i="57" s="1"/>
  <c r="B1757" i="57"/>
  <c r="E1757" i="57" s="1"/>
  <c r="B1667" i="57"/>
  <c r="E1667" i="57" s="1"/>
  <c r="B1583" i="57"/>
  <c r="E1583" i="57" s="1"/>
  <c r="B1499" i="57"/>
  <c r="E1499" i="57" s="1"/>
  <c r="B1930" i="57"/>
  <c r="E1930" i="57" s="1"/>
  <c r="B1882" i="57"/>
  <c r="E1882" i="57" s="1"/>
  <c r="B1834" i="57"/>
  <c r="E1834" i="57" s="1"/>
  <c r="B1774" i="57"/>
  <c r="E1774" i="57" s="1"/>
  <c r="B1726" i="57"/>
  <c r="E1726" i="57" s="1"/>
  <c r="B1672" i="57"/>
  <c r="E1672" i="57" s="1"/>
  <c r="B1624" i="57"/>
  <c r="E1624" i="57" s="1"/>
  <c r="B1570" i="57"/>
  <c r="E1570" i="57" s="1"/>
  <c r="B1516" i="57"/>
  <c r="E1516" i="57" s="1"/>
  <c r="B1462" i="57"/>
  <c r="E1462" i="57" s="1"/>
  <c r="B1917" i="57"/>
  <c r="E1917" i="57" s="1"/>
  <c r="B1869" i="57"/>
  <c r="E1869" i="57" s="1"/>
  <c r="B1815" i="57"/>
  <c r="E1815" i="57" s="1"/>
  <c r="B1761" i="57"/>
  <c r="E1761" i="57" s="1"/>
  <c r="B1707" i="57"/>
  <c r="E1707" i="57" s="1"/>
  <c r="B1659" i="57"/>
  <c r="E1659" i="57" s="1"/>
  <c r="B1605" i="57"/>
  <c r="E1605" i="57" s="1"/>
  <c r="B1557" i="57"/>
  <c r="E1557" i="57" s="1"/>
  <c r="B1497" i="57"/>
  <c r="E1497" i="57" s="1"/>
  <c r="B11" i="57"/>
  <c r="E11" i="57" s="1"/>
  <c r="B1421" i="57"/>
  <c r="E1421" i="57" s="1"/>
  <c r="B1426" i="57"/>
  <c r="E1426" i="57" s="1"/>
  <c r="B1384" i="57"/>
  <c r="E1384" i="57" s="1"/>
  <c r="B1300" i="57"/>
  <c r="E1300" i="57" s="1"/>
  <c r="B1252" i="57"/>
  <c r="E1252" i="57" s="1"/>
  <c r="B1186" i="57"/>
  <c r="E1186" i="57" s="1"/>
  <c r="B1138" i="57"/>
  <c r="E1138" i="57" s="1"/>
  <c r="B1060" i="57"/>
  <c r="E1060" i="57" s="1"/>
  <c r="B1012" i="57"/>
  <c r="E1012" i="57" s="1"/>
  <c r="B946" i="57"/>
  <c r="E946" i="57" s="1"/>
  <c r="B892" i="57"/>
  <c r="E892" i="57" s="1"/>
  <c r="B820" i="57"/>
  <c r="E820" i="57" s="1"/>
  <c r="B766" i="57"/>
  <c r="E766" i="57" s="1"/>
  <c r="B688" i="57"/>
  <c r="E688" i="57" s="1"/>
  <c r="B646" i="57"/>
  <c r="E646" i="57" s="1"/>
  <c r="B562" i="57"/>
  <c r="E562" i="57" s="1"/>
  <c r="B1407" i="57"/>
  <c r="E1407" i="57" s="1"/>
  <c r="B1335" i="57"/>
  <c r="E1335" i="57" s="1"/>
  <c r="B1287" i="57"/>
  <c r="E1287" i="57" s="1"/>
  <c r="B1215" i="57"/>
  <c r="E1215" i="57" s="1"/>
  <c r="B1173" i="57"/>
  <c r="E1173" i="57" s="1"/>
  <c r="B1107" i="57"/>
  <c r="E1107" i="57" s="1"/>
  <c r="B1065" i="57"/>
  <c r="E1065" i="57" s="1"/>
  <c r="B999" i="57"/>
  <c r="E999" i="57" s="1"/>
  <c r="B957" i="57"/>
  <c r="E957" i="57" s="1"/>
  <c r="B879" i="57"/>
  <c r="E879" i="57" s="1"/>
  <c r="B837" i="57"/>
  <c r="E837" i="57" s="1"/>
  <c r="B840" i="57"/>
  <c r="E840" i="57" s="1"/>
  <c r="B983" i="57"/>
  <c r="E983" i="57" s="1"/>
  <c r="B893" i="57"/>
  <c r="E893" i="57" s="1"/>
  <c r="B618" i="57"/>
  <c r="E618" i="57" s="1"/>
  <c r="B576" i="57"/>
  <c r="E576" i="57" s="1"/>
  <c r="B552" i="57"/>
  <c r="E552" i="57" s="1"/>
  <c r="B516" i="57"/>
  <c r="E516" i="57" s="1"/>
  <c r="B468" i="57"/>
  <c r="E468" i="57" s="1"/>
  <c r="B438" i="57"/>
  <c r="E438" i="57" s="1"/>
  <c r="B378" i="57"/>
  <c r="E378" i="57" s="1"/>
  <c r="B360" i="57"/>
  <c r="E360" i="57" s="1"/>
  <c r="B336" i="57"/>
  <c r="E336" i="57" s="1"/>
  <c r="B300" i="57"/>
  <c r="E300" i="57" s="1"/>
  <c r="B258" i="57"/>
  <c r="E258" i="57" s="1"/>
  <c r="B240" i="57"/>
  <c r="E240" i="57" s="1"/>
  <c r="B180" i="57"/>
  <c r="E180" i="57" s="1"/>
  <c r="B138" i="57"/>
  <c r="E138" i="57" s="1"/>
  <c r="B2031" i="57"/>
  <c r="E2031" i="57" s="1"/>
  <c r="B1940" i="57"/>
  <c r="E1940" i="57" s="1"/>
  <c r="B1850" i="57"/>
  <c r="E1850" i="57" s="1"/>
  <c r="B1766" i="57"/>
  <c r="E1766" i="57" s="1"/>
  <c r="B1682" i="57"/>
  <c r="E1682" i="57" s="1"/>
  <c r="B1592" i="57"/>
  <c r="E1592" i="57" s="1"/>
  <c r="B1508" i="57"/>
  <c r="E1508" i="57" s="1"/>
  <c r="B1919" i="57"/>
  <c r="E1919" i="57" s="1"/>
  <c r="B1835" i="57"/>
  <c r="E1835" i="57" s="1"/>
  <c r="B1751" i="57"/>
  <c r="E1751" i="57" s="1"/>
  <c r="B1661" i="57"/>
  <c r="E1661" i="57" s="1"/>
  <c r="B1577" i="57"/>
  <c r="E1577" i="57" s="1"/>
  <c r="B1487" i="57"/>
  <c r="E1487" i="57" s="1"/>
  <c r="B1924" i="57"/>
  <c r="E1924" i="57" s="1"/>
  <c r="B1876" i="57"/>
  <c r="E1876" i="57" s="1"/>
  <c r="B1816" i="57"/>
  <c r="E1816" i="57" s="1"/>
  <c r="B1768" i="57"/>
  <c r="E1768" i="57" s="1"/>
  <c r="B1714" i="57"/>
  <c r="E1714" i="57" s="1"/>
  <c r="B1666" i="57"/>
  <c r="E1666" i="57" s="1"/>
  <c r="B1618" i="57"/>
  <c r="E1618" i="57" s="1"/>
  <c r="B1558" i="57"/>
  <c r="E1558" i="57" s="1"/>
  <c r="B1510" i="57"/>
  <c r="E1510" i="57" s="1"/>
  <c r="B1456" i="57"/>
  <c r="E1456" i="57" s="1"/>
  <c r="B1911" i="57"/>
  <c r="E1911" i="57" s="1"/>
  <c r="B1857" i="57"/>
  <c r="E1857" i="57" s="1"/>
  <c r="B1803" i="57"/>
  <c r="E1803" i="57" s="1"/>
  <c r="B1749" i="57"/>
  <c r="E1749" i="57" s="1"/>
  <c r="B1701" i="57"/>
  <c r="E1701" i="57" s="1"/>
  <c r="B1653" i="57"/>
  <c r="E1653" i="57" s="1"/>
  <c r="B1599" i="57"/>
  <c r="E1599" i="57" s="1"/>
  <c r="B1545" i="57"/>
  <c r="E1545" i="57" s="1"/>
  <c r="B1491" i="57"/>
  <c r="E1491" i="57" s="1"/>
  <c r="B1445" i="57"/>
  <c r="E1445" i="57" s="1"/>
  <c r="B1444" i="57"/>
  <c r="E1444" i="57" s="1"/>
  <c r="B1402" i="57"/>
  <c r="E1402" i="57" s="1"/>
  <c r="B1324" i="57"/>
  <c r="E1324" i="57" s="1"/>
  <c r="B1276" i="57"/>
  <c r="E1276" i="57" s="1"/>
  <c r="B1204" i="57"/>
  <c r="E1204" i="57" s="1"/>
  <c r="B1162" i="57"/>
  <c r="E1162" i="57" s="1"/>
  <c r="B1078" i="57"/>
  <c r="E1078" i="57" s="1"/>
  <c r="B1030" i="57"/>
  <c r="E1030" i="57" s="1"/>
  <c r="B964" i="57"/>
  <c r="E964" i="57" s="1"/>
  <c r="B910" i="57"/>
  <c r="E910" i="57" s="1"/>
  <c r="B838" i="57"/>
  <c r="E838" i="57" s="1"/>
  <c r="B796" i="57"/>
  <c r="E796" i="57" s="1"/>
  <c r="B706" i="57"/>
  <c r="E706" i="57" s="1"/>
  <c r="B664" i="57"/>
  <c r="E664" i="57" s="1"/>
  <c r="B580" i="57"/>
  <c r="E580" i="57" s="1"/>
  <c r="B1425" i="57"/>
  <c r="E1425" i="57" s="1"/>
  <c r="B1359" i="57"/>
  <c r="E1359" i="57" s="1"/>
  <c r="B1305" i="57"/>
  <c r="E1305" i="57" s="1"/>
  <c r="B1233" i="57"/>
  <c r="E1233" i="57" s="1"/>
  <c r="B1191" i="57"/>
  <c r="E1191" i="57" s="1"/>
  <c r="B1125" i="57"/>
  <c r="E1125" i="57" s="1"/>
  <c r="B1083" i="57"/>
  <c r="E1083" i="57" s="1"/>
  <c r="B1017" i="57"/>
  <c r="E1017" i="57" s="1"/>
  <c r="B975" i="57"/>
  <c r="E975" i="57" s="1"/>
  <c r="B903" i="57"/>
  <c r="E903" i="57" s="1"/>
  <c r="B855" i="57"/>
  <c r="E855" i="57" s="1"/>
  <c r="B807" i="57"/>
  <c r="E807" i="57" s="1"/>
  <c r="B789" i="57"/>
  <c r="E789" i="57" s="1"/>
  <c r="B765" i="57"/>
  <c r="E765" i="57" s="1"/>
  <c r="B747" i="57"/>
  <c r="E747" i="57" s="1"/>
  <c r="B729" i="57"/>
  <c r="E729" i="57" s="1"/>
  <c r="B705" i="57"/>
  <c r="E705" i="57" s="1"/>
  <c r="B687" i="57"/>
  <c r="E687" i="57" s="1"/>
  <c r="B669" i="57"/>
  <c r="E669" i="57" s="1"/>
  <c r="B651" i="57"/>
  <c r="E651" i="57" s="1"/>
  <c r="B1430" i="57"/>
  <c r="E1430" i="57" s="1"/>
  <c r="B1400" i="57"/>
  <c r="E1400" i="57" s="1"/>
  <c r="B1376" i="57"/>
  <c r="E1376" i="57" s="1"/>
  <c r="B1346" i="57"/>
  <c r="E1346" i="57" s="1"/>
  <c r="B1322" i="57"/>
  <c r="E1322" i="57" s="1"/>
  <c r="B1292" i="57"/>
  <c r="E1292" i="57" s="1"/>
  <c r="B1268" i="57"/>
  <c r="E1268" i="57" s="1"/>
  <c r="B1238" i="57"/>
  <c r="E1238" i="57" s="1"/>
  <c r="B1214" i="57"/>
  <c r="E1214" i="57" s="1"/>
  <c r="B1184" i="57"/>
  <c r="E1184" i="57" s="1"/>
  <c r="B1160" i="57"/>
  <c r="E1160" i="57" s="1"/>
  <c r="B1130" i="57"/>
  <c r="E1130" i="57" s="1"/>
  <c r="B1106" i="57"/>
  <c r="E1106" i="57" s="1"/>
  <c r="B1076" i="57"/>
  <c r="E1076" i="57" s="1"/>
  <c r="B1052" i="57"/>
  <c r="E1052" i="57" s="1"/>
  <c r="B1022" i="57"/>
  <c r="E1022" i="57" s="1"/>
  <c r="B998" i="57"/>
  <c r="E998" i="57" s="1"/>
  <c r="B968" i="57"/>
  <c r="E968" i="57" s="1"/>
  <c r="B944" i="57"/>
  <c r="E944" i="57" s="1"/>
  <c r="B914" i="57"/>
  <c r="E914" i="57" s="1"/>
  <c r="B890" i="57"/>
  <c r="E890" i="57" s="1"/>
  <c r="B860" i="57"/>
  <c r="E860" i="57" s="1"/>
  <c r="B836" i="57"/>
  <c r="E836" i="57" s="1"/>
  <c r="B818" i="57"/>
  <c r="E818" i="57" s="1"/>
  <c r="B800" i="57"/>
  <c r="E800" i="57" s="1"/>
  <c r="B782" i="57"/>
  <c r="E782" i="57" s="1"/>
  <c r="B758" i="57"/>
  <c r="E758" i="57" s="1"/>
  <c r="B734" i="57"/>
  <c r="E734" i="57" s="1"/>
  <c r="B716" i="57"/>
  <c r="E716" i="57" s="1"/>
  <c r="B698" i="57"/>
  <c r="E698" i="57" s="1"/>
  <c r="B680" i="57"/>
  <c r="E680" i="57" s="1"/>
  <c r="B656" i="57"/>
  <c r="E656" i="57" s="1"/>
  <c r="B638" i="57"/>
  <c r="E638" i="57" s="1"/>
  <c r="B614" i="57"/>
  <c r="E614" i="57" s="1"/>
  <c r="B1428" i="57"/>
  <c r="E1428" i="57" s="1"/>
  <c r="B1392" i="57"/>
  <c r="E1392" i="57" s="1"/>
  <c r="B1368" i="57"/>
  <c r="E1368" i="57" s="1"/>
  <c r="B1344" i="57"/>
  <c r="E1344" i="57" s="1"/>
  <c r="B1320" i="57"/>
  <c r="E1320" i="57" s="1"/>
  <c r="B1290" i="57"/>
  <c r="E1290" i="57" s="1"/>
  <c r="B1272" i="57"/>
  <c r="E1272" i="57" s="1"/>
  <c r="B1254" i="57"/>
  <c r="E1254" i="57" s="1"/>
  <c r="B1236" i="57"/>
  <c r="E1236" i="57" s="1"/>
  <c r="B1212" i="57"/>
  <c r="E1212" i="57" s="1"/>
  <c r="B1182" i="57"/>
  <c r="E1182" i="57" s="1"/>
  <c r="B1164" i="57"/>
  <c r="E1164" i="57" s="1"/>
  <c r="B1146" i="57"/>
  <c r="E1146" i="57" s="1"/>
  <c r="B1128" i="57"/>
  <c r="E1128" i="57" s="1"/>
  <c r="B1104" i="57"/>
  <c r="E1104" i="57" s="1"/>
  <c r="B1074" i="57"/>
  <c r="E1074" i="57" s="1"/>
  <c r="B1056" i="57"/>
  <c r="E1056" i="57" s="1"/>
  <c r="B1038" i="57"/>
  <c r="E1038" i="57" s="1"/>
  <c r="B1020" i="57"/>
  <c r="E1020" i="57" s="1"/>
  <c r="B996" i="57"/>
  <c r="E996" i="57" s="1"/>
  <c r="B966" i="57"/>
  <c r="E966" i="57" s="1"/>
  <c r="B948" i="57"/>
  <c r="E948" i="57" s="1"/>
  <c r="B930" i="57"/>
  <c r="E930" i="57" s="1"/>
  <c r="B912" i="57"/>
  <c r="E912" i="57" s="1"/>
  <c r="B888" i="57"/>
  <c r="E888" i="57" s="1"/>
  <c r="B858" i="57"/>
  <c r="E858" i="57" s="1"/>
  <c r="B822" i="57"/>
  <c r="E822" i="57" s="1"/>
  <c r="B792" i="57"/>
  <c r="E792" i="57" s="1"/>
  <c r="B762" i="57"/>
  <c r="E762" i="57" s="1"/>
  <c r="B732" i="57"/>
  <c r="E732" i="57" s="1"/>
  <c r="B702" i="57"/>
  <c r="E702" i="57" s="1"/>
  <c r="B684" i="57"/>
  <c r="E684" i="57" s="1"/>
  <c r="B660" i="57"/>
  <c r="E660" i="57" s="1"/>
  <c r="B1433" i="57"/>
  <c r="E1433" i="57" s="1"/>
  <c r="B1385" i="57"/>
  <c r="E1385" i="57" s="1"/>
  <c r="B1349" i="57"/>
  <c r="E1349" i="57" s="1"/>
  <c r="B1331" i="57"/>
  <c r="E1331" i="57" s="1"/>
  <c r="B1313" i="57"/>
  <c r="E1313" i="57" s="1"/>
  <c r="B1289" i="57"/>
  <c r="E1289" i="57" s="1"/>
  <c r="B1271" i="57"/>
  <c r="E1271" i="57" s="1"/>
  <c r="B1253" i="57"/>
  <c r="E1253" i="57" s="1"/>
  <c r="B1235" i="57"/>
  <c r="E1235" i="57" s="1"/>
  <c r="B1217" i="57"/>
  <c r="E1217" i="57" s="1"/>
  <c r="B1199" i="57"/>
  <c r="E1199" i="57" s="1"/>
  <c r="B1181" i="57"/>
  <c r="E1181" i="57" s="1"/>
  <c r="B1163" i="57"/>
  <c r="E1163" i="57" s="1"/>
  <c r="B1145" i="57"/>
  <c r="E1145" i="57" s="1"/>
  <c r="B1127" i="57"/>
  <c r="E1127" i="57" s="1"/>
  <c r="B1109" i="57"/>
  <c r="E1109" i="57" s="1"/>
  <c r="B1091" i="57"/>
  <c r="E1091" i="57" s="1"/>
  <c r="B1073" i="57"/>
  <c r="E1073" i="57" s="1"/>
  <c r="B1055" i="57"/>
  <c r="E1055" i="57" s="1"/>
  <c r="B1037" i="57"/>
  <c r="E1037" i="57" s="1"/>
  <c r="B1019" i="57"/>
  <c r="E1019" i="57" s="1"/>
  <c r="B1001" i="57"/>
  <c r="E1001" i="57" s="1"/>
  <c r="B965" i="57"/>
  <c r="E965" i="57" s="1"/>
  <c r="B947" i="57"/>
  <c r="E947" i="57" s="1"/>
  <c r="B929" i="57"/>
  <c r="E929" i="57" s="1"/>
  <c r="B911" i="57"/>
  <c r="E911" i="57" s="1"/>
  <c r="B875" i="57"/>
  <c r="E875" i="57" s="1"/>
  <c r="B636" i="57"/>
  <c r="E636" i="57" s="1"/>
  <c r="B594" i="57"/>
  <c r="E594" i="57" s="1"/>
  <c r="B534" i="57"/>
  <c r="E534" i="57" s="1"/>
  <c r="B498" i="57"/>
  <c r="E498" i="57" s="1"/>
  <c r="B408" i="57"/>
  <c r="E408" i="57" s="1"/>
  <c r="B318" i="57"/>
  <c r="E318" i="57" s="1"/>
  <c r="B282" i="57"/>
  <c r="E282" i="57" s="1"/>
  <c r="B210" i="57"/>
  <c r="E210" i="57" s="1"/>
  <c r="B1995" i="57"/>
  <c r="E1995" i="57" s="1"/>
  <c r="B1910" i="57"/>
  <c r="E1910" i="57" s="1"/>
  <c r="B1826" i="57"/>
  <c r="E1826" i="57" s="1"/>
  <c r="B1736" i="57"/>
  <c r="E1736" i="57" s="1"/>
  <c r="B1652" i="57"/>
  <c r="E1652" i="57" s="1"/>
  <c r="B1562" i="57"/>
  <c r="E1562" i="57" s="1"/>
  <c r="B1478" i="57"/>
  <c r="E1478" i="57" s="1"/>
  <c r="B1895" i="57"/>
  <c r="E1895" i="57" s="1"/>
  <c r="B1805" i="57"/>
  <c r="E1805" i="57" s="1"/>
  <c r="B1721" i="57"/>
  <c r="E1721" i="57" s="1"/>
  <c r="B1631" i="57"/>
  <c r="E1631" i="57" s="1"/>
  <c r="B1547" i="57"/>
  <c r="E1547" i="57" s="1"/>
  <c r="B1463" i="57"/>
  <c r="E1463" i="57" s="1"/>
  <c r="B1918" i="57"/>
  <c r="E1918" i="57" s="1"/>
  <c r="B1858" i="57"/>
  <c r="E1858" i="57" s="1"/>
  <c r="B1810" i="57"/>
  <c r="E1810" i="57" s="1"/>
  <c r="B1762" i="57"/>
  <c r="E1762" i="57" s="1"/>
  <c r="B1708" i="57"/>
  <c r="E1708" i="57" s="1"/>
  <c r="B1660" i="57"/>
  <c r="E1660" i="57" s="1"/>
  <c r="B1600" i="57"/>
  <c r="E1600" i="57" s="1"/>
  <c r="B1552" i="57"/>
  <c r="E1552" i="57" s="1"/>
  <c r="B1498" i="57"/>
  <c r="E1498" i="57" s="1"/>
  <c r="B1953" i="57"/>
  <c r="E1953" i="57" s="1"/>
  <c r="B1905" i="57"/>
  <c r="E1905" i="57" s="1"/>
  <c r="B1845" i="57"/>
  <c r="E1845" i="57" s="1"/>
  <c r="B1797" i="57"/>
  <c r="E1797" i="57" s="1"/>
  <c r="B1743" i="57"/>
  <c r="E1743" i="57" s="1"/>
  <c r="B1695" i="57"/>
  <c r="E1695" i="57" s="1"/>
  <c r="B1641" i="57"/>
  <c r="E1641" i="57" s="1"/>
  <c r="B1587" i="57"/>
  <c r="E1587" i="57" s="1"/>
  <c r="B1533" i="57"/>
  <c r="E1533" i="57" s="1"/>
  <c r="B1485" i="57"/>
  <c r="E1485" i="57" s="1"/>
  <c r="B1434" i="57"/>
  <c r="E1434" i="57" s="1"/>
  <c r="B1367" i="57"/>
  <c r="E1367" i="57" s="1"/>
  <c r="B1420" i="57"/>
  <c r="E1420" i="57" s="1"/>
  <c r="B1342" i="57"/>
  <c r="E1342" i="57" s="1"/>
  <c r="B1294" i="57"/>
  <c r="E1294" i="57" s="1"/>
  <c r="B1222" i="57"/>
  <c r="E1222" i="57" s="1"/>
  <c r="B1180" i="57"/>
  <c r="E1180" i="57" s="1"/>
  <c r="B1102" i="57"/>
  <c r="E1102" i="57" s="1"/>
  <c r="B1054" i="57"/>
  <c r="E1054" i="57" s="1"/>
  <c r="B982" i="57"/>
  <c r="E982" i="57" s="1"/>
  <c r="B934" i="57"/>
  <c r="E934" i="57" s="1"/>
  <c r="B856" i="57"/>
  <c r="E856" i="57" s="1"/>
  <c r="B814" i="57"/>
  <c r="E814" i="57" s="1"/>
  <c r="B730" i="57"/>
  <c r="E730" i="57" s="1"/>
  <c r="B682" i="57"/>
  <c r="E682" i="57" s="1"/>
  <c r="B604" i="57"/>
  <c r="E604" i="57" s="1"/>
  <c r="B1443" i="57"/>
  <c r="E1443" i="57" s="1"/>
  <c r="B1377" i="57"/>
  <c r="E1377" i="57" s="1"/>
  <c r="B1329" i="57"/>
  <c r="E1329" i="57" s="1"/>
  <c r="B1257" i="57"/>
  <c r="E1257" i="57" s="1"/>
  <c r="B1209" i="57"/>
  <c r="E1209" i="57" s="1"/>
  <c r="B1143" i="57"/>
  <c r="E1143" i="57" s="1"/>
  <c r="B1101" i="57"/>
  <c r="E1101" i="57" s="1"/>
  <c r="B1035" i="57"/>
  <c r="E1035" i="57" s="1"/>
  <c r="B993" i="57"/>
  <c r="E993" i="57" s="1"/>
  <c r="B921" i="57"/>
  <c r="E921" i="57" s="1"/>
  <c r="B873" i="57"/>
  <c r="E873" i="57" s="1"/>
  <c r="B924" i="57"/>
  <c r="E924" i="57" s="1"/>
  <c r="B1067" i="57"/>
  <c r="E1067" i="57" s="1"/>
  <c r="B995" i="57"/>
  <c r="E995" i="57" s="1"/>
  <c r="B959" i="57"/>
  <c r="E959" i="57" s="1"/>
  <c r="B923" i="57"/>
  <c r="E923" i="57" s="1"/>
  <c r="B905" i="57"/>
  <c r="E905" i="57" s="1"/>
  <c r="B648" i="57"/>
  <c r="E648" i="57" s="1"/>
  <c r="B612" i="57"/>
  <c r="E612" i="57" s="1"/>
  <c r="B570" i="57"/>
  <c r="E570" i="57" s="1"/>
  <c r="B546" i="57"/>
  <c r="E546" i="57" s="1"/>
  <c r="B510" i="57"/>
  <c r="E510" i="57" s="1"/>
  <c r="B456" i="57"/>
  <c r="E456" i="57" s="1"/>
  <c r="B396" i="57"/>
  <c r="E396" i="57" s="1"/>
  <c r="B372" i="57"/>
  <c r="E372" i="57" s="1"/>
  <c r="B330" i="57"/>
  <c r="E330" i="57" s="1"/>
  <c r="B312" i="57"/>
  <c r="E312" i="57" s="1"/>
  <c r="B270" i="57"/>
  <c r="E270" i="57" s="1"/>
  <c r="B1989" i="57"/>
  <c r="E1989" i="57" s="1"/>
  <c r="B1904" i="57"/>
  <c r="E1904" i="57" s="1"/>
  <c r="B1814" i="57"/>
  <c r="E1814" i="57" s="1"/>
  <c r="B1730" i="57"/>
  <c r="E1730" i="57" s="1"/>
  <c r="B1646" i="57"/>
  <c r="E1646" i="57" s="1"/>
  <c r="B1556" i="57"/>
  <c r="E1556" i="57" s="1"/>
  <c r="B1472" i="57"/>
  <c r="E1472" i="57" s="1"/>
  <c r="B1883" i="57"/>
  <c r="E1883" i="57" s="1"/>
  <c r="B1799" i="57"/>
  <c r="E1799" i="57" s="1"/>
  <c r="B1715" i="57"/>
  <c r="E1715" i="57" s="1"/>
  <c r="B1625" i="57"/>
  <c r="E1625" i="57" s="1"/>
  <c r="B1541" i="57"/>
  <c r="E1541" i="57" s="1"/>
  <c r="B2490" i="57"/>
  <c r="E2490" i="57" s="1"/>
  <c r="B1906" i="57"/>
  <c r="E1906" i="57" s="1"/>
  <c r="B1852" i="57"/>
  <c r="E1852" i="57" s="1"/>
  <c r="B1804" i="57"/>
  <c r="E1804" i="57" s="1"/>
  <c r="B1750" i="57"/>
  <c r="E1750" i="57" s="1"/>
  <c r="B1702" i="57"/>
  <c r="E1702" i="57" s="1"/>
  <c r="B1642" i="57"/>
  <c r="E1642" i="57" s="1"/>
  <c r="B1594" i="57"/>
  <c r="E1594" i="57" s="1"/>
  <c r="B1546" i="57"/>
  <c r="E1546" i="57" s="1"/>
  <c r="B1492" i="57"/>
  <c r="E1492" i="57" s="1"/>
  <c r="B1947" i="57"/>
  <c r="E1947" i="57" s="1"/>
  <c r="B1887" i="57"/>
  <c r="E1887" i="57" s="1"/>
  <c r="B1839" i="57"/>
  <c r="E1839" i="57" s="1"/>
  <c r="B1785" i="57"/>
  <c r="E1785" i="57" s="1"/>
  <c r="B1737" i="57"/>
  <c r="E1737" i="57" s="1"/>
  <c r="B1689" i="57"/>
  <c r="E1689" i="57" s="1"/>
  <c r="B1629" i="57"/>
  <c r="E1629" i="57" s="1"/>
  <c r="B1581" i="57"/>
  <c r="E1581" i="57" s="1"/>
  <c r="B1527" i="57"/>
  <c r="E1527" i="57" s="1"/>
  <c r="B1479" i="57"/>
  <c r="E1479" i="57" s="1"/>
  <c r="B1403" i="57"/>
  <c r="E1403" i="57" s="1"/>
  <c r="B1438" i="57"/>
  <c r="E1438" i="57" s="1"/>
  <c r="B1366" i="57"/>
  <c r="E1366" i="57" s="1"/>
  <c r="B1318" i="57"/>
  <c r="E1318" i="57" s="1"/>
  <c r="B1240" i="57"/>
  <c r="E1240" i="57" s="1"/>
  <c r="B1198" i="57"/>
  <c r="E1198" i="57" s="1"/>
  <c r="B1120" i="57"/>
  <c r="E1120" i="57" s="1"/>
  <c r="B1072" i="57"/>
  <c r="E1072" i="57" s="1"/>
  <c r="B1000" i="57"/>
  <c r="E1000" i="57" s="1"/>
  <c r="B958" i="57"/>
  <c r="E958" i="57" s="1"/>
  <c r="B874" i="57"/>
  <c r="E874" i="57" s="1"/>
  <c r="B832" i="57"/>
  <c r="E832" i="57" s="1"/>
  <c r="B748" i="57"/>
  <c r="E748" i="57" s="1"/>
  <c r="B700" i="57"/>
  <c r="E700" i="57" s="1"/>
  <c r="B634" i="57"/>
  <c r="E634" i="57" s="1"/>
  <c r="B574" i="57"/>
  <c r="E574" i="57" s="1"/>
  <c r="B1395" i="57"/>
  <c r="E1395" i="57" s="1"/>
  <c r="B1347" i="57"/>
  <c r="E1347" i="57" s="1"/>
  <c r="B1275" i="57"/>
  <c r="E1275" i="57" s="1"/>
  <c r="B1227" i="57"/>
  <c r="E1227" i="57" s="1"/>
  <c r="B1161" i="57"/>
  <c r="E1161" i="57" s="1"/>
  <c r="B1119" i="57"/>
  <c r="E1119" i="57" s="1"/>
  <c r="B1053" i="57"/>
  <c r="E1053" i="57" s="1"/>
  <c r="B1011" i="57"/>
  <c r="E1011" i="57" s="1"/>
  <c r="B945" i="57"/>
  <c r="E945" i="57" s="1"/>
  <c r="B897" i="57"/>
  <c r="E897" i="57" s="1"/>
  <c r="B825" i="57"/>
  <c r="E825" i="57" s="1"/>
  <c r="B801" i="57"/>
  <c r="E801" i="57" s="1"/>
  <c r="B783" i="57"/>
  <c r="E783" i="57" s="1"/>
  <c r="B759" i="57"/>
  <c r="E759" i="57" s="1"/>
  <c r="B741" i="57"/>
  <c r="E741" i="57" s="1"/>
  <c r="B723" i="57"/>
  <c r="E723" i="57" s="1"/>
  <c r="B699" i="57"/>
  <c r="E699" i="57" s="1"/>
  <c r="B681" i="57"/>
  <c r="E681" i="57" s="1"/>
  <c r="B663" i="57"/>
  <c r="E663" i="57" s="1"/>
  <c r="B645" i="57"/>
  <c r="E645" i="57" s="1"/>
  <c r="B1418" i="57"/>
  <c r="E1418" i="57" s="1"/>
  <c r="B1394" i="57"/>
  <c r="E1394" i="57" s="1"/>
  <c r="B1364" i="57"/>
  <c r="E1364" i="57" s="1"/>
  <c r="B1340" i="57"/>
  <c r="E1340" i="57" s="1"/>
  <c r="B1310" i="57"/>
  <c r="E1310" i="57" s="1"/>
  <c r="B1286" i="57"/>
  <c r="E1286" i="57" s="1"/>
  <c r="B1256" i="57"/>
  <c r="E1256" i="57" s="1"/>
  <c r="B1232" i="57"/>
  <c r="E1232" i="57" s="1"/>
  <c r="B1202" i="57"/>
  <c r="E1202" i="57" s="1"/>
  <c r="B1178" i="57"/>
  <c r="E1178" i="57" s="1"/>
  <c r="B1148" i="57"/>
  <c r="E1148" i="57" s="1"/>
  <c r="B1124" i="57"/>
  <c r="E1124" i="57" s="1"/>
  <c r="B1094" i="57"/>
  <c r="E1094" i="57" s="1"/>
  <c r="B1070" i="57"/>
  <c r="E1070" i="57" s="1"/>
  <c r="B1040" i="57"/>
  <c r="E1040" i="57" s="1"/>
  <c r="B1016" i="57"/>
  <c r="E1016" i="57" s="1"/>
  <c r="B986" i="57"/>
  <c r="E986" i="57" s="1"/>
  <c r="B962" i="57"/>
  <c r="E962" i="57" s="1"/>
  <c r="B932" i="57"/>
  <c r="E932" i="57" s="1"/>
  <c r="B908" i="57"/>
  <c r="E908" i="57" s="1"/>
  <c r="B878" i="57"/>
  <c r="E878" i="57" s="1"/>
  <c r="B854" i="57"/>
  <c r="E854" i="57" s="1"/>
  <c r="B830" i="57"/>
  <c r="E830" i="57" s="1"/>
  <c r="B812" i="57"/>
  <c r="E812" i="57" s="1"/>
  <c r="B794" i="57"/>
  <c r="E794" i="57" s="1"/>
  <c r="B776" i="57"/>
  <c r="E776" i="57" s="1"/>
  <c r="B752" i="57"/>
  <c r="E752" i="57" s="1"/>
  <c r="B728" i="57"/>
  <c r="E728" i="57" s="1"/>
  <c r="B710" i="57"/>
  <c r="E710" i="57" s="1"/>
  <c r="B692" i="57"/>
  <c r="E692" i="57" s="1"/>
  <c r="B674" i="57"/>
  <c r="E674" i="57" s="1"/>
  <c r="B650" i="57"/>
  <c r="E650" i="57" s="1"/>
  <c r="B626" i="57"/>
  <c r="E626" i="57" s="1"/>
  <c r="B608" i="57"/>
  <c r="E608" i="57" s="1"/>
  <c r="B1404" i="57"/>
  <c r="E1404" i="57" s="1"/>
  <c r="B1386" i="57"/>
  <c r="E1386" i="57" s="1"/>
  <c r="B1362" i="57"/>
  <c r="E1362" i="57" s="1"/>
  <c r="B1338" i="57"/>
  <c r="E1338" i="57" s="1"/>
  <c r="B1308" i="57"/>
  <c r="E1308" i="57" s="1"/>
  <c r="B1284" i="57"/>
  <c r="E1284" i="57" s="1"/>
  <c r="B1266" i="57"/>
  <c r="E1266" i="57" s="1"/>
  <c r="B1248" i="57"/>
  <c r="E1248" i="57" s="1"/>
  <c r="B1230" i="57"/>
  <c r="E1230" i="57" s="1"/>
  <c r="B1200" i="57"/>
  <c r="E1200" i="57" s="1"/>
  <c r="B1176" i="57"/>
  <c r="E1176" i="57" s="1"/>
  <c r="B1158" i="57"/>
  <c r="E1158" i="57" s="1"/>
  <c r="B1140" i="57"/>
  <c r="E1140" i="57" s="1"/>
  <c r="B1122" i="57"/>
  <c r="E1122" i="57" s="1"/>
  <c r="B1092" i="57"/>
  <c r="E1092" i="57" s="1"/>
  <c r="B1068" i="57"/>
  <c r="E1068" i="57" s="1"/>
  <c r="B1050" i="57"/>
  <c r="E1050" i="57" s="1"/>
  <c r="B1032" i="57"/>
  <c r="E1032" i="57" s="1"/>
  <c r="B1014" i="57"/>
  <c r="E1014" i="57" s="1"/>
  <c r="B984" i="57"/>
  <c r="E984" i="57" s="1"/>
  <c r="B960" i="57"/>
  <c r="E960" i="57" s="1"/>
  <c r="B942" i="57"/>
  <c r="E942" i="57" s="1"/>
  <c r="B906" i="57"/>
  <c r="E906" i="57" s="1"/>
  <c r="B876" i="57"/>
  <c r="E876" i="57" s="1"/>
  <c r="B852" i="57"/>
  <c r="E852" i="57" s="1"/>
  <c r="B834" i="57"/>
  <c r="E834" i="57" s="1"/>
  <c r="B816" i="57"/>
  <c r="E816" i="57" s="1"/>
  <c r="B780" i="57"/>
  <c r="E780" i="57" s="1"/>
  <c r="B750" i="57"/>
  <c r="E750" i="57" s="1"/>
  <c r="B720" i="57"/>
  <c r="E720" i="57" s="1"/>
  <c r="B696" i="57"/>
  <c r="E696" i="57" s="1"/>
  <c r="B678" i="57"/>
  <c r="E678" i="57" s="1"/>
  <c r="B654" i="57"/>
  <c r="E654" i="57" s="1"/>
  <c r="B1415" i="57"/>
  <c r="E1415" i="57" s="1"/>
  <c r="B1373" i="57"/>
  <c r="E1373" i="57" s="1"/>
  <c r="B1343" i="57"/>
  <c r="E1343" i="57" s="1"/>
  <c r="B1325" i="57"/>
  <c r="E1325" i="57" s="1"/>
  <c r="B1301" i="57"/>
  <c r="E1301" i="57" s="1"/>
  <c r="B1283" i="57"/>
  <c r="E1283" i="57" s="1"/>
  <c r="B1265" i="57"/>
  <c r="E1265" i="57" s="1"/>
  <c r="B1247" i="57"/>
  <c r="E1247" i="57" s="1"/>
  <c r="B1229" i="57"/>
  <c r="E1229" i="57" s="1"/>
  <c r="B1211" i="57"/>
  <c r="E1211" i="57" s="1"/>
  <c r="B1193" i="57"/>
  <c r="E1193" i="57" s="1"/>
  <c r="B1175" i="57"/>
  <c r="E1175" i="57" s="1"/>
  <c r="B1157" i="57"/>
  <c r="E1157" i="57" s="1"/>
  <c r="B1139" i="57"/>
  <c r="E1139" i="57" s="1"/>
  <c r="B1121" i="57"/>
  <c r="E1121" i="57" s="1"/>
  <c r="B1103" i="57"/>
  <c r="E1103" i="57" s="1"/>
  <c r="B1085" i="57"/>
  <c r="E1085" i="57" s="1"/>
  <c r="B1049" i="57"/>
  <c r="E1049" i="57" s="1"/>
  <c r="B1031" i="57"/>
  <c r="E1031" i="57" s="1"/>
  <c r="B1013" i="57"/>
  <c r="E1013" i="57" s="1"/>
  <c r="B977" i="57"/>
  <c r="E977" i="57" s="1"/>
  <c r="B941" i="57"/>
  <c r="E941" i="57" s="1"/>
  <c r="B887" i="57"/>
  <c r="E887" i="57" s="1"/>
  <c r="B630" i="57"/>
  <c r="E630" i="57" s="1"/>
  <c r="B588" i="57"/>
  <c r="E588" i="57" s="1"/>
  <c r="B528" i="57"/>
  <c r="E528" i="57" s="1"/>
  <c r="B492" i="57"/>
  <c r="E492" i="57" s="1"/>
  <c r="B426" i="57"/>
  <c r="E426" i="57" s="1"/>
  <c r="B354" i="57"/>
  <c r="E354" i="57" s="1"/>
  <c r="B294" i="57"/>
  <c r="E294" i="57" s="1"/>
  <c r="B1983" i="57"/>
  <c r="E1983" i="57" s="1"/>
  <c r="B1898" i="57"/>
  <c r="E1898" i="57" s="1"/>
  <c r="B1808" i="57"/>
  <c r="E1808" i="57" s="1"/>
  <c r="B1724" i="57"/>
  <c r="E1724" i="57" s="1"/>
  <c r="B1634" i="57"/>
  <c r="E1634" i="57" s="1"/>
  <c r="B1550" i="57"/>
  <c r="E1550" i="57" s="1"/>
  <c r="B1466" i="57"/>
  <c r="E1466" i="57" s="1"/>
  <c r="B1877" i="57"/>
  <c r="E1877" i="57" s="1"/>
  <c r="B1793" i="57"/>
  <c r="E1793" i="57" s="1"/>
  <c r="B1703" i="57"/>
  <c r="E1703" i="57" s="1"/>
  <c r="B1619" i="57"/>
  <c r="E1619" i="57" s="1"/>
  <c r="B1535" i="57"/>
  <c r="E1535" i="57" s="1"/>
  <c r="B2484" i="57"/>
  <c r="E2484" i="57" s="1"/>
  <c r="B1894" i="57"/>
  <c r="E1894" i="57" s="1"/>
  <c r="B1846" i="57"/>
  <c r="E1846" i="57" s="1"/>
  <c r="B1798" i="57"/>
  <c r="E1798" i="57" s="1"/>
  <c r="B1744" i="57"/>
  <c r="E1744" i="57" s="1"/>
  <c r="B1690" i="57"/>
  <c r="E1690" i="57" s="1"/>
  <c r="B1636" i="57"/>
  <c r="E1636" i="57" s="1"/>
  <c r="B1588" i="57"/>
  <c r="E1588" i="57" s="1"/>
  <c r="B1534" i="57"/>
  <c r="E1534" i="57" s="1"/>
  <c r="B1486" i="57"/>
  <c r="E1486" i="57" s="1"/>
  <c r="B1929" i="57"/>
  <c r="E1929" i="57" s="1"/>
  <c r="B1881" i="57"/>
  <c r="E1881" i="57" s="1"/>
  <c r="B1833" i="57"/>
  <c r="E1833" i="57" s="1"/>
  <c r="B1779" i="57"/>
  <c r="E1779" i="57" s="1"/>
  <c r="B1731" i="57"/>
  <c r="E1731" i="57" s="1"/>
  <c r="B1671" i="57"/>
  <c r="E1671" i="57" s="1"/>
  <c r="B1623" i="57"/>
  <c r="E1623" i="57" s="1"/>
  <c r="B1569" i="57"/>
  <c r="E1569" i="57" s="1"/>
  <c r="B1521" i="57"/>
  <c r="E1521" i="57" s="1"/>
  <c r="B1473" i="57"/>
  <c r="E1473" i="57" s="1"/>
  <c r="B1427" i="57"/>
  <c r="E1427" i="57" s="1"/>
  <c r="B1355" i="57"/>
  <c r="E1355" i="57" s="1"/>
  <c r="B1390" i="57"/>
  <c r="E1390" i="57" s="1"/>
  <c r="B1336" i="57"/>
  <c r="E1336" i="57" s="1"/>
  <c r="B1264" i="57"/>
  <c r="E1264" i="57" s="1"/>
  <c r="B1216" i="57"/>
  <c r="E1216" i="57" s="1"/>
  <c r="B1144" i="57"/>
  <c r="E1144" i="57" s="1"/>
  <c r="B1090" i="57"/>
  <c r="E1090" i="57" s="1"/>
  <c r="B1018" i="57"/>
  <c r="E1018" i="57" s="1"/>
  <c r="B976" i="57"/>
  <c r="E976" i="57" s="1"/>
  <c r="B898" i="57"/>
  <c r="E898" i="57" s="1"/>
  <c r="B850" i="57"/>
  <c r="E850" i="57" s="1"/>
  <c r="B778" i="57"/>
  <c r="E778" i="57" s="1"/>
  <c r="B718" i="57"/>
  <c r="E718" i="57" s="1"/>
  <c r="B652" i="57"/>
  <c r="E652" i="57" s="1"/>
  <c r="B592" i="57"/>
  <c r="E592" i="57" s="1"/>
  <c r="B1413" i="57"/>
  <c r="E1413" i="57" s="1"/>
  <c r="B1371" i="57"/>
  <c r="E1371" i="57" s="1"/>
  <c r="B1293" i="57"/>
  <c r="E1293" i="57" s="1"/>
  <c r="B1251" i="57"/>
  <c r="E1251" i="57" s="1"/>
  <c r="B1179" i="57"/>
  <c r="E1179" i="57" s="1"/>
  <c r="B1137" i="57"/>
  <c r="E1137" i="57" s="1"/>
  <c r="B1071" i="57"/>
  <c r="E1071" i="57" s="1"/>
  <c r="B1029" i="57"/>
  <c r="E1029" i="57" s="1"/>
  <c r="B963" i="57"/>
  <c r="E963" i="57" s="1"/>
  <c r="B915" i="57"/>
  <c r="E915" i="57" s="1"/>
  <c r="B843" i="57"/>
  <c r="E843" i="57" s="1"/>
  <c r="B149" i="57"/>
  <c r="E149" i="57" s="1"/>
  <c r="B508" i="57"/>
  <c r="E508" i="57" s="1"/>
  <c r="B424" i="57"/>
  <c r="E424" i="57" s="1"/>
  <c r="B382" i="57"/>
  <c r="E382" i="57" s="1"/>
  <c r="B334" i="57"/>
  <c r="E334" i="57" s="1"/>
  <c r="B292" i="57"/>
  <c r="E292" i="57" s="1"/>
  <c r="B256" i="57"/>
  <c r="E256" i="57" s="1"/>
  <c r="B208" i="57"/>
  <c r="E208" i="57" s="1"/>
  <c r="B166" i="57"/>
  <c r="E166" i="57" s="1"/>
  <c r="B118" i="57"/>
  <c r="E118" i="57" s="1"/>
  <c r="B22" i="57"/>
  <c r="E22" i="57" s="1"/>
  <c r="B627" i="57"/>
  <c r="E627" i="57" s="1"/>
  <c r="B591" i="57"/>
  <c r="E591" i="57" s="1"/>
  <c r="B555" i="57"/>
  <c r="E555" i="57" s="1"/>
  <c r="B537" i="57"/>
  <c r="E537" i="57" s="1"/>
  <c r="B501" i="57"/>
  <c r="E501" i="57" s="1"/>
  <c r="B465" i="57"/>
  <c r="E465" i="57" s="1"/>
  <c r="B429" i="57"/>
  <c r="E429" i="57" s="1"/>
  <c r="B393" i="57"/>
  <c r="E393" i="57" s="1"/>
  <c r="B357" i="57"/>
  <c r="E357" i="57" s="1"/>
  <c r="B315" i="57"/>
  <c r="E315" i="57" s="1"/>
  <c r="B297" i="57"/>
  <c r="E297" i="57" s="1"/>
  <c r="B261" i="57"/>
  <c r="E261" i="57" s="1"/>
  <c r="B219" i="57"/>
  <c r="E219" i="57" s="1"/>
  <c r="B183" i="57"/>
  <c r="E183" i="57" s="1"/>
  <c r="B147" i="57"/>
  <c r="E147" i="57" s="1"/>
  <c r="B111" i="57"/>
  <c r="E111" i="57" s="1"/>
  <c r="B57" i="57"/>
  <c r="E57" i="57" s="1"/>
  <c r="B1453" i="57"/>
  <c r="E1453" i="57" s="1"/>
  <c r="B590" i="57"/>
  <c r="E590" i="57" s="1"/>
  <c r="B548" i="57"/>
  <c r="E548" i="57" s="1"/>
  <c r="B506" i="57"/>
  <c r="E506" i="57" s="1"/>
  <c r="B488" i="57"/>
  <c r="E488" i="57" s="1"/>
  <c r="B1952" i="57"/>
  <c r="E1952" i="57" s="1"/>
  <c r="B1868" i="57"/>
  <c r="E1868" i="57" s="1"/>
  <c r="B1778" i="57"/>
  <c r="E1778" i="57" s="1"/>
  <c r="B1694" i="57"/>
  <c r="E1694" i="57" s="1"/>
  <c r="B1610" i="57"/>
  <c r="E1610" i="57" s="1"/>
  <c r="B1520" i="57"/>
  <c r="E1520" i="57" s="1"/>
  <c r="B1937" i="57"/>
  <c r="E1937" i="57" s="1"/>
  <c r="B1847" i="57"/>
  <c r="E1847" i="57" s="1"/>
  <c r="B1763" i="57"/>
  <c r="E1763" i="57" s="1"/>
  <c r="B1679" i="57"/>
  <c r="E1679" i="57" s="1"/>
  <c r="B1589" i="57"/>
  <c r="E1589" i="57" s="1"/>
  <c r="B1505" i="57"/>
  <c r="E1505" i="57" s="1"/>
  <c r="B1942" i="57"/>
  <c r="E1942" i="57" s="1"/>
  <c r="B1888" i="57"/>
  <c r="E1888" i="57" s="1"/>
  <c r="B1840" i="57"/>
  <c r="E1840" i="57" s="1"/>
  <c r="B1786" i="57"/>
  <c r="E1786" i="57" s="1"/>
  <c r="B1732" i="57"/>
  <c r="E1732" i="57" s="1"/>
  <c r="B1678" i="57"/>
  <c r="E1678" i="57" s="1"/>
  <c r="B1630" i="57"/>
  <c r="E1630" i="57" s="1"/>
  <c r="B1582" i="57"/>
  <c r="E1582" i="57" s="1"/>
  <c r="B1528" i="57"/>
  <c r="E1528" i="57" s="1"/>
  <c r="B1474" i="57"/>
  <c r="E1474" i="57" s="1"/>
  <c r="B1923" i="57"/>
  <c r="E1923" i="57" s="1"/>
  <c r="B1875" i="57"/>
  <c r="E1875" i="57" s="1"/>
  <c r="B1821" i="57"/>
  <c r="E1821" i="57" s="1"/>
  <c r="B1773" i="57"/>
  <c r="E1773" i="57" s="1"/>
  <c r="B1713" i="57"/>
  <c r="E1713" i="57" s="1"/>
  <c r="B1665" i="57"/>
  <c r="E1665" i="57" s="1"/>
  <c r="B1617" i="57"/>
  <c r="E1617" i="57" s="1"/>
  <c r="B1563" i="57"/>
  <c r="E1563" i="57" s="1"/>
  <c r="B1515" i="57"/>
  <c r="E1515" i="57" s="1"/>
  <c r="B1356" i="57"/>
  <c r="E1356" i="57" s="1"/>
  <c r="B1391" i="57"/>
  <c r="E1391" i="57" s="1"/>
  <c r="B1408" i="57"/>
  <c r="E1408" i="57" s="1"/>
  <c r="B1360" i="57"/>
  <c r="E1360" i="57" s="1"/>
  <c r="B1282" i="57"/>
  <c r="E1282" i="57" s="1"/>
  <c r="B1234" i="57"/>
  <c r="E1234" i="57" s="1"/>
  <c r="B1168" i="57"/>
  <c r="E1168" i="57" s="1"/>
  <c r="B1114" i="57"/>
  <c r="E1114" i="57" s="1"/>
  <c r="B1036" i="57"/>
  <c r="E1036" i="57" s="1"/>
  <c r="B994" i="57"/>
  <c r="E994" i="57" s="1"/>
  <c r="B922" i="57"/>
  <c r="E922" i="57" s="1"/>
  <c r="B868" i="57"/>
  <c r="E868" i="57" s="1"/>
  <c r="B802" i="57"/>
  <c r="E802" i="57" s="1"/>
  <c r="B742" i="57"/>
  <c r="E742" i="57" s="1"/>
  <c r="B670" i="57"/>
  <c r="E670" i="57" s="1"/>
  <c r="B622" i="57"/>
  <c r="E622" i="57" s="1"/>
  <c r="B1431" i="57"/>
  <c r="E1431" i="57" s="1"/>
  <c r="B1389" i="57"/>
  <c r="E1389" i="57" s="1"/>
  <c r="B1311" i="57"/>
  <c r="E1311" i="57" s="1"/>
  <c r="B1269" i="57"/>
  <c r="E1269" i="57" s="1"/>
  <c r="B1197" i="57"/>
  <c r="E1197" i="57" s="1"/>
  <c r="B1155" i="57"/>
  <c r="E1155" i="57" s="1"/>
  <c r="B1089" i="57"/>
  <c r="E1089" i="57" s="1"/>
  <c r="B1047" i="57"/>
  <c r="E1047" i="57" s="1"/>
  <c r="B981" i="57"/>
  <c r="E981" i="57" s="1"/>
  <c r="B939" i="57"/>
  <c r="E939" i="57" s="1"/>
  <c r="B861" i="57"/>
  <c r="E861" i="57" s="1"/>
  <c r="B819" i="57"/>
  <c r="E819" i="57" s="1"/>
  <c r="B795" i="57"/>
  <c r="E795" i="57" s="1"/>
  <c r="B771" i="57"/>
  <c r="E771" i="57" s="1"/>
  <c r="B753" i="57"/>
  <c r="E753" i="57" s="1"/>
  <c r="B735" i="57"/>
  <c r="E735" i="57" s="1"/>
  <c r="B717" i="57"/>
  <c r="E717" i="57" s="1"/>
  <c r="B693" i="57"/>
  <c r="E693" i="57" s="1"/>
  <c r="B675" i="57"/>
  <c r="E675" i="57" s="1"/>
  <c r="B657" i="57"/>
  <c r="E657" i="57" s="1"/>
  <c r="B1436" i="57"/>
  <c r="E1436" i="57" s="1"/>
  <c r="B1412" i="57"/>
  <c r="E1412" i="57" s="1"/>
  <c r="B1382" i="57"/>
  <c r="E1382" i="57" s="1"/>
  <c r="B1358" i="57"/>
  <c r="E1358" i="57" s="1"/>
  <c r="B1328" i="57"/>
  <c r="E1328" i="57" s="1"/>
  <c r="B1304" i="57"/>
  <c r="E1304" i="57" s="1"/>
  <c r="B1274" i="57"/>
  <c r="E1274" i="57" s="1"/>
  <c r="B1250" i="57"/>
  <c r="E1250" i="57" s="1"/>
  <c r="B1220" i="57"/>
  <c r="E1220" i="57" s="1"/>
  <c r="B1196" i="57"/>
  <c r="E1196" i="57" s="1"/>
  <c r="B1166" i="57"/>
  <c r="E1166" i="57" s="1"/>
  <c r="B1142" i="57"/>
  <c r="E1142" i="57" s="1"/>
  <c r="B1112" i="57"/>
  <c r="E1112" i="57" s="1"/>
  <c r="B1088" i="57"/>
  <c r="E1088" i="57" s="1"/>
  <c r="B1058" i="57"/>
  <c r="E1058" i="57" s="1"/>
  <c r="B1034" i="57"/>
  <c r="E1034" i="57" s="1"/>
  <c r="B1004" i="57"/>
  <c r="E1004" i="57" s="1"/>
  <c r="B980" i="57"/>
  <c r="E980" i="57" s="1"/>
  <c r="B950" i="57"/>
  <c r="E950" i="57" s="1"/>
  <c r="B926" i="57"/>
  <c r="E926" i="57" s="1"/>
  <c r="B896" i="57"/>
  <c r="E896" i="57" s="1"/>
  <c r="B872" i="57"/>
  <c r="E872" i="57" s="1"/>
  <c r="B842" i="57"/>
  <c r="E842" i="57" s="1"/>
  <c r="B824" i="57"/>
  <c r="E824" i="57" s="1"/>
  <c r="B806" i="57"/>
  <c r="E806" i="57" s="1"/>
  <c r="B788" i="57"/>
  <c r="E788" i="57" s="1"/>
  <c r="B764" i="57"/>
  <c r="E764" i="57" s="1"/>
  <c r="B746" i="57"/>
  <c r="E746" i="57" s="1"/>
  <c r="B722" i="57"/>
  <c r="E722" i="57" s="1"/>
  <c r="B704" i="57"/>
  <c r="E704" i="57" s="1"/>
  <c r="B686" i="57"/>
  <c r="E686" i="57" s="1"/>
  <c r="B668" i="57"/>
  <c r="E668" i="57" s="1"/>
  <c r="B644" i="57"/>
  <c r="E644" i="57" s="1"/>
  <c r="B620" i="57"/>
  <c r="E620" i="57" s="1"/>
  <c r="B602" i="57"/>
  <c r="E602" i="57" s="1"/>
  <c r="B1398" i="57"/>
  <c r="E1398" i="57" s="1"/>
  <c r="B1374" i="57"/>
  <c r="E1374" i="57" s="1"/>
  <c r="B1350" i="57"/>
  <c r="E1350" i="57" s="1"/>
  <c r="B1326" i="57"/>
  <c r="E1326" i="57" s="1"/>
  <c r="B1296" i="57"/>
  <c r="E1296" i="57" s="1"/>
  <c r="B1278" i="57"/>
  <c r="E1278" i="57" s="1"/>
  <c r="B1260" i="57"/>
  <c r="E1260" i="57" s="1"/>
  <c r="B1242" i="57"/>
  <c r="E1242" i="57" s="1"/>
  <c r="B1218" i="57"/>
  <c r="E1218" i="57" s="1"/>
  <c r="B1188" i="57"/>
  <c r="E1188" i="57" s="1"/>
  <c r="B1170" i="57"/>
  <c r="E1170" i="57" s="1"/>
  <c r="B1152" i="57"/>
  <c r="E1152" i="57" s="1"/>
  <c r="B1134" i="57"/>
  <c r="E1134" i="57" s="1"/>
  <c r="B1110" i="57"/>
  <c r="E1110" i="57" s="1"/>
  <c r="B1080" i="57"/>
  <c r="E1080" i="57" s="1"/>
  <c r="B1062" i="57"/>
  <c r="E1062" i="57" s="1"/>
  <c r="B1044" i="57"/>
  <c r="E1044" i="57" s="1"/>
  <c r="B1026" i="57"/>
  <c r="E1026" i="57" s="1"/>
  <c r="B1002" i="57"/>
  <c r="E1002" i="57" s="1"/>
  <c r="B972" i="57"/>
  <c r="E972" i="57" s="1"/>
  <c r="B954" i="57"/>
  <c r="E954" i="57" s="1"/>
  <c r="B936" i="57"/>
  <c r="E936" i="57" s="1"/>
  <c r="B918" i="57"/>
  <c r="E918" i="57" s="1"/>
  <c r="B894" i="57"/>
  <c r="E894" i="57" s="1"/>
  <c r="B864" i="57"/>
  <c r="E864" i="57" s="1"/>
  <c r="B846" i="57"/>
  <c r="E846" i="57" s="1"/>
  <c r="B828" i="57"/>
  <c r="E828" i="57" s="1"/>
  <c r="B804" i="57"/>
  <c r="E804" i="57" s="1"/>
  <c r="B774" i="57"/>
  <c r="E774" i="57" s="1"/>
  <c r="B744" i="57"/>
  <c r="E744" i="57" s="1"/>
  <c r="B708" i="57"/>
  <c r="E708" i="57" s="1"/>
  <c r="B690" i="57"/>
  <c r="E690" i="57" s="1"/>
  <c r="B666" i="57"/>
  <c r="E666" i="57" s="1"/>
  <c r="B1380" i="57"/>
  <c r="E1380" i="57" s="1"/>
  <c r="B1397" i="57"/>
  <c r="E1397" i="57" s="1"/>
  <c r="B1361" i="57"/>
  <c r="E1361" i="57" s="1"/>
  <c r="B1337" i="57"/>
  <c r="E1337" i="57" s="1"/>
  <c r="B1319" i="57"/>
  <c r="E1319" i="57" s="1"/>
  <c r="B1295" i="57"/>
  <c r="E1295" i="57" s="1"/>
  <c r="B1277" i="57"/>
  <c r="E1277" i="57" s="1"/>
  <c r="B1259" i="57"/>
  <c r="E1259" i="57" s="1"/>
  <c r="B1241" i="57"/>
  <c r="E1241" i="57" s="1"/>
  <c r="B1223" i="57"/>
  <c r="E1223" i="57" s="1"/>
  <c r="B1205" i="57"/>
  <c r="E1205" i="57" s="1"/>
  <c r="B1187" i="57"/>
  <c r="E1187" i="57" s="1"/>
  <c r="B1169" i="57"/>
  <c r="E1169" i="57" s="1"/>
  <c r="B1151" i="57"/>
  <c r="E1151" i="57" s="1"/>
  <c r="B1133" i="57"/>
  <c r="E1133" i="57" s="1"/>
  <c r="B1115" i="57"/>
  <c r="E1115" i="57" s="1"/>
  <c r="B1097" i="57"/>
  <c r="E1097" i="57" s="1"/>
  <c r="B1079" i="57"/>
  <c r="E1079" i="57" s="1"/>
  <c r="B1061" i="57"/>
  <c r="E1061" i="57" s="1"/>
  <c r="B1043" i="57"/>
  <c r="E1043" i="57" s="1"/>
  <c r="B1025" i="57"/>
  <c r="E1025" i="57" s="1"/>
  <c r="B1007" i="57"/>
  <c r="E1007" i="57" s="1"/>
  <c r="B989" i="57"/>
  <c r="E989" i="57" s="1"/>
  <c r="B971" i="57"/>
  <c r="E971" i="57" s="1"/>
  <c r="B953" i="57"/>
  <c r="E953" i="57" s="1"/>
  <c r="B935" i="57"/>
  <c r="E935" i="57" s="1"/>
  <c r="B917" i="57"/>
  <c r="E917" i="57" s="1"/>
  <c r="B899" i="57"/>
  <c r="E899" i="57" s="1"/>
  <c r="B881" i="57"/>
  <c r="E881" i="57" s="1"/>
  <c r="B642" i="57"/>
  <c r="E642" i="57" s="1"/>
  <c r="B624" i="57"/>
  <c r="E624" i="57" s="1"/>
  <c r="B606" i="57"/>
  <c r="E606" i="57" s="1"/>
  <c r="B582" i="57"/>
  <c r="E582" i="57" s="1"/>
  <c r="B564" i="57"/>
  <c r="E564" i="57" s="1"/>
  <c r="B540" i="57"/>
  <c r="E540" i="57" s="1"/>
  <c r="B522" i="57"/>
  <c r="E522" i="57" s="1"/>
  <c r="B504" i="57"/>
  <c r="E504" i="57" s="1"/>
  <c r="B480" i="57"/>
  <c r="E480" i="57" s="1"/>
  <c r="B450" i="57"/>
  <c r="E450" i="57" s="1"/>
  <c r="B420" i="57"/>
  <c r="E420" i="57" s="1"/>
  <c r="B384" i="57"/>
  <c r="E384" i="57" s="1"/>
  <c r="B366" i="57"/>
  <c r="E366" i="57" s="1"/>
  <c r="B342" i="57"/>
  <c r="E342" i="57" s="1"/>
  <c r="B324" i="57"/>
  <c r="E324" i="57" s="1"/>
  <c r="B306" i="57"/>
  <c r="E306" i="57" s="1"/>
  <c r="B288" i="57"/>
  <c r="E288" i="57" s="1"/>
  <c r="B264" i="57"/>
  <c r="E264" i="57" s="1"/>
  <c r="B246" i="57"/>
  <c r="E246" i="57" s="1"/>
  <c r="B222" i="57"/>
  <c r="E222" i="57" s="1"/>
  <c r="B192" i="57"/>
  <c r="E192" i="57" s="1"/>
  <c r="B162" i="57"/>
  <c r="E162" i="57" s="1"/>
  <c r="B144" i="57"/>
  <c r="E144" i="57" s="1"/>
  <c r="B126" i="57"/>
  <c r="E126" i="57" s="1"/>
  <c r="B108" i="57"/>
  <c r="E108" i="57" s="1"/>
  <c r="B84" i="57"/>
  <c r="E84" i="57" s="1"/>
  <c r="B60" i="57"/>
  <c r="E60" i="57" s="1"/>
  <c r="B42" i="57"/>
  <c r="E42" i="57" s="1"/>
  <c r="B24" i="57"/>
  <c r="E24" i="57" s="1"/>
  <c r="B2493" i="57"/>
  <c r="E2493" i="57" s="1"/>
  <c r="B869" i="57"/>
  <c r="E869" i="57" s="1"/>
  <c r="B851" i="57"/>
  <c r="E851" i="57" s="1"/>
  <c r="B833" i="57"/>
  <c r="E833" i="57" s="1"/>
  <c r="B815" i="57"/>
  <c r="E815" i="57" s="1"/>
  <c r="B797" i="57"/>
  <c r="E797" i="57" s="1"/>
  <c r="B779" i="57"/>
  <c r="E779" i="57" s="1"/>
  <c r="B761" i="57"/>
  <c r="E761" i="57" s="1"/>
  <c r="B743" i="57"/>
  <c r="E743" i="57" s="1"/>
  <c r="B725" i="57"/>
  <c r="E725" i="57" s="1"/>
  <c r="B707" i="57"/>
  <c r="E707" i="57" s="1"/>
  <c r="B689" i="57"/>
  <c r="E689" i="57" s="1"/>
  <c r="B671" i="57"/>
  <c r="E671" i="57" s="1"/>
  <c r="B653" i="57"/>
  <c r="E653" i="57" s="1"/>
  <c r="B635" i="57"/>
  <c r="E635" i="57" s="1"/>
  <c r="B617" i="57"/>
  <c r="E617" i="57" s="1"/>
  <c r="B599" i="57"/>
  <c r="E599" i="57" s="1"/>
  <c r="B581" i="57"/>
  <c r="E581" i="57" s="1"/>
  <c r="B563" i="57"/>
  <c r="E563" i="57" s="1"/>
  <c r="B545" i="57"/>
  <c r="E545" i="57" s="1"/>
  <c r="B527" i="57"/>
  <c r="E527" i="57" s="1"/>
  <c r="B509" i="57"/>
  <c r="E509" i="57" s="1"/>
  <c r="B491" i="57"/>
  <c r="E491" i="57" s="1"/>
  <c r="B473" i="57"/>
  <c r="E473" i="57" s="1"/>
  <c r="B455" i="57"/>
  <c r="E455" i="57" s="1"/>
  <c r="B437" i="57"/>
  <c r="E437" i="57" s="1"/>
  <c r="B419" i="57"/>
  <c r="E419" i="57" s="1"/>
  <c r="B401" i="57"/>
  <c r="E401" i="57" s="1"/>
  <c r="B383" i="57"/>
  <c r="E383" i="57" s="1"/>
  <c r="B365" i="57"/>
  <c r="E365" i="57" s="1"/>
  <c r="B347" i="57"/>
  <c r="E347" i="57" s="1"/>
  <c r="B329" i="57"/>
  <c r="E329" i="57" s="1"/>
  <c r="B311" i="57"/>
  <c r="E311" i="57" s="1"/>
  <c r="B293" i="57"/>
  <c r="E293" i="57" s="1"/>
  <c r="B275" i="57"/>
  <c r="E275" i="57" s="1"/>
  <c r="B257" i="57"/>
  <c r="E257" i="57" s="1"/>
  <c r="B239" i="57"/>
  <c r="E239" i="57" s="1"/>
  <c r="B221" i="57"/>
  <c r="E221" i="57" s="1"/>
  <c r="B203" i="57"/>
  <c r="E203" i="57" s="1"/>
  <c r="B185" i="57"/>
  <c r="E185" i="57" s="1"/>
  <c r="B167" i="57"/>
  <c r="E167" i="57" s="1"/>
  <c r="B131" i="57"/>
  <c r="E131" i="57" s="1"/>
  <c r="B113" i="57"/>
  <c r="E113" i="57" s="1"/>
  <c r="B95" i="57"/>
  <c r="E95" i="57" s="1"/>
  <c r="B77" i="57"/>
  <c r="E77" i="57" s="1"/>
  <c r="B59" i="57"/>
  <c r="E59" i="57" s="1"/>
  <c r="B41" i="57"/>
  <c r="E41" i="57" s="1"/>
  <c r="B23" i="57"/>
  <c r="E23" i="57" s="1"/>
  <c r="B1449" i="57"/>
  <c r="E1449" i="57" s="1"/>
  <c r="B2510" i="57"/>
  <c r="E2510" i="57" s="1"/>
  <c r="B15" i="57"/>
  <c r="E15" i="57" s="1"/>
  <c r="B538" i="57"/>
  <c r="E538" i="57" s="1"/>
  <c r="B484" i="57"/>
  <c r="E484" i="57" s="1"/>
  <c r="B460" i="57"/>
  <c r="E460" i="57" s="1"/>
  <c r="B442" i="57"/>
  <c r="E442" i="57" s="1"/>
  <c r="B400" i="57"/>
  <c r="E400" i="57" s="1"/>
  <c r="B358" i="57"/>
  <c r="E358" i="57" s="1"/>
  <c r="B310" i="57"/>
  <c r="E310" i="57" s="1"/>
  <c r="B274" i="57"/>
  <c r="E274" i="57" s="1"/>
  <c r="B238" i="57"/>
  <c r="E238" i="57" s="1"/>
  <c r="B190" i="57"/>
  <c r="E190" i="57" s="1"/>
  <c r="B142" i="57"/>
  <c r="E142" i="57" s="1"/>
  <c r="B2491" i="57"/>
  <c r="E2491" i="57" s="1"/>
  <c r="B609" i="57"/>
  <c r="E609" i="57" s="1"/>
  <c r="B573" i="57"/>
  <c r="E573" i="57" s="1"/>
  <c r="B519" i="57"/>
  <c r="E519" i="57" s="1"/>
  <c r="B483" i="57"/>
  <c r="E483" i="57" s="1"/>
  <c r="B447" i="57"/>
  <c r="E447" i="57" s="1"/>
  <c r="B411" i="57"/>
  <c r="E411" i="57" s="1"/>
  <c r="B375" i="57"/>
  <c r="E375" i="57" s="1"/>
  <c r="B333" i="57"/>
  <c r="E333" i="57" s="1"/>
  <c r="B279" i="57"/>
  <c r="E279" i="57" s="1"/>
  <c r="B237" i="57"/>
  <c r="E237" i="57" s="1"/>
  <c r="B201" i="57"/>
  <c r="E201" i="57" s="1"/>
  <c r="B165" i="57"/>
  <c r="E165" i="57" s="1"/>
  <c r="B129" i="57"/>
  <c r="E129" i="57" s="1"/>
  <c r="B87" i="57"/>
  <c r="E87" i="57" s="1"/>
  <c r="B33" i="57"/>
  <c r="E33" i="57" s="1"/>
  <c r="B2502" i="57"/>
  <c r="E2502" i="57" s="1"/>
  <c r="B572" i="57"/>
  <c r="E572" i="57" s="1"/>
  <c r="B530" i="57"/>
  <c r="E530" i="57" s="1"/>
  <c r="B453" i="57"/>
  <c r="E453" i="57" s="1"/>
  <c r="B356" i="57"/>
  <c r="E356" i="57" s="1"/>
  <c r="B176" i="57"/>
  <c r="E176" i="57" s="1"/>
  <c r="B98" i="57"/>
  <c r="E98" i="57" s="1"/>
  <c r="B32" i="57"/>
  <c r="E32" i="57" s="1"/>
  <c r="B49" i="57"/>
  <c r="E49" i="57" s="1"/>
  <c r="B2500" i="57"/>
  <c r="E2500" i="57" s="1"/>
  <c r="B302" i="57"/>
  <c r="E302" i="57" s="1"/>
  <c r="B170" i="57"/>
  <c r="E170" i="57" s="1"/>
  <c r="B68" i="57"/>
  <c r="E68" i="57" s="1"/>
  <c r="B1451" i="57"/>
  <c r="E1451" i="57" s="1"/>
  <c r="B156" i="57"/>
  <c r="E156" i="57" s="1"/>
  <c r="B132" i="57"/>
  <c r="E132" i="57" s="1"/>
  <c r="B54" i="57"/>
  <c r="E54" i="57" s="1"/>
  <c r="B1450" i="57"/>
  <c r="E1450" i="57" s="1"/>
  <c r="B827" i="57"/>
  <c r="E827" i="57" s="1"/>
  <c r="B785" i="57"/>
  <c r="E785" i="57" s="1"/>
  <c r="B719" i="57"/>
  <c r="E719" i="57" s="1"/>
  <c r="B677" i="57"/>
  <c r="E677" i="57" s="1"/>
  <c r="B611" i="57"/>
  <c r="E611" i="57" s="1"/>
  <c r="B569" i="57"/>
  <c r="E569" i="57" s="1"/>
  <c r="B503" i="57"/>
  <c r="E503" i="57" s="1"/>
  <c r="B461" i="57"/>
  <c r="E461" i="57" s="1"/>
  <c r="B395" i="57"/>
  <c r="E395" i="57" s="1"/>
  <c r="B353" i="57"/>
  <c r="E353" i="57" s="1"/>
  <c r="B287" i="57"/>
  <c r="E287" i="57" s="1"/>
  <c r="B245" i="57"/>
  <c r="E245" i="57" s="1"/>
  <c r="B179" i="57"/>
  <c r="E179" i="57" s="1"/>
  <c r="B137" i="57"/>
  <c r="E137" i="57" s="1"/>
  <c r="B71" i="57"/>
  <c r="E71" i="57" s="1"/>
  <c r="B29" i="57"/>
  <c r="E29" i="57" s="1"/>
  <c r="B550" i="57"/>
  <c r="E550" i="57" s="1"/>
  <c r="B490" i="57"/>
  <c r="E490" i="57" s="1"/>
  <c r="B418" i="57"/>
  <c r="E418" i="57" s="1"/>
  <c r="B364" i="57"/>
  <c r="E364" i="57" s="1"/>
  <c r="B286" i="57"/>
  <c r="E286" i="57" s="1"/>
  <c r="B244" i="57"/>
  <c r="E244" i="57" s="1"/>
  <c r="B154" i="57"/>
  <c r="E154" i="57" s="1"/>
  <c r="B28" i="57"/>
  <c r="E28" i="57" s="1"/>
  <c r="B603" i="57"/>
  <c r="E603" i="57" s="1"/>
  <c r="B561" i="57"/>
  <c r="E561" i="57" s="1"/>
  <c r="B339" i="57"/>
  <c r="E339" i="57" s="1"/>
  <c r="B159" i="57"/>
  <c r="E159" i="57" s="1"/>
  <c r="B27" i="57"/>
  <c r="E27" i="57" s="1"/>
  <c r="B434" i="57"/>
  <c r="E434" i="57" s="1"/>
  <c r="B374" i="57"/>
  <c r="E374" i="57" s="1"/>
  <c r="B314" i="57"/>
  <c r="E314" i="57" s="1"/>
  <c r="B248" i="57"/>
  <c r="E248" i="57" s="1"/>
  <c r="B194" i="57"/>
  <c r="E194" i="57" s="1"/>
  <c r="B116" i="57"/>
  <c r="E116" i="57" s="1"/>
  <c r="B50" i="57"/>
  <c r="E50" i="57" s="1"/>
  <c r="B2488" i="57"/>
  <c r="E2488" i="57" s="1"/>
  <c r="B188" i="57"/>
  <c r="E188" i="57" s="1"/>
  <c r="B2501" i="57"/>
  <c r="E2501" i="57" s="1"/>
  <c r="B234" i="57"/>
  <c r="E234" i="57" s="1"/>
  <c r="B78" i="57"/>
  <c r="E78" i="57" s="1"/>
  <c r="B30" i="57"/>
  <c r="E30" i="57" s="1"/>
  <c r="B845" i="57"/>
  <c r="E845" i="57" s="1"/>
  <c r="B803" i="57"/>
  <c r="E803" i="57" s="1"/>
  <c r="B737" i="57"/>
  <c r="E737" i="57" s="1"/>
  <c r="B695" i="57"/>
  <c r="E695" i="57" s="1"/>
  <c r="B629" i="57"/>
  <c r="E629" i="57" s="1"/>
  <c r="B587" i="57"/>
  <c r="E587" i="57" s="1"/>
  <c r="B521" i="57"/>
  <c r="E521" i="57" s="1"/>
  <c r="B479" i="57"/>
  <c r="E479" i="57" s="1"/>
  <c r="B413" i="57"/>
  <c r="E413" i="57" s="1"/>
  <c r="B371" i="57"/>
  <c r="E371" i="57" s="1"/>
  <c r="B305" i="57"/>
  <c r="E305" i="57" s="1"/>
  <c r="B263" i="57"/>
  <c r="E263" i="57" s="1"/>
  <c r="B197" i="57"/>
  <c r="E197" i="57" s="1"/>
  <c r="B155" i="57"/>
  <c r="E155" i="57" s="1"/>
  <c r="B89" i="57"/>
  <c r="E89" i="57" s="1"/>
  <c r="B47" i="57"/>
  <c r="E47" i="57" s="1"/>
  <c r="B2504" i="57"/>
  <c r="E2504" i="57" s="1"/>
  <c r="B520" i="57"/>
  <c r="E520" i="57" s="1"/>
  <c r="B436" i="57"/>
  <c r="E436" i="57" s="1"/>
  <c r="B388" i="57"/>
  <c r="E388" i="57" s="1"/>
  <c r="B304" i="57"/>
  <c r="E304" i="57" s="1"/>
  <c r="B262" i="57"/>
  <c r="E262" i="57" s="1"/>
  <c r="B178" i="57"/>
  <c r="E178" i="57" s="1"/>
  <c r="B124" i="57"/>
  <c r="E124" i="57" s="1"/>
  <c r="B621" i="57"/>
  <c r="E621" i="57" s="1"/>
  <c r="B579" i="57"/>
  <c r="E579" i="57" s="1"/>
  <c r="B513" i="57"/>
  <c r="E513" i="57" s="1"/>
  <c r="B471" i="57"/>
  <c r="E471" i="57" s="1"/>
  <c r="B405" i="57"/>
  <c r="E405" i="57" s="1"/>
  <c r="B363" i="57"/>
  <c r="E363" i="57" s="1"/>
  <c r="B291" i="57"/>
  <c r="E291" i="57" s="1"/>
  <c r="B249" i="57"/>
  <c r="E249" i="57" s="1"/>
  <c r="B177" i="57"/>
  <c r="E177" i="57" s="1"/>
  <c r="B135" i="57"/>
  <c r="E135" i="57" s="1"/>
  <c r="B51" i="57"/>
  <c r="E51" i="57" s="1"/>
  <c r="B2508" i="57"/>
  <c r="E2508" i="57" s="1"/>
  <c r="B542" i="57"/>
  <c r="E542" i="57" s="1"/>
  <c r="B494" i="57"/>
  <c r="E494" i="57" s="1"/>
  <c r="B260" i="57"/>
  <c r="E260" i="57" s="1"/>
  <c r="B110" i="57"/>
  <c r="E110" i="57" s="1"/>
  <c r="B26" i="57"/>
  <c r="E26" i="57" s="1"/>
  <c r="B2482" i="57"/>
  <c r="E2482" i="57" s="1"/>
  <c r="B150" i="57"/>
  <c r="E150" i="57" s="1"/>
  <c r="B102" i="57"/>
  <c r="E102" i="57" s="1"/>
  <c r="B48" i="57"/>
  <c r="E48" i="57" s="1"/>
  <c r="B863" i="57"/>
  <c r="E863" i="57" s="1"/>
  <c r="B821" i="57"/>
  <c r="E821" i="57" s="1"/>
  <c r="B755" i="57"/>
  <c r="E755" i="57" s="1"/>
  <c r="B713" i="57"/>
  <c r="E713" i="57" s="1"/>
  <c r="B647" i="57"/>
  <c r="E647" i="57" s="1"/>
  <c r="B605" i="57"/>
  <c r="E605" i="57" s="1"/>
  <c r="B539" i="57"/>
  <c r="E539" i="57" s="1"/>
  <c r="B497" i="57"/>
  <c r="E497" i="57" s="1"/>
  <c r="B431" i="57"/>
  <c r="E431" i="57" s="1"/>
  <c r="B389" i="57"/>
  <c r="E389" i="57" s="1"/>
  <c r="B323" i="57"/>
  <c r="E323" i="57" s="1"/>
  <c r="B281" i="57"/>
  <c r="E281" i="57" s="1"/>
  <c r="B215" i="57"/>
  <c r="E215" i="57" s="1"/>
  <c r="B173" i="57"/>
  <c r="E173" i="57" s="1"/>
  <c r="B107" i="57"/>
  <c r="E107" i="57" s="1"/>
  <c r="B65" i="57"/>
  <c r="E65" i="57" s="1"/>
  <c r="B2492" i="57"/>
  <c r="E2492" i="57" s="1"/>
  <c r="B544" i="57"/>
  <c r="E544" i="57" s="1"/>
  <c r="B454" i="57"/>
  <c r="E454" i="57" s="1"/>
  <c r="B406" i="57"/>
  <c r="E406" i="57" s="1"/>
  <c r="B322" i="57"/>
  <c r="E322" i="57" s="1"/>
  <c r="B280" i="57"/>
  <c r="E280" i="57" s="1"/>
  <c r="B202" i="57"/>
  <c r="E202" i="57" s="1"/>
  <c r="B148" i="57"/>
  <c r="E148" i="57" s="1"/>
  <c r="B2485" i="57"/>
  <c r="E2485" i="57" s="1"/>
  <c r="B597" i="57"/>
  <c r="E597" i="57" s="1"/>
  <c r="B531" i="57"/>
  <c r="E531" i="57" s="1"/>
  <c r="B489" i="57"/>
  <c r="E489" i="57" s="1"/>
  <c r="B423" i="57"/>
  <c r="E423" i="57" s="1"/>
  <c r="B381" i="57"/>
  <c r="E381" i="57" s="1"/>
  <c r="B309" i="57"/>
  <c r="E309" i="57" s="1"/>
  <c r="B267" i="57"/>
  <c r="E267" i="57" s="1"/>
  <c r="B195" i="57"/>
  <c r="E195" i="57" s="1"/>
  <c r="B153" i="57"/>
  <c r="E153" i="57" s="1"/>
  <c r="B81" i="57"/>
  <c r="E81" i="57" s="1"/>
  <c r="B21" i="57"/>
  <c r="E21" i="57" s="1"/>
  <c r="B566" i="57"/>
  <c r="E566" i="57" s="1"/>
  <c r="B512" i="57"/>
  <c r="E512" i="57" s="1"/>
  <c r="B470" i="57"/>
  <c r="E470" i="57" s="1"/>
  <c r="B452" i="57"/>
  <c r="E452" i="57" s="1"/>
  <c r="B428" i="57"/>
  <c r="E428" i="57" s="1"/>
  <c r="B404" i="57"/>
  <c r="E404" i="57" s="1"/>
  <c r="B386" i="57"/>
  <c r="E386" i="57" s="1"/>
  <c r="B368" i="57"/>
  <c r="E368" i="57" s="1"/>
  <c r="B284" i="57"/>
  <c r="E284" i="57" s="1"/>
  <c r="B242" i="57"/>
  <c r="E242" i="57" s="1"/>
  <c r="B44" i="57"/>
  <c r="E44" i="57" s="1"/>
  <c r="B252" i="57"/>
  <c r="E252" i="57" s="1"/>
  <c r="B168" i="57"/>
  <c r="E168" i="57" s="1"/>
  <c r="B120" i="57"/>
  <c r="E120" i="57" s="1"/>
  <c r="B72" i="57"/>
  <c r="E72" i="57" s="1"/>
  <c r="B2487" i="57"/>
  <c r="E2487" i="57" s="1"/>
  <c r="B839" i="57"/>
  <c r="E839" i="57" s="1"/>
  <c r="B773" i="57"/>
  <c r="E773" i="57" s="1"/>
  <c r="B731" i="57"/>
  <c r="E731" i="57" s="1"/>
  <c r="B665" i="57"/>
  <c r="E665" i="57" s="1"/>
  <c r="B623" i="57"/>
  <c r="E623" i="57" s="1"/>
  <c r="B557" i="57"/>
  <c r="E557" i="57" s="1"/>
  <c r="B515" i="57"/>
  <c r="E515" i="57" s="1"/>
  <c r="B449" i="57"/>
  <c r="E449" i="57" s="1"/>
  <c r="B407" i="57"/>
  <c r="E407" i="57" s="1"/>
  <c r="B341" i="57"/>
  <c r="E341" i="57" s="1"/>
  <c r="B299" i="57"/>
  <c r="E299" i="57" s="1"/>
  <c r="B233" i="57"/>
  <c r="E233" i="57" s="1"/>
  <c r="B191" i="57"/>
  <c r="E191" i="57" s="1"/>
  <c r="B125" i="57"/>
  <c r="E125" i="57" s="1"/>
  <c r="B83" i="57"/>
  <c r="E83" i="57" s="1"/>
  <c r="B17" i="57"/>
  <c r="E17" i="57" s="1"/>
  <c r="B2498" i="57"/>
  <c r="E2498" i="57" s="1"/>
  <c r="B478" i="57"/>
  <c r="E478" i="57" s="1"/>
  <c r="B430" i="57"/>
  <c r="E430" i="57" s="1"/>
  <c r="B346" i="57"/>
  <c r="E346" i="57" s="1"/>
  <c r="B298" i="57"/>
  <c r="E298" i="57" s="1"/>
  <c r="B226" i="57"/>
  <c r="E226" i="57" s="1"/>
  <c r="B172" i="57"/>
  <c r="E172" i="57" s="1"/>
  <c r="B1454" i="57"/>
  <c r="E1454" i="57" s="1"/>
  <c r="B615" i="57"/>
  <c r="E615" i="57" s="1"/>
  <c r="B549" i="57"/>
  <c r="E549" i="57" s="1"/>
  <c r="B507" i="57"/>
  <c r="E507" i="57" s="1"/>
  <c r="B441" i="57"/>
  <c r="E441" i="57" s="1"/>
  <c r="B399" i="57"/>
  <c r="E399" i="57" s="1"/>
  <c r="B327" i="57"/>
  <c r="E327" i="57" s="1"/>
  <c r="B285" i="57"/>
  <c r="E285" i="57" s="1"/>
  <c r="B213" i="57"/>
  <c r="E213" i="57" s="1"/>
  <c r="B171" i="57"/>
  <c r="E171" i="57" s="1"/>
  <c r="B105" i="57"/>
  <c r="E105" i="57" s="1"/>
  <c r="B39" i="57"/>
  <c r="E39" i="57" s="1"/>
  <c r="B584" i="57"/>
  <c r="E584" i="57" s="1"/>
  <c r="B536" i="57"/>
  <c r="E536" i="57" s="1"/>
  <c r="B2507" i="57"/>
  <c r="E2507" i="57" s="1"/>
  <c r="B350" i="57"/>
  <c r="E350" i="57" s="1"/>
  <c r="B140" i="57"/>
  <c r="E140" i="57" s="1"/>
  <c r="B2489" i="57"/>
  <c r="E2489" i="57" s="1"/>
  <c r="B90" i="57"/>
  <c r="E90" i="57" s="1"/>
  <c r="B18" i="57"/>
  <c r="E18" i="57" s="1"/>
  <c r="B857" i="57"/>
  <c r="E857" i="57" s="1"/>
  <c r="B791" i="57"/>
  <c r="E791" i="57" s="1"/>
  <c r="B749" i="57"/>
  <c r="E749" i="57" s="1"/>
  <c r="B683" i="57"/>
  <c r="E683" i="57" s="1"/>
  <c r="B641" i="57"/>
  <c r="E641" i="57" s="1"/>
  <c r="B575" i="57"/>
  <c r="E575" i="57" s="1"/>
  <c r="B533" i="57"/>
  <c r="E533" i="57" s="1"/>
  <c r="B467" i="57"/>
  <c r="E467" i="57" s="1"/>
  <c r="B425" i="57"/>
  <c r="E425" i="57" s="1"/>
  <c r="B359" i="57"/>
  <c r="E359" i="57" s="1"/>
  <c r="B317" i="57"/>
  <c r="E317" i="57" s="1"/>
  <c r="B251" i="57"/>
  <c r="E251" i="57" s="1"/>
  <c r="B209" i="57"/>
  <c r="E209" i="57" s="1"/>
  <c r="B143" i="57"/>
  <c r="E143" i="57" s="1"/>
  <c r="B101" i="57"/>
  <c r="E101" i="57" s="1"/>
  <c r="B35" i="57"/>
  <c r="E35" i="57" s="1"/>
  <c r="B2486" i="57"/>
  <c r="E2486" i="57" s="1"/>
  <c r="B502" i="57"/>
  <c r="E502" i="57" s="1"/>
  <c r="B448" i="57"/>
  <c r="E448" i="57" s="1"/>
  <c r="B376" i="57"/>
  <c r="E376" i="57" s="1"/>
  <c r="B316" i="57"/>
  <c r="E316" i="57" s="1"/>
  <c r="B250" i="57"/>
  <c r="E250" i="57" s="1"/>
  <c r="B196" i="57"/>
  <c r="E196" i="57" s="1"/>
  <c r="B112" i="57"/>
  <c r="E112" i="57" s="1"/>
  <c r="B633" i="57"/>
  <c r="E633" i="57" s="1"/>
  <c r="B567" i="57"/>
  <c r="E567" i="57" s="1"/>
  <c r="B525" i="57"/>
  <c r="E525" i="57" s="1"/>
  <c r="B459" i="57"/>
  <c r="E459" i="57" s="1"/>
  <c r="B417" i="57"/>
  <c r="E417" i="57" s="1"/>
  <c r="B345" i="57"/>
  <c r="E345" i="57" s="1"/>
  <c r="B303" i="57"/>
  <c r="E303" i="57" s="1"/>
  <c r="B231" i="57"/>
  <c r="E231" i="57" s="1"/>
  <c r="B189" i="57"/>
  <c r="E189" i="57" s="1"/>
  <c r="B123" i="57"/>
  <c r="E123" i="57" s="1"/>
  <c r="B75" i="57"/>
  <c r="E75" i="57" s="1"/>
  <c r="B2496" i="57"/>
  <c r="E2496" i="57" s="1"/>
  <c r="B560" i="57"/>
  <c r="E560" i="57" s="1"/>
  <c r="B482" i="57"/>
  <c r="E482" i="57" s="1"/>
  <c r="B464" i="57"/>
  <c r="E464" i="57" s="1"/>
  <c r="B440" i="57"/>
  <c r="E440" i="57" s="1"/>
  <c r="B422" i="57"/>
  <c r="E422" i="57" s="1"/>
  <c r="B398" i="57"/>
  <c r="E398" i="57" s="1"/>
  <c r="B380" i="57"/>
  <c r="E380" i="57" s="1"/>
  <c r="B362" i="57"/>
  <c r="E362" i="57" s="1"/>
  <c r="B344" i="57"/>
  <c r="E344" i="57" s="1"/>
  <c r="B320" i="57"/>
  <c r="E320" i="57" s="1"/>
  <c r="B296" i="57"/>
  <c r="E296" i="57" s="1"/>
  <c r="B278" i="57"/>
  <c r="E278" i="57" s="1"/>
  <c r="B254" i="57"/>
  <c r="E254" i="57" s="1"/>
  <c r="B224" i="57"/>
  <c r="E224" i="57" s="1"/>
  <c r="B206" i="57"/>
  <c r="E206" i="57" s="1"/>
  <c r="B182" i="57"/>
  <c r="E182" i="57" s="1"/>
  <c r="B152" i="57"/>
  <c r="E152" i="57" s="1"/>
  <c r="B134" i="57"/>
  <c r="E134" i="57" s="1"/>
  <c r="B104" i="57"/>
  <c r="E104" i="57" s="1"/>
  <c r="B80" i="57"/>
  <c r="E80" i="57" s="1"/>
  <c r="B56" i="57"/>
  <c r="E56" i="57" s="1"/>
  <c r="B38" i="57"/>
  <c r="E38" i="57" s="1"/>
  <c r="B20" i="57"/>
  <c r="E20" i="57" s="1"/>
  <c r="B2483" i="57"/>
  <c r="E2483" i="57" s="1"/>
  <c r="B2495" i="57"/>
  <c r="E2495" i="57" s="1"/>
  <c r="B25" i="57"/>
  <c r="E25" i="57" s="1"/>
  <c r="B2494" i="57"/>
  <c r="E2494" i="57" s="1"/>
  <c r="B2506" i="57"/>
  <c r="E2506" i="57" s="1"/>
  <c r="B204" i="57"/>
  <c r="E204" i="57" s="1"/>
  <c r="B114" i="57"/>
  <c r="E114" i="57" s="1"/>
  <c r="B36" i="57"/>
  <c r="E36" i="57" s="1"/>
  <c r="B2505" i="57"/>
  <c r="E2505" i="57" s="1"/>
  <c r="B809" i="57"/>
  <c r="E809" i="57" s="1"/>
  <c r="B767" i="57"/>
  <c r="E767" i="57" s="1"/>
  <c r="B701" i="57"/>
  <c r="E701" i="57" s="1"/>
  <c r="B659" i="57"/>
  <c r="E659" i="57" s="1"/>
  <c r="B593" i="57"/>
  <c r="E593" i="57" s="1"/>
  <c r="B551" i="57"/>
  <c r="E551" i="57" s="1"/>
  <c r="B485" i="57"/>
  <c r="E485" i="57" s="1"/>
  <c r="B443" i="57"/>
  <c r="E443" i="57" s="1"/>
  <c r="B377" i="57"/>
  <c r="E377" i="57" s="1"/>
  <c r="B335" i="57"/>
  <c r="E335" i="57" s="1"/>
  <c r="B269" i="57"/>
  <c r="E269" i="57" s="1"/>
  <c r="B227" i="57"/>
  <c r="E227" i="57" s="1"/>
  <c r="B161" i="57"/>
  <c r="E161" i="57" s="1"/>
  <c r="B119" i="57"/>
  <c r="E119" i="57" s="1"/>
  <c r="B53" i="57"/>
  <c r="E53" i="57" s="1"/>
  <c r="B1455" i="57"/>
  <c r="E1455" i="57" s="1"/>
  <c r="B532" i="57"/>
  <c r="E532" i="57" s="1"/>
  <c r="B466" i="57"/>
  <c r="E466" i="57" s="1"/>
  <c r="B394" i="57"/>
  <c r="E394" i="57" s="1"/>
  <c r="B340" i="57"/>
  <c r="E340" i="57" s="1"/>
  <c r="B268" i="57"/>
  <c r="E268" i="57" s="1"/>
  <c r="B214" i="57"/>
  <c r="E214" i="57" s="1"/>
  <c r="B136" i="57"/>
  <c r="E136" i="57" s="1"/>
  <c r="B1448" i="57"/>
  <c r="E1448" i="57" s="1"/>
  <c r="B585" i="57"/>
  <c r="E585" i="57" s="1"/>
  <c r="B543" i="57"/>
  <c r="E543" i="57" s="1"/>
  <c r="B477" i="57"/>
  <c r="E477" i="57" s="1"/>
  <c r="B435" i="57"/>
  <c r="E435" i="57" s="1"/>
  <c r="B369" i="57"/>
  <c r="E369" i="57" s="1"/>
  <c r="B321" i="57"/>
  <c r="E321" i="57" s="1"/>
  <c r="B255" i="57"/>
  <c r="E255" i="57" s="1"/>
  <c r="B207" i="57"/>
  <c r="E207" i="57" s="1"/>
  <c r="B141" i="57"/>
  <c r="E141" i="57" s="1"/>
  <c r="B99" i="57"/>
  <c r="E99" i="57" s="1"/>
  <c r="B1447" i="57"/>
  <c r="E1447" i="57" s="1"/>
  <c r="B578" i="57"/>
  <c r="E578" i="57" s="1"/>
  <c r="B500" i="57"/>
  <c r="E500" i="57" s="1"/>
  <c r="B495" i="57"/>
  <c r="E495" i="57" s="1"/>
  <c r="B387" i="57"/>
  <c r="E387" i="57" s="1"/>
  <c r="B273" i="57"/>
  <c r="E273" i="57" s="1"/>
  <c r="B225" i="57"/>
  <c r="E225" i="57" s="1"/>
  <c r="B117" i="57"/>
  <c r="E117" i="57" s="1"/>
  <c r="B596" i="57"/>
  <c r="E596" i="57" s="1"/>
  <c r="B518" i="57"/>
  <c r="E518" i="57" s="1"/>
  <c r="B476" i="57"/>
  <c r="E476" i="57" s="1"/>
  <c r="B458" i="57"/>
  <c r="E458" i="57" s="1"/>
  <c r="B410" i="57"/>
  <c r="E410" i="57" s="1"/>
  <c r="B392" i="57"/>
  <c r="E392" i="57" s="1"/>
  <c r="B332" i="57"/>
  <c r="E332" i="57" s="1"/>
  <c r="B290" i="57"/>
  <c r="E290" i="57" s="1"/>
  <c r="B272" i="57"/>
  <c r="E272" i="57" s="1"/>
  <c r="B218" i="57"/>
  <c r="E218" i="57" s="1"/>
  <c r="B146" i="57"/>
  <c r="E146" i="57" s="1"/>
  <c r="B74" i="57"/>
  <c r="E74" i="57" s="1"/>
  <c r="B1446" i="57"/>
  <c r="E1446" i="57" s="1"/>
  <c r="B19" i="57"/>
  <c r="E19" i="57" s="1"/>
  <c r="B326" i="57"/>
  <c r="E326" i="57" s="1"/>
  <c r="B212" i="57"/>
  <c r="E212" i="57" s="1"/>
  <c r="B86" i="57"/>
  <c r="E86" i="57" s="1"/>
  <c r="B37" i="57"/>
  <c r="E37" i="57" s="1"/>
  <c r="D1273" i="57"/>
  <c r="D1121" i="57"/>
  <c r="D1303" i="57"/>
  <c r="D1411" i="57"/>
  <c r="D1211" i="57"/>
  <c r="D1315" i="57"/>
  <c r="D783" i="57"/>
  <c r="D1027" i="57"/>
  <c r="D1086" i="57"/>
  <c r="D986" i="57"/>
  <c r="D998" i="57"/>
  <c r="D691" i="57"/>
  <c r="D565" i="57"/>
  <c r="D1173" i="57"/>
  <c r="D787" i="57"/>
  <c r="D992" i="57"/>
  <c r="D955" i="57"/>
  <c r="D916" i="57"/>
  <c r="D772" i="57"/>
  <c r="D910" i="57"/>
  <c r="D760" i="57"/>
  <c r="D710" i="57"/>
  <c r="D264" i="57"/>
  <c r="D646" i="57"/>
  <c r="D198" i="57"/>
  <c r="D61" i="57"/>
  <c r="D457" i="57"/>
  <c r="D217" i="57"/>
  <c r="D493" i="57"/>
  <c r="D121" i="57"/>
  <c r="D90" i="57" l="1"/>
  <c r="D1168" i="57"/>
  <c r="D236" i="57"/>
  <c r="D253" i="57"/>
  <c r="D62" i="57"/>
  <c r="D349" i="57"/>
  <c r="D576" i="57"/>
  <c r="D1022" i="57"/>
  <c r="D20" i="57"/>
  <c r="G1446" i="57" a="1"/>
  <c r="G1446" i="57" s="1"/>
  <c r="F1446" i="57" a="1"/>
  <c r="F1446" i="57" s="1"/>
  <c r="G332" i="57" a="1"/>
  <c r="G332" i="57" s="1"/>
  <c r="F332" i="57" a="1"/>
  <c r="F332" i="57" s="1"/>
  <c r="G596" i="57" a="1"/>
  <c r="G596" i="57" s="1"/>
  <c r="F596" i="57" a="1"/>
  <c r="F596" i="57" s="1"/>
  <c r="G500" i="57" a="1"/>
  <c r="G500" i="57" s="1"/>
  <c r="F500" i="57" a="1"/>
  <c r="F500" i="57" s="1"/>
  <c r="G255" i="57" a="1"/>
  <c r="G255" i="57" s="1"/>
  <c r="F255" i="57" a="1"/>
  <c r="F255" i="57" s="1"/>
  <c r="G585" i="57" a="1"/>
  <c r="G585" i="57" s="1"/>
  <c r="F585" i="57" a="1"/>
  <c r="F585" i="57" s="1"/>
  <c r="G394" i="57" a="1"/>
  <c r="G394" i="57" s="1"/>
  <c r="F394" i="57" a="1"/>
  <c r="F394" i="57" s="1"/>
  <c r="G161" i="57" a="1"/>
  <c r="G161" i="57" s="1"/>
  <c r="F161" i="57" a="1"/>
  <c r="F161" i="57" s="1"/>
  <c r="G485" i="57" a="1"/>
  <c r="G485" i="57" s="1"/>
  <c r="F485" i="57" a="1"/>
  <c r="F485" i="57" s="1"/>
  <c r="G809" i="57" a="1"/>
  <c r="G809" i="57" s="1"/>
  <c r="F809" i="57" a="1"/>
  <c r="F809" i="57" s="1"/>
  <c r="G2494" i="57" a="1"/>
  <c r="G2494" i="57" s="1"/>
  <c r="F2494" i="57" a="1"/>
  <c r="F2494" i="57" s="1"/>
  <c r="G56" i="57" a="1"/>
  <c r="G56" i="57" s="1"/>
  <c r="F56" i="57" a="1"/>
  <c r="F56" i="57" s="1"/>
  <c r="G206" i="57" a="1"/>
  <c r="G206" i="57" s="1"/>
  <c r="F206" i="57" a="1"/>
  <c r="F206" i="57" s="1"/>
  <c r="G344" i="57" a="1"/>
  <c r="G344" i="57" s="1"/>
  <c r="F344" i="57" a="1"/>
  <c r="F344" i="57" s="1"/>
  <c r="G464" i="57" a="1"/>
  <c r="G464" i="57" s="1"/>
  <c r="F464" i="57" a="1"/>
  <c r="F464" i="57" s="1"/>
  <c r="G189" i="57" a="1"/>
  <c r="G189" i="57" s="1"/>
  <c r="F189" i="57" a="1"/>
  <c r="F189" i="57" s="1"/>
  <c r="G525" i="57" a="1"/>
  <c r="G525" i="57" s="1"/>
  <c r="F525" i="57" a="1"/>
  <c r="F525" i="57" s="1"/>
  <c r="G316" i="57" a="1"/>
  <c r="G316" i="57" s="1"/>
  <c r="F316" i="57" a="1"/>
  <c r="F316" i="57" s="1"/>
  <c r="G101" i="57" a="1"/>
  <c r="G101" i="57" s="1"/>
  <c r="F101" i="57" a="1"/>
  <c r="F101" i="57" s="1"/>
  <c r="G425" i="57" a="1"/>
  <c r="G425" i="57" s="1"/>
  <c r="F425" i="57" a="1"/>
  <c r="F425" i="57" s="1"/>
  <c r="G749" i="57" a="1"/>
  <c r="G749" i="57" s="1"/>
  <c r="F749" i="57" a="1"/>
  <c r="F749" i="57" s="1"/>
  <c r="G140" i="57" a="1"/>
  <c r="G140" i="57" s="1"/>
  <c r="F140" i="57" a="1"/>
  <c r="F140" i="57" s="1"/>
  <c r="G105" i="57" a="1"/>
  <c r="G105" i="57" s="1"/>
  <c r="F105" i="57" a="1"/>
  <c r="F105" i="57" s="1"/>
  <c r="G441" i="57" a="1"/>
  <c r="G441" i="57" s="1"/>
  <c r="F441" i="57" a="1"/>
  <c r="F441" i="57" s="1"/>
  <c r="G226" i="57" a="1"/>
  <c r="G226" i="57" s="1"/>
  <c r="F226" i="57" a="1"/>
  <c r="F226" i="57" s="1"/>
  <c r="F17" i="57" a="1"/>
  <c r="F17" i="57" s="1"/>
  <c r="G341" i="57" a="1"/>
  <c r="G341" i="57" s="1"/>
  <c r="F341" i="57" a="1"/>
  <c r="F341" i="57" s="1"/>
  <c r="G665" i="57" a="1"/>
  <c r="G665" i="57" s="1"/>
  <c r="F665" i="57" a="1"/>
  <c r="F665" i="57" s="1"/>
  <c r="G120" i="57" a="1"/>
  <c r="G120" i="57" s="1"/>
  <c r="F120" i="57" a="1"/>
  <c r="F120" i="57" s="1"/>
  <c r="G368" i="57" a="1"/>
  <c r="G368" i="57" s="1"/>
  <c r="F368" i="57" a="1"/>
  <c r="F368" i="57" s="1"/>
  <c r="G512" i="57" a="1"/>
  <c r="G512" i="57" s="1"/>
  <c r="F512" i="57" a="1"/>
  <c r="F512" i="57" s="1"/>
  <c r="G267" i="57" a="1"/>
  <c r="G267" i="57" s="1"/>
  <c r="F267" i="57" a="1"/>
  <c r="F267" i="57" s="1"/>
  <c r="G597" i="57" a="1"/>
  <c r="G597" i="57" s="1"/>
  <c r="F597" i="57" a="1"/>
  <c r="F597" i="57" s="1"/>
  <c r="G406" i="57" a="1"/>
  <c r="G406" i="57" s="1"/>
  <c r="F406" i="57" a="1"/>
  <c r="F406" i="57" s="1"/>
  <c r="G173" i="57" a="1"/>
  <c r="G173" i="57" s="1"/>
  <c r="F173" i="57" a="1"/>
  <c r="F173" i="57" s="1"/>
  <c r="G497" i="57" a="1"/>
  <c r="G497" i="57" s="1"/>
  <c r="F497" i="57" a="1"/>
  <c r="F497" i="57" s="1"/>
  <c r="G821" i="57" a="1"/>
  <c r="G821" i="57" s="1"/>
  <c r="F821" i="57" a="1"/>
  <c r="F821" i="57" s="1"/>
  <c r="F26" i="57" a="1"/>
  <c r="F26" i="57" s="1"/>
  <c r="G51" i="57" a="1"/>
  <c r="G51" i="57" s="1"/>
  <c r="F51" i="57" a="1"/>
  <c r="F51" i="57" s="1"/>
  <c r="G405" i="57" a="1"/>
  <c r="G405" i="57" s="1"/>
  <c r="F405" i="57" a="1"/>
  <c r="F405" i="57" s="1"/>
  <c r="G178" i="57" a="1"/>
  <c r="G178" i="57" s="1"/>
  <c r="F178" i="57" a="1"/>
  <c r="F178" i="57" s="1"/>
  <c r="G2504" i="57" a="1"/>
  <c r="G2504" i="57" s="1"/>
  <c r="F2504" i="57" a="1"/>
  <c r="F2504" i="57" s="1"/>
  <c r="G305" i="57" a="1"/>
  <c r="G305" i="57" s="1"/>
  <c r="F305" i="57" a="1"/>
  <c r="F305" i="57" s="1"/>
  <c r="G629" i="57" a="1"/>
  <c r="G629" i="57" s="1"/>
  <c r="F629" i="57" a="1"/>
  <c r="F629" i="57" s="1"/>
  <c r="G78" i="57" a="1"/>
  <c r="G78" i="57" s="1"/>
  <c r="F78" i="57" a="1"/>
  <c r="F78" i="57" s="1"/>
  <c r="G116" i="57" a="1"/>
  <c r="G116" i="57" s="1"/>
  <c r="F116" i="57" a="1"/>
  <c r="F116" i="57" s="1"/>
  <c r="G27" i="57" a="1"/>
  <c r="G27" i="57" s="1"/>
  <c r="F27" i="57" a="1"/>
  <c r="F27" i="57" s="1"/>
  <c r="G154" i="57" a="1"/>
  <c r="G154" i="57" s="1"/>
  <c r="F154" i="57" a="1"/>
  <c r="F154" i="57" s="1"/>
  <c r="G550" i="57" a="1"/>
  <c r="G550" i="57" s="1"/>
  <c r="F550" i="57" a="1"/>
  <c r="F550" i="57" s="1"/>
  <c r="G287" i="57" a="1"/>
  <c r="G287" i="57" s="1"/>
  <c r="F287" i="57" a="1"/>
  <c r="F287" i="57" s="1"/>
  <c r="G611" i="57" a="1"/>
  <c r="G611" i="57" s="1"/>
  <c r="F611" i="57" a="1"/>
  <c r="F611" i="57" s="1"/>
  <c r="G54" i="57" a="1"/>
  <c r="G54" i="57" s="1"/>
  <c r="F54" i="57" a="1"/>
  <c r="F54" i="57" s="1"/>
  <c r="G302" i="57" a="1"/>
  <c r="G302" i="57" s="1"/>
  <c r="F302" i="57" a="1"/>
  <c r="F302" i="57" s="1"/>
  <c r="G356" i="57" a="1"/>
  <c r="G356" i="57" s="1"/>
  <c r="F356" i="57" a="1"/>
  <c r="F356" i="57" s="1"/>
  <c r="G87" i="57" a="1"/>
  <c r="G87" i="57" s="1"/>
  <c r="F87" i="57" a="1"/>
  <c r="F87" i="57" s="1"/>
  <c r="G333" i="57" a="1"/>
  <c r="G333" i="57" s="1"/>
  <c r="F333" i="57" a="1"/>
  <c r="F333" i="57" s="1"/>
  <c r="G573" i="57" a="1"/>
  <c r="G573" i="57" s="1"/>
  <c r="F573" i="57" a="1"/>
  <c r="F573" i="57" s="1"/>
  <c r="G274" i="57" a="1"/>
  <c r="G274" i="57" s="1"/>
  <c r="F274" i="57" a="1"/>
  <c r="F274" i="57" s="1"/>
  <c r="G484" i="57" a="1"/>
  <c r="G484" i="57" s="1"/>
  <c r="F484" i="57" a="1"/>
  <c r="F484" i="57" s="1"/>
  <c r="G41" i="57" a="1"/>
  <c r="G41" i="57" s="1"/>
  <c r="F41" i="57" a="1"/>
  <c r="F41" i="57" s="1"/>
  <c r="G167" i="57" a="1"/>
  <c r="G167" i="57" s="1"/>
  <c r="F167" i="57" a="1"/>
  <c r="F167" i="57" s="1"/>
  <c r="G275" i="57" a="1"/>
  <c r="G275" i="57" s="1"/>
  <c r="F275" i="57" a="1"/>
  <c r="F275" i="57" s="1"/>
  <c r="G383" i="57" a="1"/>
  <c r="G383" i="57" s="1"/>
  <c r="F383" i="57" a="1"/>
  <c r="F383" i="57" s="1"/>
  <c r="G491" i="57" a="1"/>
  <c r="G491" i="57" s="1"/>
  <c r="F491" i="57" a="1"/>
  <c r="F491" i="57" s="1"/>
  <c r="G599" i="57" a="1"/>
  <c r="G599" i="57" s="1"/>
  <c r="F599" i="57" a="1"/>
  <c r="F599" i="57" s="1"/>
  <c r="G707" i="57" a="1"/>
  <c r="G707" i="57" s="1"/>
  <c r="F707" i="57" a="1"/>
  <c r="F707" i="57" s="1"/>
  <c r="G815" i="57" a="1"/>
  <c r="G815" i="57" s="1"/>
  <c r="F815" i="57" a="1"/>
  <c r="F815" i="57" s="1"/>
  <c r="G42" i="57" a="1"/>
  <c r="G42" i="57" s="1"/>
  <c r="F42" i="57" a="1"/>
  <c r="F42" i="57" s="1"/>
  <c r="G162" i="57" a="1"/>
  <c r="G162" i="57" s="1"/>
  <c r="F162" i="57" a="1"/>
  <c r="F162" i="57" s="1"/>
  <c r="G306" i="57" a="1"/>
  <c r="G306" i="57" s="1"/>
  <c r="F306" i="57" a="1"/>
  <c r="F306" i="57" s="1"/>
  <c r="G450" i="57" a="1"/>
  <c r="G450" i="57" s="1"/>
  <c r="F450" i="57" a="1"/>
  <c r="F450" i="57" s="1"/>
  <c r="G582" i="57" a="1"/>
  <c r="G582" i="57" s="1"/>
  <c r="F582" i="57" a="1"/>
  <c r="F582" i="57" s="1"/>
  <c r="G917" i="57" a="1"/>
  <c r="G917" i="57" s="1"/>
  <c r="F917" i="57" a="1"/>
  <c r="F917" i="57" s="1"/>
  <c r="G1025" i="57" a="1"/>
  <c r="G1025" i="57" s="1"/>
  <c r="F1025" i="57" a="1"/>
  <c r="F1025" i="57" s="1"/>
  <c r="G1133" i="57" a="1"/>
  <c r="G1133" i="57" s="1"/>
  <c r="F1133" i="57" a="1"/>
  <c r="F1133" i="57" s="1"/>
  <c r="G1241" i="57" a="1"/>
  <c r="G1241" i="57" s="1"/>
  <c r="F1241" i="57" a="1"/>
  <c r="F1241" i="57" s="1"/>
  <c r="G1361" i="57" a="1"/>
  <c r="G1361" i="57" s="1"/>
  <c r="F1361" i="57" a="1"/>
  <c r="F1361" i="57" s="1"/>
  <c r="G744" i="57" a="1"/>
  <c r="G744" i="57" s="1"/>
  <c r="F744" i="57" a="1"/>
  <c r="F744" i="57" s="1"/>
  <c r="G894" i="57" a="1"/>
  <c r="G894" i="57" s="1"/>
  <c r="F894" i="57" a="1"/>
  <c r="F894" i="57" s="1"/>
  <c r="G1026" i="57" a="1"/>
  <c r="G1026" i="57" s="1"/>
  <c r="F1026" i="57" a="1"/>
  <c r="F1026" i="57" s="1"/>
  <c r="G1152" i="57" a="1"/>
  <c r="G1152" i="57" s="1"/>
  <c r="F1152" i="57" a="1"/>
  <c r="F1152" i="57" s="1"/>
  <c r="G1278" i="57" a="1"/>
  <c r="G1278" i="57" s="1"/>
  <c r="F1278" i="57" a="1"/>
  <c r="F1278" i="57" s="1"/>
  <c r="G602" i="57" a="1"/>
  <c r="G602" i="57" s="1"/>
  <c r="F602" i="57" a="1"/>
  <c r="F602" i="57" s="1"/>
  <c r="G722" i="57" a="1"/>
  <c r="G722" i="57" s="1"/>
  <c r="F722" i="57" a="1"/>
  <c r="F722" i="57" s="1"/>
  <c r="G842" i="57" a="1"/>
  <c r="G842" i="57" s="1"/>
  <c r="F842" i="57" a="1"/>
  <c r="F842" i="57" s="1"/>
  <c r="G1004" i="57" a="1"/>
  <c r="G1004" i="57" s="1"/>
  <c r="F1004" i="57" a="1"/>
  <c r="F1004" i="57" s="1"/>
  <c r="G1166" i="57" a="1"/>
  <c r="G1166" i="57" s="1"/>
  <c r="F1166" i="57" a="1"/>
  <c r="F1166" i="57" s="1"/>
  <c r="G1328" i="57" a="1"/>
  <c r="G1328" i="57" s="1"/>
  <c r="F1328" i="57" a="1"/>
  <c r="F1328" i="57" s="1"/>
  <c r="G675" i="57" a="1"/>
  <c r="G675" i="57" s="1"/>
  <c r="F675" i="57" a="1"/>
  <c r="F675" i="57" s="1"/>
  <c r="G795" i="57" a="1"/>
  <c r="G795" i="57" s="1"/>
  <c r="F795" i="57" a="1"/>
  <c r="F795" i="57" s="1"/>
  <c r="G1089" i="57" a="1"/>
  <c r="G1089" i="57" s="1"/>
  <c r="F1089" i="57" a="1"/>
  <c r="F1089" i="57" s="1"/>
  <c r="G1431" i="57" a="1"/>
  <c r="G1431" i="57" s="1"/>
  <c r="F1431" i="57" a="1"/>
  <c r="F1431" i="57" s="1"/>
  <c r="G922" i="57" a="1"/>
  <c r="G922" i="57" s="1"/>
  <c r="F922" i="57" a="1"/>
  <c r="F922" i="57" s="1"/>
  <c r="G1282" i="57" a="1"/>
  <c r="G1282" i="57" s="1"/>
  <c r="F1282" i="57" a="1"/>
  <c r="F1282" i="57" s="1"/>
  <c r="G1563" i="57" a="1"/>
  <c r="G1563" i="57" s="1"/>
  <c r="F1563" i="57" a="1"/>
  <c r="F1563" i="57" s="1"/>
  <c r="G1875" i="57" a="1"/>
  <c r="G1875" i="57" s="1"/>
  <c r="F1875" i="57" a="1"/>
  <c r="F1875" i="57" s="1"/>
  <c r="G1678" i="57" a="1"/>
  <c r="G1678" i="57" s="1"/>
  <c r="F1678" i="57" a="1"/>
  <c r="F1678" i="57" s="1"/>
  <c r="G1505" i="57" a="1"/>
  <c r="G1505" i="57" s="1"/>
  <c r="F1505" i="57" a="1"/>
  <c r="F1505" i="57" s="1"/>
  <c r="G1520" i="57" a="1"/>
  <c r="G1520" i="57" s="1"/>
  <c r="F1520" i="57" a="1"/>
  <c r="F1520" i="57" s="1"/>
  <c r="G488" i="57" a="1"/>
  <c r="G488" i="57" s="1"/>
  <c r="F488" i="57" a="1"/>
  <c r="F488" i="57" s="1"/>
  <c r="G111" i="57" a="1"/>
  <c r="G111" i="57" s="1"/>
  <c r="F111" i="57" a="1"/>
  <c r="F111" i="57" s="1"/>
  <c r="G315" i="57" a="1"/>
  <c r="G315" i="57" s="1"/>
  <c r="F315" i="57" a="1"/>
  <c r="F315" i="57" s="1"/>
  <c r="G537" i="57" a="1"/>
  <c r="G537" i="57" s="1"/>
  <c r="F537" i="57" a="1"/>
  <c r="F537" i="57" s="1"/>
  <c r="G166" i="57" a="1"/>
  <c r="G166" i="57" s="1"/>
  <c r="F166" i="57" a="1"/>
  <c r="F166" i="57" s="1"/>
  <c r="G424" i="57" a="1"/>
  <c r="G424" i="57" s="1"/>
  <c r="F424" i="57" a="1"/>
  <c r="F424" i="57" s="1"/>
  <c r="G1029" i="57" a="1"/>
  <c r="G1029" i="57" s="1"/>
  <c r="F1029" i="57" a="1"/>
  <c r="F1029" i="57" s="1"/>
  <c r="G1371" i="57" a="1"/>
  <c r="G1371" i="57" s="1"/>
  <c r="F1371" i="57" a="1"/>
  <c r="F1371" i="57" s="1"/>
  <c r="G850" i="57" a="1"/>
  <c r="G850" i="57" s="1"/>
  <c r="F850" i="57" a="1"/>
  <c r="F850" i="57" s="1"/>
  <c r="G1216" i="57" a="1"/>
  <c r="G1216" i="57" s="1"/>
  <c r="F1216" i="57" a="1"/>
  <c r="F1216" i="57" s="1"/>
  <c r="G1473" i="57" a="1"/>
  <c r="G1473" i="57" s="1"/>
  <c r="F1473" i="57" a="1"/>
  <c r="F1473" i="57" s="1"/>
  <c r="G1779" i="57" a="1"/>
  <c r="G1779" i="57" s="1"/>
  <c r="F1779" i="57" a="1"/>
  <c r="F1779" i="57" s="1"/>
  <c r="G1588" i="57" a="1"/>
  <c r="G1588" i="57" s="1"/>
  <c r="F1588" i="57" a="1"/>
  <c r="F1588" i="57" s="1"/>
  <c r="G1894" i="57" a="1"/>
  <c r="G1894" i="57" s="1"/>
  <c r="F1894" i="57" a="1"/>
  <c r="F1894" i="57" s="1"/>
  <c r="G1877" i="57" a="1"/>
  <c r="G1877" i="57" s="1"/>
  <c r="F1877" i="57" a="1"/>
  <c r="F1877" i="57" s="1"/>
  <c r="G1898" i="57" a="1"/>
  <c r="G1898" i="57" s="1"/>
  <c r="F1898" i="57" a="1"/>
  <c r="F1898" i="57" s="1"/>
  <c r="G528" i="57" a="1"/>
  <c r="G528" i="57" s="1"/>
  <c r="F528" i="57" a="1"/>
  <c r="F528" i="57" s="1"/>
  <c r="G1013" i="57" a="1"/>
  <c r="G1013" i="57" s="1"/>
  <c r="F1013" i="57" a="1"/>
  <c r="F1013" i="57" s="1"/>
  <c r="G1139" i="57" a="1"/>
  <c r="G1139" i="57" s="1"/>
  <c r="F1139" i="57" a="1"/>
  <c r="F1139" i="57" s="1"/>
  <c r="G1247" i="57" a="1"/>
  <c r="G1247" i="57" s="1"/>
  <c r="F1247" i="57" a="1"/>
  <c r="F1247" i="57" s="1"/>
  <c r="G1373" i="57" a="1"/>
  <c r="G1373" i="57" s="1"/>
  <c r="F1373" i="57" a="1"/>
  <c r="F1373" i="57" s="1"/>
  <c r="G750" i="57" a="1"/>
  <c r="G750" i="57" s="1"/>
  <c r="F750" i="57" a="1"/>
  <c r="F750" i="57" s="1"/>
  <c r="G906" i="57" a="1"/>
  <c r="G906" i="57" s="1"/>
  <c r="F906" i="57" a="1"/>
  <c r="F906" i="57" s="1"/>
  <c r="G1050" i="57" a="1"/>
  <c r="G1050" i="57" s="1"/>
  <c r="F1050" i="57" a="1"/>
  <c r="F1050" i="57" s="1"/>
  <c r="G1176" i="57" a="1"/>
  <c r="G1176" i="57" s="1"/>
  <c r="F1176" i="57" a="1"/>
  <c r="F1176" i="57" s="1"/>
  <c r="G1308" i="57" a="1"/>
  <c r="G1308" i="57" s="1"/>
  <c r="F1308" i="57" a="1"/>
  <c r="F1308" i="57" s="1"/>
  <c r="G626" i="57" a="1"/>
  <c r="G626" i="57" s="1"/>
  <c r="F626" i="57" a="1"/>
  <c r="F626" i="57" s="1"/>
  <c r="G752" i="57" a="1"/>
  <c r="G752" i="57" s="1"/>
  <c r="F752" i="57" a="1"/>
  <c r="F752" i="57" s="1"/>
  <c r="G878" i="57" a="1"/>
  <c r="G878" i="57" s="1"/>
  <c r="F878" i="57" a="1"/>
  <c r="F878" i="57" s="1"/>
  <c r="G1040" i="57" a="1"/>
  <c r="G1040" i="57" s="1"/>
  <c r="F1040" i="57" a="1"/>
  <c r="F1040" i="57" s="1"/>
  <c r="G1202" i="57" a="1"/>
  <c r="G1202" i="57" s="1"/>
  <c r="F1202" i="57" a="1"/>
  <c r="F1202" i="57" s="1"/>
  <c r="G1364" i="57" a="1"/>
  <c r="G1364" i="57" s="1"/>
  <c r="F1364" i="57" a="1"/>
  <c r="F1364" i="57" s="1"/>
  <c r="G699" i="57" a="1"/>
  <c r="G699" i="57" s="1"/>
  <c r="F699" i="57" a="1"/>
  <c r="F699" i="57" s="1"/>
  <c r="G825" i="57" a="1"/>
  <c r="G825" i="57" s="1"/>
  <c r="F825" i="57" a="1"/>
  <c r="F825" i="57" s="1"/>
  <c r="G1161" i="57" a="1"/>
  <c r="G1161" i="57" s="1"/>
  <c r="F1161" i="57" a="1"/>
  <c r="F1161" i="57" s="1"/>
  <c r="G634" i="57" a="1"/>
  <c r="G634" i="57" s="1"/>
  <c r="F634" i="57" a="1"/>
  <c r="F634" i="57" s="1"/>
  <c r="G1000" i="57" a="1"/>
  <c r="G1000" i="57" s="1"/>
  <c r="F1000" i="57" a="1"/>
  <c r="F1000" i="57" s="1"/>
  <c r="G1366" i="57" a="1"/>
  <c r="G1366" i="57" s="1"/>
  <c r="F1366" i="57" a="1"/>
  <c r="F1366" i="57" s="1"/>
  <c r="G1629" i="57" a="1"/>
  <c r="G1629" i="57" s="1"/>
  <c r="F1629" i="57" a="1"/>
  <c r="F1629" i="57" s="1"/>
  <c r="G1947" i="57" a="1"/>
  <c r="G1947" i="57" s="1"/>
  <c r="F1947" i="57" a="1"/>
  <c r="F1947" i="57" s="1"/>
  <c r="G1750" i="57" a="1"/>
  <c r="G1750" i="57" s="1"/>
  <c r="F1750" i="57" a="1"/>
  <c r="F1750" i="57" s="1"/>
  <c r="G1625" i="57" a="1"/>
  <c r="G1625" i="57" s="1"/>
  <c r="F1625" i="57" a="1"/>
  <c r="F1625" i="57" s="1"/>
  <c r="G1646" i="57" a="1"/>
  <c r="G1646" i="57" s="1"/>
  <c r="F1646" i="57" a="1"/>
  <c r="F1646" i="57" s="1"/>
  <c r="G312" i="57" a="1"/>
  <c r="G312" i="57" s="1"/>
  <c r="F312" i="57" a="1"/>
  <c r="F312" i="57" s="1"/>
  <c r="G546" i="57" a="1"/>
  <c r="G546" i="57" s="1"/>
  <c r="F546" i="57" a="1"/>
  <c r="F546" i="57" s="1"/>
  <c r="G959" i="57" a="1"/>
  <c r="G959" i="57" s="1"/>
  <c r="F959" i="57" a="1"/>
  <c r="F959" i="57" s="1"/>
  <c r="G993" i="57" a="1"/>
  <c r="G993" i="57" s="1"/>
  <c r="F993" i="57" a="1"/>
  <c r="F993" i="57" s="1"/>
  <c r="G1329" i="57" a="1"/>
  <c r="G1329" i="57" s="1"/>
  <c r="F1329" i="57" a="1"/>
  <c r="F1329" i="57" s="1"/>
  <c r="G814" i="57" a="1"/>
  <c r="G814" i="57" s="1"/>
  <c r="F814" i="57" a="1"/>
  <c r="F814" i="57" s="1"/>
  <c r="G1180" i="57" a="1"/>
  <c r="G1180" i="57" s="1"/>
  <c r="F1180" i="57" a="1"/>
  <c r="F1180" i="57" s="1"/>
  <c r="G1434" i="57" a="1"/>
  <c r="G1434" i="57" s="1"/>
  <c r="F1434" i="57" a="1"/>
  <c r="F1434" i="57" s="1"/>
  <c r="G1743" i="57" a="1"/>
  <c r="G1743" i="57" s="1"/>
  <c r="F1743" i="57" a="1"/>
  <c r="F1743" i="57" s="1"/>
  <c r="G1552" i="57" a="1"/>
  <c r="G1552" i="57" s="1"/>
  <c r="F1552" i="57" a="1"/>
  <c r="F1552" i="57" s="1"/>
  <c r="G1858" i="57" a="1"/>
  <c r="G1858" i="57" s="1"/>
  <c r="F1858" i="57" a="1"/>
  <c r="F1858" i="57" s="1"/>
  <c r="G1805" i="57" a="1"/>
  <c r="G1805" i="57" s="1"/>
  <c r="F1805" i="57" a="1"/>
  <c r="F1805" i="57" s="1"/>
  <c r="G1826" i="57" a="1"/>
  <c r="G1826" i="57" s="1"/>
  <c r="F1826" i="57" a="1"/>
  <c r="F1826" i="57" s="1"/>
  <c r="G408" i="57" a="1"/>
  <c r="G408" i="57" s="1"/>
  <c r="F408" i="57" a="1"/>
  <c r="F408" i="57" s="1"/>
  <c r="G911" i="57" a="1"/>
  <c r="G911" i="57" s="1"/>
  <c r="F911" i="57" a="1"/>
  <c r="F911" i="57" s="1"/>
  <c r="G1037" i="57" a="1"/>
  <c r="G1037" i="57" s="1"/>
  <c r="F1037" i="57" a="1"/>
  <c r="F1037" i="57" s="1"/>
  <c r="G1145" i="57" a="1"/>
  <c r="G1145" i="57" s="1"/>
  <c r="F1145" i="57" a="1"/>
  <c r="F1145" i="57" s="1"/>
  <c r="G1253" i="57" a="1"/>
  <c r="G1253" i="57" s="1"/>
  <c r="F1253" i="57" a="1"/>
  <c r="F1253" i="57" s="1"/>
  <c r="G1385" i="57" a="1"/>
  <c r="G1385" i="57" s="1"/>
  <c r="F1385" i="57" a="1"/>
  <c r="F1385" i="57" s="1"/>
  <c r="G762" i="57" a="1"/>
  <c r="G762" i="57" s="1"/>
  <c r="F762" i="57" a="1"/>
  <c r="F762" i="57" s="1"/>
  <c r="G930" i="57" a="1"/>
  <c r="G930" i="57" s="1"/>
  <c r="F930" i="57" a="1"/>
  <c r="F930" i="57" s="1"/>
  <c r="G1056" i="57" a="1"/>
  <c r="G1056" i="57" s="1"/>
  <c r="F1056" i="57" a="1"/>
  <c r="F1056" i="57" s="1"/>
  <c r="G1182" i="57" a="1"/>
  <c r="G1182" i="57" s="1"/>
  <c r="F1182" i="57" a="1"/>
  <c r="F1182" i="57" s="1"/>
  <c r="G1320" i="57" a="1"/>
  <c r="G1320" i="57" s="1"/>
  <c r="F1320" i="57" a="1"/>
  <c r="F1320" i="57" s="1"/>
  <c r="G638" i="57" a="1"/>
  <c r="G638" i="57" s="1"/>
  <c r="F638" i="57" a="1"/>
  <c r="F638" i="57" s="1"/>
  <c r="G758" i="57" a="1"/>
  <c r="G758" i="57" s="1"/>
  <c r="F758" i="57" a="1"/>
  <c r="F758" i="57" s="1"/>
  <c r="G890" i="57" a="1"/>
  <c r="G890" i="57" s="1"/>
  <c r="F890" i="57" a="1"/>
  <c r="F890" i="57" s="1"/>
  <c r="G1052" i="57" a="1"/>
  <c r="G1052" i="57" s="1"/>
  <c r="F1052" i="57" a="1"/>
  <c r="F1052" i="57" s="1"/>
  <c r="G1214" i="57" a="1"/>
  <c r="G1214" i="57" s="1"/>
  <c r="F1214" i="57" a="1"/>
  <c r="F1214" i="57" s="1"/>
  <c r="G1376" i="57" a="1"/>
  <c r="G1376" i="57" s="1"/>
  <c r="F1376" i="57" a="1"/>
  <c r="F1376" i="57" s="1"/>
  <c r="G705" i="57" a="1"/>
  <c r="G705" i="57" s="1"/>
  <c r="F705" i="57" a="1"/>
  <c r="F705" i="57" s="1"/>
  <c r="G855" i="57" a="1"/>
  <c r="G855" i="57" s="1"/>
  <c r="F855" i="57" a="1"/>
  <c r="F855" i="57" s="1"/>
  <c r="G1191" i="57" a="1"/>
  <c r="G1191" i="57" s="1"/>
  <c r="F1191" i="57" a="1"/>
  <c r="F1191" i="57" s="1"/>
  <c r="G664" i="57" a="1"/>
  <c r="G664" i="57" s="1"/>
  <c r="F664" i="57" a="1"/>
  <c r="F664" i="57" s="1"/>
  <c r="G1030" i="57" a="1"/>
  <c r="G1030" i="57" s="1"/>
  <c r="F1030" i="57" a="1"/>
  <c r="F1030" i="57" s="1"/>
  <c r="G1402" i="57" a="1"/>
  <c r="G1402" i="57" s="1"/>
  <c r="F1402" i="57" a="1"/>
  <c r="F1402" i="57" s="1"/>
  <c r="G1653" i="57" a="1"/>
  <c r="G1653" i="57" s="1"/>
  <c r="F1653" i="57" a="1"/>
  <c r="F1653" i="57" s="1"/>
  <c r="G1456" i="57" a="1"/>
  <c r="G1456" i="57" s="1"/>
  <c r="F1456" i="57" a="1"/>
  <c r="F1456" i="57" s="1"/>
  <c r="G1768" i="57" a="1"/>
  <c r="G1768" i="57" s="1"/>
  <c r="F1768" i="57" a="1"/>
  <c r="F1768" i="57" s="1"/>
  <c r="G1661" i="57" a="1"/>
  <c r="G1661" i="57" s="1"/>
  <c r="F1661" i="57" a="1"/>
  <c r="F1661" i="57" s="1"/>
  <c r="G1682" i="57" a="1"/>
  <c r="G1682" i="57" s="1"/>
  <c r="F1682" i="57" a="1"/>
  <c r="F1682" i="57" s="1"/>
  <c r="G180" i="57" a="1"/>
  <c r="G180" i="57" s="1"/>
  <c r="F180" i="57" a="1"/>
  <c r="F180" i="57" s="1"/>
  <c r="G378" i="57" a="1"/>
  <c r="G378" i="57" s="1"/>
  <c r="F378" i="57" a="1"/>
  <c r="F378" i="57" s="1"/>
  <c r="G618" i="57" a="1"/>
  <c r="G618" i="57" s="1"/>
  <c r="F618" i="57" a="1"/>
  <c r="F618" i="57" s="1"/>
  <c r="G957" i="57" a="1"/>
  <c r="G957" i="57" s="1"/>
  <c r="F957" i="57" a="1"/>
  <c r="F957" i="57" s="1"/>
  <c r="G1287" i="57" a="1"/>
  <c r="G1287" i="57" s="1"/>
  <c r="F1287" i="57" a="1"/>
  <c r="F1287" i="57" s="1"/>
  <c r="G766" i="57" a="1"/>
  <c r="G766" i="57" s="1"/>
  <c r="F766" i="57" a="1"/>
  <c r="F766" i="57" s="1"/>
  <c r="G1138" i="57" a="1"/>
  <c r="G1138" i="57" s="1"/>
  <c r="F1138" i="57" a="1"/>
  <c r="F1138" i="57" s="1"/>
  <c r="G1421" i="57" a="1"/>
  <c r="G1421" i="57" s="1"/>
  <c r="F1421" i="57" a="1"/>
  <c r="F1421" i="57" s="1"/>
  <c r="G1707" i="57" a="1"/>
  <c r="G1707" i="57" s="1"/>
  <c r="F1707" i="57" a="1"/>
  <c r="F1707" i="57" s="1"/>
  <c r="G1516" i="57" a="1"/>
  <c r="G1516" i="57" s="1"/>
  <c r="F1516" i="57" a="1"/>
  <c r="F1516" i="57" s="1"/>
  <c r="G1834" i="57" a="1"/>
  <c r="G1834" i="57" s="1"/>
  <c r="F1834" i="57" a="1"/>
  <c r="F1834" i="57" s="1"/>
  <c r="G1757" i="57" a="1"/>
  <c r="G1757" i="57" s="1"/>
  <c r="F1757" i="57" a="1"/>
  <c r="F1757" i="57" s="1"/>
  <c r="G1772" i="57" a="1"/>
  <c r="G1772" i="57" s="1"/>
  <c r="F1772" i="57" a="1"/>
  <c r="F1772" i="57" s="1"/>
  <c r="G867" i="57" a="1"/>
  <c r="G867" i="57" s="1"/>
  <c r="F867" i="57" a="1"/>
  <c r="F867" i="57" s="1"/>
  <c r="G987" i="57" a="1"/>
  <c r="G987" i="57" s="1"/>
  <c r="F987" i="57" a="1"/>
  <c r="F987" i="57" s="1"/>
  <c r="G1095" i="57" a="1"/>
  <c r="G1095" i="57" s="1"/>
  <c r="F1095" i="57" a="1"/>
  <c r="F1095" i="57" s="1"/>
  <c r="G1203" i="57" a="1"/>
  <c r="G1203" i="57" s="1"/>
  <c r="F1203" i="57" a="1"/>
  <c r="F1203" i="57" s="1"/>
  <c r="G1323" i="57" a="1"/>
  <c r="G1323" i="57" s="1"/>
  <c r="F1323" i="57" a="1"/>
  <c r="F1323" i="57" s="1"/>
  <c r="G1437" i="57" a="1"/>
  <c r="G1437" i="57" s="1"/>
  <c r="F1437" i="57" a="1"/>
  <c r="F1437" i="57" s="1"/>
  <c r="G676" i="57" a="1"/>
  <c r="G676" i="57" s="1"/>
  <c r="F676" i="57" a="1"/>
  <c r="F676" i="57" s="1"/>
  <c r="G808" i="57" a="1"/>
  <c r="G808" i="57" s="1"/>
  <c r="F808" i="57" a="1"/>
  <c r="F808" i="57" s="1"/>
  <c r="G928" i="57" a="1"/>
  <c r="G928" i="57" s="1"/>
  <c r="F928" i="57" a="1"/>
  <c r="F928" i="57" s="1"/>
  <c r="G1048" i="57" a="1"/>
  <c r="G1048" i="57" s="1"/>
  <c r="F1048" i="57" a="1"/>
  <c r="F1048" i="57" s="1"/>
  <c r="G1174" i="57" a="1"/>
  <c r="G1174" i="57" s="1"/>
  <c r="F1174" i="57" a="1"/>
  <c r="F1174" i="57" s="1"/>
  <c r="G1288" i="57" a="1"/>
  <c r="G1288" i="57" s="1"/>
  <c r="F1288" i="57" a="1"/>
  <c r="F1288" i="57" s="1"/>
  <c r="G1414" i="57" a="1"/>
  <c r="G1414" i="57" s="1"/>
  <c r="F1414" i="57" a="1"/>
  <c r="F1414" i="57" s="1"/>
  <c r="G1416" i="57" a="1"/>
  <c r="G1416" i="57" s="1"/>
  <c r="F1416" i="57" a="1"/>
  <c r="F1416" i="57" s="1"/>
  <c r="G1677" i="57" a="1"/>
  <c r="G1677" i="57" s="1"/>
  <c r="F1677" i="57" a="1"/>
  <c r="F1677" i="57" s="1"/>
  <c r="G1941" i="57" a="1"/>
  <c r="G1941" i="57" s="1"/>
  <c r="F1941" i="57" a="1"/>
  <c r="F1941" i="57" s="1"/>
  <c r="G1696" i="57" a="1"/>
  <c r="G1696" i="57" s="1"/>
  <c r="F1696" i="57" a="1"/>
  <c r="F1696" i="57" s="1"/>
  <c r="G1954" i="57" a="1"/>
  <c r="G1954" i="57" s="1"/>
  <c r="F1954" i="57" a="1"/>
  <c r="F1954" i="57" s="1"/>
  <c r="G1697" i="57" a="1"/>
  <c r="G1697" i="57" s="1"/>
  <c r="F1697" i="57" a="1"/>
  <c r="F1697" i="57" s="1"/>
  <c r="G2499" i="57" a="1"/>
  <c r="G2499" i="57" s="1"/>
  <c r="F2499" i="57" a="1"/>
  <c r="F2499" i="57" s="1"/>
  <c r="G1718" i="57" a="1"/>
  <c r="G1718" i="57" s="1"/>
  <c r="F1718" i="57" a="1"/>
  <c r="F1718" i="57" s="1"/>
  <c r="G1977" i="57" a="1"/>
  <c r="G1977" i="57" s="1"/>
  <c r="F1977" i="57" a="1"/>
  <c r="F1977" i="57" s="1"/>
  <c r="G2235" i="57" a="1"/>
  <c r="G2235" i="57" s="1"/>
  <c r="F2235" i="57" a="1"/>
  <c r="F2235" i="57" s="1"/>
  <c r="G2002" i="57" a="1"/>
  <c r="G2002" i="57" s="1"/>
  <c r="F2002" i="57" a="1"/>
  <c r="F2002" i="57" s="1"/>
  <c r="G2314" i="57" a="1"/>
  <c r="G2314" i="57" s="1"/>
  <c r="F2314" i="57" a="1"/>
  <c r="F2314" i="57" s="1"/>
  <c r="G2159" i="57" a="1"/>
  <c r="G2159" i="57" s="1"/>
  <c r="F2159" i="57" a="1"/>
  <c r="F2159" i="57" s="1"/>
  <c r="G2006" i="57" a="1"/>
  <c r="G2006" i="57" s="1"/>
  <c r="F2006" i="57" a="1"/>
  <c r="F2006" i="57" s="1"/>
  <c r="G2318" i="57" a="1"/>
  <c r="G2318" i="57" s="1"/>
  <c r="F2318" i="57" a="1"/>
  <c r="F2318" i="57" s="1"/>
  <c r="G2452" i="57" a="1"/>
  <c r="G2452" i="57" s="1"/>
  <c r="F2452" i="57" a="1"/>
  <c r="F2452" i="57" s="1"/>
  <c r="G1620" i="57" a="1"/>
  <c r="G1620" i="57" s="1"/>
  <c r="F1620" i="57" a="1"/>
  <c r="F1620" i="57" s="1"/>
  <c r="G554" i="57" a="1"/>
  <c r="G554" i="57" s="1"/>
  <c r="F554" i="57" a="1"/>
  <c r="F554" i="57" s="1"/>
  <c r="G985" i="57" a="1"/>
  <c r="G985" i="57" s="1"/>
  <c r="F985" i="57" a="1"/>
  <c r="F985" i="57" s="1"/>
  <c r="G2241" i="57" a="1"/>
  <c r="G2241" i="57" s="1"/>
  <c r="F2241" i="57" a="1"/>
  <c r="F2241" i="57" s="1"/>
  <c r="G2014" i="57" a="1"/>
  <c r="G2014" i="57" s="1"/>
  <c r="F2014" i="57" a="1"/>
  <c r="F2014" i="57" s="1"/>
  <c r="G2326" i="57" a="1"/>
  <c r="G2326" i="57" s="1"/>
  <c r="F2326" i="57" a="1"/>
  <c r="F2326" i="57" s="1"/>
  <c r="G2165" i="57" a="1"/>
  <c r="G2165" i="57" s="1"/>
  <c r="F2165" i="57" a="1"/>
  <c r="F2165" i="57" s="1"/>
  <c r="G2018" i="57" a="1"/>
  <c r="G2018" i="57" s="1"/>
  <c r="F2018" i="57" a="1"/>
  <c r="F2018" i="57" s="1"/>
  <c r="G2324" i="57" a="1"/>
  <c r="G2324" i="57" s="1"/>
  <c r="F2324" i="57" a="1"/>
  <c r="F2324" i="57" s="1"/>
  <c r="G2458" i="57" a="1"/>
  <c r="G2458" i="57" s="1"/>
  <c r="F2458" i="57" a="1"/>
  <c r="F2458" i="57" s="1"/>
  <c r="G1626" i="57" a="1"/>
  <c r="G1626" i="57" s="1"/>
  <c r="F1626" i="57" a="1"/>
  <c r="F1626" i="57" s="1"/>
  <c r="G902" i="57" a="1"/>
  <c r="G902" i="57" s="1"/>
  <c r="F902" i="57" a="1"/>
  <c r="F902" i="57" s="1"/>
  <c r="G1087" i="57" a="1"/>
  <c r="G1087" i="57" s="1"/>
  <c r="F1087" i="57" a="1"/>
  <c r="F1087" i="57" s="1"/>
  <c r="G2295" i="57" a="1"/>
  <c r="G2295" i="57" s="1"/>
  <c r="F2295" i="57" a="1"/>
  <c r="F2295" i="57" s="1"/>
  <c r="G2074" i="57" a="1"/>
  <c r="G2074" i="57" s="1"/>
  <c r="F2074" i="57" a="1"/>
  <c r="F2074" i="57" s="1"/>
  <c r="G2386" i="57" a="1"/>
  <c r="G2386" i="57" s="1"/>
  <c r="F2386" i="57" a="1"/>
  <c r="F2386" i="57" s="1"/>
  <c r="G2225" i="57" a="1"/>
  <c r="G2225" i="57" s="1"/>
  <c r="F2225" i="57" a="1"/>
  <c r="F2225" i="57" s="1"/>
  <c r="G2072" i="57" a="1"/>
  <c r="G2072" i="57" s="1"/>
  <c r="F2072" i="57" a="1"/>
  <c r="F2072" i="57" s="1"/>
  <c r="G2402" i="57" a="1"/>
  <c r="G2402" i="57" s="1"/>
  <c r="F2402" i="57" a="1"/>
  <c r="F2402" i="57" s="1"/>
  <c r="G230" i="57" a="1"/>
  <c r="G230" i="57" s="1"/>
  <c r="F230" i="57" a="1"/>
  <c r="F230" i="57" s="1"/>
  <c r="G1704" i="57" a="1"/>
  <c r="G1704" i="57" s="1"/>
  <c r="F1704" i="57" a="1"/>
  <c r="F1704" i="57" s="1"/>
  <c r="G2010" i="57" a="1"/>
  <c r="G2010" i="57" s="1"/>
  <c r="F2010" i="57" a="1"/>
  <c r="F2010" i="57" s="1"/>
  <c r="G2085" i="57" a="1"/>
  <c r="G2085" i="57" s="1"/>
  <c r="F2085" i="57" a="1"/>
  <c r="F2085" i="57" s="1"/>
  <c r="G2343" i="57" a="1"/>
  <c r="G2343" i="57" s="1"/>
  <c r="F2343" i="57" a="1"/>
  <c r="F2343" i="57" s="1"/>
  <c r="G2134" i="57" a="1"/>
  <c r="G2134" i="57" s="1"/>
  <c r="F2134" i="57" a="1"/>
  <c r="F2134" i="57" s="1"/>
  <c r="G1973" i="57" a="1"/>
  <c r="G1973" i="57" s="1"/>
  <c r="F1973" i="57" a="1"/>
  <c r="F1973" i="57" s="1"/>
  <c r="G2285" i="57" a="1"/>
  <c r="G2285" i="57" s="1"/>
  <c r="F2285" i="57" a="1"/>
  <c r="F2285" i="57" s="1"/>
  <c r="G2138" i="57" a="1"/>
  <c r="G2138" i="57" s="1"/>
  <c r="F2138" i="57" a="1"/>
  <c r="F2138" i="57" s="1"/>
  <c r="F12" i="57" a="1"/>
  <c r="F12" i="57" s="1"/>
  <c r="G2471" i="57" a="1"/>
  <c r="G2471" i="57" s="1"/>
  <c r="F2471" i="57" a="1"/>
  <c r="F2471" i="57" s="1"/>
  <c r="G1782" i="57" a="1"/>
  <c r="G1782" i="57" s="1"/>
  <c r="F1782" i="57" a="1"/>
  <c r="F1782" i="57" s="1"/>
  <c r="G2310" i="57" a="1"/>
  <c r="G2310" i="57" s="1"/>
  <c r="F2310" i="57" a="1"/>
  <c r="F2310" i="57" s="1"/>
  <c r="G1511" i="57" a="1"/>
  <c r="G1511" i="57" s="1"/>
  <c r="F1511" i="57" a="1"/>
  <c r="F1511" i="57" s="1"/>
  <c r="G1769" i="57" a="1"/>
  <c r="G1769" i="57" s="1"/>
  <c r="F1769" i="57" a="1"/>
  <c r="F1769" i="57" s="1"/>
  <c r="G1526" i="57" a="1"/>
  <c r="G1526" i="57" s="1"/>
  <c r="F1526" i="57" a="1"/>
  <c r="F1526" i="57" s="1"/>
  <c r="G1790" i="57" a="1"/>
  <c r="G1790" i="57" s="1"/>
  <c r="F1790" i="57" a="1"/>
  <c r="F1790" i="57" s="1"/>
  <c r="G2049" i="57" a="1"/>
  <c r="G2049" i="57" s="1"/>
  <c r="F2049" i="57" a="1"/>
  <c r="F2049" i="57" s="1"/>
  <c r="G2307" i="57" a="1"/>
  <c r="G2307" i="57" s="1"/>
  <c r="F2307" i="57" a="1"/>
  <c r="F2307" i="57" s="1"/>
  <c r="G2092" i="57" a="1"/>
  <c r="G2092" i="57" s="1"/>
  <c r="F2092" i="57" a="1"/>
  <c r="F2092" i="57" s="1"/>
  <c r="G2398" i="57" a="1"/>
  <c r="G2398" i="57" s="1"/>
  <c r="F2398" i="57" a="1"/>
  <c r="F2398" i="57" s="1"/>
  <c r="G2243" i="57" a="1"/>
  <c r="G2243" i="57" s="1"/>
  <c r="F2243" i="57" a="1"/>
  <c r="F2243" i="57" s="1"/>
  <c r="G2096" i="57" a="1"/>
  <c r="G2096" i="57" s="1"/>
  <c r="F2096" i="57" a="1"/>
  <c r="F2096" i="57" s="1"/>
  <c r="G2432" i="57" a="1"/>
  <c r="G2432" i="57" s="1"/>
  <c r="F2432" i="57" a="1"/>
  <c r="F2432" i="57" s="1"/>
  <c r="G2423" i="57" a="1"/>
  <c r="G2423" i="57" s="1"/>
  <c r="F2423" i="57" a="1"/>
  <c r="F2423" i="57" s="1"/>
  <c r="G1734" i="57" a="1"/>
  <c r="G1734" i="57" s="1"/>
  <c r="F1734" i="57" a="1"/>
  <c r="F1734" i="57" s="1"/>
  <c r="G2094" i="57" a="1"/>
  <c r="G2094" i="57" s="1"/>
  <c r="F2094" i="57" a="1"/>
  <c r="F2094" i="57" s="1"/>
  <c r="G1948" i="57" a="1"/>
  <c r="G1948" i="57" s="1"/>
  <c r="F1948" i="57" a="1"/>
  <c r="F1948" i="57" s="1"/>
  <c r="G1691" i="57" a="1"/>
  <c r="G1691" i="57" s="1"/>
  <c r="F1691" i="57" a="1"/>
  <c r="F1691" i="57" s="1"/>
  <c r="G1949" i="57" a="1"/>
  <c r="G1949" i="57" s="1"/>
  <c r="F1949" i="57" a="1"/>
  <c r="F1949" i="57" s="1"/>
  <c r="G1706" i="57" a="1"/>
  <c r="G1706" i="57" s="1"/>
  <c r="F1706" i="57" a="1"/>
  <c r="F1706" i="57" s="1"/>
  <c r="G1971" i="57" a="1"/>
  <c r="G1971" i="57" s="1"/>
  <c r="F1971" i="57" a="1"/>
  <c r="F1971" i="57" s="1"/>
  <c r="G2229" i="57" a="1"/>
  <c r="G2229" i="57" s="1"/>
  <c r="F2229" i="57" a="1"/>
  <c r="F2229" i="57" s="1"/>
  <c r="G1996" i="57" a="1"/>
  <c r="G1996" i="57" s="1"/>
  <c r="F1996" i="57" a="1"/>
  <c r="F1996" i="57" s="1"/>
  <c r="G2308" i="57" a="1"/>
  <c r="G2308" i="57" s="1"/>
  <c r="F2308" i="57" a="1"/>
  <c r="F2308" i="57" s="1"/>
  <c r="G2141" i="57" a="1"/>
  <c r="G2141" i="57" s="1"/>
  <c r="F2141" i="57" a="1"/>
  <c r="F2141" i="57" s="1"/>
  <c r="G2000" i="57" a="1"/>
  <c r="G2000" i="57" s="1"/>
  <c r="F2000" i="57" a="1"/>
  <c r="F2000" i="57" s="1"/>
  <c r="G2312" i="57" a="1"/>
  <c r="G2312" i="57" s="1"/>
  <c r="F2312" i="57" a="1"/>
  <c r="F2312" i="57" s="1"/>
  <c r="G2446" i="57" a="1"/>
  <c r="G2446" i="57" s="1"/>
  <c r="F2446" i="57" a="1"/>
  <c r="F2446" i="57" s="1"/>
  <c r="G1608" i="57" a="1"/>
  <c r="G1608" i="57" s="1"/>
  <c r="F1608" i="57" a="1"/>
  <c r="F1608" i="57" s="1"/>
  <c r="G607" i="57" a="1"/>
  <c r="G607" i="57" s="1"/>
  <c r="F607" i="57" a="1"/>
  <c r="F607" i="57" s="1"/>
  <c r="G841" i="57" a="1"/>
  <c r="G841" i="57" s="1"/>
  <c r="F841" i="57" a="1"/>
  <c r="F841" i="57" s="1"/>
  <c r="G1611" i="57" a="1"/>
  <c r="G1611" i="57" s="1"/>
  <c r="F1611" i="57" a="1"/>
  <c r="F1611" i="57" s="1"/>
  <c r="G1827" i="57" a="1"/>
  <c r="G1827" i="57" s="1"/>
  <c r="F1827" i="57" a="1"/>
  <c r="F1827" i="57" s="1"/>
  <c r="G1540" i="57" a="1"/>
  <c r="G1540" i="57" s="1"/>
  <c r="F1540" i="57" a="1"/>
  <c r="F1540" i="57" s="1"/>
  <c r="G1756" i="57" a="1"/>
  <c r="G1756" i="57" s="1"/>
  <c r="F1756" i="57" a="1"/>
  <c r="F1756" i="57" s="1"/>
  <c r="G1457" i="57" a="1"/>
  <c r="G1457" i="57" s="1"/>
  <c r="F1457" i="57" a="1"/>
  <c r="F1457" i="57" s="1"/>
  <c r="G1673" i="57" a="1"/>
  <c r="G1673" i="57" s="1"/>
  <c r="F1673" i="57" a="1"/>
  <c r="F1673" i="57" s="1"/>
  <c r="G1889" i="57" a="1"/>
  <c r="G1889" i="57" s="1"/>
  <c r="F1889" i="57" a="1"/>
  <c r="F1889" i="57" s="1"/>
  <c r="G1604" i="57" a="1"/>
  <c r="G1604" i="57" s="1"/>
  <c r="F1604" i="57" a="1"/>
  <c r="F1604" i="57" s="1"/>
  <c r="G1820" i="57" a="1"/>
  <c r="G1820" i="57" s="1"/>
  <c r="F1820" i="57" a="1"/>
  <c r="F1820" i="57" s="1"/>
  <c r="G2037" i="57" a="1"/>
  <c r="G2037" i="57" s="1"/>
  <c r="F2037" i="57" a="1"/>
  <c r="F2037" i="57" s="1"/>
  <c r="G2253" i="57" a="1"/>
  <c r="G2253" i="57" s="1"/>
  <c r="F2253" i="57" a="1"/>
  <c r="F2253" i="57" s="1"/>
  <c r="G1978" i="57" a="1"/>
  <c r="G1978" i="57" s="1"/>
  <c r="F1978" i="57" a="1"/>
  <c r="F1978" i="57" s="1"/>
  <c r="G2236" i="57" a="1"/>
  <c r="G2236" i="57" s="1"/>
  <c r="F2236" i="57" a="1"/>
  <c r="F2236" i="57" s="1"/>
  <c r="G2021" i="57" a="1"/>
  <c r="G2021" i="57" s="1"/>
  <c r="F2021" i="57" a="1"/>
  <c r="F2021" i="57" s="1"/>
  <c r="G2279" i="57" a="1"/>
  <c r="G2279" i="57" s="1"/>
  <c r="F2279" i="57" a="1"/>
  <c r="F2279" i="57" s="1"/>
  <c r="G2078" i="57" a="1"/>
  <c r="G2078" i="57" s="1"/>
  <c r="F2078" i="57" a="1"/>
  <c r="F2078" i="57" s="1"/>
  <c r="G2342" i="57" a="1"/>
  <c r="G2342" i="57" s="1"/>
  <c r="F2342" i="57" a="1"/>
  <c r="F2342" i="57" s="1"/>
  <c r="G151" i="57" a="1"/>
  <c r="G151" i="57" s="1"/>
  <c r="F151" i="57" a="1"/>
  <c r="F151" i="57" s="1"/>
  <c r="G2459" i="57" a="1"/>
  <c r="G2459" i="57" s="1"/>
  <c r="F2459" i="57" a="1"/>
  <c r="F2459" i="57" s="1"/>
  <c r="G1638" i="57" a="1"/>
  <c r="G1638" i="57" s="1"/>
  <c r="F1638" i="57" a="1"/>
  <c r="F1638" i="57" s="1"/>
  <c r="G1896" i="57" a="1"/>
  <c r="G1896" i="57" s="1"/>
  <c r="F1896" i="57" a="1"/>
  <c r="F1896" i="57" s="1"/>
  <c r="G1669" i="57" a="1"/>
  <c r="G1669" i="57" s="1"/>
  <c r="F1669" i="57" a="1"/>
  <c r="F1669" i="57" s="1"/>
  <c r="G379" i="57" a="1"/>
  <c r="G379" i="57" s="1"/>
  <c r="F379" i="57" a="1"/>
  <c r="F379" i="57" s="1"/>
  <c r="G446" i="57" a="1"/>
  <c r="G446" i="57" s="1"/>
  <c r="F446" i="57" a="1"/>
  <c r="F446" i="57" s="1"/>
  <c r="G777" i="57" a="1"/>
  <c r="G777" i="57" s="1"/>
  <c r="F777" i="57" a="1"/>
  <c r="F777" i="57" s="1"/>
  <c r="G2166" i="57" a="1"/>
  <c r="G2166" i="57" s="1"/>
  <c r="F2166" i="57" a="1"/>
  <c r="F2166" i="57" s="1"/>
  <c r="G2430" i="57" a="1"/>
  <c r="G2430" i="57" s="1"/>
  <c r="F2430" i="57" a="1"/>
  <c r="F2430" i="57" s="1"/>
  <c r="G1915" i="57" a="1"/>
  <c r="G1915" i="57" s="1"/>
  <c r="F1915" i="57" a="1"/>
  <c r="F1915" i="57" s="1"/>
  <c r="G2179" i="57" a="1"/>
  <c r="G2179" i="57" s="1"/>
  <c r="F2179" i="57" a="1"/>
  <c r="F2179" i="57" s="1"/>
  <c r="G925" i="57" a="1"/>
  <c r="G925" i="57" s="1"/>
  <c r="F925" i="57" a="1"/>
  <c r="F925" i="57" s="1"/>
  <c r="G1818" i="57" a="1"/>
  <c r="G1818" i="57" s="1"/>
  <c r="F1818" i="57" a="1"/>
  <c r="F1818" i="57" s="1"/>
  <c r="G1585" i="57" a="1"/>
  <c r="G1585" i="57" s="1"/>
  <c r="F1585" i="57" a="1"/>
  <c r="F1585" i="57" s="1"/>
  <c r="G301" i="57" a="1"/>
  <c r="G301" i="57" s="1"/>
  <c r="F301" i="57" a="1"/>
  <c r="F301" i="57" s="1"/>
  <c r="G559" i="57" a="1"/>
  <c r="G559" i="57" s="1"/>
  <c r="F559" i="57" a="1"/>
  <c r="F559" i="57" s="1"/>
  <c r="G1262" i="57" a="1"/>
  <c r="G1262" i="57" s="1"/>
  <c r="F1262" i="57" a="1"/>
  <c r="F1262" i="57" s="1"/>
  <c r="G2088" i="57" a="1"/>
  <c r="G2088" i="57" s="1"/>
  <c r="F2088" i="57" a="1"/>
  <c r="F2088" i="57" s="1"/>
  <c r="G2346" i="57" a="1"/>
  <c r="G2346" i="57" s="1"/>
  <c r="F2346" i="57" a="1"/>
  <c r="F2346" i="57" s="1"/>
  <c r="G1837" i="57" a="1"/>
  <c r="G1837" i="57" s="1"/>
  <c r="F1837" i="57" a="1"/>
  <c r="F1837" i="57" s="1"/>
  <c r="G2095" i="57" a="1"/>
  <c r="G2095" i="57" s="1"/>
  <c r="F2095" i="57" a="1"/>
  <c r="F2095" i="57" s="1"/>
  <c r="G1224" i="57" a="1"/>
  <c r="G1224" i="57" s="1"/>
  <c r="F1224" i="57" a="1"/>
  <c r="F1224" i="57" s="1"/>
  <c r="G1429" i="57" a="1"/>
  <c r="G1429" i="57" s="1"/>
  <c r="F1429" i="57" a="1"/>
  <c r="F1429" i="57" s="1"/>
  <c r="G1471" i="57" a="1"/>
  <c r="G1471" i="57" s="1"/>
  <c r="F1471" i="57" a="1"/>
  <c r="F1471" i="57" s="1"/>
  <c r="G2480" i="57" a="1"/>
  <c r="G2480" i="57" s="1"/>
  <c r="F2480" i="57" a="1"/>
  <c r="F2480" i="57" s="1"/>
  <c r="G445" i="57" a="1"/>
  <c r="G445" i="57" s="1"/>
  <c r="F445" i="57" a="1"/>
  <c r="F445" i="57" s="1"/>
  <c r="G920" i="57" a="1"/>
  <c r="G920" i="57" s="1"/>
  <c r="F920" i="57" a="1"/>
  <c r="F920" i="57" s="1"/>
  <c r="G1974" i="57" a="1"/>
  <c r="G1974" i="57" s="1"/>
  <c r="F1974" i="57" a="1"/>
  <c r="F1974" i="57" s="1"/>
  <c r="G2232" i="57" a="1"/>
  <c r="G2232" i="57" s="1"/>
  <c r="F2232" i="57" a="1"/>
  <c r="F2232" i="57" s="1"/>
  <c r="G1717" i="57" a="1"/>
  <c r="G1717" i="57" s="1"/>
  <c r="F1717" i="57" a="1"/>
  <c r="F1717" i="57" s="1"/>
  <c r="G1981" i="57" a="1"/>
  <c r="G1981" i="57" s="1"/>
  <c r="F1981" i="57" a="1"/>
  <c r="F1981" i="57" s="1"/>
  <c r="G474" i="57" a="1"/>
  <c r="G474" i="57" s="1"/>
  <c r="F474" i="57" a="1"/>
  <c r="F474" i="57" s="1"/>
  <c r="G1123" i="57" a="1"/>
  <c r="G1123" i="57" s="1"/>
  <c r="F1123" i="57" a="1"/>
  <c r="F1123" i="57" s="1"/>
  <c r="G1842" i="57" a="1"/>
  <c r="G1842" i="57" s="1"/>
  <c r="F1842" i="57" a="1"/>
  <c r="F1842" i="57" s="1"/>
  <c r="G1609" i="57" a="1"/>
  <c r="G1609" i="57" s="1"/>
  <c r="F1609" i="57" a="1"/>
  <c r="F1609" i="57" s="1"/>
  <c r="G319" i="57" a="1"/>
  <c r="G319" i="57" s="1"/>
  <c r="F319" i="57" a="1"/>
  <c r="F319" i="57" s="1"/>
  <c r="G577" i="57" a="1"/>
  <c r="G577" i="57" s="1"/>
  <c r="F577" i="57" a="1"/>
  <c r="F577" i="57" s="1"/>
  <c r="G1334" i="57" a="1"/>
  <c r="G1334" i="57" s="1"/>
  <c r="F1334" i="57" a="1"/>
  <c r="F1334" i="57" s="1"/>
  <c r="G2112" i="57" a="1"/>
  <c r="G2112" i="57" s="1"/>
  <c r="F2112" i="57" a="1"/>
  <c r="F2112" i="57" s="1"/>
  <c r="G2370" i="57" a="1"/>
  <c r="G2370" i="57" s="1"/>
  <c r="F2370" i="57" a="1"/>
  <c r="F2370" i="57" s="1"/>
  <c r="G1855" i="57" a="1"/>
  <c r="G1855" i="57" s="1"/>
  <c r="F1855" i="57" a="1"/>
  <c r="F1855" i="57" s="1"/>
  <c r="G2113" i="57" a="1"/>
  <c r="G2113" i="57" s="1"/>
  <c r="F2113" i="57" a="1"/>
  <c r="F2113" i="57" s="1"/>
  <c r="G1332" i="57" a="1"/>
  <c r="G1332" i="57" s="1"/>
  <c r="F1332" i="57" a="1"/>
  <c r="F1332" i="57" s="1"/>
  <c r="G130" i="57" a="1"/>
  <c r="G130" i="57" s="1"/>
  <c r="F130" i="57" a="1"/>
  <c r="F130" i="57" s="1"/>
  <c r="G55" i="57" a="1"/>
  <c r="G55" i="57" s="1"/>
  <c r="F55" i="57" a="1"/>
  <c r="F55" i="57" s="1"/>
  <c r="G122" i="57" a="1"/>
  <c r="G122" i="57" s="1"/>
  <c r="F122" i="57" a="1"/>
  <c r="F122" i="57" s="1"/>
  <c r="G1548" i="57" a="1"/>
  <c r="G1548" i="57" s="1"/>
  <c r="F1548" i="57" a="1"/>
  <c r="F1548" i="57" s="1"/>
  <c r="G1806" i="57" a="1"/>
  <c r="G1806" i="57" s="1"/>
  <c r="F1806" i="57" a="1"/>
  <c r="F1806" i="57" s="1"/>
  <c r="G1573" i="57" a="1"/>
  <c r="G1573" i="57" s="1"/>
  <c r="F1573" i="57" a="1"/>
  <c r="F1573" i="57" s="1"/>
  <c r="G283" i="57" a="1"/>
  <c r="G283" i="57" s="1"/>
  <c r="F283" i="57" a="1"/>
  <c r="F283" i="57" s="1"/>
  <c r="G541" i="57" a="1"/>
  <c r="G541" i="57" s="1"/>
  <c r="F541" i="57" a="1"/>
  <c r="F541" i="57" s="1"/>
  <c r="G1226" i="57" a="1"/>
  <c r="G1226" i="57" s="1"/>
  <c r="F1226" i="57" a="1"/>
  <c r="F1226" i="57" s="1"/>
  <c r="G2076" i="57" a="1"/>
  <c r="G2076" i="57" s="1"/>
  <c r="F2076" i="57" a="1"/>
  <c r="F2076" i="57" s="1"/>
  <c r="G2334" i="57" a="1"/>
  <c r="G2334" i="57" s="1"/>
  <c r="F2334" i="57" a="1"/>
  <c r="F2334" i="57" s="1"/>
  <c r="G1819" i="57" a="1"/>
  <c r="G1819" i="57" s="1"/>
  <c r="F1819" i="57" a="1"/>
  <c r="F1819" i="57" s="1"/>
  <c r="G2077" i="57" a="1"/>
  <c r="G2077" i="57" s="1"/>
  <c r="F2077" i="57" a="1"/>
  <c r="F2077" i="57" s="1"/>
  <c r="G1098" i="57" a="1"/>
  <c r="G1098" i="57" s="1"/>
  <c r="F1098" i="57" a="1"/>
  <c r="F1098" i="57" s="1"/>
  <c r="G1381" i="57" a="1"/>
  <c r="G1381" i="57" s="1"/>
  <c r="F1381" i="57" a="1"/>
  <c r="F1381" i="57" s="1"/>
  <c r="G2008" i="57" a="1"/>
  <c r="G2008" i="57" s="1"/>
  <c r="F2008" i="57" a="1"/>
  <c r="F2008" i="57" s="1"/>
  <c r="G2224" i="57" a="1"/>
  <c r="G2224" i="57" s="1"/>
  <c r="F2224" i="57" a="1"/>
  <c r="F2224" i="57" s="1"/>
  <c r="G1967" i="57" a="1"/>
  <c r="G1967" i="57" s="1"/>
  <c r="F1967" i="57" a="1"/>
  <c r="F1967" i="57" s="1"/>
  <c r="G2183" i="57" a="1"/>
  <c r="G2183" i="57" s="1"/>
  <c r="F2183" i="57" a="1"/>
  <c r="F2183" i="57" s="1"/>
  <c r="G2399" i="57" a="1"/>
  <c r="G2399" i="57" s="1"/>
  <c r="F2399" i="57" a="1"/>
  <c r="F2399" i="57" s="1"/>
  <c r="G2156" i="57" a="1"/>
  <c r="G2156" i="57" s="1"/>
  <c r="F2156" i="57" a="1"/>
  <c r="F2156" i="57" s="1"/>
  <c r="G2372" i="57" a="1"/>
  <c r="G2372" i="57" s="1"/>
  <c r="F2372" i="57" a="1"/>
  <c r="F2372" i="57" s="1"/>
  <c r="G139" i="57" a="1"/>
  <c r="G139" i="57" s="1"/>
  <c r="F139" i="57" a="1"/>
  <c r="F139" i="57" s="1"/>
  <c r="G266" i="57" a="1"/>
  <c r="G266" i="57" s="1"/>
  <c r="F266" i="57" a="1"/>
  <c r="F266" i="57" s="1"/>
  <c r="G1542" i="57" a="1"/>
  <c r="G1542" i="57" s="1"/>
  <c r="F1542" i="57" a="1"/>
  <c r="F1542" i="57" s="1"/>
  <c r="G1758" i="57" a="1"/>
  <c r="G1758" i="57" s="1"/>
  <c r="F1758" i="57" a="1"/>
  <c r="F1758" i="57" s="1"/>
  <c r="G1483" i="57" a="1"/>
  <c r="G1483" i="57" s="1"/>
  <c r="F1483" i="57" a="1"/>
  <c r="F1483" i="57" s="1"/>
  <c r="G1699" i="57" a="1"/>
  <c r="G1699" i="57" s="1"/>
  <c r="F1699" i="57" a="1"/>
  <c r="F1699" i="57" s="1"/>
  <c r="G367" i="57" a="1"/>
  <c r="G367" i="57" s="1"/>
  <c r="F367" i="57" a="1"/>
  <c r="F367" i="57" s="1"/>
  <c r="G583" i="57" a="1"/>
  <c r="G583" i="57" s="1"/>
  <c r="F583" i="57" a="1"/>
  <c r="F583" i="57" s="1"/>
  <c r="G1208" i="57" a="1"/>
  <c r="G1208" i="57" s="1"/>
  <c r="F1208" i="57" a="1"/>
  <c r="F1208" i="57" s="1"/>
  <c r="G2028" i="57" a="1"/>
  <c r="G2028" i="57" s="1"/>
  <c r="F2028" i="57" a="1"/>
  <c r="F2028" i="57" s="1"/>
  <c r="G2244" i="57" a="1"/>
  <c r="G2244" i="57" s="1"/>
  <c r="F2244" i="57" a="1"/>
  <c r="F2244" i="57" s="1"/>
  <c r="G2460" i="57" a="1"/>
  <c r="G2460" i="57" s="1"/>
  <c r="F2460" i="57" a="1"/>
  <c r="F2460" i="57" s="1"/>
  <c r="G1903" i="57" a="1"/>
  <c r="G1903" i="57" s="1"/>
  <c r="F1903" i="57" a="1"/>
  <c r="F1903" i="57" s="1"/>
  <c r="G2119" i="57" a="1"/>
  <c r="G2119" i="57" s="1"/>
  <c r="F2119" i="57" a="1"/>
  <c r="F2119" i="57" s="1"/>
  <c r="G798" i="57" a="1"/>
  <c r="G798" i="57" s="1"/>
  <c r="F798" i="57" a="1"/>
  <c r="F798" i="57" s="1"/>
  <c r="G1039" i="57" a="1"/>
  <c r="G1039" i="57" s="1"/>
  <c r="F1039" i="57" a="1"/>
  <c r="F1039" i="57" s="1"/>
  <c r="G1348" i="57" a="1"/>
  <c r="G1348" i="57" s="1"/>
  <c r="F1348" i="57" a="1"/>
  <c r="F1348" i="57" s="1"/>
  <c r="G556" i="57" a="1"/>
  <c r="G556" i="57" s="1"/>
  <c r="F556" i="57" a="1"/>
  <c r="F556" i="57" s="1"/>
  <c r="G2401" i="57" a="1"/>
  <c r="G2401" i="57" s="1"/>
  <c r="F2401" i="57" a="1"/>
  <c r="F2401" i="57" s="1"/>
  <c r="G763" i="57" a="1"/>
  <c r="G763" i="57" s="1"/>
  <c r="F763" i="57" a="1"/>
  <c r="F763" i="57" s="1"/>
  <c r="G1105" i="57" a="1"/>
  <c r="G1105" i="57" s="1"/>
  <c r="F1105" i="57" a="1"/>
  <c r="F1105" i="57" s="1"/>
  <c r="G106" i="57" a="1"/>
  <c r="G106" i="57" s="1"/>
  <c r="F106" i="57" a="1"/>
  <c r="F106" i="57" s="1"/>
  <c r="G2227" i="57" a="1"/>
  <c r="G2227" i="57" s="1"/>
  <c r="F2227" i="57" a="1"/>
  <c r="F2227" i="57" s="1"/>
  <c r="G2443" i="57" a="1"/>
  <c r="G2443" i="57" s="1"/>
  <c r="F2443" i="57" a="1"/>
  <c r="F2443" i="57" s="1"/>
  <c r="G811" i="57" a="1"/>
  <c r="G811" i="57" s="1"/>
  <c r="F811" i="57" a="1"/>
  <c r="F811" i="57" s="1"/>
  <c r="G1189" i="57" a="1"/>
  <c r="G1189" i="57" s="1"/>
  <c r="F1189" i="57" a="1"/>
  <c r="F1189" i="57" s="1"/>
  <c r="G2377" i="57" a="1"/>
  <c r="G2377" i="57" s="1"/>
  <c r="F2377" i="57" a="1"/>
  <c r="F2377" i="57" s="1"/>
  <c r="G739" i="57" a="1"/>
  <c r="G739" i="57" s="1"/>
  <c r="F739" i="57" a="1"/>
  <c r="F739" i="57" s="1"/>
  <c r="G1057" i="57" a="1"/>
  <c r="G1057" i="57" s="1"/>
  <c r="F1057" i="57" a="1"/>
  <c r="F1057" i="57" s="1"/>
  <c r="G1442" i="57" a="1"/>
  <c r="G1442" i="57" s="1"/>
  <c r="F1442" i="57" a="1"/>
  <c r="F1442" i="57" s="1"/>
  <c r="G352" i="57" a="1"/>
  <c r="G352" i="57" s="1"/>
  <c r="F352" i="57" a="1"/>
  <c r="F352" i="57" s="1"/>
  <c r="G2383" i="57" a="1"/>
  <c r="G2383" i="57" s="1"/>
  <c r="F2383" i="57" a="1"/>
  <c r="F2383" i="57" s="1"/>
  <c r="G745" i="57" a="1"/>
  <c r="G745" i="57" s="1"/>
  <c r="F745" i="57" a="1"/>
  <c r="F745" i="57" s="1"/>
  <c r="G1069" i="57" a="1"/>
  <c r="G1069" i="57" s="1"/>
  <c r="F1069" i="57" a="1"/>
  <c r="F1069" i="57" s="1"/>
  <c r="G1132" i="57" a="1"/>
  <c r="G1132" i="57" s="1"/>
  <c r="F1132" i="57" a="1"/>
  <c r="F1132" i="57" s="1"/>
  <c r="G412" i="57" a="1"/>
  <c r="G412" i="57" s="1"/>
  <c r="F412" i="57" a="1"/>
  <c r="F412" i="57" s="1"/>
  <c r="G2389" i="57" a="1"/>
  <c r="G2389" i="57" s="1"/>
  <c r="F2389" i="57" a="1"/>
  <c r="F2389" i="57" s="1"/>
  <c r="G751" i="57" a="1"/>
  <c r="G751" i="57" s="1"/>
  <c r="F751" i="57" a="1"/>
  <c r="F751" i="57" s="1"/>
  <c r="G1081" i="57" a="1"/>
  <c r="G1081" i="57" s="1"/>
  <c r="F1081" i="57" a="1"/>
  <c r="F1081" i="57" s="1"/>
  <c r="G2149" i="57" a="1"/>
  <c r="G2149" i="57" s="1"/>
  <c r="F2149" i="57" a="1"/>
  <c r="F2149" i="57" s="1"/>
  <c r="G978" i="57" a="1"/>
  <c r="G978" i="57" s="1"/>
  <c r="F978" i="57" a="1"/>
  <c r="F978" i="57" s="1"/>
  <c r="G1099" i="57" a="1"/>
  <c r="G1099" i="57" s="1"/>
  <c r="F1099" i="57" a="1"/>
  <c r="F1099" i="57" s="1"/>
  <c r="G82" i="57" a="1"/>
  <c r="G82" i="57" s="1"/>
  <c r="F82" i="57" a="1"/>
  <c r="F82" i="57" s="1"/>
  <c r="G1096" i="57" a="1"/>
  <c r="G1096" i="57" s="1"/>
  <c r="F1096" i="57" a="1"/>
  <c r="F1096" i="57" s="1"/>
  <c r="G2431" i="57" a="1"/>
  <c r="G2431" i="57" s="1"/>
  <c r="F2431" i="57" a="1"/>
  <c r="F2431" i="57" s="1"/>
  <c r="G793" i="57" a="1"/>
  <c r="G793" i="57" s="1"/>
  <c r="F793" i="57" a="1"/>
  <c r="F793" i="57" s="1"/>
  <c r="G1165" i="57" a="1"/>
  <c r="G1165" i="57" s="1"/>
  <c r="F1165" i="57" a="1"/>
  <c r="F1165" i="57" s="1"/>
  <c r="G37" i="57" a="1"/>
  <c r="G37" i="57" s="1"/>
  <c r="F37" i="57" a="1"/>
  <c r="F37" i="57" s="1"/>
  <c r="G74" i="57" a="1"/>
  <c r="G74" i="57" s="1"/>
  <c r="F74" i="57" a="1"/>
  <c r="F74" i="57" s="1"/>
  <c r="G392" i="57" a="1"/>
  <c r="G392" i="57" s="1"/>
  <c r="F392" i="57" a="1"/>
  <c r="F392" i="57" s="1"/>
  <c r="G117" i="57" a="1"/>
  <c r="G117" i="57" s="1"/>
  <c r="F117" i="57" a="1"/>
  <c r="F117" i="57" s="1"/>
  <c r="G578" i="57" a="1"/>
  <c r="G578" i="57" s="1"/>
  <c r="F578" i="57" a="1"/>
  <c r="F578" i="57" s="1"/>
  <c r="G321" i="57" a="1"/>
  <c r="G321" i="57" s="1"/>
  <c r="F321" i="57" a="1"/>
  <c r="F321" i="57" s="1"/>
  <c r="G1448" i="57" a="1"/>
  <c r="G1448" i="57" s="1"/>
  <c r="F1448" i="57" a="1"/>
  <c r="F1448" i="57" s="1"/>
  <c r="G466" i="57" a="1"/>
  <c r="G466" i="57" s="1"/>
  <c r="F466" i="57" a="1"/>
  <c r="F466" i="57" s="1"/>
  <c r="G227" i="57" a="1"/>
  <c r="G227" i="57" s="1"/>
  <c r="F227" i="57" a="1"/>
  <c r="F227" i="57" s="1"/>
  <c r="G551" i="57" a="1"/>
  <c r="G551" i="57" s="1"/>
  <c r="F551" i="57" a="1"/>
  <c r="F551" i="57" s="1"/>
  <c r="G2505" i="57" a="1"/>
  <c r="G2505" i="57" s="1"/>
  <c r="F2505" i="57" a="1"/>
  <c r="F2505" i="57" s="1"/>
  <c r="F25" i="57" a="1"/>
  <c r="F25" i="57" s="1"/>
  <c r="G80" i="57" a="1"/>
  <c r="G80" i="57" s="1"/>
  <c r="F80" i="57" a="1"/>
  <c r="F80" i="57" s="1"/>
  <c r="G224" i="57" a="1"/>
  <c r="G224" i="57" s="1"/>
  <c r="F224" i="57" a="1"/>
  <c r="F224" i="57" s="1"/>
  <c r="G362" i="57" a="1"/>
  <c r="G362" i="57" s="1"/>
  <c r="F362" i="57" a="1"/>
  <c r="F362" i="57" s="1"/>
  <c r="G482" i="57" a="1"/>
  <c r="G482" i="57" s="1"/>
  <c r="F482" i="57" a="1"/>
  <c r="F482" i="57" s="1"/>
  <c r="G231" i="57" a="1"/>
  <c r="G231" i="57" s="1"/>
  <c r="F231" i="57" a="1"/>
  <c r="F231" i="57" s="1"/>
  <c r="G567" i="57" a="1"/>
  <c r="G567" i="57" s="1"/>
  <c r="F567" i="57" a="1"/>
  <c r="F567" i="57" s="1"/>
  <c r="G376" i="57" a="1"/>
  <c r="G376" i="57" s="1"/>
  <c r="F376" i="57" a="1"/>
  <c r="F376" i="57" s="1"/>
  <c r="G143" i="57" a="1"/>
  <c r="G143" i="57" s="1"/>
  <c r="F143" i="57" a="1"/>
  <c r="F143" i="57" s="1"/>
  <c r="G467" i="57" a="1"/>
  <c r="G467" i="57" s="1"/>
  <c r="F467" i="57" a="1"/>
  <c r="F467" i="57" s="1"/>
  <c r="G791" i="57" a="1"/>
  <c r="G791" i="57" s="1"/>
  <c r="F791" i="57" a="1"/>
  <c r="F791" i="57" s="1"/>
  <c r="G350" i="57" a="1"/>
  <c r="G350" i="57" s="1"/>
  <c r="F350" i="57" a="1"/>
  <c r="F350" i="57" s="1"/>
  <c r="G171" i="57" a="1"/>
  <c r="G171" i="57" s="1"/>
  <c r="F171" i="57" a="1"/>
  <c r="F171" i="57" s="1"/>
  <c r="G507" i="57" a="1"/>
  <c r="G507" i="57" s="1"/>
  <c r="F507" i="57" a="1"/>
  <c r="F507" i="57" s="1"/>
  <c r="G298" i="57" a="1"/>
  <c r="G298" i="57" s="1"/>
  <c r="F298" i="57" a="1"/>
  <c r="F298" i="57" s="1"/>
  <c r="G83" i="57" a="1"/>
  <c r="G83" i="57" s="1"/>
  <c r="F83" i="57" a="1"/>
  <c r="F83" i="57" s="1"/>
  <c r="G407" i="57" a="1"/>
  <c r="G407" i="57" s="1"/>
  <c r="F407" i="57" a="1"/>
  <c r="F407" i="57" s="1"/>
  <c r="G731" i="57" a="1"/>
  <c r="G731" i="57" s="1"/>
  <c r="F731" i="57" a="1"/>
  <c r="F731" i="57" s="1"/>
  <c r="G168" i="57" a="1"/>
  <c r="G168" i="57" s="1"/>
  <c r="F168" i="57" a="1"/>
  <c r="F168" i="57" s="1"/>
  <c r="G386" i="57" a="1"/>
  <c r="G386" i="57" s="1"/>
  <c r="F386" i="57" a="1"/>
  <c r="F386" i="57" s="1"/>
  <c r="G566" i="57" a="1"/>
  <c r="G566" i="57" s="1"/>
  <c r="F566" i="57" a="1"/>
  <c r="F566" i="57" s="1"/>
  <c r="G309" i="57" a="1"/>
  <c r="G309" i="57" s="1"/>
  <c r="F309" i="57" a="1"/>
  <c r="F309" i="57" s="1"/>
  <c r="G2485" i="57" a="1"/>
  <c r="G2485" i="57" s="1"/>
  <c r="F2485" i="57" a="1"/>
  <c r="F2485" i="57" s="1"/>
  <c r="G454" i="57" a="1"/>
  <c r="G454" i="57" s="1"/>
  <c r="F454" i="57" a="1"/>
  <c r="F454" i="57" s="1"/>
  <c r="G215" i="57" a="1"/>
  <c r="G215" i="57" s="1"/>
  <c r="F215" i="57" a="1"/>
  <c r="F215" i="57" s="1"/>
  <c r="G539" i="57" a="1"/>
  <c r="G539" i="57" s="1"/>
  <c r="F539" i="57" a="1"/>
  <c r="F539" i="57" s="1"/>
  <c r="G863" i="57" a="1"/>
  <c r="G863" i="57" s="1"/>
  <c r="F863" i="57" a="1"/>
  <c r="F863" i="57" s="1"/>
  <c r="G110" i="57" a="1"/>
  <c r="G110" i="57" s="1"/>
  <c r="F110" i="57" a="1"/>
  <c r="F110" i="57" s="1"/>
  <c r="G135" i="57" a="1"/>
  <c r="G135" i="57" s="1"/>
  <c r="F135" i="57" a="1"/>
  <c r="F135" i="57" s="1"/>
  <c r="G471" i="57" a="1"/>
  <c r="G471" i="57" s="1"/>
  <c r="F471" i="57" a="1"/>
  <c r="F471" i="57" s="1"/>
  <c r="G262" i="57" a="1"/>
  <c r="G262" i="57" s="1"/>
  <c r="F262" i="57" a="1"/>
  <c r="F262" i="57" s="1"/>
  <c r="G47" i="57" a="1"/>
  <c r="G47" i="57" s="1"/>
  <c r="F47" i="57" a="1"/>
  <c r="F47" i="57" s="1"/>
  <c r="G371" i="57" a="1"/>
  <c r="G371" i="57" s="1"/>
  <c r="F371" i="57" a="1"/>
  <c r="F371" i="57" s="1"/>
  <c r="G695" i="57" a="1"/>
  <c r="G695" i="57" s="1"/>
  <c r="F695" i="57" a="1"/>
  <c r="F695" i="57" s="1"/>
  <c r="G234" i="57" a="1"/>
  <c r="G234" i="57" s="1"/>
  <c r="F234" i="57" a="1"/>
  <c r="F234" i="57" s="1"/>
  <c r="G194" i="57" a="1"/>
  <c r="G194" i="57" s="1"/>
  <c r="F194" i="57" a="1"/>
  <c r="F194" i="57" s="1"/>
  <c r="G159" i="57" a="1"/>
  <c r="G159" i="57" s="1"/>
  <c r="F159" i="57" a="1"/>
  <c r="F159" i="57" s="1"/>
  <c r="G244" i="57" a="1"/>
  <c r="G244" i="57" s="1"/>
  <c r="F244" i="57" a="1"/>
  <c r="F244" i="57" s="1"/>
  <c r="G29" i="57" a="1"/>
  <c r="G29" i="57" s="1"/>
  <c r="F29" i="57" a="1"/>
  <c r="F29" i="57" s="1"/>
  <c r="G353" i="57" a="1"/>
  <c r="G353" i="57" s="1"/>
  <c r="F353" i="57" a="1"/>
  <c r="F353" i="57" s="1"/>
  <c r="G677" i="57" a="1"/>
  <c r="G677" i="57" s="1"/>
  <c r="F677" i="57" a="1"/>
  <c r="F677" i="57" s="1"/>
  <c r="G132" i="57" a="1"/>
  <c r="G132" i="57" s="1"/>
  <c r="F132" i="57" a="1"/>
  <c r="F132" i="57" s="1"/>
  <c r="G2500" i="57" a="1"/>
  <c r="G2500" i="57" s="1"/>
  <c r="F2500" i="57" a="1"/>
  <c r="F2500" i="57" s="1"/>
  <c r="G453" i="57" a="1"/>
  <c r="G453" i="57" s="1"/>
  <c r="F453" i="57" a="1"/>
  <c r="F453" i="57" s="1"/>
  <c r="G129" i="57" a="1"/>
  <c r="G129" i="57" s="1"/>
  <c r="F129" i="57" a="1"/>
  <c r="F129" i="57" s="1"/>
  <c r="G375" i="57" a="1"/>
  <c r="G375" i="57" s="1"/>
  <c r="F375" i="57" a="1"/>
  <c r="F375" i="57" s="1"/>
  <c r="G609" i="57" a="1"/>
  <c r="G609" i="57" s="1"/>
  <c r="F609" i="57" a="1"/>
  <c r="F609" i="57" s="1"/>
  <c r="G310" i="57" a="1"/>
  <c r="G310" i="57" s="1"/>
  <c r="F310" i="57" a="1"/>
  <c r="F310" i="57" s="1"/>
  <c r="G538" i="57" a="1"/>
  <c r="G538" i="57" s="1"/>
  <c r="F538" i="57" a="1"/>
  <c r="F538" i="57" s="1"/>
  <c r="G59" i="57" a="1"/>
  <c r="G59" i="57" s="1"/>
  <c r="F59" i="57" a="1"/>
  <c r="F59" i="57" s="1"/>
  <c r="G185" i="57" a="1"/>
  <c r="G185" i="57" s="1"/>
  <c r="F185" i="57" a="1"/>
  <c r="F185" i="57" s="1"/>
  <c r="G293" i="57" a="1"/>
  <c r="G293" i="57" s="1"/>
  <c r="F293" i="57" a="1"/>
  <c r="F293" i="57" s="1"/>
  <c r="G401" i="57" a="1"/>
  <c r="G401" i="57" s="1"/>
  <c r="F401" i="57" a="1"/>
  <c r="F401" i="57" s="1"/>
  <c r="G509" i="57" a="1"/>
  <c r="G509" i="57" s="1"/>
  <c r="F509" i="57" a="1"/>
  <c r="F509" i="57" s="1"/>
  <c r="G617" i="57" a="1"/>
  <c r="G617" i="57" s="1"/>
  <c r="F617" i="57" a="1"/>
  <c r="F617" i="57" s="1"/>
  <c r="G725" i="57" a="1"/>
  <c r="G725" i="57" s="1"/>
  <c r="F725" i="57" a="1"/>
  <c r="F725" i="57" s="1"/>
  <c r="G833" i="57" a="1"/>
  <c r="G833" i="57" s="1"/>
  <c r="F833" i="57" a="1"/>
  <c r="F833" i="57" s="1"/>
  <c r="G60" i="57" a="1"/>
  <c r="G60" i="57" s="1"/>
  <c r="F60" i="57" a="1"/>
  <c r="F60" i="57" s="1"/>
  <c r="G192" i="57" a="1"/>
  <c r="G192" i="57" s="1"/>
  <c r="F192" i="57" a="1"/>
  <c r="F192" i="57" s="1"/>
  <c r="G324" i="57" a="1"/>
  <c r="G324" i="57" s="1"/>
  <c r="F324" i="57" a="1"/>
  <c r="F324" i="57" s="1"/>
  <c r="G480" i="57" a="1"/>
  <c r="G480" i="57" s="1"/>
  <c r="F480" i="57" a="1"/>
  <c r="F480" i="57" s="1"/>
  <c r="G606" i="57" a="1"/>
  <c r="G606" i="57" s="1"/>
  <c r="F606" i="57" a="1"/>
  <c r="F606" i="57" s="1"/>
  <c r="G935" i="57" a="1"/>
  <c r="G935" i="57" s="1"/>
  <c r="F935" i="57" a="1"/>
  <c r="F935" i="57" s="1"/>
  <c r="G1043" i="57" a="1"/>
  <c r="G1043" i="57" s="1"/>
  <c r="F1043" i="57" a="1"/>
  <c r="F1043" i="57" s="1"/>
  <c r="G1151" i="57" a="1"/>
  <c r="G1151" i="57" s="1"/>
  <c r="F1151" i="57" a="1"/>
  <c r="F1151" i="57" s="1"/>
  <c r="G1259" i="57" a="1"/>
  <c r="G1259" i="57" s="1"/>
  <c r="F1259" i="57" a="1"/>
  <c r="F1259" i="57" s="1"/>
  <c r="G1397" i="57" a="1"/>
  <c r="G1397" i="57" s="1"/>
  <c r="F1397" i="57" a="1"/>
  <c r="F1397" i="57" s="1"/>
  <c r="G774" i="57" a="1"/>
  <c r="G774" i="57" s="1"/>
  <c r="F774" i="57" a="1"/>
  <c r="F774" i="57" s="1"/>
  <c r="G918" i="57" a="1"/>
  <c r="G918" i="57" s="1"/>
  <c r="F918" i="57" a="1"/>
  <c r="F918" i="57" s="1"/>
  <c r="G1044" i="57" a="1"/>
  <c r="G1044" i="57" s="1"/>
  <c r="F1044" i="57" a="1"/>
  <c r="F1044" i="57" s="1"/>
  <c r="G1170" i="57" a="1"/>
  <c r="G1170" i="57" s="1"/>
  <c r="F1170" i="57" a="1"/>
  <c r="F1170" i="57" s="1"/>
  <c r="G1296" i="57" a="1"/>
  <c r="G1296" i="57" s="1"/>
  <c r="F1296" i="57" a="1"/>
  <c r="F1296" i="57" s="1"/>
  <c r="G620" i="57" a="1"/>
  <c r="G620" i="57" s="1"/>
  <c r="F620" i="57" a="1"/>
  <c r="F620" i="57" s="1"/>
  <c r="G746" i="57" a="1"/>
  <c r="G746" i="57" s="1"/>
  <c r="F746" i="57" a="1"/>
  <c r="F746" i="57" s="1"/>
  <c r="G872" i="57" a="1"/>
  <c r="G872" i="57" s="1"/>
  <c r="F872" i="57" a="1"/>
  <c r="F872" i="57" s="1"/>
  <c r="G1034" i="57" a="1"/>
  <c r="G1034" i="57" s="1"/>
  <c r="F1034" i="57" a="1"/>
  <c r="F1034" i="57" s="1"/>
  <c r="G1196" i="57" a="1"/>
  <c r="G1196" i="57" s="1"/>
  <c r="F1196" i="57" a="1"/>
  <c r="F1196" i="57" s="1"/>
  <c r="G1358" i="57" a="1"/>
  <c r="G1358" i="57" s="1"/>
  <c r="F1358" i="57" a="1"/>
  <c r="F1358" i="57" s="1"/>
  <c r="G693" i="57" a="1"/>
  <c r="G693" i="57" s="1"/>
  <c r="F693" i="57" a="1"/>
  <c r="F693" i="57" s="1"/>
  <c r="G819" i="57" a="1"/>
  <c r="G819" i="57" s="1"/>
  <c r="F819" i="57" a="1"/>
  <c r="F819" i="57" s="1"/>
  <c r="G1155" i="57" a="1"/>
  <c r="G1155" i="57" s="1"/>
  <c r="F1155" i="57" a="1"/>
  <c r="F1155" i="57" s="1"/>
  <c r="G622" i="57" a="1"/>
  <c r="G622" i="57" s="1"/>
  <c r="F622" i="57" a="1"/>
  <c r="F622" i="57" s="1"/>
  <c r="G994" i="57" a="1"/>
  <c r="G994" i="57" s="1"/>
  <c r="F994" i="57" a="1"/>
  <c r="F994" i="57" s="1"/>
  <c r="G1360" i="57" a="1"/>
  <c r="G1360" i="57" s="1"/>
  <c r="F1360" i="57" a="1"/>
  <c r="F1360" i="57" s="1"/>
  <c r="G1617" i="57" a="1"/>
  <c r="G1617" i="57" s="1"/>
  <c r="F1617" i="57" a="1"/>
  <c r="F1617" i="57" s="1"/>
  <c r="G1923" i="57" a="1"/>
  <c r="G1923" i="57" s="1"/>
  <c r="F1923" i="57" a="1"/>
  <c r="F1923" i="57" s="1"/>
  <c r="G1732" i="57" a="1"/>
  <c r="G1732" i="57" s="1"/>
  <c r="F1732" i="57" a="1"/>
  <c r="F1732" i="57" s="1"/>
  <c r="G1589" i="57" a="1"/>
  <c r="G1589" i="57" s="1"/>
  <c r="F1589" i="57" a="1"/>
  <c r="F1589" i="57" s="1"/>
  <c r="G1610" i="57" a="1"/>
  <c r="G1610" i="57" s="1"/>
  <c r="F1610" i="57" a="1"/>
  <c r="F1610" i="57" s="1"/>
  <c r="G506" i="57" a="1"/>
  <c r="G506" i="57" s="1"/>
  <c r="F506" i="57" a="1"/>
  <c r="F506" i="57" s="1"/>
  <c r="G147" i="57" a="1"/>
  <c r="G147" i="57" s="1"/>
  <c r="F147" i="57" a="1"/>
  <c r="F147" i="57" s="1"/>
  <c r="G357" i="57" a="1"/>
  <c r="G357" i="57" s="1"/>
  <c r="F357" i="57" a="1"/>
  <c r="F357" i="57" s="1"/>
  <c r="G555" i="57" a="1"/>
  <c r="G555" i="57" s="1"/>
  <c r="F555" i="57" a="1"/>
  <c r="F555" i="57" s="1"/>
  <c r="G208" i="57" a="1"/>
  <c r="G208" i="57" s="1"/>
  <c r="F208" i="57" a="1"/>
  <c r="F208" i="57" s="1"/>
  <c r="G508" i="57" a="1"/>
  <c r="G508" i="57" s="1"/>
  <c r="F508" i="57" a="1"/>
  <c r="F508" i="57" s="1"/>
  <c r="G1071" i="57" a="1"/>
  <c r="G1071" i="57" s="1"/>
  <c r="F1071" i="57" a="1"/>
  <c r="F1071" i="57" s="1"/>
  <c r="G1413" i="57" a="1"/>
  <c r="G1413" i="57" s="1"/>
  <c r="F1413" i="57" a="1"/>
  <c r="F1413" i="57" s="1"/>
  <c r="G898" i="57" a="1"/>
  <c r="G898" i="57" s="1"/>
  <c r="F898" i="57" a="1"/>
  <c r="F898" i="57" s="1"/>
  <c r="G1264" i="57" a="1"/>
  <c r="G1264" i="57" s="1"/>
  <c r="F1264" i="57" a="1"/>
  <c r="F1264" i="57" s="1"/>
  <c r="G1521" i="57" a="1"/>
  <c r="G1521" i="57" s="1"/>
  <c r="F1521" i="57" a="1"/>
  <c r="F1521" i="57" s="1"/>
  <c r="G1833" i="57" a="1"/>
  <c r="G1833" i="57" s="1"/>
  <c r="F1833" i="57" a="1"/>
  <c r="F1833" i="57" s="1"/>
  <c r="G1636" i="57" a="1"/>
  <c r="G1636" i="57" s="1"/>
  <c r="F1636" i="57" a="1"/>
  <c r="F1636" i="57" s="1"/>
  <c r="G2484" i="57" a="1"/>
  <c r="G2484" i="57" s="1"/>
  <c r="F2484" i="57" a="1"/>
  <c r="F2484" i="57" s="1"/>
  <c r="G1466" i="57" a="1"/>
  <c r="G1466" i="57" s="1"/>
  <c r="F1466" i="57" a="1"/>
  <c r="F1466" i="57" s="1"/>
  <c r="G1983" i="57" a="1"/>
  <c r="G1983" i="57" s="1"/>
  <c r="F1983" i="57" a="1"/>
  <c r="F1983" i="57" s="1"/>
  <c r="G588" i="57" a="1"/>
  <c r="G588" i="57" s="1"/>
  <c r="F588" i="57" a="1"/>
  <c r="F588" i="57" s="1"/>
  <c r="G1031" i="57" a="1"/>
  <c r="G1031" i="57" s="1"/>
  <c r="F1031" i="57" a="1"/>
  <c r="F1031" i="57" s="1"/>
  <c r="G1157" i="57" a="1"/>
  <c r="G1157" i="57" s="1"/>
  <c r="F1157" i="57" a="1"/>
  <c r="F1157" i="57" s="1"/>
  <c r="G1265" i="57" a="1"/>
  <c r="G1265" i="57" s="1"/>
  <c r="F1265" i="57" a="1"/>
  <c r="F1265" i="57" s="1"/>
  <c r="G1415" i="57" a="1"/>
  <c r="G1415" i="57" s="1"/>
  <c r="F1415" i="57" a="1"/>
  <c r="F1415" i="57" s="1"/>
  <c r="G780" i="57" a="1"/>
  <c r="G780" i="57" s="1"/>
  <c r="F780" i="57" a="1"/>
  <c r="F780" i="57" s="1"/>
  <c r="G942" i="57" a="1"/>
  <c r="G942" i="57" s="1"/>
  <c r="F942" i="57" a="1"/>
  <c r="F942" i="57" s="1"/>
  <c r="G1068" i="57" a="1"/>
  <c r="G1068" i="57" s="1"/>
  <c r="F1068" i="57" a="1"/>
  <c r="F1068" i="57" s="1"/>
  <c r="G1200" i="57" a="1"/>
  <c r="G1200" i="57" s="1"/>
  <c r="F1200" i="57" a="1"/>
  <c r="F1200" i="57" s="1"/>
  <c r="G1338" i="57" a="1"/>
  <c r="G1338" i="57" s="1"/>
  <c r="F1338" i="57" a="1"/>
  <c r="F1338" i="57" s="1"/>
  <c r="G650" i="57" a="1"/>
  <c r="G650" i="57" s="1"/>
  <c r="F650" i="57" a="1"/>
  <c r="F650" i="57" s="1"/>
  <c r="G776" i="57" a="1"/>
  <c r="G776" i="57" s="1"/>
  <c r="F776" i="57" a="1"/>
  <c r="F776" i="57" s="1"/>
  <c r="G908" i="57" a="1"/>
  <c r="G908" i="57" s="1"/>
  <c r="F908" i="57" a="1"/>
  <c r="F908" i="57" s="1"/>
  <c r="G1070" i="57" a="1"/>
  <c r="G1070" i="57" s="1"/>
  <c r="F1070" i="57" a="1"/>
  <c r="F1070" i="57" s="1"/>
  <c r="G1232" i="57" a="1"/>
  <c r="G1232" i="57" s="1"/>
  <c r="F1232" i="57" a="1"/>
  <c r="F1232" i="57" s="1"/>
  <c r="G1394" i="57" a="1"/>
  <c r="G1394" i="57" s="1"/>
  <c r="F1394" i="57" a="1"/>
  <c r="F1394" i="57" s="1"/>
  <c r="G723" i="57" a="1"/>
  <c r="G723" i="57" s="1"/>
  <c r="F723" i="57" a="1"/>
  <c r="F723" i="57" s="1"/>
  <c r="G897" i="57" a="1"/>
  <c r="G897" i="57" s="1"/>
  <c r="F897" i="57" a="1"/>
  <c r="F897" i="57" s="1"/>
  <c r="G1227" i="57" a="1"/>
  <c r="G1227" i="57" s="1"/>
  <c r="F1227" i="57" a="1"/>
  <c r="F1227" i="57" s="1"/>
  <c r="G700" i="57" a="1"/>
  <c r="G700" i="57" s="1"/>
  <c r="F700" i="57" a="1"/>
  <c r="F700" i="57" s="1"/>
  <c r="G1072" i="57" a="1"/>
  <c r="G1072" i="57" s="1"/>
  <c r="F1072" i="57" a="1"/>
  <c r="F1072" i="57" s="1"/>
  <c r="G1438" i="57" a="1"/>
  <c r="G1438" i="57" s="1"/>
  <c r="F1438" i="57" a="1"/>
  <c r="F1438" i="57" s="1"/>
  <c r="G1689" i="57" a="1"/>
  <c r="G1689" i="57" s="1"/>
  <c r="F1689" i="57" a="1"/>
  <c r="F1689" i="57" s="1"/>
  <c r="G1492" i="57" a="1"/>
  <c r="G1492" i="57" s="1"/>
  <c r="F1492" i="57" a="1"/>
  <c r="F1492" i="57" s="1"/>
  <c r="G1804" i="57" a="1"/>
  <c r="G1804" i="57" s="1"/>
  <c r="F1804" i="57" a="1"/>
  <c r="F1804" i="57" s="1"/>
  <c r="G1715" i="57" a="1"/>
  <c r="G1715" i="57" s="1"/>
  <c r="F1715" i="57" a="1"/>
  <c r="F1715" i="57" s="1"/>
  <c r="G1730" i="57" a="1"/>
  <c r="G1730" i="57" s="1"/>
  <c r="F1730" i="57" a="1"/>
  <c r="F1730" i="57" s="1"/>
  <c r="G330" i="57" a="1"/>
  <c r="G330" i="57" s="1"/>
  <c r="F330" i="57" a="1"/>
  <c r="F330" i="57" s="1"/>
  <c r="G570" i="57" a="1"/>
  <c r="G570" i="57" s="1"/>
  <c r="F570" i="57" a="1"/>
  <c r="F570" i="57" s="1"/>
  <c r="G995" i="57" a="1"/>
  <c r="G995" i="57" s="1"/>
  <c r="F995" i="57" a="1"/>
  <c r="F995" i="57" s="1"/>
  <c r="G1035" i="57" a="1"/>
  <c r="G1035" i="57" s="1"/>
  <c r="F1035" i="57" a="1"/>
  <c r="F1035" i="57" s="1"/>
  <c r="G1377" i="57" a="1"/>
  <c r="G1377" i="57" s="1"/>
  <c r="F1377" i="57" a="1"/>
  <c r="F1377" i="57" s="1"/>
  <c r="G856" i="57" a="1"/>
  <c r="G856" i="57" s="1"/>
  <c r="F856" i="57" a="1"/>
  <c r="F856" i="57" s="1"/>
  <c r="G1222" i="57" a="1"/>
  <c r="G1222" i="57" s="1"/>
  <c r="F1222" i="57" a="1"/>
  <c r="F1222" i="57" s="1"/>
  <c r="G1485" i="57" a="1"/>
  <c r="G1485" i="57" s="1"/>
  <c r="F1485" i="57" a="1"/>
  <c r="F1485" i="57" s="1"/>
  <c r="G1797" i="57" a="1"/>
  <c r="G1797" i="57" s="1"/>
  <c r="F1797" i="57" a="1"/>
  <c r="F1797" i="57" s="1"/>
  <c r="G1600" i="57" a="1"/>
  <c r="G1600" i="57" s="1"/>
  <c r="F1600" i="57" a="1"/>
  <c r="F1600" i="57" s="1"/>
  <c r="G1918" i="57" a="1"/>
  <c r="G1918" i="57" s="1"/>
  <c r="F1918" i="57" a="1"/>
  <c r="F1918" i="57" s="1"/>
  <c r="G1895" i="57" a="1"/>
  <c r="G1895" i="57" s="1"/>
  <c r="F1895" i="57" a="1"/>
  <c r="F1895" i="57" s="1"/>
  <c r="G1910" i="57" a="1"/>
  <c r="G1910" i="57" s="1"/>
  <c r="F1910" i="57" a="1"/>
  <c r="F1910" i="57" s="1"/>
  <c r="G498" i="57" a="1"/>
  <c r="G498" i="57" s="1"/>
  <c r="F498" i="57" a="1"/>
  <c r="F498" i="57" s="1"/>
  <c r="G929" i="57" a="1"/>
  <c r="G929" i="57" s="1"/>
  <c r="F929" i="57" a="1"/>
  <c r="F929" i="57" s="1"/>
  <c r="G1055" i="57" a="1"/>
  <c r="G1055" i="57" s="1"/>
  <c r="F1055" i="57" a="1"/>
  <c r="F1055" i="57" s="1"/>
  <c r="G1163" i="57" a="1"/>
  <c r="G1163" i="57" s="1"/>
  <c r="F1163" i="57" a="1"/>
  <c r="F1163" i="57" s="1"/>
  <c r="G1271" i="57" a="1"/>
  <c r="G1271" i="57" s="1"/>
  <c r="F1271" i="57" a="1"/>
  <c r="F1271" i="57" s="1"/>
  <c r="G1433" i="57" a="1"/>
  <c r="G1433" i="57" s="1"/>
  <c r="F1433" i="57" a="1"/>
  <c r="F1433" i="57" s="1"/>
  <c r="G792" i="57" a="1"/>
  <c r="G792" i="57" s="1"/>
  <c r="F792" i="57" a="1"/>
  <c r="F792" i="57" s="1"/>
  <c r="G948" i="57" a="1"/>
  <c r="G948" i="57" s="1"/>
  <c r="F948" i="57" a="1"/>
  <c r="F948" i="57" s="1"/>
  <c r="G1074" i="57" a="1"/>
  <c r="G1074" i="57" s="1"/>
  <c r="F1074" i="57" a="1"/>
  <c r="F1074" i="57" s="1"/>
  <c r="G1212" i="57" a="1"/>
  <c r="G1212" i="57" s="1"/>
  <c r="F1212" i="57" a="1"/>
  <c r="F1212" i="57" s="1"/>
  <c r="G1344" i="57" a="1"/>
  <c r="G1344" i="57" s="1"/>
  <c r="F1344" i="57" a="1"/>
  <c r="F1344" i="57" s="1"/>
  <c r="G656" i="57" a="1"/>
  <c r="G656" i="57" s="1"/>
  <c r="F656" i="57" a="1"/>
  <c r="F656" i="57" s="1"/>
  <c r="G782" i="57" a="1"/>
  <c r="G782" i="57" s="1"/>
  <c r="F782" i="57" a="1"/>
  <c r="F782" i="57" s="1"/>
  <c r="G914" i="57" a="1"/>
  <c r="G914" i="57" s="1"/>
  <c r="F914" i="57" a="1"/>
  <c r="F914" i="57" s="1"/>
  <c r="G1076" i="57" a="1"/>
  <c r="G1076" i="57" s="1"/>
  <c r="F1076" i="57" a="1"/>
  <c r="F1076" i="57" s="1"/>
  <c r="G1238" i="57" a="1"/>
  <c r="G1238" i="57" s="1"/>
  <c r="F1238" i="57" a="1"/>
  <c r="F1238" i="57" s="1"/>
  <c r="G1400" i="57" a="1"/>
  <c r="G1400" i="57" s="1"/>
  <c r="F1400" i="57" a="1"/>
  <c r="F1400" i="57" s="1"/>
  <c r="G729" i="57" a="1"/>
  <c r="G729" i="57" s="1"/>
  <c r="F729" i="57" a="1"/>
  <c r="F729" i="57" s="1"/>
  <c r="G903" i="57" a="1"/>
  <c r="G903" i="57" s="1"/>
  <c r="F903" i="57" a="1"/>
  <c r="F903" i="57" s="1"/>
  <c r="G1233" i="57" a="1"/>
  <c r="G1233" i="57" s="1"/>
  <c r="F1233" i="57" a="1"/>
  <c r="F1233" i="57" s="1"/>
  <c r="G706" i="57" a="1"/>
  <c r="G706" i="57" s="1"/>
  <c r="F706" i="57" a="1"/>
  <c r="F706" i="57" s="1"/>
  <c r="G1078" i="57" a="1"/>
  <c r="G1078" i="57" s="1"/>
  <c r="F1078" i="57" a="1"/>
  <c r="F1078" i="57" s="1"/>
  <c r="G1444" i="57" a="1"/>
  <c r="G1444" i="57" s="1"/>
  <c r="F1444" i="57" a="1"/>
  <c r="F1444" i="57" s="1"/>
  <c r="G1701" i="57" a="1"/>
  <c r="G1701" i="57" s="1"/>
  <c r="F1701" i="57" a="1"/>
  <c r="F1701" i="57" s="1"/>
  <c r="G1510" i="57" a="1"/>
  <c r="G1510" i="57" s="1"/>
  <c r="F1510" i="57" a="1"/>
  <c r="F1510" i="57" s="1"/>
  <c r="G1816" i="57" a="1"/>
  <c r="G1816" i="57" s="1"/>
  <c r="F1816" i="57" a="1"/>
  <c r="F1816" i="57" s="1"/>
  <c r="G1751" i="57" a="1"/>
  <c r="G1751" i="57" s="1"/>
  <c r="F1751" i="57" a="1"/>
  <c r="F1751" i="57" s="1"/>
  <c r="G1766" i="57" a="1"/>
  <c r="G1766" i="57" s="1"/>
  <c r="F1766" i="57" a="1"/>
  <c r="F1766" i="57" s="1"/>
  <c r="G240" i="57" a="1"/>
  <c r="G240" i="57" s="1"/>
  <c r="F240" i="57" a="1"/>
  <c r="F240" i="57" s="1"/>
  <c r="G438" i="57" a="1"/>
  <c r="G438" i="57" s="1"/>
  <c r="F438" i="57" a="1"/>
  <c r="F438" i="57" s="1"/>
  <c r="G893" i="57" a="1"/>
  <c r="G893" i="57" s="1"/>
  <c r="F893" i="57" a="1"/>
  <c r="F893" i="57" s="1"/>
  <c r="G999" i="57" a="1"/>
  <c r="G999" i="57" s="1"/>
  <c r="F999" i="57" a="1"/>
  <c r="F999" i="57" s="1"/>
  <c r="G1335" i="57" a="1"/>
  <c r="G1335" i="57" s="1"/>
  <c r="F1335" i="57" a="1"/>
  <c r="F1335" i="57" s="1"/>
  <c r="G820" i="57" a="1"/>
  <c r="G820" i="57" s="1"/>
  <c r="F820" i="57" a="1"/>
  <c r="F820" i="57" s="1"/>
  <c r="G1186" i="57" a="1"/>
  <c r="G1186" i="57" s="1"/>
  <c r="F1186" i="57" a="1"/>
  <c r="F1186" i="57" s="1"/>
  <c r="F11" i="57" a="1"/>
  <c r="F11" i="57" s="1"/>
  <c r="G1761" i="57" a="1"/>
  <c r="G1761" i="57" s="1"/>
  <c r="F1761" i="57" a="1"/>
  <c r="F1761" i="57" s="1"/>
  <c r="G1570" i="57" a="1"/>
  <c r="G1570" i="57" s="1"/>
  <c r="F1570" i="57" a="1"/>
  <c r="F1570" i="57" s="1"/>
  <c r="G1882" i="57" a="1"/>
  <c r="G1882" i="57" s="1"/>
  <c r="F1882" i="57" a="1"/>
  <c r="F1882" i="57" s="1"/>
  <c r="G1841" i="57" a="1"/>
  <c r="G1841" i="57" s="1"/>
  <c r="F1841" i="57" a="1"/>
  <c r="F1841" i="57" s="1"/>
  <c r="G1862" i="57" a="1"/>
  <c r="G1862" i="57" s="1"/>
  <c r="F1862" i="57" a="1"/>
  <c r="F1862" i="57" s="1"/>
  <c r="G885" i="57" a="1"/>
  <c r="G885" i="57" s="1"/>
  <c r="F885" i="57" a="1"/>
  <c r="F885" i="57" s="1"/>
  <c r="G1005" i="57" a="1"/>
  <c r="G1005" i="57" s="1"/>
  <c r="F1005" i="57" a="1"/>
  <c r="F1005" i="57" s="1"/>
  <c r="G1113" i="57" a="1"/>
  <c r="G1113" i="57" s="1"/>
  <c r="F1113" i="57" a="1"/>
  <c r="F1113" i="57" s="1"/>
  <c r="G1221" i="57" a="1"/>
  <c r="G1221" i="57" s="1"/>
  <c r="F1221" i="57" a="1"/>
  <c r="F1221" i="57" s="1"/>
  <c r="G1341" i="57" a="1"/>
  <c r="G1341" i="57" s="1"/>
  <c r="F1341" i="57" a="1"/>
  <c r="F1341" i="57" s="1"/>
  <c r="G568" i="57" a="1"/>
  <c r="G568" i="57" s="1"/>
  <c r="F568" i="57" a="1"/>
  <c r="F568" i="57" s="1"/>
  <c r="G694" i="57" a="1"/>
  <c r="G694" i="57" s="1"/>
  <c r="F694" i="57" a="1"/>
  <c r="F694" i="57" s="1"/>
  <c r="G826" i="57" a="1"/>
  <c r="G826" i="57" s="1"/>
  <c r="F826" i="57" a="1"/>
  <c r="F826" i="57" s="1"/>
  <c r="G952" i="57" a="1"/>
  <c r="G952" i="57" s="1"/>
  <c r="F952" i="57" a="1"/>
  <c r="F952" i="57" s="1"/>
  <c r="G1066" i="57" a="1"/>
  <c r="G1066" i="57" s="1"/>
  <c r="F1066" i="57" a="1"/>
  <c r="F1066" i="57" s="1"/>
  <c r="G1192" i="57" a="1"/>
  <c r="G1192" i="57" s="1"/>
  <c r="F1192" i="57" a="1"/>
  <c r="F1192" i="57" s="1"/>
  <c r="G1306" i="57" a="1"/>
  <c r="G1306" i="57" s="1"/>
  <c r="F1306" i="57" a="1"/>
  <c r="F1306" i="57" s="1"/>
  <c r="G1432" i="57" a="1"/>
  <c r="G1432" i="57" s="1"/>
  <c r="F1432" i="57" a="1"/>
  <c r="F1432" i="57" s="1"/>
  <c r="G1461" i="57" a="1"/>
  <c r="G1461" i="57" s="1"/>
  <c r="F1461" i="57" a="1"/>
  <c r="F1461" i="57" s="1"/>
  <c r="G1725" i="57" a="1"/>
  <c r="G1725" i="57" s="1"/>
  <c r="F1725" i="57" a="1"/>
  <c r="F1725" i="57" s="1"/>
  <c r="G1480" i="57" a="1"/>
  <c r="G1480" i="57" s="1"/>
  <c r="F1480" i="57" a="1"/>
  <c r="F1480" i="57" s="1"/>
  <c r="G1738" i="57" a="1"/>
  <c r="G1738" i="57" s="1"/>
  <c r="F1738" i="57" a="1"/>
  <c r="F1738" i="57" s="1"/>
  <c r="G1481" i="57" a="1"/>
  <c r="G1481" i="57" s="1"/>
  <c r="F1481" i="57" a="1"/>
  <c r="F1481" i="57" s="1"/>
  <c r="G1739" i="57" a="1"/>
  <c r="G1739" i="57" s="1"/>
  <c r="F1739" i="57" a="1"/>
  <c r="F1739" i="57" s="1"/>
  <c r="G1502" i="57" a="1"/>
  <c r="G1502" i="57" s="1"/>
  <c r="F1502" i="57" a="1"/>
  <c r="F1502" i="57" s="1"/>
  <c r="G1760" i="57" a="1"/>
  <c r="G1760" i="57" s="1"/>
  <c r="F1760" i="57" a="1"/>
  <c r="F1760" i="57" s="1"/>
  <c r="G2019" i="57" a="1"/>
  <c r="G2019" i="57" s="1"/>
  <c r="F2019" i="57" a="1"/>
  <c r="F2019" i="57" s="1"/>
  <c r="G2277" i="57" a="1"/>
  <c r="G2277" i="57" s="1"/>
  <c r="F2277" i="57" a="1"/>
  <c r="F2277" i="57" s="1"/>
  <c r="G2056" i="57" a="1"/>
  <c r="G2056" i="57" s="1"/>
  <c r="F2056" i="57" a="1"/>
  <c r="F2056" i="57" s="1"/>
  <c r="G2374" i="57" a="1"/>
  <c r="G2374" i="57" s="1"/>
  <c r="F2374" i="57" a="1"/>
  <c r="F2374" i="57" s="1"/>
  <c r="G2207" i="57" a="1"/>
  <c r="G2207" i="57" s="1"/>
  <c r="F2207" i="57" a="1"/>
  <c r="F2207" i="57" s="1"/>
  <c r="G2060" i="57" a="1"/>
  <c r="G2060" i="57" s="1"/>
  <c r="F2060" i="57" a="1"/>
  <c r="F2060" i="57" s="1"/>
  <c r="G2390" i="57" a="1"/>
  <c r="G2390" i="57" s="1"/>
  <c r="F2390" i="57" a="1"/>
  <c r="F2390" i="57" s="1"/>
  <c r="G164" i="57" a="1"/>
  <c r="G164" i="57" s="1"/>
  <c r="F164" i="57" a="1"/>
  <c r="F164" i="57" s="1"/>
  <c r="G1692" i="57" a="1"/>
  <c r="G1692" i="57" s="1"/>
  <c r="F1692" i="57" a="1"/>
  <c r="F1692" i="57" s="1"/>
  <c r="G927" i="57" a="1"/>
  <c r="G927" i="57" s="1"/>
  <c r="F927" i="57" a="1"/>
  <c r="F927" i="57" s="1"/>
  <c r="G2025" i="57" a="1"/>
  <c r="G2025" i="57" s="1"/>
  <c r="F2025" i="57" a="1"/>
  <c r="F2025" i="57" s="1"/>
  <c r="G2283" i="57" a="1"/>
  <c r="G2283" i="57" s="1"/>
  <c r="F2283" i="57" a="1"/>
  <c r="F2283" i="57" s="1"/>
  <c r="G2068" i="57" a="1"/>
  <c r="G2068" i="57" s="1"/>
  <c r="F2068" i="57" a="1"/>
  <c r="F2068" i="57" s="1"/>
  <c r="G2380" i="57" a="1"/>
  <c r="G2380" i="57" s="1"/>
  <c r="F2380" i="57" a="1"/>
  <c r="F2380" i="57" s="1"/>
  <c r="G2213" i="57" a="1"/>
  <c r="G2213" i="57" s="1"/>
  <c r="F2213" i="57" a="1"/>
  <c r="F2213" i="57" s="1"/>
  <c r="G2066" i="57" a="1"/>
  <c r="G2066" i="57" s="1"/>
  <c r="F2066" i="57" a="1"/>
  <c r="F2066" i="57" s="1"/>
  <c r="G2396" i="57" a="1"/>
  <c r="G2396" i="57" s="1"/>
  <c r="F2396" i="57" a="1"/>
  <c r="F2396" i="57" s="1"/>
  <c r="G200" i="57" a="1"/>
  <c r="G200" i="57" s="1"/>
  <c r="F200" i="57" a="1"/>
  <c r="F200" i="57" s="1"/>
  <c r="G1698" i="57" a="1"/>
  <c r="G1698" i="57" s="1"/>
  <c r="F1698" i="57" a="1"/>
  <c r="F1698" i="57" s="1"/>
  <c r="G1968" i="57" a="1"/>
  <c r="G1968" i="57" s="1"/>
  <c r="F1968" i="57" a="1"/>
  <c r="F1968" i="57" s="1"/>
  <c r="G2079" i="57" a="1"/>
  <c r="G2079" i="57" s="1"/>
  <c r="F2079" i="57" a="1"/>
  <c r="F2079" i="57" s="1"/>
  <c r="G2337" i="57" a="1"/>
  <c r="G2337" i="57" s="1"/>
  <c r="F2337" i="57" a="1"/>
  <c r="F2337" i="57" s="1"/>
  <c r="G2128" i="57" a="1"/>
  <c r="G2128" i="57" s="1"/>
  <c r="F2128" i="57" a="1"/>
  <c r="F2128" i="57" s="1"/>
  <c r="G1961" i="57" a="1"/>
  <c r="G1961" i="57" s="1"/>
  <c r="F1961" i="57" a="1"/>
  <c r="F1961" i="57" s="1"/>
  <c r="G2273" i="57" a="1"/>
  <c r="G2273" i="57" s="1"/>
  <c r="F2273" i="57" a="1"/>
  <c r="F2273" i="57" s="1"/>
  <c r="G2132" i="57" a="1"/>
  <c r="G2132" i="57" s="1"/>
  <c r="F2132" i="57" a="1"/>
  <c r="F2132" i="57" s="1"/>
  <c r="G2475" i="57" a="1"/>
  <c r="G2475" i="57" s="1"/>
  <c r="F2475" i="57" a="1"/>
  <c r="F2475" i="57" s="1"/>
  <c r="G2465" i="57" a="1"/>
  <c r="G2465" i="57" s="1"/>
  <c r="F2465" i="57" a="1"/>
  <c r="F2465" i="57" s="1"/>
  <c r="G1776" i="57" a="1"/>
  <c r="G1776" i="57" s="1"/>
  <c r="F1776" i="57" a="1"/>
  <c r="F1776" i="57" s="1"/>
  <c r="G2268" i="57" a="1"/>
  <c r="G2268" i="57" s="1"/>
  <c r="F2268" i="57" a="1"/>
  <c r="F2268" i="57" s="1"/>
  <c r="G2127" i="57" a="1"/>
  <c r="G2127" i="57" s="1"/>
  <c r="F2127" i="57" a="1"/>
  <c r="F2127" i="57" s="1"/>
  <c r="G2385" i="57" a="1"/>
  <c r="G2385" i="57" s="1"/>
  <c r="F2385" i="57" a="1"/>
  <c r="F2385" i="57" s="1"/>
  <c r="G2182" i="57" a="1"/>
  <c r="G2182" i="57" s="1"/>
  <c r="F2182" i="57" a="1"/>
  <c r="F2182" i="57" s="1"/>
  <c r="G2027" i="57" a="1"/>
  <c r="G2027" i="57" s="1"/>
  <c r="F2027" i="57" a="1"/>
  <c r="F2027" i="57" s="1"/>
  <c r="G2339" i="57" a="1"/>
  <c r="G2339" i="57" s="1"/>
  <c r="F2339" i="57" a="1"/>
  <c r="F2339" i="57" s="1"/>
  <c r="G2186" i="57" a="1"/>
  <c r="G2186" i="57" s="1"/>
  <c r="F2186" i="57" a="1"/>
  <c r="F2186" i="57" s="1"/>
  <c r="G91" i="57" a="1"/>
  <c r="G91" i="57" s="1"/>
  <c r="F91" i="57" a="1"/>
  <c r="F91" i="57" s="1"/>
  <c r="G2509" i="57" a="1"/>
  <c r="G2509" i="57" s="1"/>
  <c r="F2509" i="57" a="1"/>
  <c r="F2509" i="57" s="1"/>
  <c r="G1549" i="57" a="1"/>
  <c r="G1549" i="57" s="1"/>
  <c r="F1549" i="57" a="1"/>
  <c r="F1549" i="57" s="1"/>
  <c r="G1801" i="57" a="1"/>
  <c r="G1801" i="57" s="1"/>
  <c r="F1801" i="57" a="1"/>
  <c r="F1801" i="57" s="1"/>
  <c r="G1553" i="57" a="1"/>
  <c r="G1553" i="57" s="1"/>
  <c r="F1553" i="57" a="1"/>
  <c r="F1553" i="57" s="1"/>
  <c r="G1811" i="57" a="1"/>
  <c r="G1811" i="57" s="1"/>
  <c r="F1811" i="57" a="1"/>
  <c r="F1811" i="57" s="1"/>
  <c r="G1574" i="57" a="1"/>
  <c r="G1574" i="57" s="1"/>
  <c r="F1574" i="57" a="1"/>
  <c r="F1574" i="57" s="1"/>
  <c r="G1832" i="57" a="1"/>
  <c r="G1832" i="57" s="1"/>
  <c r="F1832" i="57" a="1"/>
  <c r="F1832" i="57" s="1"/>
  <c r="G2091" i="57" a="1"/>
  <c r="G2091" i="57" s="1"/>
  <c r="F2091" i="57" a="1"/>
  <c r="F2091" i="57" s="1"/>
  <c r="G2349" i="57" a="1"/>
  <c r="G2349" i="57" s="1"/>
  <c r="F2349" i="57" a="1"/>
  <c r="F2349" i="57" s="1"/>
  <c r="G2140" i="57" a="1"/>
  <c r="G2140" i="57" s="1"/>
  <c r="F2140" i="57" a="1"/>
  <c r="F2140" i="57" s="1"/>
  <c r="G1985" i="57" a="1"/>
  <c r="G1985" i="57" s="1"/>
  <c r="F1985" i="57" a="1"/>
  <c r="F1985" i="57" s="1"/>
  <c r="G2297" i="57" a="1"/>
  <c r="G2297" i="57" s="1"/>
  <c r="F2297" i="57" a="1"/>
  <c r="F2297" i="57" s="1"/>
  <c r="G2144" i="57" a="1"/>
  <c r="G2144" i="57" s="1"/>
  <c r="F2144" i="57" a="1"/>
  <c r="F2144" i="57" s="1"/>
  <c r="G31" i="57" a="1"/>
  <c r="G31" i="57" s="1"/>
  <c r="F31" i="57" a="1"/>
  <c r="F31" i="57" s="1"/>
  <c r="F14" i="57" a="1"/>
  <c r="F14" i="57" s="1"/>
  <c r="G1824" i="57" a="1"/>
  <c r="G1824" i="57" s="1"/>
  <c r="F1824" i="57" a="1"/>
  <c r="F1824" i="57" s="1"/>
  <c r="G2358" i="57" a="1"/>
  <c r="G2358" i="57" s="1"/>
  <c r="F2358" i="57" a="1"/>
  <c r="F2358" i="57" s="1"/>
  <c r="G1475" i="57" a="1"/>
  <c r="G1475" i="57" s="1"/>
  <c r="F1475" i="57" a="1"/>
  <c r="F1475" i="57" s="1"/>
  <c r="G1733" i="57" a="1"/>
  <c r="G1733" i="57" s="1"/>
  <c r="F1733" i="57" a="1"/>
  <c r="F1733" i="57" s="1"/>
  <c r="G1490" i="57" a="1"/>
  <c r="G1490" i="57" s="1"/>
  <c r="F1490" i="57" a="1"/>
  <c r="F1490" i="57" s="1"/>
  <c r="G1754" i="57" a="1"/>
  <c r="G1754" i="57" s="1"/>
  <c r="F1754" i="57" a="1"/>
  <c r="F1754" i="57" s="1"/>
  <c r="G2013" i="57" a="1"/>
  <c r="G2013" i="57" s="1"/>
  <c r="F2013" i="57" a="1"/>
  <c r="F2013" i="57" s="1"/>
  <c r="G2271" i="57" a="1"/>
  <c r="G2271" i="57" s="1"/>
  <c r="F2271" i="57" a="1"/>
  <c r="F2271" i="57" s="1"/>
  <c r="G2050" i="57" a="1"/>
  <c r="G2050" i="57" s="1"/>
  <c r="F2050" i="57" a="1"/>
  <c r="F2050" i="57" s="1"/>
  <c r="G2356" i="57" a="1"/>
  <c r="G2356" i="57" s="1"/>
  <c r="F2356" i="57" a="1"/>
  <c r="F2356" i="57" s="1"/>
  <c r="G2201" i="57" a="1"/>
  <c r="G2201" i="57" s="1"/>
  <c r="F2201" i="57" a="1"/>
  <c r="F2201" i="57" s="1"/>
  <c r="G2054" i="57" a="1"/>
  <c r="G2054" i="57" s="1"/>
  <c r="F2054" i="57" a="1"/>
  <c r="F2054" i="57" s="1"/>
  <c r="G2366" i="57" a="1"/>
  <c r="G2366" i="57" s="1"/>
  <c r="F2366" i="57" a="1"/>
  <c r="F2366" i="57" s="1"/>
  <c r="G92" i="57" a="1"/>
  <c r="G92" i="57" s="1"/>
  <c r="F92" i="57" a="1"/>
  <c r="F92" i="57" s="1"/>
  <c r="G1668" i="57" a="1"/>
  <c r="G1668" i="57" s="1"/>
  <c r="F1668" i="57" a="1"/>
  <c r="F1668" i="57" s="1"/>
  <c r="G1406" i="57" a="1"/>
  <c r="G1406" i="57" s="1"/>
  <c r="F1406" i="57" a="1"/>
  <c r="F1406" i="57" s="1"/>
  <c r="G232" i="57" a="1"/>
  <c r="G232" i="57" s="1"/>
  <c r="F232" i="57" a="1"/>
  <c r="F232" i="57" s="1"/>
  <c r="G1647" i="57" a="1"/>
  <c r="G1647" i="57" s="1"/>
  <c r="F1647" i="57" a="1"/>
  <c r="F1647" i="57" s="1"/>
  <c r="G1863" i="57" a="1"/>
  <c r="G1863" i="57" s="1"/>
  <c r="F1863" i="57" a="1"/>
  <c r="F1863" i="57" s="1"/>
  <c r="G1576" i="57" a="1"/>
  <c r="G1576" i="57" s="1"/>
  <c r="F1576" i="57" a="1"/>
  <c r="F1576" i="57" s="1"/>
  <c r="G1792" i="57" a="1"/>
  <c r="G1792" i="57" s="1"/>
  <c r="F1792" i="57" a="1"/>
  <c r="F1792" i="57" s="1"/>
  <c r="G1493" i="57" a="1"/>
  <c r="G1493" i="57" s="1"/>
  <c r="F1493" i="57" a="1"/>
  <c r="F1493" i="57" s="1"/>
  <c r="G1709" i="57" a="1"/>
  <c r="G1709" i="57" s="1"/>
  <c r="F1709" i="57" a="1"/>
  <c r="F1709" i="57" s="1"/>
  <c r="G1925" i="57" a="1"/>
  <c r="G1925" i="57" s="1"/>
  <c r="F1925" i="57" a="1"/>
  <c r="F1925" i="57" s="1"/>
  <c r="G1640" i="57" a="1"/>
  <c r="G1640" i="57" s="1"/>
  <c r="F1640" i="57" a="1"/>
  <c r="F1640" i="57" s="1"/>
  <c r="G1856" i="57" a="1"/>
  <c r="G1856" i="57" s="1"/>
  <c r="F1856" i="57" a="1"/>
  <c r="F1856" i="57" s="1"/>
  <c r="G2073" i="57" a="1"/>
  <c r="G2073" i="57" s="1"/>
  <c r="F2073" i="57" a="1"/>
  <c r="F2073" i="57" s="1"/>
  <c r="G2289" i="57" a="1"/>
  <c r="G2289" i="57" s="1"/>
  <c r="F2289" i="57" a="1"/>
  <c r="F2289" i="57" s="1"/>
  <c r="G2020" i="57" a="1"/>
  <c r="G2020" i="57" s="1"/>
  <c r="F2020" i="57" a="1"/>
  <c r="F2020" i="57" s="1"/>
  <c r="G2278" i="57" a="1"/>
  <c r="G2278" i="57" s="1"/>
  <c r="F2278" i="57" a="1"/>
  <c r="F2278" i="57" s="1"/>
  <c r="G2063" i="57" a="1"/>
  <c r="G2063" i="57" s="1"/>
  <c r="F2063" i="57" a="1"/>
  <c r="F2063" i="57" s="1"/>
  <c r="G2321" i="57" a="1"/>
  <c r="G2321" i="57" s="1"/>
  <c r="F2321" i="57" a="1"/>
  <c r="F2321" i="57" s="1"/>
  <c r="G2126" i="57" a="1"/>
  <c r="G2126" i="57" s="1"/>
  <c r="F2126" i="57" a="1"/>
  <c r="F2126" i="57" s="1"/>
  <c r="G2384" i="57" a="1"/>
  <c r="G2384" i="57" s="1"/>
  <c r="F2384" i="57" a="1"/>
  <c r="F2384" i="57" s="1"/>
  <c r="G193" i="57" a="1"/>
  <c r="G193" i="57" s="1"/>
  <c r="F193" i="57" a="1"/>
  <c r="F193" i="57" s="1"/>
  <c r="G69" i="57" a="1"/>
  <c r="G69" i="57" s="1"/>
  <c r="F69" i="57" a="1"/>
  <c r="F69" i="57" s="1"/>
  <c r="G1680" i="57" a="1"/>
  <c r="G1680" i="57" s="1"/>
  <c r="F1680" i="57" a="1"/>
  <c r="F1680" i="57" s="1"/>
  <c r="G1944" i="57" a="1"/>
  <c r="G1944" i="57" s="1"/>
  <c r="F1944" i="57" a="1"/>
  <c r="F1944" i="57" s="1"/>
  <c r="G1711" i="57" a="1"/>
  <c r="G1711" i="57" s="1"/>
  <c r="F1711" i="57" a="1"/>
  <c r="F1711" i="57" s="1"/>
  <c r="G421" i="57" a="1"/>
  <c r="G421" i="57" s="1"/>
  <c r="F421" i="57" a="1"/>
  <c r="F421" i="57" s="1"/>
  <c r="G848" i="57" a="1"/>
  <c r="G848" i="57" s="1"/>
  <c r="F848" i="57" a="1"/>
  <c r="F848" i="57" s="1"/>
  <c r="G1950" i="57" a="1"/>
  <c r="G1950" i="57" s="1"/>
  <c r="F1950" i="57" a="1"/>
  <c r="F1950" i="57" s="1"/>
  <c r="G2214" i="57" a="1"/>
  <c r="G2214" i="57" s="1"/>
  <c r="F2214" i="57" a="1"/>
  <c r="F2214" i="57" s="1"/>
  <c r="G2472" i="57" a="1"/>
  <c r="G2472" i="57" s="1"/>
  <c r="F2472" i="57" a="1"/>
  <c r="F2472" i="57" s="1"/>
  <c r="G1957" i="57" a="1"/>
  <c r="G1957" i="57" s="1"/>
  <c r="F1957" i="57" a="1"/>
  <c r="F1957" i="57" s="1"/>
  <c r="G402" i="57" a="1"/>
  <c r="G402" i="57" s="1"/>
  <c r="F402" i="57" a="1"/>
  <c r="F402" i="57" s="1"/>
  <c r="G1063" i="57" a="1"/>
  <c r="G1063" i="57" s="1"/>
  <c r="F1063" i="57" a="1"/>
  <c r="F1063" i="57" s="1"/>
  <c r="G1860" i="57" a="1"/>
  <c r="G1860" i="57" s="1"/>
  <c r="F1860" i="57" a="1"/>
  <c r="F1860" i="57" s="1"/>
  <c r="G1633" i="57" a="1"/>
  <c r="G1633" i="57" s="1"/>
  <c r="F1633" i="57" a="1"/>
  <c r="F1633" i="57" s="1"/>
  <c r="G343" i="57" a="1"/>
  <c r="G343" i="57" s="1"/>
  <c r="F343" i="57" a="1"/>
  <c r="F343" i="57" s="1"/>
  <c r="G601" i="57" a="1"/>
  <c r="G601" i="57" s="1"/>
  <c r="F601" i="57" a="1"/>
  <c r="F601" i="57" s="1"/>
  <c r="G1388" i="57" a="1"/>
  <c r="G1388" i="57" s="1"/>
  <c r="F1388" i="57" a="1"/>
  <c r="F1388" i="57" s="1"/>
  <c r="G2130" i="57" a="1"/>
  <c r="G2130" i="57" s="1"/>
  <c r="F2130" i="57" a="1"/>
  <c r="F2130" i="57" s="1"/>
  <c r="G2394" i="57" a="1"/>
  <c r="G2394" i="57" s="1"/>
  <c r="F2394" i="57" a="1"/>
  <c r="F2394" i="57" s="1"/>
  <c r="G1879" i="57" a="1"/>
  <c r="G1879" i="57" s="1"/>
  <c r="F1879" i="57" a="1"/>
  <c r="F1879" i="57" s="1"/>
  <c r="G2137" i="57" a="1"/>
  <c r="G2137" i="57" s="1"/>
  <c r="F2137" i="57" a="1"/>
  <c r="F2137" i="57" s="1"/>
  <c r="G805" i="57" a="1"/>
  <c r="G805" i="57" s="1"/>
  <c r="F805" i="57" a="1"/>
  <c r="F805" i="57" s="1"/>
  <c r="G46" i="57" a="1"/>
  <c r="G46" i="57" s="1"/>
  <c r="F46" i="57" a="1"/>
  <c r="F46" i="57" s="1"/>
  <c r="G1513" i="57" a="1"/>
  <c r="G1513" i="57" s="1"/>
  <c r="F1513" i="57" a="1"/>
  <c r="F1513" i="57" s="1"/>
  <c r="G276" i="57" a="1"/>
  <c r="G276" i="57" s="1"/>
  <c r="F276" i="57" a="1"/>
  <c r="F276" i="57" s="1"/>
  <c r="G487" i="57" a="1"/>
  <c r="G487" i="57" s="1"/>
  <c r="F487" i="57" a="1"/>
  <c r="F487" i="57" s="1"/>
  <c r="G1046" i="57" a="1"/>
  <c r="G1046" i="57" s="1"/>
  <c r="F1046" i="57" a="1"/>
  <c r="F1046" i="57" s="1"/>
  <c r="G2016" i="57" a="1"/>
  <c r="G2016" i="57" s="1"/>
  <c r="F2016" i="57" a="1"/>
  <c r="F2016" i="57" s="1"/>
  <c r="G2274" i="57" a="1"/>
  <c r="G2274" i="57" s="1"/>
  <c r="F2274" i="57" a="1"/>
  <c r="F2274" i="57" s="1"/>
  <c r="G1765" i="57" a="1"/>
  <c r="G1765" i="57" s="1"/>
  <c r="F1765" i="57" a="1"/>
  <c r="F1765" i="57" s="1"/>
  <c r="G2023" i="57" a="1"/>
  <c r="G2023" i="57" s="1"/>
  <c r="F2023" i="57" a="1"/>
  <c r="F2023" i="57" s="1"/>
  <c r="G756" i="57" a="1"/>
  <c r="G756" i="57" s="1"/>
  <c r="F756" i="57" a="1"/>
  <c r="F756" i="57" s="1"/>
  <c r="G1219" i="57" a="1"/>
  <c r="G1219" i="57" s="1"/>
  <c r="F1219" i="57" a="1"/>
  <c r="F1219" i="57" s="1"/>
  <c r="G1884" i="57" a="1"/>
  <c r="G1884" i="57" s="1"/>
  <c r="F1884" i="57" a="1"/>
  <c r="F1884" i="57" s="1"/>
  <c r="G1651" i="57" a="1"/>
  <c r="G1651" i="57" s="1"/>
  <c r="F1651" i="57" a="1"/>
  <c r="F1651" i="57" s="1"/>
  <c r="G361" i="57" a="1"/>
  <c r="G361" i="57" s="1"/>
  <c r="F361" i="57" a="1"/>
  <c r="F361" i="57" s="1"/>
  <c r="G338" i="57" a="1"/>
  <c r="G338" i="57" s="1"/>
  <c r="F338" i="57" a="1"/>
  <c r="F338" i="57" s="1"/>
  <c r="G639" i="57" a="1"/>
  <c r="G639" i="57" s="1"/>
  <c r="F639" i="57" a="1"/>
  <c r="F639" i="57" s="1"/>
  <c r="G2154" i="57" a="1"/>
  <c r="G2154" i="57" s="1"/>
  <c r="F2154" i="57" a="1"/>
  <c r="F2154" i="57" s="1"/>
  <c r="G2412" i="57" a="1"/>
  <c r="G2412" i="57" s="1"/>
  <c r="F2412" i="57" a="1"/>
  <c r="F2412" i="57" s="1"/>
  <c r="G1897" i="57" a="1"/>
  <c r="G1897" i="57" s="1"/>
  <c r="F1897" i="57" a="1"/>
  <c r="F1897" i="57" s="1"/>
  <c r="G2167" i="57" a="1"/>
  <c r="G2167" i="57" s="1"/>
  <c r="F2167" i="57" a="1"/>
  <c r="F2167" i="57" s="1"/>
  <c r="G901" i="57" a="1"/>
  <c r="G901" i="57" s="1"/>
  <c r="F901" i="57" a="1"/>
  <c r="F901" i="57" s="1"/>
  <c r="G2233" i="57" a="1"/>
  <c r="G2233" i="57" s="1"/>
  <c r="F2233" i="57" a="1"/>
  <c r="F2233" i="57" s="1"/>
  <c r="G97" i="57" a="1"/>
  <c r="G97" i="57" s="1"/>
  <c r="F97" i="57" a="1"/>
  <c r="F97" i="57" s="1"/>
  <c r="G308" i="57" a="1"/>
  <c r="G308" i="57" s="1"/>
  <c r="F308" i="57" a="1"/>
  <c r="F308" i="57" s="1"/>
  <c r="G1590" i="57" a="1"/>
  <c r="G1590" i="57" s="1"/>
  <c r="F1590" i="57" a="1"/>
  <c r="F1590" i="57" s="1"/>
  <c r="G1848" i="57" a="1"/>
  <c r="G1848" i="57" s="1"/>
  <c r="F1848" i="57" a="1"/>
  <c r="F1848" i="57" s="1"/>
  <c r="G1615" i="57" a="1"/>
  <c r="G1615" i="57" s="1"/>
  <c r="F1615" i="57" a="1"/>
  <c r="F1615" i="57" s="1"/>
  <c r="G325" i="57" a="1"/>
  <c r="G325" i="57" s="1"/>
  <c r="F325" i="57" a="1"/>
  <c r="F325" i="57" s="1"/>
  <c r="G589" i="57" a="1"/>
  <c r="G589" i="57" s="1"/>
  <c r="F589" i="57" a="1"/>
  <c r="F589" i="57" s="1"/>
  <c r="G1352" i="57" a="1"/>
  <c r="G1352" i="57" s="1"/>
  <c r="F1352" i="57" a="1"/>
  <c r="F1352" i="57" s="1"/>
  <c r="G2118" i="57" a="1"/>
  <c r="G2118" i="57" s="1"/>
  <c r="F2118" i="57" a="1"/>
  <c r="F2118" i="57" s="1"/>
  <c r="G2376" i="57" a="1"/>
  <c r="G2376" i="57" s="1"/>
  <c r="F2376" i="57" a="1"/>
  <c r="F2376" i="57" s="1"/>
  <c r="G1861" i="57" a="1"/>
  <c r="G1861" i="57" s="1"/>
  <c r="F1861" i="57" a="1"/>
  <c r="F1861" i="57" s="1"/>
  <c r="G2125" i="57" a="1"/>
  <c r="G2125" i="57" s="1"/>
  <c r="F2125" i="57" a="1"/>
  <c r="F2125" i="57" s="1"/>
  <c r="G1440" i="57" a="1"/>
  <c r="G1440" i="57" s="1"/>
  <c r="F1440" i="57" a="1"/>
  <c r="F1440" i="57" s="1"/>
  <c r="G496" i="57" a="1"/>
  <c r="G496" i="57" s="1"/>
  <c r="F496" i="57" a="1"/>
  <c r="F496" i="57" s="1"/>
  <c r="G2044" i="57" a="1"/>
  <c r="G2044" i="57" s="1"/>
  <c r="F2044" i="57" a="1"/>
  <c r="F2044" i="57" s="1"/>
  <c r="G2260" i="57" a="1"/>
  <c r="G2260" i="57" s="1"/>
  <c r="F2260" i="57" a="1"/>
  <c r="F2260" i="57" s="1"/>
  <c r="G2003" i="57" a="1"/>
  <c r="G2003" i="57" s="1"/>
  <c r="F2003" i="57" a="1"/>
  <c r="F2003" i="57" s="1"/>
  <c r="G2219" i="57" a="1"/>
  <c r="G2219" i="57" s="1"/>
  <c r="F2219" i="57" a="1"/>
  <c r="F2219" i="57" s="1"/>
  <c r="G1976" i="57" a="1"/>
  <c r="G1976" i="57" s="1"/>
  <c r="F1976" i="57" a="1"/>
  <c r="F1976" i="57" s="1"/>
  <c r="G2192" i="57" a="1"/>
  <c r="G2192" i="57" s="1"/>
  <c r="F2192" i="57" a="1"/>
  <c r="F2192" i="57" s="1"/>
  <c r="G2408" i="57" a="1"/>
  <c r="G2408" i="57" s="1"/>
  <c r="F2408" i="57" a="1"/>
  <c r="F2408" i="57" s="1"/>
  <c r="G175" i="57" a="1"/>
  <c r="G175" i="57" s="1"/>
  <c r="F175" i="57" a="1"/>
  <c r="F175" i="57" s="1"/>
  <c r="G2441" i="57" a="1"/>
  <c r="G2441" i="57" s="1"/>
  <c r="F2441" i="57" a="1"/>
  <c r="F2441" i="57" s="1"/>
  <c r="G1578" i="57" a="1"/>
  <c r="G1578" i="57" s="1"/>
  <c r="F1578" i="57" a="1"/>
  <c r="F1578" i="57" s="1"/>
  <c r="G1794" i="57" a="1"/>
  <c r="G1794" i="57" s="1"/>
  <c r="F1794" i="57" a="1"/>
  <c r="F1794" i="57" s="1"/>
  <c r="G1519" i="57" a="1"/>
  <c r="G1519" i="57" s="1"/>
  <c r="F1519" i="57" a="1"/>
  <c r="F1519" i="57" s="1"/>
  <c r="G66" i="57" a="1"/>
  <c r="G66" i="57" s="1"/>
  <c r="F66" i="57" a="1"/>
  <c r="F66" i="57" s="1"/>
  <c r="G403" i="57" a="1"/>
  <c r="G403" i="57" s="1"/>
  <c r="F403" i="57" a="1"/>
  <c r="F403" i="57" s="1"/>
  <c r="G619" i="57" a="1"/>
  <c r="G619" i="57" s="1"/>
  <c r="F619" i="57" a="1"/>
  <c r="F619" i="57" s="1"/>
  <c r="G1316" i="57" a="1"/>
  <c r="G1316" i="57" s="1"/>
  <c r="F1316" i="57" a="1"/>
  <c r="F1316" i="57" s="1"/>
  <c r="G2064" i="57" a="1"/>
  <c r="G2064" i="57" s="1"/>
  <c r="F2064" i="57" a="1"/>
  <c r="F2064" i="57" s="1"/>
  <c r="G2280" i="57" a="1"/>
  <c r="G2280" i="57" s="1"/>
  <c r="F2280" i="57" a="1"/>
  <c r="F2280" i="57" s="1"/>
  <c r="G1723" i="57" a="1"/>
  <c r="G1723" i="57" s="1"/>
  <c r="F1723" i="57" a="1"/>
  <c r="F1723" i="57" s="1"/>
  <c r="G1939" i="57" a="1"/>
  <c r="G1939" i="57" s="1"/>
  <c r="F1939" i="57" a="1"/>
  <c r="F1939" i="57" s="1"/>
  <c r="G2155" i="57" a="1"/>
  <c r="G2155" i="57" s="1"/>
  <c r="F2155" i="57" a="1"/>
  <c r="F2155" i="57" s="1"/>
  <c r="G990" i="57" a="1"/>
  <c r="G990" i="57" s="1"/>
  <c r="F990" i="57" a="1"/>
  <c r="F990" i="57" s="1"/>
  <c r="G1111" i="57" a="1"/>
  <c r="G1111" i="57" s="1"/>
  <c r="F1111" i="57" a="1"/>
  <c r="F1111" i="57" s="1"/>
  <c r="G94" i="57" a="1"/>
  <c r="G94" i="57" s="1"/>
  <c r="F94" i="57" a="1"/>
  <c r="F94" i="57" s="1"/>
  <c r="G1372" i="57" a="1"/>
  <c r="G1372" i="57" s="1"/>
  <c r="F1372" i="57" a="1"/>
  <c r="F1372" i="57" s="1"/>
  <c r="G2437" i="57" a="1"/>
  <c r="G2437" i="57" s="1"/>
  <c r="F2437" i="57" a="1"/>
  <c r="F2437" i="57" s="1"/>
  <c r="G799" i="57" a="1"/>
  <c r="G799" i="57" s="1"/>
  <c r="F799" i="57" a="1"/>
  <c r="F799" i="57" s="1"/>
  <c r="G1177" i="57" a="1"/>
  <c r="G1177" i="57" s="1"/>
  <c r="F1177" i="57" a="1"/>
  <c r="F1177" i="57" s="1"/>
  <c r="G472" i="57" a="1"/>
  <c r="G472" i="57" s="1"/>
  <c r="F472" i="57" a="1"/>
  <c r="F472" i="57" s="1"/>
  <c r="G2263" i="57" a="1"/>
  <c r="G2263" i="57" s="1"/>
  <c r="F2263" i="57" a="1"/>
  <c r="F2263" i="57" s="1"/>
  <c r="G2479" i="57" a="1"/>
  <c r="G2479" i="57" s="1"/>
  <c r="F2479" i="57" a="1"/>
  <c r="F2479" i="57" s="1"/>
  <c r="G853" i="57" a="1"/>
  <c r="G853" i="57" s="1"/>
  <c r="F853" i="57" a="1"/>
  <c r="F853" i="57" s="1"/>
  <c r="G1255" i="57" a="1"/>
  <c r="G1255" i="57" s="1"/>
  <c r="F1255" i="57" a="1"/>
  <c r="F1255" i="57" s="1"/>
  <c r="G2413" i="57" a="1"/>
  <c r="G2413" i="57" s="1"/>
  <c r="F2413" i="57" a="1"/>
  <c r="F2413" i="57" s="1"/>
  <c r="G775" i="57" a="1"/>
  <c r="G775" i="57" s="1"/>
  <c r="F775" i="57" a="1"/>
  <c r="F775" i="57" s="1"/>
  <c r="G1129" i="57" a="1"/>
  <c r="G1129" i="57" s="1"/>
  <c r="F1129" i="57" a="1"/>
  <c r="F1129" i="57" s="1"/>
  <c r="G58" i="57" a="1"/>
  <c r="G58" i="57" s="1"/>
  <c r="F58" i="57" a="1"/>
  <c r="F58" i="57" s="1"/>
  <c r="G784" i="57" a="1"/>
  <c r="G784" i="57" s="1"/>
  <c r="F784" i="57" a="1"/>
  <c r="F784" i="57" s="1"/>
  <c r="G2419" i="57" a="1"/>
  <c r="G2419" i="57" s="1"/>
  <c r="F2419" i="57" a="1"/>
  <c r="F2419" i="57" s="1"/>
  <c r="G781" i="57" a="1"/>
  <c r="G781" i="57" s="1"/>
  <c r="F781" i="57" a="1"/>
  <c r="F781" i="57" s="1"/>
  <c r="G1141" i="57" a="1"/>
  <c r="G1141" i="57" s="1"/>
  <c r="F1141" i="57" a="1"/>
  <c r="F1141" i="57" s="1"/>
  <c r="G70" i="57" a="1"/>
  <c r="G70" i="57" s="1"/>
  <c r="F70" i="57" a="1"/>
  <c r="F70" i="57" s="1"/>
  <c r="G916" i="57" a="1"/>
  <c r="G916" i="57" s="1"/>
  <c r="F916" i="57" a="1"/>
  <c r="F916" i="57" s="1"/>
  <c r="G2425" i="57" a="1"/>
  <c r="G2425" i="57" s="1"/>
  <c r="F2425" i="57" a="1"/>
  <c r="F2425" i="57" s="1"/>
  <c r="G787" i="57" a="1"/>
  <c r="G787" i="57" s="1"/>
  <c r="F787" i="57" a="1"/>
  <c r="F787" i="57" s="1"/>
  <c r="G1153" i="57" a="1"/>
  <c r="G1153" i="57" s="1"/>
  <c r="F1153" i="57" a="1"/>
  <c r="F1153" i="57" s="1"/>
  <c r="G2185" i="57" a="1"/>
  <c r="G2185" i="57" s="1"/>
  <c r="F2185" i="57" a="1"/>
  <c r="F2185" i="57" s="1"/>
  <c r="G1194" i="57" a="1"/>
  <c r="G1194" i="57" s="1"/>
  <c r="F1194" i="57" a="1"/>
  <c r="F1194" i="57" s="1"/>
  <c r="G1171" i="57" a="1"/>
  <c r="G1171" i="57" s="1"/>
  <c r="F1171" i="57" a="1"/>
  <c r="F1171" i="57" s="1"/>
  <c r="G328" i="57" a="1"/>
  <c r="G328" i="57" s="1"/>
  <c r="F328" i="57" a="1"/>
  <c r="F328" i="57" s="1"/>
  <c r="G2251" i="57" a="1"/>
  <c r="G2251" i="57" s="1"/>
  <c r="F2251" i="57" a="1"/>
  <c r="F2251" i="57" s="1"/>
  <c r="G2467" i="57" a="1"/>
  <c r="G2467" i="57" s="1"/>
  <c r="F2467" i="57" a="1"/>
  <c r="F2467" i="57" s="1"/>
  <c r="G835" i="57" a="1"/>
  <c r="G835" i="57" s="1"/>
  <c r="F835" i="57" a="1"/>
  <c r="F835" i="57" s="1"/>
  <c r="G1231" i="57" a="1"/>
  <c r="G1231" i="57" s="1"/>
  <c r="F1231" i="57" a="1"/>
  <c r="F1231" i="57" s="1"/>
  <c r="G86" i="57" a="1"/>
  <c r="G86" i="57" s="1"/>
  <c r="F86" i="57" a="1"/>
  <c r="F86" i="57" s="1"/>
  <c r="G146" i="57" a="1"/>
  <c r="G146" i="57" s="1"/>
  <c r="F146" i="57" a="1"/>
  <c r="F146" i="57" s="1"/>
  <c r="G410" i="57" a="1"/>
  <c r="G410" i="57" s="1"/>
  <c r="F410" i="57" a="1"/>
  <c r="F410" i="57" s="1"/>
  <c r="G225" i="57" a="1"/>
  <c r="G225" i="57" s="1"/>
  <c r="F225" i="57" a="1"/>
  <c r="F225" i="57" s="1"/>
  <c r="G1447" i="57" a="1"/>
  <c r="G1447" i="57" s="1"/>
  <c r="F1447" i="57" a="1"/>
  <c r="F1447" i="57" s="1"/>
  <c r="G369" i="57" a="1"/>
  <c r="G369" i="57" s="1"/>
  <c r="F369" i="57" a="1"/>
  <c r="F369" i="57" s="1"/>
  <c r="G136" i="57" a="1"/>
  <c r="G136" i="57" s="1"/>
  <c r="F136" i="57" a="1"/>
  <c r="F136" i="57" s="1"/>
  <c r="G532" i="57" a="1"/>
  <c r="G532" i="57" s="1"/>
  <c r="F532" i="57" a="1"/>
  <c r="F532" i="57" s="1"/>
  <c r="G269" i="57" a="1"/>
  <c r="G269" i="57" s="1"/>
  <c r="F269" i="57" a="1"/>
  <c r="F269" i="57" s="1"/>
  <c r="G593" i="57" a="1"/>
  <c r="G593" i="57" s="1"/>
  <c r="F593" i="57" a="1"/>
  <c r="F593" i="57" s="1"/>
  <c r="G36" i="57" a="1"/>
  <c r="G36" i="57" s="1"/>
  <c r="F36" i="57" a="1"/>
  <c r="F36" i="57" s="1"/>
  <c r="G2495" i="57" a="1"/>
  <c r="G2495" i="57" s="1"/>
  <c r="F2495" i="57" a="1"/>
  <c r="F2495" i="57" s="1"/>
  <c r="G104" i="57" a="1"/>
  <c r="G104" i="57" s="1"/>
  <c r="F104" i="57" a="1"/>
  <c r="F104" i="57" s="1"/>
  <c r="G254" i="57" a="1"/>
  <c r="G254" i="57" s="1"/>
  <c r="F254" i="57" a="1"/>
  <c r="F254" i="57" s="1"/>
  <c r="G380" i="57" a="1"/>
  <c r="G380" i="57" s="1"/>
  <c r="F380" i="57" a="1"/>
  <c r="F380" i="57" s="1"/>
  <c r="G560" i="57" a="1"/>
  <c r="G560" i="57" s="1"/>
  <c r="F560" i="57" a="1"/>
  <c r="F560" i="57" s="1"/>
  <c r="G303" i="57" a="1"/>
  <c r="G303" i="57" s="1"/>
  <c r="F303" i="57" a="1"/>
  <c r="F303" i="57" s="1"/>
  <c r="G633" i="57" a="1"/>
  <c r="G633" i="57" s="1"/>
  <c r="F633" i="57" a="1"/>
  <c r="F633" i="57" s="1"/>
  <c r="G448" i="57" a="1"/>
  <c r="G448" i="57" s="1"/>
  <c r="F448" i="57" a="1"/>
  <c r="F448" i="57" s="1"/>
  <c r="G209" i="57" a="1"/>
  <c r="G209" i="57" s="1"/>
  <c r="F209" i="57" a="1"/>
  <c r="F209" i="57" s="1"/>
  <c r="G533" i="57" a="1"/>
  <c r="G533" i="57" s="1"/>
  <c r="F533" i="57" a="1"/>
  <c r="F533" i="57" s="1"/>
  <c r="G857" i="57" a="1"/>
  <c r="G857" i="57" s="1"/>
  <c r="F857" i="57" a="1"/>
  <c r="F857" i="57" s="1"/>
  <c r="G2507" i="57" a="1"/>
  <c r="G2507" i="57" s="1"/>
  <c r="F2507" i="57" a="1"/>
  <c r="F2507" i="57" s="1"/>
  <c r="G213" i="57" a="1"/>
  <c r="G213" i="57" s="1"/>
  <c r="F213" i="57" a="1"/>
  <c r="F213" i="57" s="1"/>
  <c r="G549" i="57" a="1"/>
  <c r="G549" i="57" s="1"/>
  <c r="F549" i="57" a="1"/>
  <c r="F549" i="57" s="1"/>
  <c r="G346" i="57" a="1"/>
  <c r="G346" i="57" s="1"/>
  <c r="F346" i="57" a="1"/>
  <c r="F346" i="57" s="1"/>
  <c r="G125" i="57" a="1"/>
  <c r="G125" i="57" s="1"/>
  <c r="F125" i="57" a="1"/>
  <c r="F125" i="57" s="1"/>
  <c r="G449" i="57" a="1"/>
  <c r="G449" i="57" s="1"/>
  <c r="F449" i="57" a="1"/>
  <c r="F449" i="57" s="1"/>
  <c r="G773" i="57" a="1"/>
  <c r="G773" i="57" s="1"/>
  <c r="F773" i="57" a="1"/>
  <c r="F773" i="57" s="1"/>
  <c r="G252" i="57" a="1"/>
  <c r="G252" i="57" s="1"/>
  <c r="F252" i="57" a="1"/>
  <c r="F252" i="57" s="1"/>
  <c r="G404" i="57" a="1"/>
  <c r="G404" i="57" s="1"/>
  <c r="F404" i="57" a="1"/>
  <c r="F404" i="57" s="1"/>
  <c r="F21" i="57" a="1"/>
  <c r="F21" i="57" s="1"/>
  <c r="G381" i="57" a="1"/>
  <c r="G381" i="57" s="1"/>
  <c r="F381" i="57" a="1"/>
  <c r="F381" i="57" s="1"/>
  <c r="G148" i="57" a="1"/>
  <c r="G148" i="57" s="1"/>
  <c r="F148" i="57" a="1"/>
  <c r="F148" i="57" s="1"/>
  <c r="G544" i="57" a="1"/>
  <c r="G544" i="57" s="1"/>
  <c r="F544" i="57" a="1"/>
  <c r="F544" i="57" s="1"/>
  <c r="G281" i="57" a="1"/>
  <c r="G281" i="57" s="1"/>
  <c r="F281" i="57" a="1"/>
  <c r="F281" i="57" s="1"/>
  <c r="G605" i="57" a="1"/>
  <c r="G605" i="57" s="1"/>
  <c r="F605" i="57" a="1"/>
  <c r="F605" i="57" s="1"/>
  <c r="G48" i="57" a="1"/>
  <c r="G48" i="57" s="1"/>
  <c r="F48" i="57" a="1"/>
  <c r="F48" i="57" s="1"/>
  <c r="G260" i="57" a="1"/>
  <c r="G260" i="57" s="1"/>
  <c r="F260" i="57" a="1"/>
  <c r="F260" i="57" s="1"/>
  <c r="G177" i="57" a="1"/>
  <c r="G177" i="57" s="1"/>
  <c r="F177" i="57" a="1"/>
  <c r="F177" i="57" s="1"/>
  <c r="G513" i="57" a="1"/>
  <c r="G513" i="57" s="1"/>
  <c r="F513" i="57" a="1"/>
  <c r="F513" i="57" s="1"/>
  <c r="G304" i="57" a="1"/>
  <c r="G304" i="57" s="1"/>
  <c r="F304" i="57" a="1"/>
  <c r="F304" i="57" s="1"/>
  <c r="G89" i="57" a="1"/>
  <c r="G89" i="57" s="1"/>
  <c r="F89" i="57" a="1"/>
  <c r="F89" i="57" s="1"/>
  <c r="G413" i="57" a="1"/>
  <c r="G413" i="57" s="1"/>
  <c r="F413" i="57" a="1"/>
  <c r="F413" i="57" s="1"/>
  <c r="G737" i="57" a="1"/>
  <c r="G737" i="57" s="1"/>
  <c r="F737" i="57" a="1"/>
  <c r="F737" i="57" s="1"/>
  <c r="G2501" i="57" a="1"/>
  <c r="G2501" i="57" s="1"/>
  <c r="F2501" i="57" a="1"/>
  <c r="F2501" i="57" s="1"/>
  <c r="G248" i="57" a="1"/>
  <c r="G248" i="57" s="1"/>
  <c r="F248" i="57" a="1"/>
  <c r="F248" i="57" s="1"/>
  <c r="G339" i="57" a="1"/>
  <c r="G339" i="57" s="1"/>
  <c r="F339" i="57" a="1"/>
  <c r="F339" i="57" s="1"/>
  <c r="G286" i="57" a="1"/>
  <c r="G286" i="57" s="1"/>
  <c r="F286" i="57" a="1"/>
  <c r="F286" i="57" s="1"/>
  <c r="G71" i="57" a="1"/>
  <c r="G71" i="57" s="1"/>
  <c r="F71" i="57" a="1"/>
  <c r="F71" i="57" s="1"/>
  <c r="G395" i="57" a="1"/>
  <c r="G395" i="57" s="1"/>
  <c r="F395" i="57" a="1"/>
  <c r="F395" i="57" s="1"/>
  <c r="G719" i="57" a="1"/>
  <c r="G719" i="57" s="1"/>
  <c r="F719" i="57" a="1"/>
  <c r="F719" i="57" s="1"/>
  <c r="G156" i="57" a="1"/>
  <c r="G156" i="57" s="1"/>
  <c r="F156" i="57" a="1"/>
  <c r="F156" i="57" s="1"/>
  <c r="G49" i="57" a="1"/>
  <c r="G49" i="57" s="1"/>
  <c r="F49" i="57" a="1"/>
  <c r="F49" i="57" s="1"/>
  <c r="G530" i="57" a="1"/>
  <c r="G530" i="57" s="1"/>
  <c r="F530" i="57" a="1"/>
  <c r="F530" i="57" s="1"/>
  <c r="G165" i="57" a="1"/>
  <c r="G165" i="57" s="1"/>
  <c r="F165" i="57" a="1"/>
  <c r="F165" i="57" s="1"/>
  <c r="G411" i="57" a="1"/>
  <c r="G411" i="57" s="1"/>
  <c r="F411" i="57" a="1"/>
  <c r="F411" i="57" s="1"/>
  <c r="G2491" i="57" a="1"/>
  <c r="G2491" i="57" s="1"/>
  <c r="F2491" i="57" a="1"/>
  <c r="F2491" i="57" s="1"/>
  <c r="G358" i="57" a="1"/>
  <c r="G358" i="57" s="1"/>
  <c r="F358" i="57" a="1"/>
  <c r="F358" i="57" s="1"/>
  <c r="F15" i="57" a="1"/>
  <c r="F15" i="57" s="1"/>
  <c r="G77" i="57" a="1"/>
  <c r="G77" i="57" s="1"/>
  <c r="F77" i="57" a="1"/>
  <c r="F77" i="57" s="1"/>
  <c r="G203" i="57" a="1"/>
  <c r="G203" i="57" s="1"/>
  <c r="F203" i="57" a="1"/>
  <c r="F203" i="57" s="1"/>
  <c r="G311" i="57" a="1"/>
  <c r="G311" i="57" s="1"/>
  <c r="F311" i="57" a="1"/>
  <c r="F311" i="57" s="1"/>
  <c r="G419" i="57" a="1"/>
  <c r="G419" i="57" s="1"/>
  <c r="F419" i="57" a="1"/>
  <c r="F419" i="57" s="1"/>
  <c r="G527" i="57" a="1"/>
  <c r="G527" i="57" s="1"/>
  <c r="F527" i="57" a="1"/>
  <c r="F527" i="57" s="1"/>
  <c r="G635" i="57" a="1"/>
  <c r="G635" i="57" s="1"/>
  <c r="F635" i="57" a="1"/>
  <c r="F635" i="57" s="1"/>
  <c r="G743" i="57" a="1"/>
  <c r="G743" i="57" s="1"/>
  <c r="F743" i="57" a="1"/>
  <c r="F743" i="57" s="1"/>
  <c r="G851" i="57" a="1"/>
  <c r="G851" i="57" s="1"/>
  <c r="F851" i="57" a="1"/>
  <c r="F851" i="57" s="1"/>
  <c r="G84" i="57" a="1"/>
  <c r="G84" i="57" s="1"/>
  <c r="F84" i="57" a="1"/>
  <c r="F84" i="57" s="1"/>
  <c r="G222" i="57" a="1"/>
  <c r="G222" i="57" s="1"/>
  <c r="F222" i="57" a="1"/>
  <c r="F222" i="57" s="1"/>
  <c r="G342" i="57" a="1"/>
  <c r="G342" i="57" s="1"/>
  <c r="F342" i="57" a="1"/>
  <c r="F342" i="57" s="1"/>
  <c r="G504" i="57" a="1"/>
  <c r="G504" i="57" s="1"/>
  <c r="F504" i="57" a="1"/>
  <c r="F504" i="57" s="1"/>
  <c r="G624" i="57" a="1"/>
  <c r="G624" i="57" s="1"/>
  <c r="F624" i="57" a="1"/>
  <c r="F624" i="57" s="1"/>
  <c r="G953" i="57" a="1"/>
  <c r="G953" i="57" s="1"/>
  <c r="F953" i="57" a="1"/>
  <c r="F953" i="57" s="1"/>
  <c r="G1061" i="57" a="1"/>
  <c r="G1061" i="57" s="1"/>
  <c r="F1061" i="57" a="1"/>
  <c r="F1061" i="57" s="1"/>
  <c r="G1169" i="57" a="1"/>
  <c r="G1169" i="57" s="1"/>
  <c r="F1169" i="57" a="1"/>
  <c r="F1169" i="57" s="1"/>
  <c r="G1277" i="57" a="1"/>
  <c r="G1277" i="57" s="1"/>
  <c r="F1277" i="57" a="1"/>
  <c r="F1277" i="57" s="1"/>
  <c r="G1380" i="57" a="1"/>
  <c r="G1380" i="57" s="1"/>
  <c r="F1380" i="57" a="1"/>
  <c r="F1380" i="57" s="1"/>
  <c r="G804" i="57" a="1"/>
  <c r="G804" i="57" s="1"/>
  <c r="F804" i="57" a="1"/>
  <c r="F804" i="57" s="1"/>
  <c r="G936" i="57" a="1"/>
  <c r="G936" i="57" s="1"/>
  <c r="F936" i="57" a="1"/>
  <c r="F936" i="57" s="1"/>
  <c r="G1062" i="57" a="1"/>
  <c r="G1062" i="57" s="1"/>
  <c r="F1062" i="57" a="1"/>
  <c r="F1062" i="57" s="1"/>
  <c r="G1188" i="57" a="1"/>
  <c r="G1188" i="57" s="1"/>
  <c r="F1188" i="57" a="1"/>
  <c r="F1188" i="57" s="1"/>
  <c r="G1326" i="57" a="1"/>
  <c r="G1326" i="57" s="1"/>
  <c r="F1326" i="57" a="1"/>
  <c r="F1326" i="57" s="1"/>
  <c r="G644" i="57" a="1"/>
  <c r="G644" i="57" s="1"/>
  <c r="F644" i="57" a="1"/>
  <c r="F644" i="57" s="1"/>
  <c r="G764" i="57" a="1"/>
  <c r="G764" i="57" s="1"/>
  <c r="F764" i="57" a="1"/>
  <c r="F764" i="57" s="1"/>
  <c r="G896" i="57" a="1"/>
  <c r="G896" i="57" s="1"/>
  <c r="F896" i="57" a="1"/>
  <c r="F896" i="57" s="1"/>
  <c r="G1058" i="57" a="1"/>
  <c r="G1058" i="57" s="1"/>
  <c r="F1058" i="57" a="1"/>
  <c r="F1058" i="57" s="1"/>
  <c r="G1220" i="57" a="1"/>
  <c r="G1220" i="57" s="1"/>
  <c r="F1220" i="57" a="1"/>
  <c r="F1220" i="57" s="1"/>
  <c r="G1382" i="57" a="1"/>
  <c r="G1382" i="57" s="1"/>
  <c r="F1382" i="57" a="1"/>
  <c r="F1382" i="57" s="1"/>
  <c r="G717" i="57" a="1"/>
  <c r="G717" i="57" s="1"/>
  <c r="F717" i="57" a="1"/>
  <c r="F717" i="57" s="1"/>
  <c r="G861" i="57" a="1"/>
  <c r="G861" i="57" s="1"/>
  <c r="F861" i="57" a="1"/>
  <c r="F861" i="57" s="1"/>
  <c r="G1197" i="57" a="1"/>
  <c r="G1197" i="57" s="1"/>
  <c r="F1197" i="57" a="1"/>
  <c r="F1197" i="57" s="1"/>
  <c r="G670" i="57" a="1"/>
  <c r="G670" i="57" s="1"/>
  <c r="F670" i="57" a="1"/>
  <c r="F670" i="57" s="1"/>
  <c r="G1036" i="57" a="1"/>
  <c r="G1036" i="57" s="1"/>
  <c r="F1036" i="57" a="1"/>
  <c r="F1036" i="57" s="1"/>
  <c r="G1408" i="57" a="1"/>
  <c r="G1408" i="57" s="1"/>
  <c r="F1408" i="57" a="1"/>
  <c r="F1408" i="57" s="1"/>
  <c r="G1665" i="57" a="1"/>
  <c r="G1665" i="57" s="1"/>
  <c r="F1665" i="57" a="1"/>
  <c r="F1665" i="57" s="1"/>
  <c r="G1474" i="57" a="1"/>
  <c r="G1474" i="57" s="1"/>
  <c r="F1474" i="57" a="1"/>
  <c r="F1474" i="57" s="1"/>
  <c r="G1786" i="57" a="1"/>
  <c r="G1786" i="57" s="1"/>
  <c r="F1786" i="57" a="1"/>
  <c r="F1786" i="57" s="1"/>
  <c r="G1679" i="57" a="1"/>
  <c r="G1679" i="57" s="1"/>
  <c r="F1679" i="57" a="1"/>
  <c r="F1679" i="57" s="1"/>
  <c r="G1694" i="57" a="1"/>
  <c r="G1694" i="57" s="1"/>
  <c r="F1694" i="57" a="1"/>
  <c r="F1694" i="57" s="1"/>
  <c r="G548" i="57" a="1"/>
  <c r="G548" i="57" s="1"/>
  <c r="F548" i="57" a="1"/>
  <c r="F548" i="57" s="1"/>
  <c r="G183" i="57" a="1"/>
  <c r="G183" i="57" s="1"/>
  <c r="F183" i="57" a="1"/>
  <c r="F183" i="57" s="1"/>
  <c r="G393" i="57" a="1"/>
  <c r="G393" i="57" s="1"/>
  <c r="F393" i="57" a="1"/>
  <c r="F393" i="57" s="1"/>
  <c r="G591" i="57" a="1"/>
  <c r="G591" i="57" s="1"/>
  <c r="F591" i="57" a="1"/>
  <c r="F591" i="57" s="1"/>
  <c r="G256" i="57" a="1"/>
  <c r="G256" i="57" s="1"/>
  <c r="F256" i="57" a="1"/>
  <c r="F256" i="57" s="1"/>
  <c r="G149" i="57" a="1"/>
  <c r="G149" i="57" s="1"/>
  <c r="F149" i="57" a="1"/>
  <c r="F149" i="57" s="1"/>
  <c r="G1137" i="57" a="1"/>
  <c r="G1137" i="57" s="1"/>
  <c r="F1137" i="57" a="1"/>
  <c r="F1137" i="57" s="1"/>
  <c r="G592" i="57" a="1"/>
  <c r="G592" i="57" s="1"/>
  <c r="F592" i="57" a="1"/>
  <c r="F592" i="57" s="1"/>
  <c r="G976" i="57" a="1"/>
  <c r="G976" i="57" s="1"/>
  <c r="F976" i="57" a="1"/>
  <c r="F976" i="57" s="1"/>
  <c r="G1336" i="57" a="1"/>
  <c r="G1336" i="57" s="1"/>
  <c r="F1336" i="57" a="1"/>
  <c r="F1336" i="57" s="1"/>
  <c r="G1569" i="57" a="1"/>
  <c r="G1569" i="57" s="1"/>
  <c r="F1569" i="57" a="1"/>
  <c r="F1569" i="57" s="1"/>
  <c r="G1881" i="57" a="1"/>
  <c r="G1881" i="57" s="1"/>
  <c r="F1881" i="57" a="1"/>
  <c r="F1881" i="57" s="1"/>
  <c r="G1690" i="57" a="1"/>
  <c r="G1690" i="57" s="1"/>
  <c r="F1690" i="57" a="1"/>
  <c r="F1690" i="57" s="1"/>
  <c r="G1535" i="57" a="1"/>
  <c r="G1535" i="57" s="1"/>
  <c r="F1535" i="57" a="1"/>
  <c r="F1535" i="57" s="1"/>
  <c r="G1550" i="57" a="1"/>
  <c r="G1550" i="57" s="1"/>
  <c r="F1550" i="57" a="1"/>
  <c r="F1550" i="57" s="1"/>
  <c r="G294" i="57" a="1"/>
  <c r="G294" i="57" s="1"/>
  <c r="F294" i="57" a="1"/>
  <c r="F294" i="57" s="1"/>
  <c r="G630" i="57" a="1"/>
  <c r="G630" i="57" s="1"/>
  <c r="F630" i="57" a="1"/>
  <c r="F630" i="57" s="1"/>
  <c r="G1049" i="57" a="1"/>
  <c r="G1049" i="57" s="1"/>
  <c r="F1049" i="57" a="1"/>
  <c r="F1049" i="57" s="1"/>
  <c r="G1175" i="57" a="1"/>
  <c r="G1175" i="57" s="1"/>
  <c r="F1175" i="57" a="1"/>
  <c r="F1175" i="57" s="1"/>
  <c r="G1283" i="57" a="1"/>
  <c r="G1283" i="57" s="1"/>
  <c r="F1283" i="57" a="1"/>
  <c r="F1283" i="57" s="1"/>
  <c r="G654" i="57" a="1"/>
  <c r="G654" i="57" s="1"/>
  <c r="F654" i="57" a="1"/>
  <c r="F654" i="57" s="1"/>
  <c r="G816" i="57" a="1"/>
  <c r="G816" i="57" s="1"/>
  <c r="F816" i="57" a="1"/>
  <c r="F816" i="57" s="1"/>
  <c r="G960" i="57" a="1"/>
  <c r="G960" i="57" s="1"/>
  <c r="F960" i="57" a="1"/>
  <c r="F960" i="57" s="1"/>
  <c r="G1092" i="57" a="1"/>
  <c r="G1092" i="57" s="1"/>
  <c r="F1092" i="57" a="1"/>
  <c r="F1092" i="57" s="1"/>
  <c r="G1230" i="57" a="1"/>
  <c r="G1230" i="57" s="1"/>
  <c r="F1230" i="57" a="1"/>
  <c r="F1230" i="57" s="1"/>
  <c r="G1362" i="57" a="1"/>
  <c r="G1362" i="57" s="1"/>
  <c r="F1362" i="57" a="1"/>
  <c r="F1362" i="57" s="1"/>
  <c r="G674" i="57" a="1"/>
  <c r="G674" i="57" s="1"/>
  <c r="F674" i="57" a="1"/>
  <c r="F674" i="57" s="1"/>
  <c r="G794" i="57" a="1"/>
  <c r="G794" i="57" s="1"/>
  <c r="F794" i="57" a="1"/>
  <c r="F794" i="57" s="1"/>
  <c r="G932" i="57" a="1"/>
  <c r="G932" i="57" s="1"/>
  <c r="F932" i="57" a="1"/>
  <c r="F932" i="57" s="1"/>
  <c r="G1094" i="57" a="1"/>
  <c r="G1094" i="57" s="1"/>
  <c r="F1094" i="57" a="1"/>
  <c r="F1094" i="57" s="1"/>
  <c r="G1256" i="57" a="1"/>
  <c r="G1256" i="57" s="1"/>
  <c r="F1256" i="57" a="1"/>
  <c r="F1256" i="57" s="1"/>
  <c r="G1418" i="57" a="1"/>
  <c r="G1418" i="57" s="1"/>
  <c r="F1418" i="57" a="1"/>
  <c r="F1418" i="57" s="1"/>
  <c r="G741" i="57" a="1"/>
  <c r="G741" i="57" s="1"/>
  <c r="F741" i="57" a="1"/>
  <c r="F741" i="57" s="1"/>
  <c r="G945" i="57" a="1"/>
  <c r="G945" i="57" s="1"/>
  <c r="F945" i="57" a="1"/>
  <c r="F945" i="57" s="1"/>
  <c r="G1275" i="57" a="1"/>
  <c r="G1275" i="57" s="1"/>
  <c r="F1275" i="57" a="1"/>
  <c r="F1275" i="57" s="1"/>
  <c r="G748" i="57" a="1"/>
  <c r="G748" i="57" s="1"/>
  <c r="F748" i="57" a="1"/>
  <c r="F748" i="57" s="1"/>
  <c r="G1120" i="57" a="1"/>
  <c r="G1120" i="57" s="1"/>
  <c r="F1120" i="57" a="1"/>
  <c r="F1120" i="57" s="1"/>
  <c r="G1403" i="57" a="1"/>
  <c r="G1403" i="57" s="1"/>
  <c r="F1403" i="57" a="1"/>
  <c r="F1403" i="57" s="1"/>
  <c r="G1737" i="57" a="1"/>
  <c r="G1737" i="57" s="1"/>
  <c r="F1737" i="57" a="1"/>
  <c r="F1737" i="57" s="1"/>
  <c r="G1546" i="57" a="1"/>
  <c r="G1546" i="57" s="1"/>
  <c r="F1546" i="57" a="1"/>
  <c r="F1546" i="57" s="1"/>
  <c r="G1852" i="57" a="1"/>
  <c r="G1852" i="57" s="1"/>
  <c r="F1852" i="57" a="1"/>
  <c r="F1852" i="57" s="1"/>
  <c r="G1799" i="57" a="1"/>
  <c r="G1799" i="57" s="1"/>
  <c r="F1799" i="57" a="1"/>
  <c r="F1799" i="57" s="1"/>
  <c r="G1814" i="57" a="1"/>
  <c r="G1814" i="57" s="1"/>
  <c r="F1814" i="57" a="1"/>
  <c r="F1814" i="57" s="1"/>
  <c r="G372" i="57" a="1"/>
  <c r="G372" i="57" s="1"/>
  <c r="F372" i="57" a="1"/>
  <c r="F372" i="57" s="1"/>
  <c r="G612" i="57" a="1"/>
  <c r="G612" i="57" s="1"/>
  <c r="F612" i="57" a="1"/>
  <c r="F612" i="57" s="1"/>
  <c r="G1067" i="57" a="1"/>
  <c r="G1067" i="57" s="1"/>
  <c r="F1067" i="57" a="1"/>
  <c r="F1067" i="57" s="1"/>
  <c r="G1101" i="57" a="1"/>
  <c r="G1101" i="57" s="1"/>
  <c r="F1101" i="57" a="1"/>
  <c r="F1101" i="57" s="1"/>
  <c r="G1443" i="57" a="1"/>
  <c r="G1443" i="57" s="1"/>
  <c r="F1443" i="57" a="1"/>
  <c r="F1443" i="57" s="1"/>
  <c r="G934" i="57" a="1"/>
  <c r="G934" i="57" s="1"/>
  <c r="F934" i="57" a="1"/>
  <c r="F934" i="57" s="1"/>
  <c r="G1294" i="57" a="1"/>
  <c r="G1294" i="57" s="1"/>
  <c r="F1294" i="57" a="1"/>
  <c r="F1294" i="57" s="1"/>
  <c r="G1533" i="57" a="1"/>
  <c r="G1533" i="57" s="1"/>
  <c r="F1533" i="57" a="1"/>
  <c r="F1533" i="57" s="1"/>
  <c r="G1845" i="57" a="1"/>
  <c r="G1845" i="57" s="1"/>
  <c r="F1845" i="57" a="1"/>
  <c r="F1845" i="57" s="1"/>
  <c r="G1660" i="57" a="1"/>
  <c r="G1660" i="57" s="1"/>
  <c r="F1660" i="57" a="1"/>
  <c r="F1660" i="57" s="1"/>
  <c r="G1463" i="57" a="1"/>
  <c r="G1463" i="57" s="1"/>
  <c r="F1463" i="57" a="1"/>
  <c r="F1463" i="57" s="1"/>
  <c r="G1478" i="57" a="1"/>
  <c r="G1478" i="57" s="1"/>
  <c r="F1478" i="57" a="1"/>
  <c r="F1478" i="57" s="1"/>
  <c r="G1995" i="57" a="1"/>
  <c r="G1995" i="57" s="1"/>
  <c r="F1995" i="57" a="1"/>
  <c r="F1995" i="57" s="1"/>
  <c r="G534" i="57" a="1"/>
  <c r="G534" i="57" s="1"/>
  <c r="F534" i="57" a="1"/>
  <c r="F534" i="57" s="1"/>
  <c r="G947" i="57" a="1"/>
  <c r="G947" i="57" s="1"/>
  <c r="F947" i="57" a="1"/>
  <c r="F947" i="57" s="1"/>
  <c r="G1073" i="57" a="1"/>
  <c r="G1073" i="57" s="1"/>
  <c r="F1073" i="57" a="1"/>
  <c r="F1073" i="57" s="1"/>
  <c r="G1181" i="57" a="1"/>
  <c r="G1181" i="57" s="1"/>
  <c r="F1181" i="57" a="1"/>
  <c r="F1181" i="57" s="1"/>
  <c r="G1289" i="57" a="1"/>
  <c r="G1289" i="57" s="1"/>
  <c r="F1289" i="57" a="1"/>
  <c r="F1289" i="57" s="1"/>
  <c r="G660" i="57" a="1"/>
  <c r="G660" i="57" s="1"/>
  <c r="F660" i="57" a="1"/>
  <c r="F660" i="57" s="1"/>
  <c r="G822" i="57" a="1"/>
  <c r="G822" i="57" s="1"/>
  <c r="F822" i="57" a="1"/>
  <c r="F822" i="57" s="1"/>
  <c r="G966" i="57" a="1"/>
  <c r="G966" i="57" s="1"/>
  <c r="F966" i="57" a="1"/>
  <c r="F966" i="57" s="1"/>
  <c r="G1104" i="57" a="1"/>
  <c r="G1104" i="57" s="1"/>
  <c r="F1104" i="57" a="1"/>
  <c r="F1104" i="57" s="1"/>
  <c r="G1236" i="57" a="1"/>
  <c r="G1236" i="57" s="1"/>
  <c r="F1236" i="57" a="1"/>
  <c r="F1236" i="57" s="1"/>
  <c r="G1368" i="57" a="1"/>
  <c r="G1368" i="57" s="1"/>
  <c r="F1368" i="57" a="1"/>
  <c r="F1368" i="57" s="1"/>
  <c r="G680" i="57" a="1"/>
  <c r="G680" i="57" s="1"/>
  <c r="F680" i="57" a="1"/>
  <c r="F680" i="57" s="1"/>
  <c r="G800" i="57" a="1"/>
  <c r="G800" i="57" s="1"/>
  <c r="F800" i="57" a="1"/>
  <c r="F800" i="57" s="1"/>
  <c r="G944" i="57" a="1"/>
  <c r="G944" i="57" s="1"/>
  <c r="F944" i="57" a="1"/>
  <c r="F944" i="57" s="1"/>
  <c r="G1106" i="57" a="1"/>
  <c r="G1106" i="57" s="1"/>
  <c r="F1106" i="57" a="1"/>
  <c r="F1106" i="57" s="1"/>
  <c r="G1268" i="57" a="1"/>
  <c r="G1268" i="57" s="1"/>
  <c r="F1268" i="57" a="1"/>
  <c r="F1268" i="57" s="1"/>
  <c r="G1430" i="57" a="1"/>
  <c r="G1430" i="57" s="1"/>
  <c r="F1430" i="57" a="1"/>
  <c r="F1430" i="57" s="1"/>
  <c r="G747" i="57" a="1"/>
  <c r="G747" i="57" s="1"/>
  <c r="F747" i="57" a="1"/>
  <c r="F747" i="57" s="1"/>
  <c r="G975" i="57" a="1"/>
  <c r="G975" i="57" s="1"/>
  <c r="F975" i="57" a="1"/>
  <c r="F975" i="57" s="1"/>
  <c r="G1305" i="57" a="1"/>
  <c r="G1305" i="57" s="1"/>
  <c r="F1305" i="57" a="1"/>
  <c r="F1305" i="57" s="1"/>
  <c r="G796" i="57" a="1"/>
  <c r="G796" i="57" s="1"/>
  <c r="F796" i="57" a="1"/>
  <c r="F796" i="57" s="1"/>
  <c r="G1162" i="57" a="1"/>
  <c r="G1162" i="57" s="1"/>
  <c r="F1162" i="57" a="1"/>
  <c r="F1162" i="57" s="1"/>
  <c r="G1445" i="57" a="1"/>
  <c r="G1445" i="57" s="1"/>
  <c r="F1445" i="57" a="1"/>
  <c r="F1445" i="57" s="1"/>
  <c r="G1749" i="57" a="1"/>
  <c r="G1749" i="57" s="1"/>
  <c r="F1749" i="57" a="1"/>
  <c r="F1749" i="57" s="1"/>
  <c r="G1558" i="57" a="1"/>
  <c r="G1558" i="57" s="1"/>
  <c r="F1558" i="57" a="1"/>
  <c r="F1558" i="57" s="1"/>
  <c r="G1876" i="57" a="1"/>
  <c r="G1876" i="57" s="1"/>
  <c r="F1876" i="57" a="1"/>
  <c r="F1876" i="57" s="1"/>
  <c r="G1835" i="57" a="1"/>
  <c r="G1835" i="57" s="1"/>
  <c r="F1835" i="57" a="1"/>
  <c r="F1835" i="57" s="1"/>
  <c r="G1850" i="57" a="1"/>
  <c r="G1850" i="57" s="1"/>
  <c r="F1850" i="57" a="1"/>
  <c r="F1850" i="57" s="1"/>
  <c r="G258" i="57" a="1"/>
  <c r="G258" i="57" s="1"/>
  <c r="F258" i="57" a="1"/>
  <c r="F258" i="57" s="1"/>
  <c r="G468" i="57" a="1"/>
  <c r="G468" i="57" s="1"/>
  <c r="F468" i="57" a="1"/>
  <c r="F468" i="57" s="1"/>
  <c r="G983" i="57" a="1"/>
  <c r="G983" i="57" s="1"/>
  <c r="F983" i="57" a="1"/>
  <c r="F983" i="57" s="1"/>
  <c r="G1065" i="57" a="1"/>
  <c r="G1065" i="57" s="1"/>
  <c r="F1065" i="57" a="1"/>
  <c r="F1065" i="57" s="1"/>
  <c r="G1407" i="57" a="1"/>
  <c r="G1407" i="57" s="1"/>
  <c r="F1407" i="57" a="1"/>
  <c r="F1407" i="57" s="1"/>
  <c r="G892" i="57" a="1"/>
  <c r="G892" i="57" s="1"/>
  <c r="F892" i="57" a="1"/>
  <c r="F892" i="57" s="1"/>
  <c r="G1252" i="57" a="1"/>
  <c r="G1252" i="57" s="1"/>
  <c r="F1252" i="57" a="1"/>
  <c r="F1252" i="57" s="1"/>
  <c r="G1497" i="57" a="1"/>
  <c r="G1497" i="57" s="1"/>
  <c r="F1497" i="57" a="1"/>
  <c r="F1497" i="57" s="1"/>
  <c r="G1815" i="57" a="1"/>
  <c r="G1815" i="57" s="1"/>
  <c r="F1815" i="57" a="1"/>
  <c r="F1815" i="57" s="1"/>
  <c r="G1624" i="57" a="1"/>
  <c r="G1624" i="57" s="1"/>
  <c r="F1624" i="57" a="1"/>
  <c r="F1624" i="57" s="1"/>
  <c r="G1930" i="57" a="1"/>
  <c r="G1930" i="57" s="1"/>
  <c r="F1930" i="57" a="1"/>
  <c r="F1930" i="57" s="1"/>
  <c r="G1931" i="57" a="1"/>
  <c r="G1931" i="57" s="1"/>
  <c r="F1931" i="57" a="1"/>
  <c r="F1931" i="57" s="1"/>
  <c r="G1946" i="57" a="1"/>
  <c r="G1946" i="57" s="1"/>
  <c r="F1946" i="57" a="1"/>
  <c r="F1946" i="57" s="1"/>
  <c r="G909" i="57" a="1"/>
  <c r="G909" i="57" s="1"/>
  <c r="F909" i="57" a="1"/>
  <c r="F909" i="57" s="1"/>
  <c r="G1023" i="57" a="1"/>
  <c r="G1023" i="57" s="1"/>
  <c r="F1023" i="57" a="1"/>
  <c r="F1023" i="57" s="1"/>
  <c r="G1131" i="57" a="1"/>
  <c r="G1131" i="57" s="1"/>
  <c r="F1131" i="57" a="1"/>
  <c r="F1131" i="57" s="1"/>
  <c r="G1239" i="57" a="1"/>
  <c r="G1239" i="57" s="1"/>
  <c r="F1239" i="57" a="1"/>
  <c r="F1239" i="57" s="1"/>
  <c r="G1365" i="57" a="1"/>
  <c r="G1365" i="57" s="1"/>
  <c r="F1365" i="57" a="1"/>
  <c r="F1365" i="57" s="1"/>
  <c r="G586" i="57" a="1"/>
  <c r="G586" i="57" s="1"/>
  <c r="F586" i="57" a="1"/>
  <c r="F586" i="57" s="1"/>
  <c r="G712" i="57" a="1"/>
  <c r="G712" i="57" s="1"/>
  <c r="F712" i="57" a="1"/>
  <c r="F712" i="57" s="1"/>
  <c r="G844" i="57" a="1"/>
  <c r="G844" i="57" s="1"/>
  <c r="F844" i="57" a="1"/>
  <c r="F844" i="57" s="1"/>
  <c r="G970" i="57" a="1"/>
  <c r="G970" i="57" s="1"/>
  <c r="F970" i="57" a="1"/>
  <c r="F970" i="57" s="1"/>
  <c r="G1084" i="57" a="1"/>
  <c r="G1084" i="57" s="1"/>
  <c r="F1084" i="57" a="1"/>
  <c r="F1084" i="57" s="1"/>
  <c r="G1210" i="57" a="1"/>
  <c r="G1210" i="57" s="1"/>
  <c r="F1210" i="57" a="1"/>
  <c r="F1210" i="57" s="1"/>
  <c r="G1330" i="57" a="1"/>
  <c r="G1330" i="57" s="1"/>
  <c r="F1330" i="57" a="1"/>
  <c r="F1330" i="57" s="1"/>
  <c r="G1307" i="57" a="1"/>
  <c r="G1307" i="57" s="1"/>
  <c r="F1307" i="57" a="1"/>
  <c r="F1307" i="57" s="1"/>
  <c r="G1509" i="57" a="1"/>
  <c r="G1509" i="57" s="1"/>
  <c r="F1509" i="57" a="1"/>
  <c r="F1509" i="57" s="1"/>
  <c r="G1767" i="57" a="1"/>
  <c r="G1767" i="57" s="1"/>
  <c r="F1767" i="57" a="1"/>
  <c r="F1767" i="57" s="1"/>
  <c r="G1522" i="57" a="1"/>
  <c r="G1522" i="57" s="1"/>
  <c r="F1522" i="57" a="1"/>
  <c r="F1522" i="57" s="1"/>
  <c r="G1780" i="57" a="1"/>
  <c r="G1780" i="57" s="1"/>
  <c r="F1780" i="57" a="1"/>
  <c r="F1780" i="57" s="1"/>
  <c r="G1523" i="57" a="1"/>
  <c r="G1523" i="57" s="1"/>
  <c r="F1523" i="57" a="1"/>
  <c r="F1523" i="57" s="1"/>
  <c r="G1787" i="57" a="1"/>
  <c r="G1787" i="57" s="1"/>
  <c r="F1787" i="57" a="1"/>
  <c r="F1787" i="57" s="1"/>
  <c r="G1544" i="57" a="1"/>
  <c r="G1544" i="57" s="1"/>
  <c r="F1544" i="57" a="1"/>
  <c r="F1544" i="57" s="1"/>
  <c r="G1802" i="57" a="1"/>
  <c r="G1802" i="57" s="1"/>
  <c r="F1802" i="57" a="1"/>
  <c r="F1802" i="57" s="1"/>
  <c r="G2061" i="57" a="1"/>
  <c r="G2061" i="57" s="1"/>
  <c r="F2061" i="57" a="1"/>
  <c r="F2061" i="57" s="1"/>
  <c r="G2319" i="57" a="1"/>
  <c r="G2319" i="57" s="1"/>
  <c r="F2319" i="57" a="1"/>
  <c r="F2319" i="57" s="1"/>
  <c r="G2110" i="57" a="1"/>
  <c r="G2110" i="57" s="1"/>
  <c r="F2110" i="57" a="1"/>
  <c r="F2110" i="57" s="1"/>
  <c r="G2422" i="57" a="1"/>
  <c r="G2422" i="57" s="1"/>
  <c r="F2422" i="57" a="1"/>
  <c r="F2422" i="57" s="1"/>
  <c r="G2261" i="57" a="1"/>
  <c r="G2261" i="57" s="1"/>
  <c r="F2261" i="57" a="1"/>
  <c r="F2261" i="57" s="1"/>
  <c r="G2108" i="57" a="1"/>
  <c r="G2108" i="57" s="1"/>
  <c r="F2108" i="57" a="1"/>
  <c r="F2108" i="57" s="1"/>
  <c r="G2450" i="57" a="1"/>
  <c r="G2450" i="57" s="1"/>
  <c r="F2450" i="57" a="1"/>
  <c r="F2450" i="57" s="1"/>
  <c r="G2435" i="57" a="1"/>
  <c r="G2435" i="57" s="1"/>
  <c r="F2435" i="57" a="1"/>
  <c r="F2435" i="57" s="1"/>
  <c r="G1746" i="57" a="1"/>
  <c r="G1746" i="57" s="1"/>
  <c r="F1746" i="57" a="1"/>
  <c r="F1746" i="57" s="1"/>
  <c r="G2184" i="57" a="1"/>
  <c r="G2184" i="57" s="1"/>
  <c r="F2184" i="57" a="1"/>
  <c r="F2184" i="57" s="1"/>
  <c r="G2067" i="57" a="1"/>
  <c r="G2067" i="57" s="1"/>
  <c r="F2067" i="57" a="1"/>
  <c r="F2067" i="57" s="1"/>
  <c r="G2331" i="57" a="1"/>
  <c r="G2331" i="57" s="1"/>
  <c r="F2331" i="57" a="1"/>
  <c r="F2331" i="57" s="1"/>
  <c r="G2122" i="57" a="1"/>
  <c r="G2122" i="57" s="1"/>
  <c r="F2122" i="57" a="1"/>
  <c r="F2122" i="57" s="1"/>
  <c r="G1955" i="57" a="1"/>
  <c r="G1955" i="57" s="1"/>
  <c r="F1955" i="57" a="1"/>
  <c r="F1955" i="57" s="1"/>
  <c r="G2267" i="57" a="1"/>
  <c r="G2267" i="57" s="1"/>
  <c r="F2267" i="57" a="1"/>
  <c r="F2267" i="57" s="1"/>
  <c r="G2114" i="57" a="1"/>
  <c r="G2114" i="57" s="1"/>
  <c r="F2114" i="57" a="1"/>
  <c r="F2114" i="57" s="1"/>
  <c r="G2456" i="57" a="1"/>
  <c r="G2456" i="57" s="1"/>
  <c r="F2456" i="57" a="1"/>
  <c r="F2456" i="57" s="1"/>
  <c r="G2447" i="57" a="1"/>
  <c r="G2447" i="57" s="1"/>
  <c r="F2447" i="57" a="1"/>
  <c r="F2447" i="57" s="1"/>
  <c r="G1752" i="57" a="1"/>
  <c r="G1752" i="57" s="1"/>
  <c r="F1752" i="57" a="1"/>
  <c r="F1752" i="57" s="1"/>
  <c r="G2226" i="57" a="1"/>
  <c r="G2226" i="57" s="1"/>
  <c r="F2226" i="57" a="1"/>
  <c r="F2226" i="57" s="1"/>
  <c r="G2121" i="57" a="1"/>
  <c r="G2121" i="57" s="1"/>
  <c r="F2121" i="57" a="1"/>
  <c r="F2121" i="57" s="1"/>
  <c r="G2379" i="57" a="1"/>
  <c r="G2379" i="57" s="1"/>
  <c r="F2379" i="57" a="1"/>
  <c r="F2379" i="57" s="1"/>
  <c r="G2176" i="57" a="1"/>
  <c r="G2176" i="57" s="1"/>
  <c r="F2176" i="57" a="1"/>
  <c r="F2176" i="57" s="1"/>
  <c r="G2015" i="57" a="1"/>
  <c r="G2015" i="57" s="1"/>
  <c r="F2015" i="57" a="1"/>
  <c r="F2015" i="57" s="1"/>
  <c r="G2333" i="57" a="1"/>
  <c r="G2333" i="57" s="1"/>
  <c r="F2333" i="57" a="1"/>
  <c r="F2333" i="57" s="1"/>
  <c r="G2180" i="57" a="1"/>
  <c r="G2180" i="57" s="1"/>
  <c r="F2180" i="57" a="1"/>
  <c r="F2180" i="57" s="1"/>
  <c r="G85" i="57" a="1"/>
  <c r="G85" i="57" s="1"/>
  <c r="F85" i="57" a="1"/>
  <c r="F85" i="57" s="1"/>
  <c r="G2503" i="57" a="1"/>
  <c r="G2503" i="57" s="1"/>
  <c r="F2503" i="57" a="1"/>
  <c r="F2503" i="57" s="1"/>
  <c r="G1507" i="57" a="1"/>
  <c r="G1507" i="57" s="1"/>
  <c r="F1507" i="57" a="1"/>
  <c r="F1507" i="57" s="1"/>
  <c r="G1753" i="57" a="1"/>
  <c r="G1753" i="57" s="1"/>
  <c r="F1753" i="57" a="1"/>
  <c r="F1753" i="57" s="1"/>
  <c r="G2169" i="57" a="1"/>
  <c r="G2169" i="57" s="1"/>
  <c r="F2169" i="57" a="1"/>
  <c r="F2169" i="57" s="1"/>
  <c r="G2433" i="57" a="1"/>
  <c r="G2433" i="57" s="1"/>
  <c r="F2433" i="57" a="1"/>
  <c r="F2433" i="57" s="1"/>
  <c r="G2242" i="57" a="1"/>
  <c r="G2242" i="57" s="1"/>
  <c r="F2242" i="57" a="1"/>
  <c r="F2242" i="57" s="1"/>
  <c r="G2081" i="57" a="1"/>
  <c r="G2081" i="57" s="1"/>
  <c r="F2081" i="57" a="1"/>
  <c r="F2081" i="57" s="1"/>
  <c r="G2240" i="57" a="1"/>
  <c r="G2240" i="57" s="1"/>
  <c r="F2240" i="57" a="1"/>
  <c r="F2240" i="57" s="1"/>
  <c r="G163" i="57" a="1"/>
  <c r="G163" i="57" s="1"/>
  <c r="F163" i="57" a="1"/>
  <c r="F163" i="57" s="1"/>
  <c r="G1524" i="57" a="1"/>
  <c r="G1524" i="57" s="1"/>
  <c r="F1524" i="57" a="1"/>
  <c r="F1524" i="57" s="1"/>
  <c r="G265" i="57" a="1"/>
  <c r="G265" i="57" s="1"/>
  <c r="F265" i="57" a="1"/>
  <c r="F265" i="57" s="1"/>
  <c r="G2059" i="57" a="1"/>
  <c r="G2059" i="57" s="1"/>
  <c r="F2059" i="57" a="1"/>
  <c r="F2059" i="57" s="1"/>
  <c r="G1595" i="57" a="1"/>
  <c r="G1595" i="57" s="1"/>
  <c r="F1595" i="57" a="1"/>
  <c r="F1595" i="57" s="1"/>
  <c r="G1859" i="57" a="1"/>
  <c r="G1859" i="57" s="1"/>
  <c r="F1859" i="57" a="1"/>
  <c r="F1859" i="57" s="1"/>
  <c r="G1616" i="57" a="1"/>
  <c r="G1616" i="57" s="1"/>
  <c r="F1616" i="57" a="1"/>
  <c r="F1616" i="57" s="1"/>
  <c r="G1874" i="57" a="1"/>
  <c r="G1874" i="57" s="1"/>
  <c r="F1874" i="57" a="1"/>
  <c r="F1874" i="57" s="1"/>
  <c r="G2133" i="57" a="1"/>
  <c r="G2133" i="57" s="1"/>
  <c r="F2133" i="57" a="1"/>
  <c r="F2133" i="57" s="1"/>
  <c r="G2391" i="57" a="1"/>
  <c r="G2391" i="57" s="1"/>
  <c r="F2391" i="57" a="1"/>
  <c r="F2391" i="57" s="1"/>
  <c r="G2200" i="57" a="1"/>
  <c r="G2200" i="57" s="1"/>
  <c r="F2200" i="57" a="1"/>
  <c r="F2200" i="57" s="1"/>
  <c r="G2033" i="57" a="1"/>
  <c r="G2033" i="57" s="1"/>
  <c r="F2033" i="57" a="1"/>
  <c r="F2033" i="57" s="1"/>
  <c r="G2345" i="57" a="1"/>
  <c r="G2345" i="57" s="1"/>
  <c r="F2345" i="57" a="1"/>
  <c r="F2345" i="57" s="1"/>
  <c r="G2198" i="57" a="1"/>
  <c r="G2198" i="57" s="1"/>
  <c r="F2198" i="57" a="1"/>
  <c r="F2198" i="57" s="1"/>
  <c r="G115" i="57" a="1"/>
  <c r="G115" i="57" s="1"/>
  <c r="F115" i="57" a="1"/>
  <c r="F115" i="57" s="1"/>
  <c r="G1476" i="57" a="1"/>
  <c r="G1476" i="57" s="1"/>
  <c r="F1476" i="57" a="1"/>
  <c r="F1476" i="57" s="1"/>
  <c r="G1597" i="57" a="1"/>
  <c r="G1597" i="57" s="1"/>
  <c r="F1597" i="57" a="1"/>
  <c r="F1597" i="57" s="1"/>
  <c r="G1843" i="57" a="1"/>
  <c r="G1843" i="57" s="1"/>
  <c r="F1843" i="57" a="1"/>
  <c r="F1843" i="57" s="1"/>
  <c r="G1517" i="57" a="1"/>
  <c r="G1517" i="57" s="1"/>
  <c r="F1517" i="57" a="1"/>
  <c r="F1517" i="57" s="1"/>
  <c r="G1775" i="57" a="1"/>
  <c r="G1775" i="57" s="1"/>
  <c r="F1775" i="57" a="1"/>
  <c r="F1775" i="57" s="1"/>
  <c r="G1538" i="57" a="1"/>
  <c r="G1538" i="57" s="1"/>
  <c r="F1538" i="57" a="1"/>
  <c r="F1538" i="57" s="1"/>
  <c r="G1796" i="57" a="1"/>
  <c r="G1796" i="57" s="1"/>
  <c r="F1796" i="57" a="1"/>
  <c r="F1796" i="57" s="1"/>
  <c r="G2055" i="57" a="1"/>
  <c r="G2055" i="57" s="1"/>
  <c r="F2055" i="57" a="1"/>
  <c r="F2055" i="57" s="1"/>
  <c r="G2313" i="57" a="1"/>
  <c r="G2313" i="57" s="1"/>
  <c r="F2313" i="57" a="1"/>
  <c r="F2313" i="57" s="1"/>
  <c r="G2098" i="57" a="1"/>
  <c r="G2098" i="57" s="1"/>
  <c r="F2098" i="57" a="1"/>
  <c r="F2098" i="57" s="1"/>
  <c r="G2416" i="57" a="1"/>
  <c r="G2416" i="57" s="1"/>
  <c r="F2416" i="57" a="1"/>
  <c r="F2416" i="57" s="1"/>
  <c r="G2249" i="57" a="1"/>
  <c r="G2249" i="57" s="1"/>
  <c r="F2249" i="57" a="1"/>
  <c r="F2249" i="57" s="1"/>
  <c r="G2102" i="57" a="1"/>
  <c r="G2102" i="57" s="1"/>
  <c r="F2102" i="57" a="1"/>
  <c r="F2102" i="57" s="1"/>
  <c r="G2438" i="57" a="1"/>
  <c r="G2438" i="57" s="1"/>
  <c r="F2438" i="57" a="1"/>
  <c r="F2438" i="57" s="1"/>
  <c r="G2429" i="57" a="1"/>
  <c r="G2429" i="57" s="1"/>
  <c r="F2429" i="57" a="1"/>
  <c r="F2429" i="57" s="1"/>
  <c r="G1740" i="57" a="1"/>
  <c r="G1740" i="57" s="1"/>
  <c r="F1740" i="57" a="1"/>
  <c r="F1740" i="57" s="1"/>
  <c r="G2142" i="57" a="1"/>
  <c r="G2142" i="57" s="1"/>
  <c r="F2142" i="57" a="1"/>
  <c r="F2142" i="57" s="1"/>
  <c r="G1467" i="57" a="1"/>
  <c r="G1467" i="57" s="1"/>
  <c r="F1467" i="57" a="1"/>
  <c r="F1467" i="57" s="1"/>
  <c r="G1683" i="57" a="1"/>
  <c r="G1683" i="57" s="1"/>
  <c r="F1683" i="57" a="1"/>
  <c r="F1683" i="57" s="1"/>
  <c r="G1899" i="57" a="1"/>
  <c r="G1899" i="57" s="1"/>
  <c r="F1899" i="57" a="1"/>
  <c r="F1899" i="57" s="1"/>
  <c r="G1612" i="57" a="1"/>
  <c r="G1612" i="57" s="1"/>
  <c r="F1612" i="57" a="1"/>
  <c r="F1612" i="57" s="1"/>
  <c r="G1828" i="57" a="1"/>
  <c r="G1828" i="57" s="1"/>
  <c r="F1828" i="57" a="1"/>
  <c r="F1828" i="57" s="1"/>
  <c r="G1529" i="57" a="1"/>
  <c r="G1529" i="57" s="1"/>
  <c r="F1529" i="57" a="1"/>
  <c r="F1529" i="57" s="1"/>
  <c r="G1745" i="57" a="1"/>
  <c r="G1745" i="57" s="1"/>
  <c r="F1745" i="57" a="1"/>
  <c r="F1745" i="57" s="1"/>
  <c r="G1460" i="57" a="1"/>
  <c r="G1460" i="57" s="1"/>
  <c r="F1460" i="57" a="1"/>
  <c r="F1460" i="57" s="1"/>
  <c r="G1676" i="57" a="1"/>
  <c r="G1676" i="57" s="1"/>
  <c r="F1676" i="57" a="1"/>
  <c r="F1676" i="57" s="1"/>
  <c r="G1892" i="57" a="1"/>
  <c r="G1892" i="57" s="1"/>
  <c r="F1892" i="57" a="1"/>
  <c r="F1892" i="57" s="1"/>
  <c r="G2109" i="57" a="1"/>
  <c r="G2109" i="57" s="1"/>
  <c r="F2109" i="57" a="1"/>
  <c r="F2109" i="57" s="1"/>
  <c r="G2325" i="57" a="1"/>
  <c r="G2325" i="57" s="1"/>
  <c r="F2325" i="57" a="1"/>
  <c r="F2325" i="57" s="1"/>
  <c r="G2062" i="57" a="1"/>
  <c r="G2062" i="57" s="1"/>
  <c r="F2062" i="57" a="1"/>
  <c r="F2062" i="57" s="1"/>
  <c r="G2320" i="57" a="1"/>
  <c r="G2320" i="57" s="1"/>
  <c r="F2320" i="57" a="1"/>
  <c r="F2320" i="57" s="1"/>
  <c r="G2105" i="57" a="1"/>
  <c r="G2105" i="57" s="1"/>
  <c r="F2105" i="57" a="1"/>
  <c r="F2105" i="57" s="1"/>
  <c r="G2369" i="57" a="1"/>
  <c r="G2369" i="57" s="1"/>
  <c r="F2369" i="57" a="1"/>
  <c r="F2369" i="57" s="1"/>
  <c r="G2168" i="57" a="1"/>
  <c r="G2168" i="57" s="1"/>
  <c r="F2168" i="57" a="1"/>
  <c r="F2168" i="57" s="1"/>
  <c r="G2426" i="57" a="1"/>
  <c r="G2426" i="57" s="1"/>
  <c r="F2426" i="57" a="1"/>
  <c r="F2426" i="57" s="1"/>
  <c r="G2428" i="57" a="1"/>
  <c r="G2428" i="57" s="1"/>
  <c r="F2428" i="57" a="1"/>
  <c r="F2428" i="57" s="1"/>
  <c r="G1464" i="57" a="1"/>
  <c r="G1464" i="57" s="1"/>
  <c r="F1464" i="57" a="1"/>
  <c r="F1464" i="57" s="1"/>
  <c r="G1728" i="57" a="1"/>
  <c r="G1728" i="57" s="1"/>
  <c r="F1728" i="57" a="1"/>
  <c r="F1728" i="57" s="1"/>
  <c r="G1495" i="57" a="1"/>
  <c r="G1495" i="57" s="1"/>
  <c r="F1495" i="57" a="1"/>
  <c r="F1495" i="57" s="1"/>
  <c r="G186" i="57" a="1"/>
  <c r="G186" i="57" s="1"/>
  <c r="F186" i="57" a="1"/>
  <c r="F186" i="57" s="1"/>
  <c r="G463" i="57" a="1"/>
  <c r="G463" i="57" s="1"/>
  <c r="F463" i="57" a="1"/>
  <c r="F463" i="57" s="1"/>
  <c r="G974" i="57" a="1"/>
  <c r="G974" i="57" s="1"/>
  <c r="F974" i="57" a="1"/>
  <c r="F974" i="57" s="1"/>
  <c r="G1998" i="57" a="1"/>
  <c r="G1998" i="57" s="1"/>
  <c r="F1998" i="57" a="1"/>
  <c r="F1998" i="57" s="1"/>
  <c r="G2256" i="57" a="1"/>
  <c r="G2256" i="57" s="1"/>
  <c r="F2256" i="57" a="1"/>
  <c r="F2256" i="57" s="1"/>
  <c r="G1741" i="57" a="1"/>
  <c r="G1741" i="57" s="1"/>
  <c r="F1741" i="57" a="1"/>
  <c r="F1741" i="57" s="1"/>
  <c r="G1999" i="57" a="1"/>
  <c r="G1999" i="57" s="1"/>
  <c r="F1999" i="57" a="1"/>
  <c r="F1999" i="57" s="1"/>
  <c r="G600" i="57" a="1"/>
  <c r="G600" i="57" s="1"/>
  <c r="F600" i="57" a="1"/>
  <c r="F600" i="57" s="1"/>
  <c r="G1159" i="57" a="1"/>
  <c r="G1159" i="57" s="1"/>
  <c r="F1159" i="57" a="1"/>
  <c r="F1159" i="57" s="1"/>
  <c r="G1908" i="57" a="1"/>
  <c r="G1908" i="57" s="1"/>
  <c r="F1908" i="57" a="1"/>
  <c r="F1908" i="57" s="1"/>
  <c r="G1675" i="57" a="1"/>
  <c r="G1675" i="57" s="1"/>
  <c r="F1675" i="57" a="1"/>
  <c r="F1675" i="57" s="1"/>
  <c r="G385" i="57" a="1"/>
  <c r="G385" i="57" s="1"/>
  <c r="F385" i="57" a="1"/>
  <c r="F385" i="57" s="1"/>
  <c r="G524" i="57" a="1"/>
  <c r="G524" i="57" s="1"/>
  <c r="F524" i="57" a="1"/>
  <c r="F524" i="57" s="1"/>
  <c r="G813" i="57" a="1"/>
  <c r="G813" i="57" s="1"/>
  <c r="F813" i="57" a="1"/>
  <c r="F813" i="57" s="1"/>
  <c r="G2178" i="57" a="1"/>
  <c r="G2178" i="57" s="1"/>
  <c r="F2178" i="57" a="1"/>
  <c r="F2178" i="57" s="1"/>
  <c r="G2436" i="57" a="1"/>
  <c r="G2436" i="57" s="1"/>
  <c r="F2436" i="57" a="1"/>
  <c r="F2436" i="57" s="1"/>
  <c r="G1921" i="57" a="1"/>
  <c r="G1921" i="57" s="1"/>
  <c r="F1921" i="57" a="1"/>
  <c r="F1921" i="57" s="1"/>
  <c r="G2197" i="57" a="1"/>
  <c r="G2197" i="57" s="1"/>
  <c r="F2197" i="57" a="1"/>
  <c r="F2197" i="57" s="1"/>
  <c r="G967" i="57" a="1"/>
  <c r="G967" i="57" s="1"/>
  <c r="F967" i="57" a="1"/>
  <c r="F967" i="57" s="1"/>
  <c r="G1788" i="57" a="1"/>
  <c r="G1788" i="57" s="1"/>
  <c r="F1788" i="57" a="1"/>
  <c r="F1788" i="57" s="1"/>
  <c r="G1561" i="57" a="1"/>
  <c r="G1561" i="57" s="1"/>
  <c r="F1561" i="57" a="1"/>
  <c r="F1561" i="57" s="1"/>
  <c r="G271" i="57" a="1"/>
  <c r="G271" i="57" s="1"/>
  <c r="F271" i="57" a="1"/>
  <c r="F271" i="57" s="1"/>
  <c r="G529" i="57" a="1"/>
  <c r="G529" i="57" s="1"/>
  <c r="F529" i="57" a="1"/>
  <c r="F529" i="57" s="1"/>
  <c r="G1172" i="57" a="1"/>
  <c r="G1172" i="57" s="1"/>
  <c r="F1172" i="57" a="1"/>
  <c r="F1172" i="57" s="1"/>
  <c r="G2058" i="57" a="1"/>
  <c r="G2058" i="57" s="1"/>
  <c r="F2058" i="57" a="1"/>
  <c r="F2058" i="57" s="1"/>
  <c r="G2322" i="57" a="1"/>
  <c r="G2322" i="57" s="1"/>
  <c r="F2322" i="57" a="1"/>
  <c r="F2322" i="57" s="1"/>
  <c r="G1807" i="57" a="1"/>
  <c r="G1807" i="57" s="1"/>
  <c r="F1807" i="57" a="1"/>
  <c r="F1807" i="57" s="1"/>
  <c r="G2065" i="57" a="1"/>
  <c r="G2065" i="57" s="1"/>
  <c r="F2065" i="57" a="1"/>
  <c r="F2065" i="57" s="1"/>
  <c r="G1008" i="57" a="1"/>
  <c r="G1008" i="57" s="1"/>
  <c r="F1008" i="57" a="1"/>
  <c r="F1008" i="57" s="1"/>
  <c r="G1351" i="57" a="1"/>
  <c r="G1351" i="57" s="1"/>
  <c r="F1351" i="57" a="1"/>
  <c r="F1351" i="57" s="1"/>
  <c r="G1926" i="57" a="1"/>
  <c r="G1926" i="57" s="1"/>
  <c r="F1926" i="57" a="1"/>
  <c r="F1926" i="57" s="1"/>
  <c r="G1693" i="57" a="1"/>
  <c r="G1693" i="57" s="1"/>
  <c r="F1693" i="57" a="1"/>
  <c r="F1693" i="57" s="1"/>
  <c r="G409" i="57" a="1"/>
  <c r="G409" i="57" s="1"/>
  <c r="F409" i="57" a="1"/>
  <c r="F409" i="57" s="1"/>
  <c r="G740" i="57" a="1"/>
  <c r="G740" i="57" s="1"/>
  <c r="F740" i="57" a="1"/>
  <c r="F740" i="57" s="1"/>
  <c r="G1317" i="57" a="1"/>
  <c r="G1317" i="57" s="1"/>
  <c r="F1317" i="57" a="1"/>
  <c r="F1317" i="57" s="1"/>
  <c r="G2196" i="57" a="1"/>
  <c r="G2196" i="57" s="1"/>
  <c r="F2196" i="57" a="1"/>
  <c r="F2196" i="57" s="1"/>
  <c r="G2454" i="57" a="1"/>
  <c r="G2454" i="57" s="1"/>
  <c r="F2454" i="57" a="1"/>
  <c r="F2454" i="57" s="1"/>
  <c r="G1945" i="57" a="1"/>
  <c r="G1945" i="57" s="1"/>
  <c r="F1945" i="57" a="1"/>
  <c r="F1945" i="57" s="1"/>
  <c r="G2215" i="57" a="1"/>
  <c r="G2215" i="57" s="1"/>
  <c r="F2215" i="57" a="1"/>
  <c r="F2215" i="57" s="1"/>
  <c r="G1015" i="57" a="1"/>
  <c r="G1015" i="57" s="1"/>
  <c r="F1015" i="57" a="1"/>
  <c r="F1015" i="57" s="1"/>
  <c r="G2330" i="57" a="1"/>
  <c r="G2330" i="57" s="1"/>
  <c r="F2330" i="57" a="1"/>
  <c r="F2330" i="57" s="1"/>
  <c r="G145" i="57" a="1"/>
  <c r="G145" i="57" s="1"/>
  <c r="F145" i="57" a="1"/>
  <c r="F145" i="57" s="1"/>
  <c r="G2453" i="57" a="1"/>
  <c r="G2453" i="57" s="1"/>
  <c r="F2453" i="57" a="1"/>
  <c r="F2453" i="57" s="1"/>
  <c r="G1632" i="57" a="1"/>
  <c r="G1632" i="57" s="1"/>
  <c r="F1632" i="57" a="1"/>
  <c r="F1632" i="57" s="1"/>
  <c r="G1890" i="57" a="1"/>
  <c r="G1890" i="57" s="1"/>
  <c r="F1890" i="57" a="1"/>
  <c r="F1890" i="57" s="1"/>
  <c r="G1657" i="57" a="1"/>
  <c r="G1657" i="57" s="1"/>
  <c r="F1657" i="57" a="1"/>
  <c r="F1657" i="57" s="1"/>
  <c r="G373" i="57" a="1"/>
  <c r="G373" i="57" s="1"/>
  <c r="F373" i="57" a="1"/>
  <c r="F373" i="57" s="1"/>
  <c r="G416" i="57" a="1"/>
  <c r="G416" i="57" s="1"/>
  <c r="F416" i="57" a="1"/>
  <c r="F416" i="57" s="1"/>
  <c r="G711" i="57" a="1"/>
  <c r="G711" i="57" s="1"/>
  <c r="F711" i="57" a="1"/>
  <c r="F711" i="57" s="1"/>
  <c r="G2160" i="57" a="1"/>
  <c r="G2160" i="57" s="1"/>
  <c r="F2160" i="57" a="1"/>
  <c r="F2160" i="57" s="1"/>
  <c r="G2418" i="57" a="1"/>
  <c r="G2418" i="57" s="1"/>
  <c r="F2418" i="57" a="1"/>
  <c r="F2418" i="57" s="1"/>
  <c r="G1909" i="57" a="1"/>
  <c r="G1909" i="57" s="1"/>
  <c r="F1909" i="57" a="1"/>
  <c r="F1909" i="57" s="1"/>
  <c r="G2173" i="57" a="1"/>
  <c r="G2173" i="57" s="1"/>
  <c r="F2173" i="57" a="1"/>
  <c r="F2173" i="57" s="1"/>
  <c r="G913" i="57" a="1"/>
  <c r="G913" i="57" s="1"/>
  <c r="F913" i="57" a="1"/>
  <c r="F913" i="57" s="1"/>
  <c r="G2269" i="57" a="1"/>
  <c r="G2269" i="57" s="1"/>
  <c r="F2269" i="57" a="1"/>
  <c r="F2269" i="57" s="1"/>
  <c r="G2080" i="57" a="1"/>
  <c r="G2080" i="57" s="1"/>
  <c r="F2080" i="57" a="1"/>
  <c r="F2080" i="57" s="1"/>
  <c r="G2296" i="57" a="1"/>
  <c r="G2296" i="57" s="1"/>
  <c r="F2296" i="57" a="1"/>
  <c r="F2296" i="57" s="1"/>
  <c r="G2039" i="57" a="1"/>
  <c r="G2039" i="57" s="1"/>
  <c r="F2039" i="57" a="1"/>
  <c r="F2039" i="57" s="1"/>
  <c r="G2255" i="57" a="1"/>
  <c r="G2255" i="57" s="1"/>
  <c r="F2255" i="57" a="1"/>
  <c r="F2255" i="57" s="1"/>
  <c r="G2012" i="57" a="1"/>
  <c r="G2012" i="57" s="1"/>
  <c r="F2012" i="57" a="1"/>
  <c r="F2012" i="57" s="1"/>
  <c r="G2228" i="57" a="1"/>
  <c r="G2228" i="57" s="1"/>
  <c r="F2228" i="57" a="1"/>
  <c r="F2228" i="57" s="1"/>
  <c r="G2444" i="57" a="1"/>
  <c r="G2444" i="57" s="1"/>
  <c r="F2444" i="57" a="1"/>
  <c r="F2444" i="57" s="1"/>
  <c r="G211" i="57" a="1"/>
  <c r="G211" i="57" s="1"/>
  <c r="F211" i="57" a="1"/>
  <c r="F211" i="57" s="1"/>
  <c r="G2477" i="57" a="1"/>
  <c r="G2477" i="57" s="1"/>
  <c r="F2477" i="57" a="1"/>
  <c r="F2477" i="57" s="1"/>
  <c r="G1614" i="57" a="1"/>
  <c r="G1614" i="57" s="1"/>
  <c r="F1614" i="57" a="1"/>
  <c r="F1614" i="57" s="1"/>
  <c r="G1830" i="57" a="1"/>
  <c r="G1830" i="57" s="1"/>
  <c r="F1830" i="57" a="1"/>
  <c r="F1830" i="57" s="1"/>
  <c r="G1555" i="57" a="1"/>
  <c r="G1555" i="57" s="1"/>
  <c r="F1555" i="57" a="1"/>
  <c r="F1555" i="57" s="1"/>
  <c r="G228" i="57" a="1"/>
  <c r="G228" i="57" s="1"/>
  <c r="F228" i="57" a="1"/>
  <c r="F228" i="57" s="1"/>
  <c r="G439" i="57" a="1"/>
  <c r="G439" i="57" s="1"/>
  <c r="F439" i="57" a="1"/>
  <c r="F439" i="57" s="1"/>
  <c r="G632" i="57" a="1"/>
  <c r="G632" i="57" s="1"/>
  <c r="F632" i="57" a="1"/>
  <c r="F632" i="57" s="1"/>
  <c r="G1424" i="57" a="1"/>
  <c r="G1424" i="57" s="1"/>
  <c r="F1424" i="57" a="1"/>
  <c r="F1424" i="57" s="1"/>
  <c r="G2100" i="57" a="1"/>
  <c r="G2100" i="57" s="1"/>
  <c r="F2100" i="57" a="1"/>
  <c r="F2100" i="57" s="1"/>
  <c r="G2316" i="57" a="1"/>
  <c r="G2316" i="57" s="1"/>
  <c r="F2316" i="57" a="1"/>
  <c r="F2316" i="57" s="1"/>
  <c r="G1759" i="57" a="1"/>
  <c r="G1759" i="57" s="1"/>
  <c r="F1759" i="57" a="1"/>
  <c r="F1759" i="57" s="1"/>
  <c r="G1975" i="57" a="1"/>
  <c r="G1975" i="57" s="1"/>
  <c r="F1975" i="57" a="1"/>
  <c r="F1975" i="57" s="1"/>
  <c r="G2191" i="57" a="1"/>
  <c r="G2191" i="57" s="1"/>
  <c r="F2191" i="57" a="1"/>
  <c r="F2191" i="57" s="1"/>
  <c r="G1206" i="57" a="1"/>
  <c r="G1206" i="57" s="1"/>
  <c r="F1206" i="57" a="1"/>
  <c r="F1206" i="57" s="1"/>
  <c r="G1183" i="57" a="1"/>
  <c r="G1183" i="57" s="1"/>
  <c r="F1183" i="57" a="1"/>
  <c r="F1183" i="57" s="1"/>
  <c r="G370" i="57" a="1"/>
  <c r="G370" i="57" s="1"/>
  <c r="F370" i="57" a="1"/>
  <c r="F370" i="57" s="1"/>
  <c r="G2257" i="57" a="1"/>
  <c r="G2257" i="57" s="1"/>
  <c r="F2257" i="57" a="1"/>
  <c r="F2257" i="57" s="1"/>
  <c r="G2473" i="57" a="1"/>
  <c r="G2473" i="57" s="1"/>
  <c r="F2473" i="57" a="1"/>
  <c r="F2473" i="57" s="1"/>
  <c r="G847" i="57" a="1"/>
  <c r="G847" i="57" s="1"/>
  <c r="F847" i="57" a="1"/>
  <c r="F847" i="57" s="1"/>
  <c r="G1243" i="57" a="1"/>
  <c r="G1243" i="57" s="1"/>
  <c r="F1243" i="57" a="1"/>
  <c r="F1243" i="57" s="1"/>
  <c r="G760" i="57" a="1"/>
  <c r="G760" i="57" s="1"/>
  <c r="F760" i="57" a="1"/>
  <c r="F760" i="57" s="1"/>
  <c r="G2299" i="57" a="1"/>
  <c r="G2299" i="57" s="1"/>
  <c r="F2299" i="57" a="1"/>
  <c r="F2299" i="57" s="1"/>
  <c r="G661" i="57" a="1"/>
  <c r="G661" i="57" s="1"/>
  <c r="F661" i="57" a="1"/>
  <c r="F661" i="57" s="1"/>
  <c r="G919" i="57" a="1"/>
  <c r="G919" i="57" s="1"/>
  <c r="F919" i="57" a="1"/>
  <c r="F919" i="57" s="1"/>
  <c r="G1321" i="57" a="1"/>
  <c r="G1321" i="57" s="1"/>
  <c r="F1321" i="57" a="1"/>
  <c r="F1321" i="57" s="1"/>
  <c r="G2449" i="57" a="1"/>
  <c r="G2449" i="57" s="1"/>
  <c r="F2449" i="57" a="1"/>
  <c r="F2449" i="57" s="1"/>
  <c r="G817" i="57" a="1"/>
  <c r="G817" i="57" s="1"/>
  <c r="F817" i="57" a="1"/>
  <c r="F817" i="57" s="1"/>
  <c r="G1201" i="57" a="1"/>
  <c r="G1201" i="57" s="1"/>
  <c r="F1201" i="57" a="1"/>
  <c r="F1201" i="57" s="1"/>
  <c r="G184" i="57" a="1"/>
  <c r="G184" i="57" s="1"/>
  <c r="F184" i="57" a="1"/>
  <c r="F184" i="57" s="1"/>
  <c r="G2239" i="57" a="1"/>
  <c r="G2239" i="57" s="1"/>
  <c r="F2239" i="57" a="1"/>
  <c r="F2239" i="57" s="1"/>
  <c r="G2455" i="57" a="1"/>
  <c r="G2455" i="57" s="1"/>
  <c r="F2455" i="57" a="1"/>
  <c r="F2455" i="57" s="1"/>
  <c r="G823" i="57" a="1"/>
  <c r="G823" i="57" s="1"/>
  <c r="F823" i="57" a="1"/>
  <c r="F823" i="57" s="1"/>
  <c r="G1213" i="57" a="1"/>
  <c r="G1213" i="57" s="1"/>
  <c r="F1213" i="57" a="1"/>
  <c r="F1213" i="57" s="1"/>
  <c r="G220" i="57" a="1"/>
  <c r="G220" i="57" s="1"/>
  <c r="F220" i="57" a="1"/>
  <c r="F220" i="57" s="1"/>
  <c r="G2245" i="57" a="1"/>
  <c r="G2245" i="57" s="1"/>
  <c r="F2245" i="57" a="1"/>
  <c r="F2245" i="57" s="1"/>
  <c r="G2461" i="57" a="1"/>
  <c r="G2461" i="57" s="1"/>
  <c r="F2461" i="57" a="1"/>
  <c r="F2461" i="57" s="1"/>
  <c r="G829" i="57" a="1"/>
  <c r="G829" i="57" s="1"/>
  <c r="F829" i="57" a="1"/>
  <c r="F829" i="57" s="1"/>
  <c r="G1225" i="57" a="1"/>
  <c r="G1225" i="57" s="1"/>
  <c r="F1225" i="57" a="1"/>
  <c r="F1225" i="57" s="1"/>
  <c r="G2221" i="57" a="1"/>
  <c r="G2221" i="57" s="1"/>
  <c r="F2221" i="57" a="1"/>
  <c r="F2221" i="57" s="1"/>
  <c r="G1410" i="57" a="1"/>
  <c r="G1410" i="57" s="1"/>
  <c r="F1410" i="57" a="1"/>
  <c r="F1410" i="57" s="1"/>
  <c r="G1249" i="57" a="1"/>
  <c r="G1249" i="57" s="1"/>
  <c r="F1249" i="57" a="1"/>
  <c r="F1249" i="57" s="1"/>
  <c r="G610" i="57" a="1"/>
  <c r="G610" i="57" s="1"/>
  <c r="F610" i="57" a="1"/>
  <c r="F610" i="57" s="1"/>
  <c r="G2287" i="57" a="1"/>
  <c r="G2287" i="57" s="1"/>
  <c r="F2287" i="57" a="1"/>
  <c r="F2287" i="57" s="1"/>
  <c r="G649" i="57" a="1"/>
  <c r="G649" i="57" s="1"/>
  <c r="F649" i="57" a="1"/>
  <c r="F649" i="57" s="1"/>
  <c r="G895" i="57" a="1"/>
  <c r="G895" i="57" s="1"/>
  <c r="F895" i="57" a="1"/>
  <c r="F895" i="57" s="1"/>
  <c r="G1297" i="57" a="1"/>
  <c r="G1297" i="57" s="1"/>
  <c r="F1297" i="57" a="1"/>
  <c r="F1297" i="57" s="1"/>
  <c r="G212" i="57" a="1"/>
  <c r="G212" i="57" s="1"/>
  <c r="F212" i="57" a="1"/>
  <c r="F212" i="57" s="1"/>
  <c r="G218" i="57" a="1"/>
  <c r="G218" i="57" s="1"/>
  <c r="F218" i="57" a="1"/>
  <c r="F218" i="57" s="1"/>
  <c r="G458" i="57" a="1"/>
  <c r="G458" i="57" s="1"/>
  <c r="F458" i="57" a="1"/>
  <c r="F458" i="57" s="1"/>
  <c r="G273" i="57" a="1"/>
  <c r="G273" i="57" s="1"/>
  <c r="F273" i="57" a="1"/>
  <c r="F273" i="57" s="1"/>
  <c r="G99" i="57" a="1"/>
  <c r="G99" i="57" s="1"/>
  <c r="F99" i="57" a="1"/>
  <c r="F99" i="57" s="1"/>
  <c r="G435" i="57" a="1"/>
  <c r="G435" i="57" s="1"/>
  <c r="F435" i="57" a="1"/>
  <c r="F435" i="57" s="1"/>
  <c r="G214" i="57" a="1"/>
  <c r="G214" i="57" s="1"/>
  <c r="F214" i="57" a="1"/>
  <c r="F214" i="57" s="1"/>
  <c r="G1455" i="57" a="1"/>
  <c r="G1455" i="57" s="1"/>
  <c r="F1455" i="57" a="1"/>
  <c r="F1455" i="57" s="1"/>
  <c r="G335" i="57" a="1"/>
  <c r="G335" i="57" s="1"/>
  <c r="F335" i="57" a="1"/>
  <c r="F335" i="57" s="1"/>
  <c r="G659" i="57" a="1"/>
  <c r="G659" i="57" s="1"/>
  <c r="F659" i="57" a="1"/>
  <c r="F659" i="57" s="1"/>
  <c r="G114" i="57" a="1"/>
  <c r="G114" i="57" s="1"/>
  <c r="F114" i="57" a="1"/>
  <c r="F114" i="57" s="1"/>
  <c r="G2483" i="57" a="1"/>
  <c r="G2483" i="57" s="1"/>
  <c r="F2483" i="57" a="1"/>
  <c r="F2483" i="57" s="1"/>
  <c r="G134" i="57" a="1"/>
  <c r="G134" i="57" s="1"/>
  <c r="F134" i="57" a="1"/>
  <c r="F134" i="57" s="1"/>
  <c r="G278" i="57" a="1"/>
  <c r="G278" i="57" s="1"/>
  <c r="F278" i="57" a="1"/>
  <c r="F278" i="57" s="1"/>
  <c r="G398" i="57" a="1"/>
  <c r="G398" i="57" s="1"/>
  <c r="F398" i="57" a="1"/>
  <c r="F398" i="57" s="1"/>
  <c r="G2496" i="57" a="1"/>
  <c r="G2496" i="57" s="1"/>
  <c r="F2496" i="57" a="1"/>
  <c r="F2496" i="57" s="1"/>
  <c r="G345" i="57" a="1"/>
  <c r="G345" i="57" s="1"/>
  <c r="F345" i="57" a="1"/>
  <c r="F345" i="57" s="1"/>
  <c r="G112" i="57" a="1"/>
  <c r="G112" i="57" s="1"/>
  <c r="F112" i="57" a="1"/>
  <c r="F112" i="57" s="1"/>
  <c r="G502" i="57" a="1"/>
  <c r="G502" i="57" s="1"/>
  <c r="F502" i="57" a="1"/>
  <c r="F502" i="57" s="1"/>
  <c r="G251" i="57" a="1"/>
  <c r="G251" i="57" s="1"/>
  <c r="F251" i="57" a="1"/>
  <c r="F251" i="57" s="1"/>
  <c r="G575" i="57" a="1"/>
  <c r="G575" i="57" s="1"/>
  <c r="F575" i="57" a="1"/>
  <c r="F575" i="57" s="1"/>
  <c r="F18" i="57" a="1"/>
  <c r="F18" i="57" s="1"/>
  <c r="G536" i="57" a="1"/>
  <c r="G536" i="57" s="1"/>
  <c r="F536" i="57" a="1"/>
  <c r="F536" i="57" s="1"/>
  <c r="G285" i="57" a="1"/>
  <c r="G285" i="57" s="1"/>
  <c r="F285" i="57" a="1"/>
  <c r="F285" i="57" s="1"/>
  <c r="G615" i="57" a="1"/>
  <c r="G615" i="57" s="1"/>
  <c r="F615" i="57" a="1"/>
  <c r="F615" i="57" s="1"/>
  <c r="G430" i="57" a="1"/>
  <c r="G430" i="57" s="1"/>
  <c r="F430" i="57" a="1"/>
  <c r="F430" i="57" s="1"/>
  <c r="G191" i="57" a="1"/>
  <c r="G191" i="57" s="1"/>
  <c r="F191" i="57" a="1"/>
  <c r="F191" i="57" s="1"/>
  <c r="G515" i="57" a="1"/>
  <c r="G515" i="57" s="1"/>
  <c r="F515" i="57" a="1"/>
  <c r="F515" i="57" s="1"/>
  <c r="G839" i="57" a="1"/>
  <c r="G839" i="57" s="1"/>
  <c r="F839" i="57" a="1"/>
  <c r="F839" i="57" s="1"/>
  <c r="G44" i="57" a="1"/>
  <c r="G44" i="57" s="1"/>
  <c r="F44" i="57" a="1"/>
  <c r="F44" i="57" s="1"/>
  <c r="G428" i="57" a="1"/>
  <c r="G428" i="57" s="1"/>
  <c r="F428" i="57" a="1"/>
  <c r="F428" i="57" s="1"/>
  <c r="G81" i="57" a="1"/>
  <c r="G81" i="57" s="1"/>
  <c r="F81" i="57" a="1"/>
  <c r="F81" i="57" s="1"/>
  <c r="G423" i="57" a="1"/>
  <c r="G423" i="57" s="1"/>
  <c r="F423" i="57" a="1"/>
  <c r="F423" i="57" s="1"/>
  <c r="G202" i="57" a="1"/>
  <c r="G202" i="57" s="1"/>
  <c r="F202" i="57" a="1"/>
  <c r="F202" i="57" s="1"/>
  <c r="G2492" i="57" a="1"/>
  <c r="G2492" i="57" s="1"/>
  <c r="F2492" i="57" a="1"/>
  <c r="F2492" i="57" s="1"/>
  <c r="G323" i="57" a="1"/>
  <c r="G323" i="57" s="1"/>
  <c r="F323" i="57" a="1"/>
  <c r="F323" i="57" s="1"/>
  <c r="G647" i="57" a="1"/>
  <c r="G647" i="57" s="1"/>
  <c r="F647" i="57" a="1"/>
  <c r="F647" i="57" s="1"/>
  <c r="G102" i="57" a="1"/>
  <c r="G102" i="57" s="1"/>
  <c r="F102" i="57" a="1"/>
  <c r="F102" i="57" s="1"/>
  <c r="G494" i="57" a="1"/>
  <c r="G494" i="57" s="1"/>
  <c r="F494" i="57" a="1"/>
  <c r="F494" i="57" s="1"/>
  <c r="G249" i="57" a="1"/>
  <c r="G249" i="57" s="1"/>
  <c r="F249" i="57" a="1"/>
  <c r="F249" i="57" s="1"/>
  <c r="G579" i="57" a="1"/>
  <c r="G579" i="57" s="1"/>
  <c r="F579" i="57" a="1"/>
  <c r="F579" i="57" s="1"/>
  <c r="G388" i="57" a="1"/>
  <c r="G388" i="57" s="1"/>
  <c r="F388" i="57" a="1"/>
  <c r="F388" i="57" s="1"/>
  <c r="G155" i="57" a="1"/>
  <c r="G155" i="57" s="1"/>
  <c r="F155" i="57" a="1"/>
  <c r="F155" i="57" s="1"/>
  <c r="G479" i="57" a="1"/>
  <c r="G479" i="57" s="1"/>
  <c r="F479" i="57" a="1"/>
  <c r="F479" i="57" s="1"/>
  <c r="G803" i="57" a="1"/>
  <c r="G803" i="57" s="1"/>
  <c r="F803" i="57" a="1"/>
  <c r="F803" i="57" s="1"/>
  <c r="G188" i="57" a="1"/>
  <c r="G188" i="57" s="1"/>
  <c r="F188" i="57" a="1"/>
  <c r="F188" i="57" s="1"/>
  <c r="G314" i="57" a="1"/>
  <c r="G314" i="57" s="1"/>
  <c r="F314" i="57" a="1"/>
  <c r="F314" i="57" s="1"/>
  <c r="G561" i="57" a="1"/>
  <c r="G561" i="57" s="1"/>
  <c r="F561" i="57" a="1"/>
  <c r="F561" i="57" s="1"/>
  <c r="G364" i="57" a="1"/>
  <c r="G364" i="57" s="1"/>
  <c r="F364" i="57" a="1"/>
  <c r="F364" i="57" s="1"/>
  <c r="G137" i="57" a="1"/>
  <c r="G137" i="57" s="1"/>
  <c r="F137" i="57" a="1"/>
  <c r="F137" i="57" s="1"/>
  <c r="G461" i="57" a="1"/>
  <c r="G461" i="57" s="1"/>
  <c r="F461" i="57" a="1"/>
  <c r="F461" i="57" s="1"/>
  <c r="G785" i="57" a="1"/>
  <c r="G785" i="57" s="1"/>
  <c r="F785" i="57" a="1"/>
  <c r="F785" i="57" s="1"/>
  <c r="G1451" i="57" a="1"/>
  <c r="G1451" i="57" s="1"/>
  <c r="F1451" i="57" a="1"/>
  <c r="F1451" i="57" s="1"/>
  <c r="G32" i="57" a="1"/>
  <c r="G32" i="57" s="1"/>
  <c r="F32" i="57" a="1"/>
  <c r="F32" i="57" s="1"/>
  <c r="G572" i="57" a="1"/>
  <c r="G572" i="57" s="1"/>
  <c r="F572" i="57" a="1"/>
  <c r="F572" i="57" s="1"/>
  <c r="G201" i="57" a="1"/>
  <c r="G201" i="57" s="1"/>
  <c r="F201" i="57" a="1"/>
  <c r="F201" i="57" s="1"/>
  <c r="G447" i="57" a="1"/>
  <c r="G447" i="57" s="1"/>
  <c r="F447" i="57" a="1"/>
  <c r="F447" i="57" s="1"/>
  <c r="G142" i="57" a="1"/>
  <c r="G142" i="57" s="1"/>
  <c r="F142" i="57" a="1"/>
  <c r="F142" i="57" s="1"/>
  <c r="G400" i="57" a="1"/>
  <c r="G400" i="57" s="1"/>
  <c r="F400" i="57" a="1"/>
  <c r="F400" i="57" s="1"/>
  <c r="G2510" i="57" a="1"/>
  <c r="G2510" i="57" s="1"/>
  <c r="F2510" i="57" a="1"/>
  <c r="F2510" i="57" s="1"/>
  <c r="G95" i="57" a="1"/>
  <c r="G95" i="57" s="1"/>
  <c r="F95" i="57" a="1"/>
  <c r="F95" i="57" s="1"/>
  <c r="G221" i="57" a="1"/>
  <c r="G221" i="57" s="1"/>
  <c r="F221" i="57" a="1"/>
  <c r="F221" i="57" s="1"/>
  <c r="G329" i="57" a="1"/>
  <c r="G329" i="57" s="1"/>
  <c r="F329" i="57" a="1"/>
  <c r="F329" i="57" s="1"/>
  <c r="G437" i="57" a="1"/>
  <c r="G437" i="57" s="1"/>
  <c r="F437" i="57" a="1"/>
  <c r="F437" i="57" s="1"/>
  <c r="G545" i="57" a="1"/>
  <c r="G545" i="57" s="1"/>
  <c r="F545" i="57" a="1"/>
  <c r="F545" i="57" s="1"/>
  <c r="G653" i="57" a="1"/>
  <c r="G653" i="57" s="1"/>
  <c r="F653" i="57" a="1"/>
  <c r="F653" i="57" s="1"/>
  <c r="G761" i="57" a="1"/>
  <c r="G761" i="57" s="1"/>
  <c r="F761" i="57" a="1"/>
  <c r="F761" i="57" s="1"/>
  <c r="G869" i="57" a="1"/>
  <c r="G869" i="57" s="1"/>
  <c r="F869" i="57" a="1"/>
  <c r="F869" i="57" s="1"/>
  <c r="G108" i="57" a="1"/>
  <c r="G108" i="57" s="1"/>
  <c r="F108" i="57" a="1"/>
  <c r="F108" i="57" s="1"/>
  <c r="G246" i="57" a="1"/>
  <c r="G246" i="57" s="1"/>
  <c r="F246" i="57" a="1"/>
  <c r="F246" i="57" s="1"/>
  <c r="G366" i="57" a="1"/>
  <c r="G366" i="57" s="1"/>
  <c r="F366" i="57" a="1"/>
  <c r="F366" i="57" s="1"/>
  <c r="G522" i="57" a="1"/>
  <c r="G522" i="57" s="1"/>
  <c r="F522" i="57" a="1"/>
  <c r="F522" i="57" s="1"/>
  <c r="G642" i="57" a="1"/>
  <c r="G642" i="57" s="1"/>
  <c r="F642" i="57" a="1"/>
  <c r="F642" i="57" s="1"/>
  <c r="G971" i="57" a="1"/>
  <c r="G971" i="57" s="1"/>
  <c r="F971" i="57" a="1"/>
  <c r="F971" i="57" s="1"/>
  <c r="G1079" i="57" a="1"/>
  <c r="G1079" i="57" s="1"/>
  <c r="F1079" i="57" a="1"/>
  <c r="F1079" i="57" s="1"/>
  <c r="G1187" i="57" a="1"/>
  <c r="G1187" i="57" s="1"/>
  <c r="F1187" i="57" a="1"/>
  <c r="F1187" i="57" s="1"/>
  <c r="G1295" i="57" a="1"/>
  <c r="G1295" i="57" s="1"/>
  <c r="F1295" i="57" a="1"/>
  <c r="F1295" i="57" s="1"/>
  <c r="G666" i="57" a="1"/>
  <c r="G666" i="57" s="1"/>
  <c r="F666" i="57" a="1"/>
  <c r="F666" i="57" s="1"/>
  <c r="G828" i="57" a="1"/>
  <c r="G828" i="57" s="1"/>
  <c r="F828" i="57" a="1"/>
  <c r="F828" i="57" s="1"/>
  <c r="G954" i="57" a="1"/>
  <c r="G954" i="57" s="1"/>
  <c r="F954" i="57" a="1"/>
  <c r="F954" i="57" s="1"/>
  <c r="G1080" i="57" a="1"/>
  <c r="G1080" i="57" s="1"/>
  <c r="F1080" i="57" a="1"/>
  <c r="F1080" i="57" s="1"/>
  <c r="G1218" i="57" a="1"/>
  <c r="G1218" i="57" s="1"/>
  <c r="F1218" i="57" a="1"/>
  <c r="F1218" i="57" s="1"/>
  <c r="G1350" i="57" a="1"/>
  <c r="G1350" i="57" s="1"/>
  <c r="F1350" i="57" a="1"/>
  <c r="F1350" i="57" s="1"/>
  <c r="G668" i="57" a="1"/>
  <c r="G668" i="57" s="1"/>
  <c r="F668" i="57" a="1"/>
  <c r="F668" i="57" s="1"/>
  <c r="G788" i="57" a="1"/>
  <c r="G788" i="57" s="1"/>
  <c r="F788" i="57" a="1"/>
  <c r="F788" i="57" s="1"/>
  <c r="G926" i="57" a="1"/>
  <c r="G926" i="57" s="1"/>
  <c r="F926" i="57" a="1"/>
  <c r="F926" i="57" s="1"/>
  <c r="G1088" i="57" a="1"/>
  <c r="G1088" i="57" s="1"/>
  <c r="F1088" i="57" a="1"/>
  <c r="F1088" i="57" s="1"/>
  <c r="G1250" i="57" a="1"/>
  <c r="G1250" i="57" s="1"/>
  <c r="F1250" i="57" a="1"/>
  <c r="F1250" i="57" s="1"/>
  <c r="G1412" i="57" a="1"/>
  <c r="G1412" i="57" s="1"/>
  <c r="F1412" i="57" a="1"/>
  <c r="F1412" i="57" s="1"/>
  <c r="G735" i="57" a="1"/>
  <c r="G735" i="57" s="1"/>
  <c r="F735" i="57" a="1"/>
  <c r="F735" i="57" s="1"/>
  <c r="G939" i="57" a="1"/>
  <c r="G939" i="57" s="1"/>
  <c r="F939" i="57" a="1"/>
  <c r="F939" i="57" s="1"/>
  <c r="G1269" i="57" a="1"/>
  <c r="G1269" i="57" s="1"/>
  <c r="F1269" i="57" a="1"/>
  <c r="F1269" i="57" s="1"/>
  <c r="G742" i="57" a="1"/>
  <c r="G742" i="57" s="1"/>
  <c r="F742" i="57" a="1"/>
  <c r="F742" i="57" s="1"/>
  <c r="G1114" i="57" a="1"/>
  <c r="G1114" i="57" s="1"/>
  <c r="F1114" i="57" a="1"/>
  <c r="F1114" i="57" s="1"/>
  <c r="G1391" i="57" a="1"/>
  <c r="G1391" i="57" s="1"/>
  <c r="F1391" i="57" a="1"/>
  <c r="F1391" i="57" s="1"/>
  <c r="G1713" i="57" a="1"/>
  <c r="G1713" i="57" s="1"/>
  <c r="F1713" i="57" a="1"/>
  <c r="F1713" i="57" s="1"/>
  <c r="G1528" i="57" a="1"/>
  <c r="G1528" i="57" s="1"/>
  <c r="F1528" i="57" a="1"/>
  <c r="F1528" i="57" s="1"/>
  <c r="G1840" i="57" a="1"/>
  <c r="G1840" i="57" s="1"/>
  <c r="F1840" i="57" a="1"/>
  <c r="F1840" i="57" s="1"/>
  <c r="G1763" i="57" a="1"/>
  <c r="G1763" i="57" s="1"/>
  <c r="F1763" i="57" a="1"/>
  <c r="F1763" i="57" s="1"/>
  <c r="G1778" i="57" a="1"/>
  <c r="G1778" i="57" s="1"/>
  <c r="F1778" i="57" a="1"/>
  <c r="F1778" i="57" s="1"/>
  <c r="G590" i="57" a="1"/>
  <c r="G590" i="57" s="1"/>
  <c r="F590" i="57" a="1"/>
  <c r="F590" i="57" s="1"/>
  <c r="G219" i="57" a="1"/>
  <c r="G219" i="57" s="1"/>
  <c r="F219" i="57" a="1"/>
  <c r="F219" i="57" s="1"/>
  <c r="G429" i="57" a="1"/>
  <c r="G429" i="57" s="1"/>
  <c r="F429" i="57" a="1"/>
  <c r="F429" i="57" s="1"/>
  <c r="G627" i="57" a="1"/>
  <c r="G627" i="57" s="1"/>
  <c r="F627" i="57" a="1"/>
  <c r="F627" i="57" s="1"/>
  <c r="G292" i="57" a="1"/>
  <c r="G292" i="57" s="1"/>
  <c r="F292" i="57" a="1"/>
  <c r="F292" i="57" s="1"/>
  <c r="G843" i="57" a="1"/>
  <c r="G843" i="57" s="1"/>
  <c r="F843" i="57" a="1"/>
  <c r="F843" i="57" s="1"/>
  <c r="G1179" i="57" a="1"/>
  <c r="G1179" i="57" s="1"/>
  <c r="F1179" i="57" a="1"/>
  <c r="F1179" i="57" s="1"/>
  <c r="G652" i="57" a="1"/>
  <c r="G652" i="57" s="1"/>
  <c r="F652" i="57" a="1"/>
  <c r="F652" i="57" s="1"/>
  <c r="G1018" i="57" a="1"/>
  <c r="G1018" i="57" s="1"/>
  <c r="F1018" i="57" a="1"/>
  <c r="F1018" i="57" s="1"/>
  <c r="G1390" i="57" a="1"/>
  <c r="G1390" i="57" s="1"/>
  <c r="F1390" i="57" a="1"/>
  <c r="F1390" i="57" s="1"/>
  <c r="G1623" i="57" a="1"/>
  <c r="G1623" i="57" s="1"/>
  <c r="F1623" i="57" a="1"/>
  <c r="F1623" i="57" s="1"/>
  <c r="G1929" i="57" a="1"/>
  <c r="G1929" i="57" s="1"/>
  <c r="F1929" i="57" a="1"/>
  <c r="F1929" i="57" s="1"/>
  <c r="G1744" i="57" a="1"/>
  <c r="G1744" i="57" s="1"/>
  <c r="F1744" i="57" a="1"/>
  <c r="F1744" i="57" s="1"/>
  <c r="G1619" i="57" a="1"/>
  <c r="G1619" i="57" s="1"/>
  <c r="F1619" i="57" a="1"/>
  <c r="F1619" i="57" s="1"/>
  <c r="G1634" i="57" a="1"/>
  <c r="G1634" i="57" s="1"/>
  <c r="F1634" i="57" a="1"/>
  <c r="F1634" i="57" s="1"/>
  <c r="G354" i="57" a="1"/>
  <c r="G354" i="57" s="1"/>
  <c r="F354" i="57" a="1"/>
  <c r="F354" i="57" s="1"/>
  <c r="G887" i="57" a="1"/>
  <c r="G887" i="57" s="1"/>
  <c r="F887" i="57" a="1"/>
  <c r="F887" i="57" s="1"/>
  <c r="G1085" i="57" a="1"/>
  <c r="G1085" i="57" s="1"/>
  <c r="F1085" i="57" a="1"/>
  <c r="F1085" i="57" s="1"/>
  <c r="G1193" i="57" a="1"/>
  <c r="G1193" i="57" s="1"/>
  <c r="F1193" i="57" a="1"/>
  <c r="F1193" i="57" s="1"/>
  <c r="G1301" i="57" a="1"/>
  <c r="G1301" i="57" s="1"/>
  <c r="F1301" i="57" a="1"/>
  <c r="F1301" i="57" s="1"/>
  <c r="G678" i="57" a="1"/>
  <c r="G678" i="57" s="1"/>
  <c r="F678" i="57" a="1"/>
  <c r="F678" i="57" s="1"/>
  <c r="G834" i="57" a="1"/>
  <c r="G834" i="57" s="1"/>
  <c r="F834" i="57" a="1"/>
  <c r="F834" i="57" s="1"/>
  <c r="G984" i="57" a="1"/>
  <c r="G984" i="57" s="1"/>
  <c r="F984" i="57" a="1"/>
  <c r="F984" i="57" s="1"/>
  <c r="G1122" i="57" a="1"/>
  <c r="G1122" i="57" s="1"/>
  <c r="F1122" i="57" a="1"/>
  <c r="F1122" i="57" s="1"/>
  <c r="G1248" i="57" a="1"/>
  <c r="G1248" i="57" s="1"/>
  <c r="F1248" i="57" a="1"/>
  <c r="F1248" i="57" s="1"/>
  <c r="G1386" i="57" a="1"/>
  <c r="G1386" i="57" s="1"/>
  <c r="F1386" i="57" a="1"/>
  <c r="F1386" i="57" s="1"/>
  <c r="G692" i="57" a="1"/>
  <c r="G692" i="57" s="1"/>
  <c r="F692" i="57" a="1"/>
  <c r="F692" i="57" s="1"/>
  <c r="G812" i="57" a="1"/>
  <c r="G812" i="57" s="1"/>
  <c r="F812" i="57" a="1"/>
  <c r="F812" i="57" s="1"/>
  <c r="G962" i="57" a="1"/>
  <c r="G962" i="57" s="1"/>
  <c r="F962" i="57" a="1"/>
  <c r="F962" i="57" s="1"/>
  <c r="G1124" i="57" a="1"/>
  <c r="G1124" i="57" s="1"/>
  <c r="F1124" i="57" a="1"/>
  <c r="F1124" i="57" s="1"/>
  <c r="G1286" i="57" a="1"/>
  <c r="G1286" i="57" s="1"/>
  <c r="F1286" i="57" a="1"/>
  <c r="F1286" i="57" s="1"/>
  <c r="G645" i="57" a="1"/>
  <c r="G645" i="57" s="1"/>
  <c r="F645" i="57" a="1"/>
  <c r="F645" i="57" s="1"/>
  <c r="G759" i="57" a="1"/>
  <c r="G759" i="57" s="1"/>
  <c r="F759" i="57" a="1"/>
  <c r="F759" i="57" s="1"/>
  <c r="G1011" i="57" a="1"/>
  <c r="G1011" i="57" s="1"/>
  <c r="F1011" i="57" a="1"/>
  <c r="F1011" i="57" s="1"/>
  <c r="G1347" i="57" a="1"/>
  <c r="G1347" i="57" s="1"/>
  <c r="F1347" i="57" a="1"/>
  <c r="F1347" i="57" s="1"/>
  <c r="G832" i="57" a="1"/>
  <c r="G832" i="57" s="1"/>
  <c r="F832" i="57" a="1"/>
  <c r="F832" i="57" s="1"/>
  <c r="G1198" i="57" a="1"/>
  <c r="G1198" i="57" s="1"/>
  <c r="F1198" i="57" a="1"/>
  <c r="F1198" i="57" s="1"/>
  <c r="G1479" i="57" a="1"/>
  <c r="G1479" i="57" s="1"/>
  <c r="F1479" i="57" a="1"/>
  <c r="F1479" i="57" s="1"/>
  <c r="G1785" i="57" a="1"/>
  <c r="G1785" i="57" s="1"/>
  <c r="F1785" i="57" a="1"/>
  <c r="F1785" i="57" s="1"/>
  <c r="G1594" i="57" a="1"/>
  <c r="G1594" i="57" s="1"/>
  <c r="F1594" i="57" a="1"/>
  <c r="F1594" i="57" s="1"/>
  <c r="G1906" i="57" a="1"/>
  <c r="G1906" i="57" s="1"/>
  <c r="F1906" i="57" a="1"/>
  <c r="F1906" i="57" s="1"/>
  <c r="G1883" i="57" a="1"/>
  <c r="G1883" i="57" s="1"/>
  <c r="F1883" i="57" a="1"/>
  <c r="F1883" i="57" s="1"/>
  <c r="G1904" i="57" a="1"/>
  <c r="G1904" i="57" s="1"/>
  <c r="F1904" i="57" a="1"/>
  <c r="F1904" i="57" s="1"/>
  <c r="G396" i="57" a="1"/>
  <c r="G396" i="57" s="1"/>
  <c r="F396" i="57" a="1"/>
  <c r="F396" i="57" s="1"/>
  <c r="G648" i="57" a="1"/>
  <c r="G648" i="57" s="1"/>
  <c r="F648" i="57" a="1"/>
  <c r="F648" i="57" s="1"/>
  <c r="G924" i="57" a="1"/>
  <c r="G924" i="57" s="1"/>
  <c r="F924" i="57" a="1"/>
  <c r="F924" i="57" s="1"/>
  <c r="G1143" i="57" a="1"/>
  <c r="G1143" i="57" s="1"/>
  <c r="F1143" i="57" a="1"/>
  <c r="F1143" i="57" s="1"/>
  <c r="G604" i="57" a="1"/>
  <c r="G604" i="57" s="1"/>
  <c r="F604" i="57" a="1"/>
  <c r="F604" i="57" s="1"/>
  <c r="G982" i="57" a="1"/>
  <c r="G982" i="57" s="1"/>
  <c r="F982" i="57" a="1"/>
  <c r="F982" i="57" s="1"/>
  <c r="G1342" i="57" a="1"/>
  <c r="G1342" i="57" s="1"/>
  <c r="F1342" i="57" a="1"/>
  <c r="F1342" i="57" s="1"/>
  <c r="G1587" i="57" a="1"/>
  <c r="G1587" i="57" s="1"/>
  <c r="F1587" i="57" a="1"/>
  <c r="F1587" i="57" s="1"/>
  <c r="G1905" i="57" a="1"/>
  <c r="G1905" i="57" s="1"/>
  <c r="F1905" i="57" a="1"/>
  <c r="F1905" i="57" s="1"/>
  <c r="G1708" i="57" a="1"/>
  <c r="G1708" i="57" s="1"/>
  <c r="F1708" i="57" a="1"/>
  <c r="F1708" i="57" s="1"/>
  <c r="G1547" i="57" a="1"/>
  <c r="G1547" i="57" s="1"/>
  <c r="F1547" i="57" a="1"/>
  <c r="F1547" i="57" s="1"/>
  <c r="G1562" i="57" a="1"/>
  <c r="G1562" i="57" s="1"/>
  <c r="F1562" i="57" a="1"/>
  <c r="F1562" i="57" s="1"/>
  <c r="G210" i="57" a="1"/>
  <c r="G210" i="57" s="1"/>
  <c r="F210" i="57" a="1"/>
  <c r="F210" i="57" s="1"/>
  <c r="G594" i="57" a="1"/>
  <c r="G594" i="57" s="1"/>
  <c r="F594" i="57" a="1"/>
  <c r="F594" i="57" s="1"/>
  <c r="G965" i="57" a="1"/>
  <c r="G965" i="57" s="1"/>
  <c r="F965" i="57" a="1"/>
  <c r="F965" i="57" s="1"/>
  <c r="G1091" i="57" a="1"/>
  <c r="G1091" i="57" s="1"/>
  <c r="F1091" i="57" a="1"/>
  <c r="F1091" i="57" s="1"/>
  <c r="G1199" i="57" a="1"/>
  <c r="G1199" i="57" s="1"/>
  <c r="F1199" i="57" a="1"/>
  <c r="F1199" i="57" s="1"/>
  <c r="G1313" i="57" a="1"/>
  <c r="G1313" i="57" s="1"/>
  <c r="F1313" i="57" a="1"/>
  <c r="F1313" i="57" s="1"/>
  <c r="G684" i="57" a="1"/>
  <c r="G684" i="57" s="1"/>
  <c r="F684" i="57" a="1"/>
  <c r="F684" i="57" s="1"/>
  <c r="G858" i="57" a="1"/>
  <c r="G858" i="57" s="1"/>
  <c r="F858" i="57" a="1"/>
  <c r="F858" i="57" s="1"/>
  <c r="G996" i="57" a="1"/>
  <c r="G996" i="57" s="1"/>
  <c r="F996" i="57" a="1"/>
  <c r="F996" i="57" s="1"/>
  <c r="G1128" i="57" a="1"/>
  <c r="G1128" i="57" s="1"/>
  <c r="F1128" i="57" a="1"/>
  <c r="F1128" i="57" s="1"/>
  <c r="G1254" i="57" a="1"/>
  <c r="G1254" i="57" s="1"/>
  <c r="F1254" i="57" a="1"/>
  <c r="F1254" i="57" s="1"/>
  <c r="G1392" i="57" a="1"/>
  <c r="G1392" i="57" s="1"/>
  <c r="F1392" i="57" a="1"/>
  <c r="F1392" i="57" s="1"/>
  <c r="G698" i="57" a="1"/>
  <c r="G698" i="57" s="1"/>
  <c r="F698" i="57" a="1"/>
  <c r="F698" i="57" s="1"/>
  <c r="G818" i="57" a="1"/>
  <c r="G818" i="57" s="1"/>
  <c r="F818" i="57" a="1"/>
  <c r="F818" i="57" s="1"/>
  <c r="G968" i="57" a="1"/>
  <c r="G968" i="57" s="1"/>
  <c r="F968" i="57" a="1"/>
  <c r="F968" i="57" s="1"/>
  <c r="G1130" i="57" a="1"/>
  <c r="G1130" i="57" s="1"/>
  <c r="F1130" i="57" a="1"/>
  <c r="F1130" i="57" s="1"/>
  <c r="G1292" i="57" a="1"/>
  <c r="G1292" i="57" s="1"/>
  <c r="F1292" i="57" a="1"/>
  <c r="F1292" i="57" s="1"/>
  <c r="G651" i="57" a="1"/>
  <c r="G651" i="57" s="1"/>
  <c r="F651" i="57" a="1"/>
  <c r="F651" i="57" s="1"/>
  <c r="G765" i="57" a="1"/>
  <c r="G765" i="57" s="1"/>
  <c r="F765" i="57" a="1"/>
  <c r="F765" i="57" s="1"/>
  <c r="G1017" i="57" a="1"/>
  <c r="G1017" i="57" s="1"/>
  <c r="F1017" i="57" a="1"/>
  <c r="F1017" i="57" s="1"/>
  <c r="G1359" i="57" a="1"/>
  <c r="G1359" i="57" s="1"/>
  <c r="F1359" i="57" a="1"/>
  <c r="F1359" i="57" s="1"/>
  <c r="G838" i="57" a="1"/>
  <c r="G838" i="57" s="1"/>
  <c r="F838" i="57" a="1"/>
  <c r="F838" i="57" s="1"/>
  <c r="G1204" i="57" a="1"/>
  <c r="G1204" i="57" s="1"/>
  <c r="F1204" i="57" a="1"/>
  <c r="F1204" i="57" s="1"/>
  <c r="G1491" i="57" a="1"/>
  <c r="G1491" i="57" s="1"/>
  <c r="F1491" i="57" a="1"/>
  <c r="F1491" i="57" s="1"/>
  <c r="G1803" i="57" a="1"/>
  <c r="G1803" i="57" s="1"/>
  <c r="F1803" i="57" a="1"/>
  <c r="F1803" i="57" s="1"/>
  <c r="G1618" i="57" a="1"/>
  <c r="G1618" i="57" s="1"/>
  <c r="F1618" i="57" a="1"/>
  <c r="F1618" i="57" s="1"/>
  <c r="G1924" i="57" a="1"/>
  <c r="G1924" i="57" s="1"/>
  <c r="F1924" i="57" a="1"/>
  <c r="F1924" i="57" s="1"/>
  <c r="G1919" i="57" a="1"/>
  <c r="G1919" i="57" s="1"/>
  <c r="F1919" i="57" a="1"/>
  <c r="F1919" i="57" s="1"/>
  <c r="G1940" i="57" a="1"/>
  <c r="G1940" i="57" s="1"/>
  <c r="F1940" i="57" a="1"/>
  <c r="F1940" i="57" s="1"/>
  <c r="G300" i="57" a="1"/>
  <c r="G300" i="57" s="1"/>
  <c r="F300" i="57" a="1"/>
  <c r="F300" i="57" s="1"/>
  <c r="G516" i="57" a="1"/>
  <c r="G516" i="57" s="1"/>
  <c r="F516" i="57" a="1"/>
  <c r="F516" i="57" s="1"/>
  <c r="G840" i="57" a="1"/>
  <c r="G840" i="57" s="1"/>
  <c r="F840" i="57" a="1"/>
  <c r="F840" i="57" s="1"/>
  <c r="G1107" i="57" a="1"/>
  <c r="G1107" i="57" s="1"/>
  <c r="F1107" i="57" a="1"/>
  <c r="F1107" i="57" s="1"/>
  <c r="G562" i="57" a="1"/>
  <c r="G562" i="57" s="1"/>
  <c r="F562" i="57" a="1"/>
  <c r="F562" i="57" s="1"/>
  <c r="G946" i="57" a="1"/>
  <c r="G946" i="57" s="1"/>
  <c r="F946" i="57" a="1"/>
  <c r="F946" i="57" s="1"/>
  <c r="G1300" i="57" a="1"/>
  <c r="G1300" i="57" s="1"/>
  <c r="F1300" i="57" a="1"/>
  <c r="F1300" i="57" s="1"/>
  <c r="G1557" i="57" a="1"/>
  <c r="G1557" i="57" s="1"/>
  <c r="F1557" i="57" a="1"/>
  <c r="F1557" i="57" s="1"/>
  <c r="G1869" i="57" a="1"/>
  <c r="G1869" i="57" s="1"/>
  <c r="F1869" i="57" a="1"/>
  <c r="F1869" i="57" s="1"/>
  <c r="G1672" i="57" a="1"/>
  <c r="G1672" i="57" s="1"/>
  <c r="F1672" i="57" a="1"/>
  <c r="F1672" i="57" s="1"/>
  <c r="G1499" i="57" a="1"/>
  <c r="G1499" i="57" s="1"/>
  <c r="F1499" i="57" a="1"/>
  <c r="F1499" i="57" s="1"/>
  <c r="G1514" i="57" a="1"/>
  <c r="G1514" i="57" s="1"/>
  <c r="F1514" i="57" a="1"/>
  <c r="F1514" i="57" s="1"/>
  <c r="G2043" i="57" a="1"/>
  <c r="G2043" i="57" s="1"/>
  <c r="F2043" i="57" a="1"/>
  <c r="F2043" i="57" s="1"/>
  <c r="G933" i="57" a="1"/>
  <c r="G933" i="57" s="1"/>
  <c r="F933" i="57" a="1"/>
  <c r="F933" i="57" s="1"/>
  <c r="G1041" i="57" a="1"/>
  <c r="G1041" i="57" s="1"/>
  <c r="F1041" i="57" a="1"/>
  <c r="F1041" i="57" s="1"/>
  <c r="G1149" i="57" a="1"/>
  <c r="G1149" i="57" s="1"/>
  <c r="F1149" i="57" a="1"/>
  <c r="F1149" i="57" s="1"/>
  <c r="G1263" i="57" a="1"/>
  <c r="G1263" i="57" s="1"/>
  <c r="F1263" i="57" a="1"/>
  <c r="F1263" i="57" s="1"/>
  <c r="G1383" i="57" a="1"/>
  <c r="G1383" i="57" s="1"/>
  <c r="F1383" i="57" a="1"/>
  <c r="F1383" i="57" s="1"/>
  <c r="G616" i="57" a="1"/>
  <c r="G616" i="57" s="1"/>
  <c r="F616" i="57" a="1"/>
  <c r="F616" i="57" s="1"/>
  <c r="G736" i="57" a="1"/>
  <c r="G736" i="57" s="1"/>
  <c r="F736" i="57" a="1"/>
  <c r="F736" i="57" s="1"/>
  <c r="G862" i="57" a="1"/>
  <c r="G862" i="57" s="1"/>
  <c r="F862" i="57" a="1"/>
  <c r="F862" i="57" s="1"/>
  <c r="G988" i="57" a="1"/>
  <c r="G988" i="57" s="1"/>
  <c r="F988" i="57" a="1"/>
  <c r="F988" i="57" s="1"/>
  <c r="G1108" i="57" a="1"/>
  <c r="G1108" i="57" s="1"/>
  <c r="F1108" i="57" a="1"/>
  <c r="F1108" i="57" s="1"/>
  <c r="G1228" i="57" a="1"/>
  <c r="G1228" i="57" s="1"/>
  <c r="F1228" i="57" a="1"/>
  <c r="F1228" i="57" s="1"/>
  <c r="G1354" i="57" a="1"/>
  <c r="G1354" i="57" s="1"/>
  <c r="F1354" i="57" a="1"/>
  <c r="F1354" i="57" s="1"/>
  <c r="G1379" i="57" a="1"/>
  <c r="G1379" i="57" s="1"/>
  <c r="F1379" i="57" a="1"/>
  <c r="F1379" i="57" s="1"/>
  <c r="G1551" i="57" a="1"/>
  <c r="G1551" i="57" s="1"/>
  <c r="F1551" i="57" a="1"/>
  <c r="F1551" i="57" s="1"/>
  <c r="G1809" i="57" a="1"/>
  <c r="G1809" i="57" s="1"/>
  <c r="F1809" i="57" a="1"/>
  <c r="F1809" i="57" s="1"/>
  <c r="G1564" i="57" a="1"/>
  <c r="G1564" i="57" s="1"/>
  <c r="F1564" i="57" a="1"/>
  <c r="F1564" i="57" s="1"/>
  <c r="G1822" i="57" a="1"/>
  <c r="G1822" i="57" s="1"/>
  <c r="F1822" i="57" a="1"/>
  <c r="F1822" i="57" s="1"/>
  <c r="G1571" i="57" a="1"/>
  <c r="G1571" i="57" s="1"/>
  <c r="F1571" i="57" a="1"/>
  <c r="F1571" i="57" s="1"/>
  <c r="G1829" i="57" a="1"/>
  <c r="G1829" i="57" s="1"/>
  <c r="F1829" i="57" a="1"/>
  <c r="F1829" i="57" s="1"/>
  <c r="G1586" i="57" a="1"/>
  <c r="G1586" i="57" s="1"/>
  <c r="F1586" i="57" a="1"/>
  <c r="F1586" i="57" s="1"/>
  <c r="G1844" i="57" a="1"/>
  <c r="G1844" i="57" s="1"/>
  <c r="F1844" i="57" a="1"/>
  <c r="F1844" i="57" s="1"/>
  <c r="G2103" i="57" a="1"/>
  <c r="G2103" i="57" s="1"/>
  <c r="F2103" i="57" a="1"/>
  <c r="F2103" i="57" s="1"/>
  <c r="G2367" i="57" a="1"/>
  <c r="G2367" i="57" s="1"/>
  <c r="F2367" i="57" a="1"/>
  <c r="F2367" i="57" s="1"/>
  <c r="G2164" i="57" a="1"/>
  <c r="G2164" i="57" s="1"/>
  <c r="F2164" i="57" a="1"/>
  <c r="F2164" i="57" s="1"/>
  <c r="G1997" i="57" a="1"/>
  <c r="G1997" i="57" s="1"/>
  <c r="F1997" i="57" a="1"/>
  <c r="F1997" i="57" s="1"/>
  <c r="G2309" i="57" a="1"/>
  <c r="G2309" i="57" s="1"/>
  <c r="F2309" i="57" a="1"/>
  <c r="F2309" i="57" s="1"/>
  <c r="G2162" i="57" a="1"/>
  <c r="G2162" i="57" s="1"/>
  <c r="F2162" i="57" a="1"/>
  <c r="F2162" i="57" s="1"/>
  <c r="G73" i="57" a="1"/>
  <c r="G73" i="57" s="1"/>
  <c r="F73" i="57" a="1"/>
  <c r="F73" i="57" s="1"/>
  <c r="G93" i="57" a="1"/>
  <c r="G93" i="57" s="1"/>
  <c r="F93" i="57" a="1"/>
  <c r="F93" i="57" s="1"/>
  <c r="G1914" i="57" a="1"/>
  <c r="G1914" i="57" s="1"/>
  <c r="F1914" i="57" a="1"/>
  <c r="F1914" i="57" s="1"/>
  <c r="G2442" i="57" a="1"/>
  <c r="G2442" i="57" s="1"/>
  <c r="F2442" i="57" a="1"/>
  <c r="F2442" i="57" s="1"/>
  <c r="G2115" i="57" a="1"/>
  <c r="G2115" i="57" s="1"/>
  <c r="F2115" i="57" a="1"/>
  <c r="F2115" i="57" s="1"/>
  <c r="G2373" i="57" a="1"/>
  <c r="G2373" i="57" s="1"/>
  <c r="F2373" i="57" a="1"/>
  <c r="F2373" i="57" s="1"/>
  <c r="G2170" i="57" a="1"/>
  <c r="G2170" i="57" s="1"/>
  <c r="F2170" i="57" a="1"/>
  <c r="F2170" i="57" s="1"/>
  <c r="G2009" i="57" a="1"/>
  <c r="G2009" i="57" s="1"/>
  <c r="F2009" i="57" a="1"/>
  <c r="F2009" i="57" s="1"/>
  <c r="G2315" i="57" a="1"/>
  <c r="G2315" i="57" s="1"/>
  <c r="F2315" i="57" a="1"/>
  <c r="F2315" i="57" s="1"/>
  <c r="G2174" i="57" a="1"/>
  <c r="G2174" i="57" s="1"/>
  <c r="F2174" i="57" a="1"/>
  <c r="F2174" i="57" s="1"/>
  <c r="G79" i="57" a="1"/>
  <c r="G79" i="57" s="1"/>
  <c r="F79" i="57" a="1"/>
  <c r="F79" i="57" s="1"/>
  <c r="G2497" i="57" a="1"/>
  <c r="G2497" i="57" s="1"/>
  <c r="F2497" i="57" a="1"/>
  <c r="F2497" i="57" s="1"/>
  <c r="G1465" i="57" a="1"/>
  <c r="G1465" i="57" s="1"/>
  <c r="F1465" i="57" a="1"/>
  <c r="F1465" i="57" s="1"/>
  <c r="G2163" i="57" a="1"/>
  <c r="G2163" i="57" s="1"/>
  <c r="F2163" i="57" a="1"/>
  <c r="F2163" i="57" s="1"/>
  <c r="G2427" i="57" a="1"/>
  <c r="G2427" i="57" s="1"/>
  <c r="F2427" i="57" a="1"/>
  <c r="F2427" i="57" s="1"/>
  <c r="G2230" i="57" a="1"/>
  <c r="G2230" i="57" s="1"/>
  <c r="F2230" i="57" a="1"/>
  <c r="F2230" i="57" s="1"/>
  <c r="G2069" i="57" a="1"/>
  <c r="G2069" i="57" s="1"/>
  <c r="F2069" i="57" a="1"/>
  <c r="F2069" i="57" s="1"/>
  <c r="G2381" i="57" a="1"/>
  <c r="G2381" i="57" s="1"/>
  <c r="F2381" i="57" a="1"/>
  <c r="F2381" i="57" s="1"/>
  <c r="G2234" i="57" a="1"/>
  <c r="G2234" i="57" s="1"/>
  <c r="F2234" i="57" a="1"/>
  <c r="F2234" i="57" s="1"/>
  <c r="G157" i="57" a="1"/>
  <c r="G157" i="57" s="1"/>
  <c r="F157" i="57" a="1"/>
  <c r="F157" i="57" s="1"/>
  <c r="G1518" i="57" a="1"/>
  <c r="G1518" i="57" s="1"/>
  <c r="F1518" i="57" a="1"/>
  <c r="F1518" i="57" s="1"/>
  <c r="G216" i="57" a="1"/>
  <c r="G216" i="57" s="1"/>
  <c r="F216" i="57" a="1"/>
  <c r="F216" i="57" s="1"/>
  <c r="G2017" i="57" a="1"/>
  <c r="G2017" i="57" s="1"/>
  <c r="F2017" i="57" a="1"/>
  <c r="F2017" i="57" s="1"/>
  <c r="G2211" i="57" a="1"/>
  <c r="G2211" i="57" s="1"/>
  <c r="F2211" i="57" a="1"/>
  <c r="F2211" i="57" s="1"/>
  <c r="G1984" i="57" a="1"/>
  <c r="G1984" i="57" s="1"/>
  <c r="F1984" i="57" a="1"/>
  <c r="F1984" i="57" s="1"/>
  <c r="G2290" i="57" a="1"/>
  <c r="G2290" i="57" s="1"/>
  <c r="F2290" i="57" a="1"/>
  <c r="F2290" i="57" s="1"/>
  <c r="G2129" i="57" a="1"/>
  <c r="G2129" i="57" s="1"/>
  <c r="F2129" i="57" a="1"/>
  <c r="F2129" i="57" s="1"/>
  <c r="G1982" i="57" a="1"/>
  <c r="G1982" i="57" s="1"/>
  <c r="F1982" i="57" a="1"/>
  <c r="F1982" i="57" s="1"/>
  <c r="G2288" i="57" a="1"/>
  <c r="G2288" i="57" s="1"/>
  <c r="F2288" i="57" a="1"/>
  <c r="F2288" i="57" s="1"/>
  <c r="G223" i="57" a="1"/>
  <c r="G223" i="57" s="1"/>
  <c r="F223" i="57" a="1"/>
  <c r="F223" i="57" s="1"/>
  <c r="G1584" i="57" a="1"/>
  <c r="G1584" i="57" s="1"/>
  <c r="F1584" i="57" a="1"/>
  <c r="F1584" i="57" s="1"/>
  <c r="G523" i="57" a="1"/>
  <c r="G523" i="57" s="1"/>
  <c r="F523" i="57" a="1"/>
  <c r="F523" i="57" s="1"/>
  <c r="G900" i="57" a="1"/>
  <c r="G900" i="57" s="1"/>
  <c r="F900" i="57" a="1"/>
  <c r="F900" i="57" s="1"/>
  <c r="G1643" i="57" a="1"/>
  <c r="G1643" i="57" s="1"/>
  <c r="F1643" i="57" a="1"/>
  <c r="F1643" i="57" s="1"/>
  <c r="G1901" i="57" a="1"/>
  <c r="G1901" i="57" s="1"/>
  <c r="F1901" i="57" a="1"/>
  <c r="F1901" i="57" s="1"/>
  <c r="G1658" i="57" a="1"/>
  <c r="G1658" i="57" s="1"/>
  <c r="F1658" i="57" a="1"/>
  <c r="F1658" i="57" s="1"/>
  <c r="G1916" i="57" a="1"/>
  <c r="G1916" i="57" s="1"/>
  <c r="F1916" i="57" a="1"/>
  <c r="F1916" i="57" s="1"/>
  <c r="G2175" i="57" a="1"/>
  <c r="G2175" i="57" s="1"/>
  <c r="F2175" i="57" a="1"/>
  <c r="F2175" i="57" s="1"/>
  <c r="G2451" i="57" a="1"/>
  <c r="G2451" i="57" s="1"/>
  <c r="F2451" i="57" a="1"/>
  <c r="F2451" i="57" s="1"/>
  <c r="G2248" i="57" a="1"/>
  <c r="G2248" i="57" s="1"/>
  <c r="F2248" i="57" a="1"/>
  <c r="F2248" i="57" s="1"/>
  <c r="G2087" i="57" a="1"/>
  <c r="G2087" i="57" s="1"/>
  <c r="F2087" i="57" a="1"/>
  <c r="F2087" i="57" s="1"/>
  <c r="G2393" i="57" a="1"/>
  <c r="G2393" i="57" s="1"/>
  <c r="F2393" i="57" a="1"/>
  <c r="F2393" i="57" s="1"/>
  <c r="G2246" i="57" a="1"/>
  <c r="G2246" i="57" s="1"/>
  <c r="F2246" i="57" a="1"/>
  <c r="F2246" i="57" s="1"/>
  <c r="G169" i="57" a="1"/>
  <c r="G169" i="57" s="1"/>
  <c r="F169" i="57" a="1"/>
  <c r="F169" i="57" s="1"/>
  <c r="G1530" i="57" a="1"/>
  <c r="G1530" i="57" s="1"/>
  <c r="F1530" i="57" a="1"/>
  <c r="F1530" i="57" s="1"/>
  <c r="G307" i="57" a="1"/>
  <c r="G307" i="57" s="1"/>
  <c r="F307" i="57" a="1"/>
  <c r="F307" i="57" s="1"/>
  <c r="G2101" i="57" a="1"/>
  <c r="G2101" i="57" s="1"/>
  <c r="F2101" i="57" a="1"/>
  <c r="F2101" i="57" s="1"/>
  <c r="G1559" i="57" a="1"/>
  <c r="G1559" i="57" s="1"/>
  <c r="F1559" i="57" a="1"/>
  <c r="F1559" i="57" s="1"/>
  <c r="G1823" i="57" a="1"/>
  <c r="G1823" i="57" s="1"/>
  <c r="F1823" i="57" a="1"/>
  <c r="F1823" i="57" s="1"/>
  <c r="G1580" i="57" a="1"/>
  <c r="G1580" i="57" s="1"/>
  <c r="F1580" i="57" a="1"/>
  <c r="F1580" i="57" s="1"/>
  <c r="G1838" i="57" a="1"/>
  <c r="G1838" i="57" s="1"/>
  <c r="F1838" i="57" a="1"/>
  <c r="F1838" i="57" s="1"/>
  <c r="G2097" i="57" a="1"/>
  <c r="G2097" i="57" s="1"/>
  <c r="F2097" i="57" a="1"/>
  <c r="F2097" i="57" s="1"/>
  <c r="G2355" i="57" a="1"/>
  <c r="G2355" i="57" s="1"/>
  <c r="F2355" i="57" a="1"/>
  <c r="F2355" i="57" s="1"/>
  <c r="G2158" i="57" a="1"/>
  <c r="G2158" i="57" s="1"/>
  <c r="F2158" i="57" a="1"/>
  <c r="F2158" i="57" s="1"/>
  <c r="G1991" i="57" a="1"/>
  <c r="G1991" i="57" s="1"/>
  <c r="F1991" i="57" a="1"/>
  <c r="F1991" i="57" s="1"/>
  <c r="G2303" i="57" a="1"/>
  <c r="G2303" i="57" s="1"/>
  <c r="F2303" i="57" a="1"/>
  <c r="F2303" i="57" s="1"/>
  <c r="G2150" i="57" a="1"/>
  <c r="G2150" i="57" s="1"/>
  <c r="F2150" i="57" a="1"/>
  <c r="F2150" i="57" s="1"/>
  <c r="G43" i="57" a="1"/>
  <c r="G43" i="57" s="1"/>
  <c r="F43" i="57" a="1"/>
  <c r="F43" i="57" s="1"/>
  <c r="G45" i="57" a="1"/>
  <c r="G45" i="57" s="1"/>
  <c r="F45" i="57" a="1"/>
  <c r="F45" i="57" s="1"/>
  <c r="G1872" i="57" a="1"/>
  <c r="G1872" i="57" s="1"/>
  <c r="F1872" i="57" a="1"/>
  <c r="F1872" i="57" s="1"/>
  <c r="G2400" i="57" a="1"/>
  <c r="G2400" i="57" s="1"/>
  <c r="F2400" i="57" a="1"/>
  <c r="F2400" i="57" s="1"/>
  <c r="G1503" i="57" a="1"/>
  <c r="G1503" i="57" s="1"/>
  <c r="F1503" i="57" a="1"/>
  <c r="F1503" i="57" s="1"/>
  <c r="G1719" i="57" a="1"/>
  <c r="G1719" i="57" s="1"/>
  <c r="F1719" i="57" a="1"/>
  <c r="F1719" i="57" s="1"/>
  <c r="G1935" i="57" a="1"/>
  <c r="G1935" i="57" s="1"/>
  <c r="F1935" i="57" a="1"/>
  <c r="F1935" i="57" s="1"/>
  <c r="G1648" i="57" a="1"/>
  <c r="G1648" i="57" s="1"/>
  <c r="F1648" i="57" a="1"/>
  <c r="F1648" i="57" s="1"/>
  <c r="G1864" i="57" a="1"/>
  <c r="G1864" i="57" s="1"/>
  <c r="F1864" i="57" a="1"/>
  <c r="F1864" i="57" s="1"/>
  <c r="G1565" i="57" a="1"/>
  <c r="G1565" i="57" s="1"/>
  <c r="F1565" i="57" a="1"/>
  <c r="F1565" i="57" s="1"/>
  <c r="G1781" i="57" a="1"/>
  <c r="G1781" i="57" s="1"/>
  <c r="F1781" i="57" a="1"/>
  <c r="F1781" i="57" s="1"/>
  <c r="G1496" i="57" a="1"/>
  <c r="G1496" i="57" s="1"/>
  <c r="F1496" i="57" a="1"/>
  <c r="F1496" i="57" s="1"/>
  <c r="G1712" i="57" a="1"/>
  <c r="G1712" i="57" s="1"/>
  <c r="F1712" i="57" a="1"/>
  <c r="F1712" i="57" s="1"/>
  <c r="G1928" i="57" a="1"/>
  <c r="G1928" i="57" s="1"/>
  <c r="F1928" i="57" a="1"/>
  <c r="F1928" i="57" s="1"/>
  <c r="G2145" i="57" a="1"/>
  <c r="G2145" i="57" s="1"/>
  <c r="F2145" i="57" a="1"/>
  <c r="F2145" i="57" s="1"/>
  <c r="G2361" i="57" a="1"/>
  <c r="G2361" i="57" s="1"/>
  <c r="F2361" i="57" a="1"/>
  <c r="F2361" i="57" s="1"/>
  <c r="G2104" i="57" a="1"/>
  <c r="G2104" i="57" s="1"/>
  <c r="F2104" i="57" a="1"/>
  <c r="F2104" i="57" s="1"/>
  <c r="G2362" i="57" a="1"/>
  <c r="G2362" i="57" s="1"/>
  <c r="F2362" i="57" a="1"/>
  <c r="F2362" i="57" s="1"/>
  <c r="G2153" i="57" a="1"/>
  <c r="G2153" i="57" s="1"/>
  <c r="F2153" i="57" a="1"/>
  <c r="F2153" i="57" s="1"/>
  <c r="G2411" i="57" a="1"/>
  <c r="G2411" i="57" s="1"/>
  <c r="F2411" i="57" a="1"/>
  <c r="F2411" i="57" s="1"/>
  <c r="G2210" i="57" a="1"/>
  <c r="G2210" i="57" s="1"/>
  <c r="F2210" i="57" a="1"/>
  <c r="F2210" i="57" s="1"/>
  <c r="G2469" i="57" a="1"/>
  <c r="G2469" i="57" s="1"/>
  <c r="F2469" i="57" a="1"/>
  <c r="F2469" i="57" s="1"/>
  <c r="G2470" i="57" a="1"/>
  <c r="G2470" i="57" s="1"/>
  <c r="F2470" i="57" a="1"/>
  <c r="F2470" i="57" s="1"/>
  <c r="G1512" i="57" a="1"/>
  <c r="G1512" i="57" s="1"/>
  <c r="F1512" i="57" a="1"/>
  <c r="F1512" i="57" s="1"/>
  <c r="G1770" i="57" a="1"/>
  <c r="G1770" i="57" s="1"/>
  <c r="F1770" i="57" a="1"/>
  <c r="F1770" i="57" s="1"/>
  <c r="G1537" i="57" a="1"/>
  <c r="G1537" i="57" s="1"/>
  <c r="F1537" i="57" a="1"/>
  <c r="F1537" i="57" s="1"/>
  <c r="G247" i="57" a="1"/>
  <c r="G247" i="57" s="1"/>
  <c r="F247" i="57" a="1"/>
  <c r="F247" i="57" s="1"/>
  <c r="G505" i="57" a="1"/>
  <c r="G505" i="57" s="1"/>
  <c r="F505" i="57" a="1"/>
  <c r="F505" i="57" s="1"/>
  <c r="G1118" i="57" a="1"/>
  <c r="G1118" i="57" s="1"/>
  <c r="F1118" i="57" a="1"/>
  <c r="F1118" i="57" s="1"/>
  <c r="G2040" i="57" a="1"/>
  <c r="G2040" i="57" s="1"/>
  <c r="F2040" i="57" a="1"/>
  <c r="F2040" i="57" s="1"/>
  <c r="G2298" i="57" a="1"/>
  <c r="G2298" i="57" s="1"/>
  <c r="F2298" i="57" a="1"/>
  <c r="F2298" i="57" s="1"/>
  <c r="G1783" i="57" a="1"/>
  <c r="G1783" i="57" s="1"/>
  <c r="F1783" i="57" a="1"/>
  <c r="F1783" i="57" s="1"/>
  <c r="G2041" i="57" a="1"/>
  <c r="G2041" i="57" s="1"/>
  <c r="F2041" i="57" a="1"/>
  <c r="F2041" i="57" s="1"/>
  <c r="G870" i="57" a="1"/>
  <c r="G870" i="57" s="1"/>
  <c r="F870" i="57" a="1"/>
  <c r="F870" i="57" s="1"/>
  <c r="G1291" i="57" a="1"/>
  <c r="G1291" i="57" s="1"/>
  <c r="F1291" i="57" a="1"/>
  <c r="F1291" i="57" s="1"/>
  <c r="G1459" i="57" a="1"/>
  <c r="G1459" i="57" s="1"/>
  <c r="F1459" i="57" a="1"/>
  <c r="F1459" i="57" s="1"/>
  <c r="G2468" i="57" a="1"/>
  <c r="G2468" i="57" s="1"/>
  <c r="F2468" i="57" a="1"/>
  <c r="F2468" i="57" s="1"/>
  <c r="G427" i="57" a="1"/>
  <c r="G427" i="57" s="1"/>
  <c r="F427" i="57" a="1"/>
  <c r="F427" i="57" s="1"/>
  <c r="G866" i="57" a="1"/>
  <c r="G866" i="57" s="1"/>
  <c r="F866" i="57" a="1"/>
  <c r="F866" i="57" s="1"/>
  <c r="G1962" i="57" a="1"/>
  <c r="G1962" i="57" s="1"/>
  <c r="F1962" i="57" a="1"/>
  <c r="F1962" i="57" s="1"/>
  <c r="G2220" i="57" a="1"/>
  <c r="G2220" i="57" s="1"/>
  <c r="F2220" i="57" a="1"/>
  <c r="F2220" i="57" s="1"/>
  <c r="G2478" i="57" a="1"/>
  <c r="G2478" i="57" s="1"/>
  <c r="F2478" i="57" a="1"/>
  <c r="F2478" i="57" s="1"/>
  <c r="G1963" i="57" a="1"/>
  <c r="G1963" i="57" s="1"/>
  <c r="F1963" i="57" a="1"/>
  <c r="F1963" i="57" s="1"/>
  <c r="G414" i="57" a="1"/>
  <c r="G414" i="57" s="1"/>
  <c r="F414" i="57" a="1"/>
  <c r="F414" i="57" s="1"/>
  <c r="G1075" i="57" a="1"/>
  <c r="G1075" i="57" s="1"/>
  <c r="F1075" i="57" a="1"/>
  <c r="F1075" i="57" s="1"/>
  <c r="G1836" i="57" a="1"/>
  <c r="G1836" i="57" s="1"/>
  <c r="F1836" i="57" a="1"/>
  <c r="F1836" i="57" s="1"/>
  <c r="G1603" i="57" a="1"/>
  <c r="G1603" i="57" s="1"/>
  <c r="F1603" i="57" a="1"/>
  <c r="F1603" i="57" s="1"/>
  <c r="G313" i="57" a="1"/>
  <c r="G313" i="57" s="1"/>
  <c r="F313" i="57" a="1"/>
  <c r="F313" i="57" s="1"/>
  <c r="G571" i="57" a="1"/>
  <c r="G571" i="57" s="1"/>
  <c r="F571" i="57" a="1"/>
  <c r="F571" i="57" s="1"/>
  <c r="G1298" i="57" a="1"/>
  <c r="G1298" i="57" s="1"/>
  <c r="F1298" i="57" a="1"/>
  <c r="F1298" i="57" s="1"/>
  <c r="G2106" i="57" a="1"/>
  <c r="G2106" i="57" s="1"/>
  <c r="F2106" i="57" a="1"/>
  <c r="F2106" i="57" s="1"/>
  <c r="G2364" i="57" a="1"/>
  <c r="G2364" i="57" s="1"/>
  <c r="F2364" i="57" a="1"/>
  <c r="F2364" i="57" s="1"/>
  <c r="G1849" i="57" a="1"/>
  <c r="G1849" i="57" s="1"/>
  <c r="F1849" i="57" a="1"/>
  <c r="F1849" i="57" s="1"/>
  <c r="G2107" i="57" a="1"/>
  <c r="G2107" i="57" s="1"/>
  <c r="F2107" i="57" a="1"/>
  <c r="F2107" i="57" s="1"/>
  <c r="G1314" i="57" a="1"/>
  <c r="G1314" i="57" s="1"/>
  <c r="F1314" i="57" a="1"/>
  <c r="F1314" i="57" s="1"/>
  <c r="G52" i="57" a="1"/>
  <c r="G52" i="57" s="1"/>
  <c r="F52" i="57" a="1"/>
  <c r="F52" i="57" s="1"/>
  <c r="G1477" i="57" a="1"/>
  <c r="G1477" i="57" s="1"/>
  <c r="F1477" i="57" a="1"/>
  <c r="F1477" i="57" s="1"/>
  <c r="G96" i="57" a="1"/>
  <c r="G96" i="57" s="1"/>
  <c r="F96" i="57" a="1"/>
  <c r="F96" i="57" s="1"/>
  <c r="G451" i="57" a="1"/>
  <c r="G451" i="57" s="1"/>
  <c r="F451" i="57" a="1"/>
  <c r="F451" i="57" s="1"/>
  <c r="G938" i="57" a="1"/>
  <c r="G938" i="57" s="1"/>
  <c r="F938" i="57" a="1"/>
  <c r="F938" i="57" s="1"/>
  <c r="G1980" i="57" a="1"/>
  <c r="G1980" i="57" s="1"/>
  <c r="F1980" i="57" a="1"/>
  <c r="F1980" i="57" s="1"/>
  <c r="G2238" i="57" a="1"/>
  <c r="G2238" i="57" s="1"/>
  <c r="F2238" i="57" a="1"/>
  <c r="F2238" i="57" s="1"/>
  <c r="G1729" i="57" a="1"/>
  <c r="G1729" i="57" s="1"/>
  <c r="F1729" i="57" a="1"/>
  <c r="F1729" i="57" s="1"/>
  <c r="G1987" i="57" a="1"/>
  <c r="G1987" i="57" s="1"/>
  <c r="F1987" i="57" a="1"/>
  <c r="F1987" i="57" s="1"/>
  <c r="G486" i="57" a="1"/>
  <c r="G486" i="57" s="1"/>
  <c r="F486" i="57" a="1"/>
  <c r="F486" i="57" s="1"/>
  <c r="G1135" i="57" a="1"/>
  <c r="G1135" i="57" s="1"/>
  <c r="F1135" i="57" a="1"/>
  <c r="F1135" i="57" s="1"/>
  <c r="G2378" i="57" a="1"/>
  <c r="G2378" i="57" s="1"/>
  <c r="F2378" i="57" a="1"/>
  <c r="F2378" i="57" s="1"/>
  <c r="G187" i="57" a="1"/>
  <c r="G187" i="57" s="1"/>
  <c r="F187" i="57" a="1"/>
  <c r="F187" i="57" s="1"/>
  <c r="G63" i="57" a="1"/>
  <c r="G63" i="57" s="1"/>
  <c r="F63" i="57" a="1"/>
  <c r="F63" i="57" s="1"/>
  <c r="G1674" i="57" a="1"/>
  <c r="G1674" i="57" s="1"/>
  <c r="F1674" i="57" a="1"/>
  <c r="F1674" i="57" s="1"/>
  <c r="G1932" i="57" a="1"/>
  <c r="G1932" i="57" s="1"/>
  <c r="F1932" i="57" a="1"/>
  <c r="F1932" i="57" s="1"/>
  <c r="G1705" i="57" a="1"/>
  <c r="G1705" i="57" s="1"/>
  <c r="F1705" i="57" a="1"/>
  <c r="F1705" i="57" s="1"/>
  <c r="G415" i="57" a="1"/>
  <c r="G415" i="57" s="1"/>
  <c r="F415" i="57" a="1"/>
  <c r="F415" i="57" s="1"/>
  <c r="G770" i="57" a="1"/>
  <c r="G770" i="57" s="1"/>
  <c r="F770" i="57" a="1"/>
  <c r="F770" i="57" s="1"/>
  <c r="G1353" i="57" a="1"/>
  <c r="G1353" i="57" s="1"/>
  <c r="F1353" i="57" a="1"/>
  <c r="F1353" i="57" s="1"/>
  <c r="G2202" i="57" a="1"/>
  <c r="G2202" i="57" s="1"/>
  <c r="F2202" i="57" a="1"/>
  <c r="F2202" i="57" s="1"/>
  <c r="G2466" i="57" a="1"/>
  <c r="G2466" i="57" s="1"/>
  <c r="F2466" i="57" a="1"/>
  <c r="F2466" i="57" s="1"/>
  <c r="G1951" i="57" a="1"/>
  <c r="G1951" i="57" s="1"/>
  <c r="F1951" i="57" a="1"/>
  <c r="F1951" i="57" s="1"/>
  <c r="G390" i="57" a="1"/>
  <c r="G390" i="57" s="1"/>
  <c r="F390" i="57" a="1"/>
  <c r="F390" i="57" s="1"/>
  <c r="G1051" i="57" a="1"/>
  <c r="G1051" i="57" s="1"/>
  <c r="F1051" i="57" a="1"/>
  <c r="F1051" i="57" s="1"/>
  <c r="G2409" i="57" a="1"/>
  <c r="G2409" i="57" s="1"/>
  <c r="F2409" i="57" a="1"/>
  <c r="F2409" i="57" s="1"/>
  <c r="G2116" i="57" a="1"/>
  <c r="G2116" i="57" s="1"/>
  <c r="F2116" i="57" a="1"/>
  <c r="F2116" i="57" s="1"/>
  <c r="G2332" i="57" a="1"/>
  <c r="G2332" i="57" s="1"/>
  <c r="F2332" i="57" a="1"/>
  <c r="F2332" i="57" s="1"/>
  <c r="G2075" i="57" a="1"/>
  <c r="G2075" i="57" s="1"/>
  <c r="F2075" i="57" a="1"/>
  <c r="F2075" i="57" s="1"/>
  <c r="G2291" i="57" a="1"/>
  <c r="G2291" i="57" s="1"/>
  <c r="F2291" i="57" a="1"/>
  <c r="F2291" i="57" s="1"/>
  <c r="G2048" i="57" a="1"/>
  <c r="G2048" i="57" s="1"/>
  <c r="F2048" i="57" a="1"/>
  <c r="F2048" i="57" s="1"/>
  <c r="G2264" i="57" a="1"/>
  <c r="G2264" i="57" s="1"/>
  <c r="F2264" i="57" a="1"/>
  <c r="F2264" i="57" s="1"/>
  <c r="G2481" i="57" a="1"/>
  <c r="G2481" i="57" s="1"/>
  <c r="F2481" i="57" a="1"/>
  <c r="F2481" i="57" s="1"/>
  <c r="G2440" i="57" a="1"/>
  <c r="G2440" i="57" s="1"/>
  <c r="F2440" i="57" a="1"/>
  <c r="F2440" i="57" s="1"/>
  <c r="G243" i="57" a="1"/>
  <c r="G243" i="57" s="1"/>
  <c r="F243" i="57" a="1"/>
  <c r="F243" i="57" s="1"/>
  <c r="G1650" i="57" a="1"/>
  <c r="G1650" i="57" s="1"/>
  <c r="F1650" i="57" a="1"/>
  <c r="F1650" i="57" s="1"/>
  <c r="G1866" i="57" a="1"/>
  <c r="G1866" i="57" s="1"/>
  <c r="F1866" i="57" a="1"/>
  <c r="F1866" i="57" s="1"/>
  <c r="G1591" i="57" a="1"/>
  <c r="G1591" i="57" s="1"/>
  <c r="F1591" i="57" a="1"/>
  <c r="F1591" i="57" s="1"/>
  <c r="G259" i="57" a="1"/>
  <c r="G259" i="57" s="1"/>
  <c r="F259" i="57" a="1"/>
  <c r="F259" i="57" s="1"/>
  <c r="G475" i="57" a="1"/>
  <c r="G475" i="57" s="1"/>
  <c r="F475" i="57" a="1"/>
  <c r="F475" i="57" s="1"/>
  <c r="G884" i="57" a="1"/>
  <c r="G884" i="57" s="1"/>
  <c r="F884" i="57" a="1"/>
  <c r="F884" i="57" s="1"/>
  <c r="G891" i="57" a="1"/>
  <c r="G891" i="57" s="1"/>
  <c r="F891" i="57" a="1"/>
  <c r="F891" i="57" s="1"/>
  <c r="G2136" i="57" a="1"/>
  <c r="G2136" i="57" s="1"/>
  <c r="F2136" i="57" a="1"/>
  <c r="F2136" i="57" s="1"/>
  <c r="G2352" i="57" a="1"/>
  <c r="G2352" i="57" s="1"/>
  <c r="F2352" i="57" a="1"/>
  <c r="F2352" i="57" s="1"/>
  <c r="G1795" i="57" a="1"/>
  <c r="G1795" i="57" s="1"/>
  <c r="F1795" i="57" a="1"/>
  <c r="F1795" i="57" s="1"/>
  <c r="G2011" i="57" a="1"/>
  <c r="G2011" i="57" s="1"/>
  <c r="F2011" i="57" a="1"/>
  <c r="F2011" i="57" s="1"/>
  <c r="G348" i="57" a="1"/>
  <c r="G348" i="57" s="1"/>
  <c r="F348" i="57" a="1"/>
  <c r="F348" i="57" s="1"/>
  <c r="G1422" i="57" a="1"/>
  <c r="G1422" i="57" s="1"/>
  <c r="F1422" i="57" a="1"/>
  <c r="F1422" i="57" s="1"/>
  <c r="G1261" i="57" a="1"/>
  <c r="G1261" i="57" s="1"/>
  <c r="F1261" i="57" a="1"/>
  <c r="F1261" i="57" s="1"/>
  <c r="G724" i="57" a="1"/>
  <c r="G724" i="57" s="1"/>
  <c r="F724" i="57" a="1"/>
  <c r="F724" i="57" s="1"/>
  <c r="G2293" i="57" a="1"/>
  <c r="G2293" i="57" s="1"/>
  <c r="F2293" i="57" a="1"/>
  <c r="F2293" i="57" s="1"/>
  <c r="G655" i="57" a="1"/>
  <c r="G655" i="57" s="1"/>
  <c r="F655" i="57" a="1"/>
  <c r="F655" i="57" s="1"/>
  <c r="G907" i="57" a="1"/>
  <c r="G907" i="57" s="1"/>
  <c r="F907" i="57" a="1"/>
  <c r="F907" i="57" s="1"/>
  <c r="G1309" i="57" a="1"/>
  <c r="G1309" i="57" s="1"/>
  <c r="F1309" i="57" a="1"/>
  <c r="F1309" i="57" s="1"/>
  <c r="G34" i="57" a="1"/>
  <c r="G34" i="57" s="1"/>
  <c r="F34" i="57" a="1"/>
  <c r="F34" i="57" s="1"/>
  <c r="G2335" i="57" a="1"/>
  <c r="G2335" i="57" s="1"/>
  <c r="F2335" i="57" a="1"/>
  <c r="F2335" i="57" s="1"/>
  <c r="G697" i="57" a="1"/>
  <c r="G697" i="57" s="1"/>
  <c r="F697" i="57" a="1"/>
  <c r="F697" i="57" s="1"/>
  <c r="G979" i="57" a="1"/>
  <c r="G979" i="57" s="1"/>
  <c r="F979" i="57" a="1"/>
  <c r="F979" i="57" s="1"/>
  <c r="G1387" i="57" a="1"/>
  <c r="G1387" i="57" s="1"/>
  <c r="F1387" i="57" a="1"/>
  <c r="F1387" i="57" s="1"/>
  <c r="G625" i="57" a="1"/>
  <c r="G625" i="57" s="1"/>
  <c r="F625" i="57" a="1"/>
  <c r="F625" i="57" s="1"/>
  <c r="G865" i="57" a="1"/>
  <c r="G865" i="57" s="1"/>
  <c r="F865" i="57" a="1"/>
  <c r="F865" i="57" s="1"/>
  <c r="G1267" i="57" a="1"/>
  <c r="G1267" i="57" s="1"/>
  <c r="F1267" i="57" a="1"/>
  <c r="F1267" i="57" s="1"/>
  <c r="G526" i="57" a="1"/>
  <c r="G526" i="57" s="1"/>
  <c r="F526" i="57" a="1"/>
  <c r="F526" i="57" s="1"/>
  <c r="G2275" i="57" a="1"/>
  <c r="G2275" i="57" s="1"/>
  <c r="F2275" i="57" a="1"/>
  <c r="F2275" i="57" s="1"/>
  <c r="G637" i="57" a="1"/>
  <c r="G637" i="57" s="1"/>
  <c r="F637" i="57" a="1"/>
  <c r="F637" i="57" s="1"/>
  <c r="G877" i="57" a="1"/>
  <c r="G877" i="57" s="1"/>
  <c r="F877" i="57" a="1"/>
  <c r="F877" i="57" s="1"/>
  <c r="G1279" i="57" a="1"/>
  <c r="G1279" i="57" s="1"/>
  <c r="F1279" i="57" a="1"/>
  <c r="F1279" i="57" s="1"/>
  <c r="G598" i="57" a="1"/>
  <c r="G598" i="57" s="1"/>
  <c r="F598" i="57" a="1"/>
  <c r="F598" i="57" s="1"/>
  <c r="G2281" i="57" a="1"/>
  <c r="G2281" i="57" s="1"/>
  <c r="F2281" i="57" a="1"/>
  <c r="F2281" i="57" s="1"/>
  <c r="G643" i="57" a="1"/>
  <c r="G643" i="57" s="1"/>
  <c r="F643" i="57" a="1"/>
  <c r="F643" i="57" s="1"/>
  <c r="G883" i="57" a="1"/>
  <c r="G883" i="57" s="1"/>
  <c r="F883" i="57" a="1"/>
  <c r="F883" i="57" s="1"/>
  <c r="G1285" i="57" a="1"/>
  <c r="G1285" i="57" s="1"/>
  <c r="F1285" i="57" a="1"/>
  <c r="F1285" i="57" s="1"/>
  <c r="G444" i="57" a="1"/>
  <c r="G444" i="57" s="1"/>
  <c r="F444" i="57" a="1"/>
  <c r="F444" i="57" s="1"/>
  <c r="G859" i="57" a="1"/>
  <c r="G859" i="57" s="1"/>
  <c r="F859" i="57" a="1"/>
  <c r="F859" i="57" s="1"/>
  <c r="G1333" i="57" a="1"/>
  <c r="G1333" i="57" s="1"/>
  <c r="F1333" i="57" a="1"/>
  <c r="F1333" i="57" s="1"/>
  <c r="G1156" i="57" a="1"/>
  <c r="G1156" i="57" s="1"/>
  <c r="F1156" i="57" a="1"/>
  <c r="F1156" i="57" s="1"/>
  <c r="G2323" i="57" a="1"/>
  <c r="G2323" i="57" s="1"/>
  <c r="F2323" i="57" a="1"/>
  <c r="F2323" i="57" s="1"/>
  <c r="G685" i="57" a="1"/>
  <c r="G685" i="57" s="1"/>
  <c r="F685" i="57" a="1"/>
  <c r="F685" i="57" s="1"/>
  <c r="G961" i="57" a="1"/>
  <c r="G961" i="57" s="1"/>
  <c r="F961" i="57" a="1"/>
  <c r="F961" i="57" s="1"/>
  <c r="G1369" i="57" a="1"/>
  <c r="G1369" i="57" s="1"/>
  <c r="F1369" i="57" a="1"/>
  <c r="F1369" i="57" s="1"/>
  <c r="G326" i="57" a="1"/>
  <c r="G326" i="57" s="1"/>
  <c r="F326" i="57" a="1"/>
  <c r="F326" i="57" s="1"/>
  <c r="G272" i="57" a="1"/>
  <c r="G272" i="57" s="1"/>
  <c r="F272" i="57" a="1"/>
  <c r="F272" i="57" s="1"/>
  <c r="G476" i="57" a="1"/>
  <c r="G476" i="57" s="1"/>
  <c r="F476" i="57" a="1"/>
  <c r="F476" i="57" s="1"/>
  <c r="G387" i="57" a="1"/>
  <c r="G387" i="57" s="1"/>
  <c r="F387" i="57" a="1"/>
  <c r="F387" i="57" s="1"/>
  <c r="G141" i="57" a="1"/>
  <c r="G141" i="57" s="1"/>
  <c r="F141" i="57" a="1"/>
  <c r="F141" i="57" s="1"/>
  <c r="G477" i="57" a="1"/>
  <c r="G477" i="57" s="1"/>
  <c r="F477" i="57" a="1"/>
  <c r="F477" i="57" s="1"/>
  <c r="G268" i="57" a="1"/>
  <c r="G268" i="57" s="1"/>
  <c r="F268" i="57" a="1"/>
  <c r="F268" i="57" s="1"/>
  <c r="G53" i="57" a="1"/>
  <c r="G53" i="57" s="1"/>
  <c r="F53" i="57" a="1"/>
  <c r="F53" i="57" s="1"/>
  <c r="G377" i="57" a="1"/>
  <c r="G377" i="57" s="1"/>
  <c r="F377" i="57" a="1"/>
  <c r="F377" i="57" s="1"/>
  <c r="G701" i="57" a="1"/>
  <c r="G701" i="57" s="1"/>
  <c r="F701" i="57" a="1"/>
  <c r="F701" i="57" s="1"/>
  <c r="G204" i="57" a="1"/>
  <c r="G204" i="57" s="1"/>
  <c r="F204" i="57" a="1"/>
  <c r="F204" i="57" s="1"/>
  <c r="G20" i="57" a="1"/>
  <c r="G20" i="57" s="1"/>
  <c r="F20" i="57" a="1"/>
  <c r="F20" i="57" s="1"/>
  <c r="G152" i="57" a="1"/>
  <c r="G152" i="57" s="1"/>
  <c r="F152" i="57" a="1"/>
  <c r="F152" i="57" s="1"/>
  <c r="G296" i="57" a="1"/>
  <c r="G296" i="57" s="1"/>
  <c r="F296" i="57" a="1"/>
  <c r="F296" i="57" s="1"/>
  <c r="G422" i="57" a="1"/>
  <c r="G422" i="57" s="1"/>
  <c r="F422" i="57" a="1"/>
  <c r="F422" i="57" s="1"/>
  <c r="G75" i="57" a="1"/>
  <c r="G75" i="57" s="1"/>
  <c r="F75" i="57" a="1"/>
  <c r="F75" i="57" s="1"/>
  <c r="G417" i="57" a="1"/>
  <c r="G417" i="57" s="1"/>
  <c r="F417" i="57" a="1"/>
  <c r="F417" i="57" s="1"/>
  <c r="G196" i="57" a="1"/>
  <c r="G196" i="57" s="1"/>
  <c r="F196" i="57" a="1"/>
  <c r="F196" i="57" s="1"/>
  <c r="G2486" i="57" a="1"/>
  <c r="G2486" i="57" s="1"/>
  <c r="F2486" i="57" a="1"/>
  <c r="F2486" i="57" s="1"/>
  <c r="G317" i="57" a="1"/>
  <c r="G317" i="57" s="1"/>
  <c r="F317" i="57" a="1"/>
  <c r="F317" i="57" s="1"/>
  <c r="G641" i="57" a="1"/>
  <c r="G641" i="57" s="1"/>
  <c r="F641" i="57" a="1"/>
  <c r="F641" i="57" s="1"/>
  <c r="G90" i="57" a="1"/>
  <c r="G90" i="57" s="1"/>
  <c r="F90" i="57" a="1"/>
  <c r="F90" i="57" s="1"/>
  <c r="G584" i="57" a="1"/>
  <c r="G584" i="57" s="1"/>
  <c r="F584" i="57" a="1"/>
  <c r="F584" i="57" s="1"/>
  <c r="G327" i="57" a="1"/>
  <c r="G327" i="57" s="1"/>
  <c r="F327" i="57" a="1"/>
  <c r="F327" i="57" s="1"/>
  <c r="G1454" i="57" a="1"/>
  <c r="G1454" i="57" s="1"/>
  <c r="F1454" i="57" a="1"/>
  <c r="F1454" i="57" s="1"/>
  <c r="G478" i="57" a="1"/>
  <c r="G478" i="57" s="1"/>
  <c r="F478" i="57" a="1"/>
  <c r="F478" i="57" s="1"/>
  <c r="G233" i="57" a="1"/>
  <c r="G233" i="57" s="1"/>
  <c r="F233" i="57" a="1"/>
  <c r="F233" i="57" s="1"/>
  <c r="G557" i="57" a="1"/>
  <c r="G557" i="57" s="1"/>
  <c r="F557" i="57" a="1"/>
  <c r="F557" i="57" s="1"/>
  <c r="G2487" i="57" a="1"/>
  <c r="G2487" i="57" s="1"/>
  <c r="F2487" i="57" a="1"/>
  <c r="F2487" i="57" s="1"/>
  <c r="G242" i="57" a="1"/>
  <c r="G242" i="57" s="1"/>
  <c r="F242" i="57" a="1"/>
  <c r="F242" i="57" s="1"/>
  <c r="G452" i="57" a="1"/>
  <c r="G452" i="57" s="1"/>
  <c r="F452" i="57" a="1"/>
  <c r="F452" i="57" s="1"/>
  <c r="G153" i="57" a="1"/>
  <c r="G153" i="57" s="1"/>
  <c r="F153" i="57" a="1"/>
  <c r="F153" i="57" s="1"/>
  <c r="G489" i="57" a="1"/>
  <c r="G489" i="57" s="1"/>
  <c r="F489" i="57" a="1"/>
  <c r="F489" i="57" s="1"/>
  <c r="G280" i="57" a="1"/>
  <c r="G280" i="57" s="1"/>
  <c r="F280" i="57" a="1"/>
  <c r="F280" i="57" s="1"/>
  <c r="G65" i="57" a="1"/>
  <c r="G65" i="57" s="1"/>
  <c r="F65" i="57" a="1"/>
  <c r="F65" i="57" s="1"/>
  <c r="G389" i="57" a="1"/>
  <c r="G389" i="57" s="1"/>
  <c r="F389" i="57" a="1"/>
  <c r="F389" i="57" s="1"/>
  <c r="G713" i="57" a="1"/>
  <c r="G713" i="57" s="1"/>
  <c r="F713" i="57" a="1"/>
  <c r="F713" i="57" s="1"/>
  <c r="G150" i="57" a="1"/>
  <c r="G150" i="57" s="1"/>
  <c r="F150" i="57" a="1"/>
  <c r="F150" i="57" s="1"/>
  <c r="G542" i="57" a="1"/>
  <c r="G542" i="57" s="1"/>
  <c r="F542" i="57" a="1"/>
  <c r="F542" i="57" s="1"/>
  <c r="G291" i="57" a="1"/>
  <c r="G291" i="57" s="1"/>
  <c r="F291" i="57" a="1"/>
  <c r="F291" i="57" s="1"/>
  <c r="G621" i="57" a="1"/>
  <c r="G621" i="57" s="1"/>
  <c r="F621" i="57" a="1"/>
  <c r="F621" i="57" s="1"/>
  <c r="G436" i="57" a="1"/>
  <c r="G436" i="57" s="1"/>
  <c r="F436" i="57" a="1"/>
  <c r="F436" i="57" s="1"/>
  <c r="G197" i="57" a="1"/>
  <c r="G197" i="57" s="1"/>
  <c r="F197" i="57" a="1"/>
  <c r="F197" i="57" s="1"/>
  <c r="G521" i="57" a="1"/>
  <c r="G521" i="57" s="1"/>
  <c r="F521" i="57" a="1"/>
  <c r="F521" i="57" s="1"/>
  <c r="G845" i="57" a="1"/>
  <c r="G845" i="57" s="1"/>
  <c r="F845" i="57" a="1"/>
  <c r="F845" i="57" s="1"/>
  <c r="G2488" i="57" a="1"/>
  <c r="G2488" i="57" s="1"/>
  <c r="F2488" i="57" a="1"/>
  <c r="F2488" i="57" s="1"/>
  <c r="G374" i="57" a="1"/>
  <c r="G374" i="57" s="1"/>
  <c r="F374" i="57" a="1"/>
  <c r="F374" i="57" s="1"/>
  <c r="G603" i="57" a="1"/>
  <c r="G603" i="57" s="1"/>
  <c r="F603" i="57" a="1"/>
  <c r="F603" i="57" s="1"/>
  <c r="G418" i="57" a="1"/>
  <c r="G418" i="57" s="1"/>
  <c r="F418" i="57" a="1"/>
  <c r="F418" i="57" s="1"/>
  <c r="G179" i="57" a="1"/>
  <c r="G179" i="57" s="1"/>
  <c r="F179" i="57" a="1"/>
  <c r="F179" i="57" s="1"/>
  <c r="G503" i="57" a="1"/>
  <c r="G503" i="57" s="1"/>
  <c r="F503" i="57" a="1"/>
  <c r="F503" i="57" s="1"/>
  <c r="G827" i="57" a="1"/>
  <c r="G827" i="57" s="1"/>
  <c r="F827" i="57" a="1"/>
  <c r="F827" i="57" s="1"/>
  <c r="G68" i="57" a="1"/>
  <c r="G68" i="57" s="1"/>
  <c r="F68" i="57" a="1"/>
  <c r="F68" i="57" s="1"/>
  <c r="G98" i="57" a="1"/>
  <c r="G98" i="57" s="1"/>
  <c r="F98" i="57" a="1"/>
  <c r="F98" i="57" s="1"/>
  <c r="G2502" i="57" a="1"/>
  <c r="G2502" i="57" s="1"/>
  <c r="F2502" i="57" a="1"/>
  <c r="F2502" i="57" s="1"/>
  <c r="G237" i="57" a="1"/>
  <c r="G237" i="57" s="1"/>
  <c r="F237" i="57" a="1"/>
  <c r="F237" i="57" s="1"/>
  <c r="G483" i="57" a="1"/>
  <c r="G483" i="57" s="1"/>
  <c r="F483" i="57" a="1"/>
  <c r="F483" i="57" s="1"/>
  <c r="G190" i="57" a="1"/>
  <c r="G190" i="57" s="1"/>
  <c r="F190" i="57" a="1"/>
  <c r="F190" i="57" s="1"/>
  <c r="G442" i="57" a="1"/>
  <c r="G442" i="57" s="1"/>
  <c r="F442" i="57" a="1"/>
  <c r="F442" i="57" s="1"/>
  <c r="G1449" i="57" a="1"/>
  <c r="G1449" i="57" s="1"/>
  <c r="F1449" i="57" a="1"/>
  <c r="F1449" i="57" s="1"/>
  <c r="G113" i="57" a="1"/>
  <c r="G113" i="57" s="1"/>
  <c r="F113" i="57" a="1"/>
  <c r="F113" i="57" s="1"/>
  <c r="G239" i="57" a="1"/>
  <c r="G239" i="57" s="1"/>
  <c r="F239" i="57" a="1"/>
  <c r="F239" i="57" s="1"/>
  <c r="G347" i="57" a="1"/>
  <c r="G347" i="57" s="1"/>
  <c r="F347" i="57" a="1"/>
  <c r="F347" i="57" s="1"/>
  <c r="G455" i="57" a="1"/>
  <c r="G455" i="57" s="1"/>
  <c r="F455" i="57" a="1"/>
  <c r="F455" i="57" s="1"/>
  <c r="G563" i="57" a="1"/>
  <c r="G563" i="57" s="1"/>
  <c r="F563" i="57" a="1"/>
  <c r="F563" i="57" s="1"/>
  <c r="G671" i="57" a="1"/>
  <c r="G671" i="57" s="1"/>
  <c r="F671" i="57" a="1"/>
  <c r="F671" i="57" s="1"/>
  <c r="G779" i="57" a="1"/>
  <c r="G779" i="57" s="1"/>
  <c r="F779" i="57" a="1"/>
  <c r="F779" i="57" s="1"/>
  <c r="G2493" i="57" a="1"/>
  <c r="G2493" i="57" s="1"/>
  <c r="F2493" i="57" a="1"/>
  <c r="F2493" i="57" s="1"/>
  <c r="G126" i="57" a="1"/>
  <c r="G126" i="57" s="1"/>
  <c r="F126" i="57" a="1"/>
  <c r="F126" i="57" s="1"/>
  <c r="G264" i="57" a="1"/>
  <c r="G264" i="57" s="1"/>
  <c r="F264" i="57" a="1"/>
  <c r="F264" i="57" s="1"/>
  <c r="G384" i="57" a="1"/>
  <c r="G384" i="57" s="1"/>
  <c r="F384" i="57" a="1"/>
  <c r="F384" i="57" s="1"/>
  <c r="G540" i="57" a="1"/>
  <c r="G540" i="57" s="1"/>
  <c r="F540" i="57" a="1"/>
  <c r="F540" i="57" s="1"/>
  <c r="G881" i="57" a="1"/>
  <c r="G881" i="57" s="1"/>
  <c r="F881" i="57" a="1"/>
  <c r="F881" i="57" s="1"/>
  <c r="G989" i="57" a="1"/>
  <c r="G989" i="57" s="1"/>
  <c r="F989" i="57" a="1"/>
  <c r="F989" i="57" s="1"/>
  <c r="G1097" i="57" a="1"/>
  <c r="G1097" i="57" s="1"/>
  <c r="F1097" i="57" a="1"/>
  <c r="F1097" i="57" s="1"/>
  <c r="G1205" i="57" a="1"/>
  <c r="G1205" i="57" s="1"/>
  <c r="F1205" i="57" a="1"/>
  <c r="F1205" i="57" s="1"/>
  <c r="G1319" i="57" a="1"/>
  <c r="G1319" i="57" s="1"/>
  <c r="F1319" i="57" a="1"/>
  <c r="F1319" i="57" s="1"/>
  <c r="G690" i="57" a="1"/>
  <c r="G690" i="57" s="1"/>
  <c r="F690" i="57" a="1"/>
  <c r="F690" i="57" s="1"/>
  <c r="G846" i="57" a="1"/>
  <c r="G846" i="57" s="1"/>
  <c r="F846" i="57" a="1"/>
  <c r="F846" i="57" s="1"/>
  <c r="G972" i="57" a="1"/>
  <c r="G972" i="57" s="1"/>
  <c r="F972" i="57" a="1"/>
  <c r="F972" i="57" s="1"/>
  <c r="G1110" i="57" a="1"/>
  <c r="G1110" i="57" s="1"/>
  <c r="F1110" i="57" a="1"/>
  <c r="F1110" i="57" s="1"/>
  <c r="G1242" i="57" a="1"/>
  <c r="G1242" i="57" s="1"/>
  <c r="F1242" i="57" a="1"/>
  <c r="F1242" i="57" s="1"/>
  <c r="G1374" i="57" a="1"/>
  <c r="G1374" i="57" s="1"/>
  <c r="F1374" i="57" a="1"/>
  <c r="F1374" i="57" s="1"/>
  <c r="G686" i="57" a="1"/>
  <c r="G686" i="57" s="1"/>
  <c r="F686" i="57" a="1"/>
  <c r="F686" i="57" s="1"/>
  <c r="G806" i="57" a="1"/>
  <c r="G806" i="57" s="1"/>
  <c r="F806" i="57" a="1"/>
  <c r="F806" i="57" s="1"/>
  <c r="G950" i="57" a="1"/>
  <c r="G950" i="57" s="1"/>
  <c r="F950" i="57" a="1"/>
  <c r="F950" i="57" s="1"/>
  <c r="G1112" i="57" a="1"/>
  <c r="G1112" i="57" s="1"/>
  <c r="F1112" i="57" a="1"/>
  <c r="F1112" i="57" s="1"/>
  <c r="G1274" i="57" a="1"/>
  <c r="G1274" i="57" s="1"/>
  <c r="F1274" i="57" a="1"/>
  <c r="F1274" i="57" s="1"/>
  <c r="G1436" i="57" a="1"/>
  <c r="G1436" i="57" s="1"/>
  <c r="F1436" i="57" a="1"/>
  <c r="F1436" i="57" s="1"/>
  <c r="G753" i="57" a="1"/>
  <c r="G753" i="57" s="1"/>
  <c r="F753" i="57" a="1"/>
  <c r="F753" i="57" s="1"/>
  <c r="G981" i="57" a="1"/>
  <c r="G981" i="57" s="1"/>
  <c r="F981" i="57" a="1"/>
  <c r="F981" i="57" s="1"/>
  <c r="G1311" i="57" a="1"/>
  <c r="G1311" i="57" s="1"/>
  <c r="F1311" i="57" a="1"/>
  <c r="F1311" i="57" s="1"/>
  <c r="G802" i="57" a="1"/>
  <c r="G802" i="57" s="1"/>
  <c r="F802" i="57" a="1"/>
  <c r="F802" i="57" s="1"/>
  <c r="G1168" i="57" a="1"/>
  <c r="G1168" i="57" s="1"/>
  <c r="F1168" i="57" a="1"/>
  <c r="F1168" i="57" s="1"/>
  <c r="G1356" i="57" a="1"/>
  <c r="G1356" i="57" s="1"/>
  <c r="F1356" i="57" a="1"/>
  <c r="F1356" i="57" s="1"/>
  <c r="G1773" i="57" a="1"/>
  <c r="G1773" i="57" s="1"/>
  <c r="F1773" i="57" a="1"/>
  <c r="F1773" i="57" s="1"/>
  <c r="G1582" i="57" a="1"/>
  <c r="G1582" i="57" s="1"/>
  <c r="F1582" i="57" a="1"/>
  <c r="F1582" i="57" s="1"/>
  <c r="G1888" i="57" a="1"/>
  <c r="G1888" i="57" s="1"/>
  <c r="F1888" i="57" a="1"/>
  <c r="F1888" i="57" s="1"/>
  <c r="G1847" i="57" a="1"/>
  <c r="G1847" i="57" s="1"/>
  <c r="F1847" i="57" a="1"/>
  <c r="F1847" i="57" s="1"/>
  <c r="G1868" i="57" a="1"/>
  <c r="G1868" i="57" s="1"/>
  <c r="F1868" i="57" a="1"/>
  <c r="F1868" i="57" s="1"/>
  <c r="G1453" i="57" a="1"/>
  <c r="G1453" i="57" s="1"/>
  <c r="F1453" i="57" a="1"/>
  <c r="F1453" i="57" s="1"/>
  <c r="G261" i="57" a="1"/>
  <c r="G261" i="57" s="1"/>
  <c r="F261" i="57" a="1"/>
  <c r="F261" i="57" s="1"/>
  <c r="G465" i="57" a="1"/>
  <c r="G465" i="57" s="1"/>
  <c r="F465" i="57" a="1"/>
  <c r="F465" i="57" s="1"/>
  <c r="F22" i="57" a="1"/>
  <c r="F22" i="57" s="1"/>
  <c r="G334" i="57" a="1"/>
  <c r="G334" i="57" s="1"/>
  <c r="F334" i="57" a="1"/>
  <c r="F334" i="57" s="1"/>
  <c r="G915" i="57" a="1"/>
  <c r="G915" i="57" s="1"/>
  <c r="F915" i="57" a="1"/>
  <c r="F915" i="57" s="1"/>
  <c r="G1251" i="57" a="1"/>
  <c r="G1251" i="57" s="1"/>
  <c r="F1251" i="57" a="1"/>
  <c r="F1251" i="57" s="1"/>
  <c r="G718" i="57" a="1"/>
  <c r="G718" i="57" s="1"/>
  <c r="F718" i="57" a="1"/>
  <c r="F718" i="57" s="1"/>
  <c r="G1090" i="57" a="1"/>
  <c r="G1090" i="57" s="1"/>
  <c r="F1090" i="57" a="1"/>
  <c r="F1090" i="57" s="1"/>
  <c r="G1355" i="57" a="1"/>
  <c r="G1355" i="57" s="1"/>
  <c r="F1355" i="57" a="1"/>
  <c r="F1355" i="57" s="1"/>
  <c r="G1671" i="57" a="1"/>
  <c r="G1671" i="57" s="1"/>
  <c r="F1671" i="57" a="1"/>
  <c r="F1671" i="57" s="1"/>
  <c r="G1486" i="57" a="1"/>
  <c r="G1486" i="57" s="1"/>
  <c r="F1486" i="57" a="1"/>
  <c r="F1486" i="57" s="1"/>
  <c r="G1798" i="57" a="1"/>
  <c r="G1798" i="57" s="1"/>
  <c r="F1798" i="57" a="1"/>
  <c r="F1798" i="57" s="1"/>
  <c r="G1703" i="57" a="1"/>
  <c r="G1703" i="57" s="1"/>
  <c r="F1703" i="57" a="1"/>
  <c r="F1703" i="57" s="1"/>
  <c r="G1724" i="57" a="1"/>
  <c r="G1724" i="57" s="1"/>
  <c r="F1724" i="57" a="1"/>
  <c r="F1724" i="57" s="1"/>
  <c r="G426" i="57" a="1"/>
  <c r="G426" i="57" s="1"/>
  <c r="F426" i="57" a="1"/>
  <c r="F426" i="57" s="1"/>
  <c r="G941" i="57" a="1"/>
  <c r="G941" i="57" s="1"/>
  <c r="F941" i="57" a="1"/>
  <c r="F941" i="57" s="1"/>
  <c r="G1103" i="57" a="1"/>
  <c r="G1103" i="57" s="1"/>
  <c r="F1103" i="57" a="1"/>
  <c r="F1103" i="57" s="1"/>
  <c r="G1211" i="57" a="1"/>
  <c r="G1211" i="57" s="1"/>
  <c r="F1211" i="57" a="1"/>
  <c r="F1211" i="57" s="1"/>
  <c r="G1325" i="57" a="1"/>
  <c r="G1325" i="57" s="1"/>
  <c r="F1325" i="57" a="1"/>
  <c r="F1325" i="57" s="1"/>
  <c r="G696" i="57" a="1"/>
  <c r="G696" i="57" s="1"/>
  <c r="F696" i="57" a="1"/>
  <c r="F696" i="57" s="1"/>
  <c r="G852" i="57" a="1"/>
  <c r="G852" i="57" s="1"/>
  <c r="F852" i="57" a="1"/>
  <c r="F852" i="57" s="1"/>
  <c r="G1014" i="57" a="1"/>
  <c r="G1014" i="57" s="1"/>
  <c r="F1014" i="57" a="1"/>
  <c r="F1014" i="57" s="1"/>
  <c r="G1140" i="57" a="1"/>
  <c r="G1140" i="57" s="1"/>
  <c r="F1140" i="57" a="1"/>
  <c r="F1140" i="57" s="1"/>
  <c r="G1266" i="57" a="1"/>
  <c r="G1266" i="57" s="1"/>
  <c r="F1266" i="57" a="1"/>
  <c r="F1266" i="57" s="1"/>
  <c r="G1404" i="57" a="1"/>
  <c r="G1404" i="57" s="1"/>
  <c r="F1404" i="57" a="1"/>
  <c r="F1404" i="57" s="1"/>
  <c r="G710" i="57" a="1"/>
  <c r="G710" i="57" s="1"/>
  <c r="F710" i="57" a="1"/>
  <c r="F710" i="57" s="1"/>
  <c r="G830" i="57" a="1"/>
  <c r="G830" i="57" s="1"/>
  <c r="F830" i="57" a="1"/>
  <c r="F830" i="57" s="1"/>
  <c r="G986" i="57" a="1"/>
  <c r="G986" i="57" s="1"/>
  <c r="F986" i="57" a="1"/>
  <c r="F986" i="57" s="1"/>
  <c r="G1148" i="57" a="1"/>
  <c r="G1148" i="57" s="1"/>
  <c r="F1148" i="57" a="1"/>
  <c r="F1148" i="57" s="1"/>
  <c r="G1310" i="57" a="1"/>
  <c r="G1310" i="57" s="1"/>
  <c r="F1310" i="57" a="1"/>
  <c r="F1310" i="57" s="1"/>
  <c r="G663" i="57" a="1"/>
  <c r="G663" i="57" s="1"/>
  <c r="F663" i="57" a="1"/>
  <c r="F663" i="57" s="1"/>
  <c r="G783" i="57" a="1"/>
  <c r="G783" i="57" s="1"/>
  <c r="F783" i="57" a="1"/>
  <c r="F783" i="57" s="1"/>
  <c r="G1053" i="57" a="1"/>
  <c r="G1053" i="57" s="1"/>
  <c r="F1053" i="57" a="1"/>
  <c r="F1053" i="57" s="1"/>
  <c r="G1395" i="57" a="1"/>
  <c r="G1395" i="57" s="1"/>
  <c r="F1395" i="57" a="1"/>
  <c r="F1395" i="57" s="1"/>
  <c r="G874" i="57" a="1"/>
  <c r="G874" i="57" s="1"/>
  <c r="F874" i="57" a="1"/>
  <c r="F874" i="57" s="1"/>
  <c r="G1240" i="57" a="1"/>
  <c r="G1240" i="57" s="1"/>
  <c r="F1240" i="57" a="1"/>
  <c r="F1240" i="57" s="1"/>
  <c r="G1527" i="57" a="1"/>
  <c r="G1527" i="57" s="1"/>
  <c r="F1527" i="57" a="1"/>
  <c r="F1527" i="57" s="1"/>
  <c r="G1839" i="57" a="1"/>
  <c r="G1839" i="57" s="1"/>
  <c r="F1839" i="57" a="1"/>
  <c r="F1839" i="57" s="1"/>
  <c r="G1642" i="57" a="1"/>
  <c r="G1642" i="57" s="1"/>
  <c r="F1642" i="57" a="1"/>
  <c r="F1642" i="57" s="1"/>
  <c r="G2490" i="57" a="1"/>
  <c r="G2490" i="57" s="1"/>
  <c r="F2490" i="57" a="1"/>
  <c r="F2490" i="57" s="1"/>
  <c r="G1472" i="57" a="1"/>
  <c r="G1472" i="57" s="1"/>
  <c r="F1472" i="57" a="1"/>
  <c r="F1472" i="57" s="1"/>
  <c r="G1989" i="57" a="1"/>
  <c r="G1989" i="57" s="1"/>
  <c r="F1989" i="57" a="1"/>
  <c r="F1989" i="57" s="1"/>
  <c r="G456" i="57" a="1"/>
  <c r="G456" i="57" s="1"/>
  <c r="F456" i="57" a="1"/>
  <c r="F456" i="57" s="1"/>
  <c r="G905" i="57" a="1"/>
  <c r="G905" i="57" s="1"/>
  <c r="F905" i="57" a="1"/>
  <c r="F905" i="57" s="1"/>
  <c r="G873" i="57" a="1"/>
  <c r="G873" i="57" s="1"/>
  <c r="F873" i="57" a="1"/>
  <c r="F873" i="57" s="1"/>
  <c r="G1209" i="57" a="1"/>
  <c r="G1209" i="57" s="1"/>
  <c r="F1209" i="57" a="1"/>
  <c r="F1209" i="57" s="1"/>
  <c r="G682" i="57" a="1"/>
  <c r="G682" i="57" s="1"/>
  <c r="F682" i="57" a="1"/>
  <c r="F682" i="57" s="1"/>
  <c r="G1054" i="57" a="1"/>
  <c r="G1054" i="57" s="1"/>
  <c r="F1054" i="57" a="1"/>
  <c r="F1054" i="57" s="1"/>
  <c r="G1420" i="57" a="1"/>
  <c r="G1420" i="57" s="1"/>
  <c r="F1420" i="57" a="1"/>
  <c r="F1420" i="57" s="1"/>
  <c r="G1641" i="57" a="1"/>
  <c r="G1641" i="57" s="1"/>
  <c r="F1641" i="57" a="1"/>
  <c r="F1641" i="57" s="1"/>
  <c r="G1953" i="57" a="1"/>
  <c r="G1953" i="57" s="1"/>
  <c r="F1953" i="57" a="1"/>
  <c r="F1953" i="57" s="1"/>
  <c r="G1762" i="57" a="1"/>
  <c r="G1762" i="57" s="1"/>
  <c r="F1762" i="57" a="1"/>
  <c r="F1762" i="57" s="1"/>
  <c r="G1631" i="57" a="1"/>
  <c r="G1631" i="57" s="1"/>
  <c r="F1631" i="57" a="1"/>
  <c r="F1631" i="57" s="1"/>
  <c r="G1652" i="57" a="1"/>
  <c r="G1652" i="57" s="1"/>
  <c r="F1652" i="57" a="1"/>
  <c r="F1652" i="57" s="1"/>
  <c r="G282" i="57" a="1"/>
  <c r="G282" i="57" s="1"/>
  <c r="F282" i="57" a="1"/>
  <c r="F282" i="57" s="1"/>
  <c r="G636" i="57" a="1"/>
  <c r="G636" i="57" s="1"/>
  <c r="F636" i="57" a="1"/>
  <c r="F636" i="57" s="1"/>
  <c r="G1001" i="57" a="1"/>
  <c r="G1001" i="57" s="1"/>
  <c r="F1001" i="57" a="1"/>
  <c r="F1001" i="57" s="1"/>
  <c r="G1109" i="57" a="1"/>
  <c r="G1109" i="57" s="1"/>
  <c r="F1109" i="57" a="1"/>
  <c r="F1109" i="57" s="1"/>
  <c r="G1217" i="57" a="1"/>
  <c r="G1217" i="57" s="1"/>
  <c r="F1217" i="57" a="1"/>
  <c r="F1217" i="57" s="1"/>
  <c r="G1331" i="57" a="1"/>
  <c r="G1331" i="57" s="1"/>
  <c r="F1331" i="57" a="1"/>
  <c r="F1331" i="57" s="1"/>
  <c r="G702" i="57" a="1"/>
  <c r="G702" i="57" s="1"/>
  <c r="F702" i="57" a="1"/>
  <c r="F702" i="57" s="1"/>
  <c r="G888" i="57" a="1"/>
  <c r="G888" i="57" s="1"/>
  <c r="F888" i="57" a="1"/>
  <c r="F888" i="57" s="1"/>
  <c r="G1020" i="57" a="1"/>
  <c r="G1020" i="57" s="1"/>
  <c r="F1020" i="57" a="1"/>
  <c r="F1020" i="57" s="1"/>
  <c r="G1146" i="57" a="1"/>
  <c r="G1146" i="57" s="1"/>
  <c r="F1146" i="57" a="1"/>
  <c r="F1146" i="57" s="1"/>
  <c r="G1272" i="57" a="1"/>
  <c r="G1272" i="57" s="1"/>
  <c r="F1272" i="57" a="1"/>
  <c r="F1272" i="57" s="1"/>
  <c r="G1428" i="57" a="1"/>
  <c r="G1428" i="57" s="1"/>
  <c r="F1428" i="57" a="1"/>
  <c r="F1428" i="57" s="1"/>
  <c r="G716" i="57" a="1"/>
  <c r="G716" i="57" s="1"/>
  <c r="F716" i="57" a="1"/>
  <c r="F716" i="57" s="1"/>
  <c r="G836" i="57" a="1"/>
  <c r="G836" i="57" s="1"/>
  <c r="F836" i="57" a="1"/>
  <c r="F836" i="57" s="1"/>
  <c r="G998" i="57" a="1"/>
  <c r="G998" i="57" s="1"/>
  <c r="F998" i="57" a="1"/>
  <c r="F998" i="57" s="1"/>
  <c r="G1160" i="57" a="1"/>
  <c r="G1160" i="57" s="1"/>
  <c r="F1160" i="57" a="1"/>
  <c r="F1160" i="57" s="1"/>
  <c r="G1322" i="57" a="1"/>
  <c r="G1322" i="57" s="1"/>
  <c r="F1322" i="57" a="1"/>
  <c r="F1322" i="57" s="1"/>
  <c r="G669" i="57" a="1"/>
  <c r="G669" i="57" s="1"/>
  <c r="F669" i="57" a="1"/>
  <c r="F669" i="57" s="1"/>
  <c r="G789" i="57" a="1"/>
  <c r="G789" i="57" s="1"/>
  <c r="F789" i="57" a="1"/>
  <c r="F789" i="57" s="1"/>
  <c r="G1083" i="57" a="1"/>
  <c r="G1083" i="57" s="1"/>
  <c r="F1083" i="57" a="1"/>
  <c r="F1083" i="57" s="1"/>
  <c r="G1425" i="57" a="1"/>
  <c r="G1425" i="57" s="1"/>
  <c r="F1425" i="57" a="1"/>
  <c r="F1425" i="57" s="1"/>
  <c r="G910" i="57" a="1"/>
  <c r="G910" i="57" s="1"/>
  <c r="F910" i="57" a="1"/>
  <c r="F910" i="57" s="1"/>
  <c r="G1276" i="57" a="1"/>
  <c r="G1276" i="57" s="1"/>
  <c r="F1276" i="57" a="1"/>
  <c r="F1276" i="57" s="1"/>
  <c r="G1545" i="57" a="1"/>
  <c r="G1545" i="57" s="1"/>
  <c r="F1545" i="57" a="1"/>
  <c r="F1545" i="57" s="1"/>
  <c r="G1857" i="57" a="1"/>
  <c r="G1857" i="57" s="1"/>
  <c r="F1857" i="57" a="1"/>
  <c r="F1857" i="57" s="1"/>
  <c r="G1666" i="57" a="1"/>
  <c r="G1666" i="57" s="1"/>
  <c r="F1666" i="57" a="1"/>
  <c r="F1666" i="57" s="1"/>
  <c r="G1487" i="57" a="1"/>
  <c r="G1487" i="57" s="1"/>
  <c r="F1487" i="57" a="1"/>
  <c r="F1487" i="57" s="1"/>
  <c r="G1508" i="57" a="1"/>
  <c r="G1508" i="57" s="1"/>
  <c r="F1508" i="57" a="1"/>
  <c r="F1508" i="57" s="1"/>
  <c r="G2031" i="57" a="1"/>
  <c r="G2031" i="57" s="1"/>
  <c r="F2031" i="57" a="1"/>
  <c r="F2031" i="57" s="1"/>
  <c r="G336" i="57" a="1"/>
  <c r="G336" i="57" s="1"/>
  <c r="F336" i="57" a="1"/>
  <c r="F336" i="57" s="1"/>
  <c r="G552" i="57" a="1"/>
  <c r="G552" i="57" s="1"/>
  <c r="F552" i="57" a="1"/>
  <c r="F552" i="57" s="1"/>
  <c r="G837" i="57" a="1"/>
  <c r="G837" i="57" s="1"/>
  <c r="F837" i="57" a="1"/>
  <c r="F837" i="57" s="1"/>
  <c r="G1173" i="57" a="1"/>
  <c r="G1173" i="57" s="1"/>
  <c r="F1173" i="57" a="1"/>
  <c r="F1173" i="57" s="1"/>
  <c r="G646" i="57" a="1"/>
  <c r="G646" i="57" s="1"/>
  <c r="F646" i="57" a="1"/>
  <c r="F646" i="57" s="1"/>
  <c r="G1012" i="57" a="1"/>
  <c r="G1012" i="57" s="1"/>
  <c r="F1012" i="57" a="1"/>
  <c r="F1012" i="57" s="1"/>
  <c r="G1384" i="57" a="1"/>
  <c r="G1384" i="57" s="1"/>
  <c r="F1384" i="57" a="1"/>
  <c r="F1384" i="57" s="1"/>
  <c r="G1605" i="57" a="1"/>
  <c r="G1605" i="57" s="1"/>
  <c r="F1605" i="57" a="1"/>
  <c r="F1605" i="57" s="1"/>
  <c r="G1917" i="57" a="1"/>
  <c r="G1917" i="57" s="1"/>
  <c r="F1917" i="57" a="1"/>
  <c r="F1917" i="57" s="1"/>
  <c r="G1726" i="57" a="1"/>
  <c r="G1726" i="57" s="1"/>
  <c r="F1726" i="57" a="1"/>
  <c r="F1726" i="57" s="1"/>
  <c r="G1583" i="57" a="1"/>
  <c r="G1583" i="57" s="1"/>
  <c r="F1583" i="57" a="1"/>
  <c r="F1583" i="57" s="1"/>
  <c r="G1598" i="57" a="1"/>
  <c r="G1598" i="57" s="1"/>
  <c r="F1598" i="57" a="1"/>
  <c r="F1598" i="57" s="1"/>
  <c r="G831" i="57" a="1"/>
  <c r="G831" i="57" s="1"/>
  <c r="F831" i="57" a="1"/>
  <c r="F831" i="57" s="1"/>
  <c r="G951" i="57" a="1"/>
  <c r="G951" i="57" s="1"/>
  <c r="F951" i="57" a="1"/>
  <c r="F951" i="57" s="1"/>
  <c r="G1059" i="57" a="1"/>
  <c r="G1059" i="57" s="1"/>
  <c r="F1059" i="57" a="1"/>
  <c r="F1059" i="57" s="1"/>
  <c r="G1167" i="57" a="1"/>
  <c r="G1167" i="57" s="1"/>
  <c r="F1167" i="57" a="1"/>
  <c r="F1167" i="57" s="1"/>
  <c r="G1281" i="57" a="1"/>
  <c r="G1281" i="57" s="1"/>
  <c r="F1281" i="57" a="1"/>
  <c r="F1281" i="57" s="1"/>
  <c r="G1401" i="57" a="1"/>
  <c r="G1401" i="57" s="1"/>
  <c r="F1401" i="57" a="1"/>
  <c r="F1401" i="57" s="1"/>
  <c r="G640" i="57" a="1"/>
  <c r="G640" i="57" s="1"/>
  <c r="F640" i="57" a="1"/>
  <c r="F640" i="57" s="1"/>
  <c r="G754" i="57" a="1"/>
  <c r="G754" i="57" s="1"/>
  <c r="F754" i="57" a="1"/>
  <c r="F754" i="57" s="1"/>
  <c r="G886" i="57" a="1"/>
  <c r="G886" i="57" s="1"/>
  <c r="F886" i="57" a="1"/>
  <c r="F886" i="57" s="1"/>
  <c r="G1006" i="57" a="1"/>
  <c r="G1006" i="57" s="1"/>
  <c r="F1006" i="57" a="1"/>
  <c r="F1006" i="57" s="1"/>
  <c r="G1126" i="57" a="1"/>
  <c r="G1126" i="57" s="1"/>
  <c r="F1126" i="57" a="1"/>
  <c r="F1126" i="57" s="1"/>
  <c r="G1246" i="57" a="1"/>
  <c r="G1246" i="57" s="1"/>
  <c r="F1246" i="57" a="1"/>
  <c r="F1246" i="57" s="1"/>
  <c r="G1378" i="57" a="1"/>
  <c r="G1378" i="57" s="1"/>
  <c r="F1378" i="57" a="1"/>
  <c r="F1378" i="57" s="1"/>
  <c r="G1409" i="57" a="1"/>
  <c r="G1409" i="57" s="1"/>
  <c r="F1409" i="57" a="1"/>
  <c r="F1409" i="57" s="1"/>
  <c r="G1593" i="57" a="1"/>
  <c r="G1593" i="57" s="1"/>
  <c r="F1593" i="57" a="1"/>
  <c r="F1593" i="57" s="1"/>
  <c r="G1851" i="57" a="1"/>
  <c r="G1851" i="57" s="1"/>
  <c r="F1851" i="57" a="1"/>
  <c r="F1851" i="57" s="1"/>
  <c r="G1606" i="57" a="1"/>
  <c r="G1606" i="57" s="1"/>
  <c r="F1606" i="57" a="1"/>
  <c r="F1606" i="57" s="1"/>
  <c r="G1870" i="57" a="1"/>
  <c r="G1870" i="57" s="1"/>
  <c r="F1870" i="57" a="1"/>
  <c r="F1870" i="57" s="1"/>
  <c r="G1613" i="57" a="1"/>
  <c r="G1613" i="57" s="1"/>
  <c r="F1613" i="57" a="1"/>
  <c r="F1613" i="57" s="1"/>
  <c r="G1871" i="57" a="1"/>
  <c r="G1871" i="57" s="1"/>
  <c r="F1871" i="57" a="1"/>
  <c r="F1871" i="57" s="1"/>
  <c r="G1628" i="57" a="1"/>
  <c r="G1628" i="57" s="1"/>
  <c r="F1628" i="57" a="1"/>
  <c r="F1628" i="57" s="1"/>
  <c r="G1886" i="57" a="1"/>
  <c r="G1886" i="57" s="1"/>
  <c r="F1886" i="57" a="1"/>
  <c r="F1886" i="57" s="1"/>
  <c r="G2151" i="57" a="1"/>
  <c r="G2151" i="57" s="1"/>
  <c r="F2151" i="57" a="1"/>
  <c r="F2151" i="57" s="1"/>
  <c r="G2415" i="57" a="1"/>
  <c r="G2415" i="57" s="1"/>
  <c r="F2415" i="57" a="1"/>
  <c r="F2415" i="57" s="1"/>
  <c r="G2212" i="57" a="1"/>
  <c r="G2212" i="57" s="1"/>
  <c r="F2212" i="57" a="1"/>
  <c r="F2212" i="57" s="1"/>
  <c r="G2051" i="57" a="1"/>
  <c r="G2051" i="57" s="1"/>
  <c r="F2051" i="57" a="1"/>
  <c r="F2051" i="57" s="1"/>
  <c r="G2357" i="57" a="1"/>
  <c r="G2357" i="57" s="1"/>
  <c r="F2357" i="57" a="1"/>
  <c r="F2357" i="57" s="1"/>
  <c r="G2216" i="57" a="1"/>
  <c r="G2216" i="57" s="1"/>
  <c r="F2216" i="57" a="1"/>
  <c r="F2216" i="57" s="1"/>
  <c r="G127" i="57" a="1"/>
  <c r="G127" i="57" s="1"/>
  <c r="F127" i="57" a="1"/>
  <c r="F127" i="57" s="1"/>
  <c r="G1488" i="57" a="1"/>
  <c r="G1488" i="57" s="1"/>
  <c r="F1488" i="57" a="1"/>
  <c r="F1488" i="57" s="1"/>
  <c r="G1681" i="57" a="1"/>
  <c r="G1681" i="57" s="1"/>
  <c r="F1681" i="57" a="1"/>
  <c r="F1681" i="57" s="1"/>
  <c r="G1927" i="57" a="1"/>
  <c r="G1927" i="57" s="1"/>
  <c r="F1927" i="57" a="1"/>
  <c r="F1927" i="57" s="1"/>
  <c r="G2157" i="57" a="1"/>
  <c r="G2157" i="57" s="1"/>
  <c r="F2157" i="57" a="1"/>
  <c r="F2157" i="57" s="1"/>
  <c r="G2421" i="57" a="1"/>
  <c r="G2421" i="57" s="1"/>
  <c r="F2421" i="57" a="1"/>
  <c r="F2421" i="57" s="1"/>
  <c r="G2218" i="57" a="1"/>
  <c r="G2218" i="57" s="1"/>
  <c r="F2218" i="57" a="1"/>
  <c r="F2218" i="57" s="1"/>
  <c r="G2057" i="57" a="1"/>
  <c r="G2057" i="57" s="1"/>
  <c r="F2057" i="57" a="1"/>
  <c r="F2057" i="57" s="1"/>
  <c r="G2375" i="57" a="1"/>
  <c r="G2375" i="57" s="1"/>
  <c r="F2375" i="57" a="1"/>
  <c r="F2375" i="57" s="1"/>
  <c r="G2222" i="57" a="1"/>
  <c r="G2222" i="57" s="1"/>
  <c r="F2222" i="57" a="1"/>
  <c r="F2222" i="57" s="1"/>
  <c r="G133" i="57" a="1"/>
  <c r="G133" i="57" s="1"/>
  <c r="F133" i="57" a="1"/>
  <c r="F133" i="57" s="1"/>
  <c r="G1494" i="57" a="1"/>
  <c r="G1494" i="57" s="1"/>
  <c r="F1494" i="57" a="1"/>
  <c r="F1494" i="57" s="1"/>
  <c r="G2474" i="57" a="1"/>
  <c r="G2474" i="57" s="1"/>
  <c r="F2474" i="57" a="1"/>
  <c r="F2474" i="57" s="1"/>
  <c r="G1969" i="57" a="1"/>
  <c r="G1969" i="57" s="1"/>
  <c r="F1969" i="57" a="1"/>
  <c r="F1969" i="57" s="1"/>
  <c r="G2205" i="57" a="1"/>
  <c r="G2205" i="57" s="1"/>
  <c r="F2205" i="57" a="1"/>
  <c r="F2205" i="57" s="1"/>
  <c r="G1966" i="57" a="1"/>
  <c r="G1966" i="57" s="1"/>
  <c r="F1966" i="57" a="1"/>
  <c r="F1966" i="57" s="1"/>
  <c r="G2284" i="57" a="1"/>
  <c r="G2284" i="57" s="1"/>
  <c r="F2284" i="57" a="1"/>
  <c r="F2284" i="57" s="1"/>
  <c r="G2123" i="57" a="1"/>
  <c r="G2123" i="57" s="1"/>
  <c r="F2123" i="57" a="1"/>
  <c r="F2123" i="57" s="1"/>
  <c r="G1970" i="57" a="1"/>
  <c r="G1970" i="57" s="1"/>
  <c r="F1970" i="57" a="1"/>
  <c r="F1970" i="57" s="1"/>
  <c r="G2282" i="57" a="1"/>
  <c r="G2282" i="57" s="1"/>
  <c r="F2282" i="57" a="1"/>
  <c r="F2282" i="57" s="1"/>
  <c r="G217" i="57" a="1"/>
  <c r="G217" i="57" s="1"/>
  <c r="F217" i="57" a="1"/>
  <c r="F217" i="57" s="1"/>
  <c r="G1572" i="57" a="1"/>
  <c r="G1572" i="57" s="1"/>
  <c r="F1572" i="57" a="1"/>
  <c r="F1572" i="57" s="1"/>
  <c r="G481" i="57" a="1"/>
  <c r="G481" i="57" s="1"/>
  <c r="F481" i="57" a="1"/>
  <c r="F481" i="57" s="1"/>
  <c r="G738" i="57" a="1"/>
  <c r="G738" i="57" s="1"/>
  <c r="F738" i="57" a="1"/>
  <c r="F738" i="57" s="1"/>
  <c r="G2259" i="57" a="1"/>
  <c r="G2259" i="57" s="1"/>
  <c r="F2259" i="57" a="1"/>
  <c r="F2259" i="57" s="1"/>
  <c r="G2032" i="57" a="1"/>
  <c r="G2032" i="57" s="1"/>
  <c r="F2032" i="57" a="1"/>
  <c r="F2032" i="57" s="1"/>
  <c r="G2344" i="57" a="1"/>
  <c r="G2344" i="57" s="1"/>
  <c r="F2344" i="57" a="1"/>
  <c r="F2344" i="57" s="1"/>
  <c r="G2177" i="57" a="1"/>
  <c r="G2177" i="57" s="1"/>
  <c r="F2177" i="57" a="1"/>
  <c r="F2177" i="57" s="1"/>
  <c r="G2030" i="57" a="1"/>
  <c r="G2030" i="57" s="1"/>
  <c r="F2030" i="57" a="1"/>
  <c r="F2030" i="57" s="1"/>
  <c r="G2354" i="57" a="1"/>
  <c r="G2354" i="57" s="1"/>
  <c r="F2354" i="57" a="1"/>
  <c r="F2354" i="57" s="1"/>
  <c r="F13" i="57" a="1"/>
  <c r="F13" i="57" s="1"/>
  <c r="G1656" i="57" a="1"/>
  <c r="G1656" i="57" s="1"/>
  <c r="F1656" i="57" a="1"/>
  <c r="F1656" i="57" s="1"/>
  <c r="G1154" i="57" a="1"/>
  <c r="G1154" i="57" s="1"/>
  <c r="F1154" i="57" a="1"/>
  <c r="F1154" i="57" s="1"/>
  <c r="G1315" i="57" a="1"/>
  <c r="G1315" i="57" s="1"/>
  <c r="F1315" i="57" a="1"/>
  <c r="F1315" i="57" s="1"/>
  <c r="G1685" i="57" a="1"/>
  <c r="G1685" i="57" s="1"/>
  <c r="F1685" i="57" a="1"/>
  <c r="F1685" i="57" s="1"/>
  <c r="G1943" i="57" a="1"/>
  <c r="G1943" i="57" s="1"/>
  <c r="F1943" i="57" a="1"/>
  <c r="F1943" i="57" s="1"/>
  <c r="G1700" i="57" a="1"/>
  <c r="G1700" i="57" s="1"/>
  <c r="F1700" i="57" a="1"/>
  <c r="F1700" i="57" s="1"/>
  <c r="G1959" i="57" a="1"/>
  <c r="G1959" i="57" s="1"/>
  <c r="F1959" i="57" a="1"/>
  <c r="F1959" i="57" s="1"/>
  <c r="G2223" i="57" a="1"/>
  <c r="G2223" i="57" s="1"/>
  <c r="F2223" i="57" a="1"/>
  <c r="F2223" i="57" s="1"/>
  <c r="G1990" i="57" a="1"/>
  <c r="G1990" i="57" s="1"/>
  <c r="F1990" i="57" a="1"/>
  <c r="F1990" i="57" s="1"/>
  <c r="G2302" i="57" a="1"/>
  <c r="G2302" i="57" s="1"/>
  <c r="F2302" i="57" a="1"/>
  <c r="F2302" i="57" s="1"/>
  <c r="G2135" i="57" a="1"/>
  <c r="G2135" i="57" s="1"/>
  <c r="F2135" i="57" a="1"/>
  <c r="F2135" i="57" s="1"/>
  <c r="G1988" i="57" a="1"/>
  <c r="G1988" i="57" s="1"/>
  <c r="F1988" i="57" a="1"/>
  <c r="F1988" i="57" s="1"/>
  <c r="G2306" i="57" a="1"/>
  <c r="G2306" i="57" s="1"/>
  <c r="F2306" i="57" a="1"/>
  <c r="F2306" i="57" s="1"/>
  <c r="G2434" i="57" a="1"/>
  <c r="G2434" i="57" s="1"/>
  <c r="F2434" i="57" a="1"/>
  <c r="F2434" i="57" s="1"/>
  <c r="G1602" i="57" a="1"/>
  <c r="G1602" i="57" s="1"/>
  <c r="F1602" i="57" a="1"/>
  <c r="F1602" i="57" s="1"/>
  <c r="G565" i="57" a="1"/>
  <c r="G565" i="57" s="1"/>
  <c r="F565" i="57" a="1"/>
  <c r="F565" i="57" s="1"/>
  <c r="G1302" i="57" a="1"/>
  <c r="G1302" i="57" s="1"/>
  <c r="F1302" i="57" a="1"/>
  <c r="F1302" i="57" s="1"/>
  <c r="G1607" i="57" a="1"/>
  <c r="G1607" i="57" s="1"/>
  <c r="F1607" i="57" a="1"/>
  <c r="F1607" i="57" s="1"/>
  <c r="G1865" i="57" a="1"/>
  <c r="G1865" i="57" s="1"/>
  <c r="F1865" i="57" a="1"/>
  <c r="F1865" i="57" s="1"/>
  <c r="G1622" i="57" a="1"/>
  <c r="G1622" i="57" s="1"/>
  <c r="F1622" i="57" a="1"/>
  <c r="F1622" i="57" s="1"/>
  <c r="G1880" i="57" a="1"/>
  <c r="G1880" i="57" s="1"/>
  <c r="F1880" i="57" a="1"/>
  <c r="F1880" i="57" s="1"/>
  <c r="G2139" i="57" a="1"/>
  <c r="G2139" i="57" s="1"/>
  <c r="F2139" i="57" a="1"/>
  <c r="F2139" i="57" s="1"/>
  <c r="G2403" i="57" a="1"/>
  <c r="G2403" i="57" s="1"/>
  <c r="F2403" i="57" a="1"/>
  <c r="F2403" i="57" s="1"/>
  <c r="G2206" i="57" a="1"/>
  <c r="G2206" i="57" s="1"/>
  <c r="F2206" i="57" a="1"/>
  <c r="F2206" i="57" s="1"/>
  <c r="G2045" i="57" a="1"/>
  <c r="G2045" i="57" s="1"/>
  <c r="F2045" i="57" a="1"/>
  <c r="F2045" i="57" s="1"/>
  <c r="G2351" i="57" a="1"/>
  <c r="G2351" i="57" s="1"/>
  <c r="F2351" i="57" a="1"/>
  <c r="F2351" i="57" s="1"/>
  <c r="G2204" i="57" a="1"/>
  <c r="G2204" i="57" s="1"/>
  <c r="F2204" i="57" a="1"/>
  <c r="F2204" i="57" s="1"/>
  <c r="G121" i="57" a="1"/>
  <c r="G121" i="57" s="1"/>
  <c r="F121" i="57" a="1"/>
  <c r="F121" i="57" s="1"/>
  <c r="G1482" i="57" a="1"/>
  <c r="G1482" i="57" s="1"/>
  <c r="F1482" i="57" a="1"/>
  <c r="F1482" i="57" s="1"/>
  <c r="G1639" i="57" a="1"/>
  <c r="G1639" i="57" s="1"/>
  <c r="F1639" i="57" a="1"/>
  <c r="F1639" i="57" s="1"/>
  <c r="G1885" i="57" a="1"/>
  <c r="G1885" i="57" s="1"/>
  <c r="F1885" i="57" a="1"/>
  <c r="F1885" i="57" s="1"/>
  <c r="G1539" i="57" a="1"/>
  <c r="G1539" i="57" s="1"/>
  <c r="F1539" i="57" a="1"/>
  <c r="F1539" i="57" s="1"/>
  <c r="G1755" i="57" a="1"/>
  <c r="G1755" i="57" s="1"/>
  <c r="F1755" i="57" a="1"/>
  <c r="F1755" i="57" s="1"/>
  <c r="G1468" i="57" a="1"/>
  <c r="G1468" i="57" s="1"/>
  <c r="F1468" i="57" a="1"/>
  <c r="F1468" i="57" s="1"/>
  <c r="G1684" i="57" a="1"/>
  <c r="G1684" i="57" s="1"/>
  <c r="F1684" i="57" a="1"/>
  <c r="F1684" i="57" s="1"/>
  <c r="G1900" i="57" a="1"/>
  <c r="G1900" i="57" s="1"/>
  <c r="F1900" i="57" a="1"/>
  <c r="F1900" i="57" s="1"/>
  <c r="G1601" i="57" a="1"/>
  <c r="G1601" i="57" s="1"/>
  <c r="F1601" i="57" a="1"/>
  <c r="F1601" i="57" s="1"/>
  <c r="G1817" i="57" a="1"/>
  <c r="G1817" i="57" s="1"/>
  <c r="F1817" i="57" a="1"/>
  <c r="F1817" i="57" s="1"/>
  <c r="G1532" i="57" a="1"/>
  <c r="G1532" i="57" s="1"/>
  <c r="F1532" i="57" a="1"/>
  <c r="F1532" i="57" s="1"/>
  <c r="G1748" i="57" a="1"/>
  <c r="G1748" i="57" s="1"/>
  <c r="F1748" i="57" a="1"/>
  <c r="F1748" i="57" s="1"/>
  <c r="G1965" i="57" a="1"/>
  <c r="G1965" i="57" s="1"/>
  <c r="F1965" i="57" a="1"/>
  <c r="F1965" i="57" s="1"/>
  <c r="G2181" i="57" a="1"/>
  <c r="G2181" i="57" s="1"/>
  <c r="F2181" i="57" a="1"/>
  <c r="F2181" i="57" s="1"/>
  <c r="G2397" i="57" a="1"/>
  <c r="G2397" i="57" s="1"/>
  <c r="F2397" i="57" a="1"/>
  <c r="F2397" i="57" s="1"/>
  <c r="G2146" i="57" a="1"/>
  <c r="G2146" i="57" s="1"/>
  <c r="F2146" i="57" a="1"/>
  <c r="F2146" i="57" s="1"/>
  <c r="G2410" i="57" a="1"/>
  <c r="G2410" i="57" s="1"/>
  <c r="F2410" i="57" a="1"/>
  <c r="F2410" i="57" s="1"/>
  <c r="G2195" i="57" a="1"/>
  <c r="G2195" i="57" s="1"/>
  <c r="F2195" i="57" a="1"/>
  <c r="F2195" i="57" s="1"/>
  <c r="G1994" i="57" a="1"/>
  <c r="G1994" i="57" s="1"/>
  <c r="F1994" i="57" a="1"/>
  <c r="F1994" i="57" s="1"/>
  <c r="G2252" i="57" a="1"/>
  <c r="G2252" i="57" s="1"/>
  <c r="F2252" i="57" a="1"/>
  <c r="F2252" i="57" s="1"/>
  <c r="G61" i="57" a="1"/>
  <c r="G61" i="57" s="1"/>
  <c r="F61" i="57" a="1"/>
  <c r="F61" i="57" s="1"/>
  <c r="G158" i="57" a="1"/>
  <c r="G158" i="57" s="1"/>
  <c r="F158" i="57" a="1"/>
  <c r="F158" i="57" s="1"/>
  <c r="G1554" i="57" a="1"/>
  <c r="G1554" i="57" s="1"/>
  <c r="F1554" i="57" a="1"/>
  <c r="F1554" i="57" s="1"/>
  <c r="G1812" i="57" a="1"/>
  <c r="G1812" i="57" s="1"/>
  <c r="F1812" i="57" a="1"/>
  <c r="F1812" i="57" s="1"/>
  <c r="G1579" i="57" a="1"/>
  <c r="G1579" i="57" s="1"/>
  <c r="F1579" i="57" a="1"/>
  <c r="F1579" i="57" s="1"/>
  <c r="G289" i="57" a="1"/>
  <c r="G289" i="57" s="1"/>
  <c r="F289" i="57" a="1"/>
  <c r="F289" i="57" s="1"/>
  <c r="G553" i="57" a="1"/>
  <c r="G553" i="57" s="1"/>
  <c r="F553" i="57" a="1"/>
  <c r="F553" i="57" s="1"/>
  <c r="G1244" i="57" a="1"/>
  <c r="G1244" i="57" s="1"/>
  <c r="F1244" i="57" a="1"/>
  <c r="F1244" i="57" s="1"/>
  <c r="G2082" i="57" a="1"/>
  <c r="G2082" i="57" s="1"/>
  <c r="F2082" i="57" a="1"/>
  <c r="F2082" i="57" s="1"/>
  <c r="G2340" i="57" a="1"/>
  <c r="G2340" i="57" s="1"/>
  <c r="F2340" i="57" a="1"/>
  <c r="F2340" i="57" s="1"/>
  <c r="G1825" i="57" a="1"/>
  <c r="G1825" i="57" s="1"/>
  <c r="F1825" i="57" a="1"/>
  <c r="F1825" i="57" s="1"/>
  <c r="G2089" i="57" a="1"/>
  <c r="G2089" i="57" s="1"/>
  <c r="F2089" i="57" a="1"/>
  <c r="F2089" i="57" s="1"/>
  <c r="G1116" i="57" a="1"/>
  <c r="G1116" i="57" s="1"/>
  <c r="F1116" i="57" a="1"/>
  <c r="F1116" i="57" s="1"/>
  <c r="G1393" i="57" a="1"/>
  <c r="G1393" i="57" s="1"/>
  <c r="F1393" i="57" a="1"/>
  <c r="F1393" i="57" s="1"/>
  <c r="G1501" i="57" a="1"/>
  <c r="G1501" i="57" s="1"/>
  <c r="F1501" i="57" a="1"/>
  <c r="F1501" i="57" s="1"/>
  <c r="G198" i="57" a="1"/>
  <c r="G198" i="57" s="1"/>
  <c r="F198" i="57" a="1"/>
  <c r="F198" i="57" s="1"/>
  <c r="G469" i="57" a="1"/>
  <c r="G469" i="57" s="1"/>
  <c r="F469" i="57" a="1"/>
  <c r="F469" i="57" s="1"/>
  <c r="G1010" i="57" a="1"/>
  <c r="G1010" i="57" s="1"/>
  <c r="F1010" i="57" a="1"/>
  <c r="F1010" i="57" s="1"/>
  <c r="G2004" i="57" a="1"/>
  <c r="G2004" i="57" s="1"/>
  <c r="F2004" i="57" a="1"/>
  <c r="F2004" i="57" s="1"/>
  <c r="G2262" i="57" a="1"/>
  <c r="G2262" i="57" s="1"/>
  <c r="F2262" i="57" a="1"/>
  <c r="F2262" i="57" s="1"/>
  <c r="G1747" i="57" a="1"/>
  <c r="G1747" i="57" s="1"/>
  <c r="F1747" i="57" a="1"/>
  <c r="F1747" i="57" s="1"/>
  <c r="G2005" i="57" a="1"/>
  <c r="G2005" i="57" s="1"/>
  <c r="F2005" i="57" a="1"/>
  <c r="F2005" i="57" s="1"/>
  <c r="G726" i="57" a="1"/>
  <c r="G726" i="57" s="1"/>
  <c r="F726" i="57" a="1"/>
  <c r="F726" i="57" s="1"/>
  <c r="G1195" i="57" a="1"/>
  <c r="G1195" i="57" s="1"/>
  <c r="F1195" i="57" a="1"/>
  <c r="F1195" i="57" s="1"/>
  <c r="G1878" i="57" a="1"/>
  <c r="G1878" i="57" s="1"/>
  <c r="F1878" i="57" a="1"/>
  <c r="F1878" i="57" s="1"/>
  <c r="G1645" i="57" a="1"/>
  <c r="G1645" i="57" s="1"/>
  <c r="F1645" i="57" a="1"/>
  <c r="F1645" i="57" s="1"/>
  <c r="G355" i="57" a="1"/>
  <c r="G355" i="57" s="1"/>
  <c r="F355" i="57" a="1"/>
  <c r="F355" i="57" s="1"/>
  <c r="G613" i="57" a="1"/>
  <c r="G613" i="57" s="1"/>
  <c r="F613" i="57" a="1"/>
  <c r="F613" i="57" s="1"/>
  <c r="G351" i="57" a="1"/>
  <c r="G351" i="57" s="1"/>
  <c r="F351" i="57" a="1"/>
  <c r="F351" i="57" s="1"/>
  <c r="G2148" i="57" a="1"/>
  <c r="G2148" i="57" s="1"/>
  <c r="F2148" i="57" a="1"/>
  <c r="F2148" i="57" s="1"/>
  <c r="G2406" i="57" a="1"/>
  <c r="G2406" i="57" s="1"/>
  <c r="F2406" i="57" a="1"/>
  <c r="F2406" i="57" s="1"/>
  <c r="G1891" i="57" a="1"/>
  <c r="G1891" i="57" s="1"/>
  <c r="F1891" i="57" a="1"/>
  <c r="F1891" i="57" s="1"/>
  <c r="G2161" i="57" a="1"/>
  <c r="G2161" i="57" s="1"/>
  <c r="F2161" i="57" a="1"/>
  <c r="F2161" i="57" s="1"/>
  <c r="G889" i="57" a="1"/>
  <c r="G889" i="57" s="1"/>
  <c r="F889" i="57" a="1"/>
  <c r="F889" i="57" s="1"/>
  <c r="G772" i="57" a="1"/>
  <c r="G772" i="57" s="1"/>
  <c r="F772" i="57" a="1"/>
  <c r="F772" i="57" s="1"/>
  <c r="G1525" i="57" a="1"/>
  <c r="G1525" i="57" s="1"/>
  <c r="F1525" i="57" a="1"/>
  <c r="F1525" i="57" s="1"/>
  <c r="G235" i="57" a="1"/>
  <c r="G235" i="57" s="1"/>
  <c r="F235" i="57" a="1"/>
  <c r="F235" i="57" s="1"/>
  <c r="G493" i="57" a="1"/>
  <c r="G493" i="57" s="1"/>
  <c r="F493" i="57" a="1"/>
  <c r="F493" i="57" s="1"/>
  <c r="G1064" i="57" a="1"/>
  <c r="G1064" i="57" s="1"/>
  <c r="F1064" i="57" a="1"/>
  <c r="F1064" i="57" s="1"/>
  <c r="G2022" i="57" a="1"/>
  <c r="G2022" i="57" s="1"/>
  <c r="F2022" i="57" a="1"/>
  <c r="F2022" i="57" s="1"/>
  <c r="G2286" i="57" a="1"/>
  <c r="G2286" i="57" s="1"/>
  <c r="F2286" i="57" a="1"/>
  <c r="F2286" i="57" s="1"/>
  <c r="G1771" i="57" a="1"/>
  <c r="G1771" i="57" s="1"/>
  <c r="F1771" i="57" a="1"/>
  <c r="F1771" i="57" s="1"/>
  <c r="G2029" i="57" a="1"/>
  <c r="G2029" i="57" s="1"/>
  <c r="F2029" i="57" a="1"/>
  <c r="F2029" i="57" s="1"/>
  <c r="G768" i="57" a="1"/>
  <c r="G768" i="57" s="1"/>
  <c r="F768" i="57" a="1"/>
  <c r="F768" i="57" s="1"/>
  <c r="G1237" i="57" a="1"/>
  <c r="G1237" i="57" s="1"/>
  <c r="F1237" i="57" a="1"/>
  <c r="F1237" i="57" s="1"/>
  <c r="G2420" i="57" a="1"/>
  <c r="G2420" i="57" s="1"/>
  <c r="F2420" i="57" a="1"/>
  <c r="F2420" i="57" s="1"/>
  <c r="G229" i="57" a="1"/>
  <c r="G229" i="57" s="1"/>
  <c r="F229" i="57" a="1"/>
  <c r="F229" i="57" s="1"/>
  <c r="G1458" i="57" a="1"/>
  <c r="G1458" i="57" s="1"/>
  <c r="F1458" i="57" a="1"/>
  <c r="F1458" i="57" s="1"/>
  <c r="G1716" i="57" a="1"/>
  <c r="G1716" i="57" s="1"/>
  <c r="F1716" i="57" a="1"/>
  <c r="F1716" i="57" s="1"/>
  <c r="G1489" i="57" a="1"/>
  <c r="G1489" i="57" s="1"/>
  <c r="F1489" i="57" a="1"/>
  <c r="F1489" i="57" s="1"/>
  <c r="G174" i="57" a="1"/>
  <c r="G174" i="57" s="1"/>
  <c r="F174" i="57" a="1"/>
  <c r="F174" i="57" s="1"/>
  <c r="G457" i="57" a="1"/>
  <c r="G457" i="57" s="1"/>
  <c r="F457" i="57" a="1"/>
  <c r="F457" i="57" s="1"/>
  <c r="G956" i="57" a="1"/>
  <c r="G956" i="57" s="1"/>
  <c r="F956" i="57" a="1"/>
  <c r="F956" i="57" s="1"/>
  <c r="G1986" i="57" a="1"/>
  <c r="G1986" i="57" s="1"/>
  <c r="F1986" i="57" a="1"/>
  <c r="F1986" i="57" s="1"/>
  <c r="G2250" i="57" a="1"/>
  <c r="G2250" i="57" s="1"/>
  <c r="F2250" i="57" a="1"/>
  <c r="F2250" i="57" s="1"/>
  <c r="G1735" i="57" a="1"/>
  <c r="G1735" i="57" s="1"/>
  <c r="F1735" i="57" a="1"/>
  <c r="F1735" i="57" s="1"/>
  <c r="G1993" i="57" a="1"/>
  <c r="G1993" i="57" s="1"/>
  <c r="F1993" i="57" a="1"/>
  <c r="F1993" i="57" s="1"/>
  <c r="G558" i="57" a="1"/>
  <c r="G558" i="57" s="1"/>
  <c r="F558" i="57" a="1"/>
  <c r="F558" i="57" s="1"/>
  <c r="G1147" i="57" a="1"/>
  <c r="G1147" i="57" s="1"/>
  <c r="F1147" i="57" a="1"/>
  <c r="F1147" i="57" s="1"/>
  <c r="G2445" i="57" a="1"/>
  <c r="G2445" i="57" s="1"/>
  <c r="F2445" i="57" a="1"/>
  <c r="F2445" i="57" s="1"/>
  <c r="G2152" i="57" a="1"/>
  <c r="G2152" i="57" s="1"/>
  <c r="F2152" i="57" a="1"/>
  <c r="F2152" i="57" s="1"/>
  <c r="G2368" i="57" a="1"/>
  <c r="G2368" i="57" s="1"/>
  <c r="F2368" i="57" a="1"/>
  <c r="F2368" i="57" s="1"/>
  <c r="G2111" i="57" a="1"/>
  <c r="G2111" i="57" s="1"/>
  <c r="F2111" i="57" a="1"/>
  <c r="F2111" i="57" s="1"/>
  <c r="G2327" i="57" a="1"/>
  <c r="G2327" i="57" s="1"/>
  <c r="F2327" i="57" a="1"/>
  <c r="F2327" i="57" s="1"/>
  <c r="G2084" i="57" a="1"/>
  <c r="G2084" i="57" s="1"/>
  <c r="F2084" i="57" a="1"/>
  <c r="F2084" i="57" s="1"/>
  <c r="G2300" i="57" a="1"/>
  <c r="G2300" i="57" s="1"/>
  <c r="F2300" i="57" a="1"/>
  <c r="F2300" i="57" s="1"/>
  <c r="G67" i="57" a="1"/>
  <c r="G67" i="57" s="1"/>
  <c r="F67" i="57" a="1"/>
  <c r="F67" i="57" s="1"/>
  <c r="G2476" i="57" a="1"/>
  <c r="G2476" i="57" s="1"/>
  <c r="F2476" i="57" a="1"/>
  <c r="F2476" i="57" s="1"/>
  <c r="G1470" i="57" a="1"/>
  <c r="G1470" i="57" s="1"/>
  <c r="F1470" i="57" a="1"/>
  <c r="F1470" i="57" s="1"/>
  <c r="G1686" i="57" a="1"/>
  <c r="G1686" i="57" s="1"/>
  <c r="F1686" i="57" a="1"/>
  <c r="F1686" i="57" s="1"/>
  <c r="G1902" i="57" a="1"/>
  <c r="G1902" i="57" s="1"/>
  <c r="F1902" i="57" a="1"/>
  <c r="F1902" i="57" s="1"/>
  <c r="G1627" i="57" a="1"/>
  <c r="G1627" i="57" s="1"/>
  <c r="F1627" i="57" a="1"/>
  <c r="F1627" i="57" s="1"/>
  <c r="G295" i="57" a="1"/>
  <c r="G295" i="57" s="1"/>
  <c r="F295" i="57" a="1"/>
  <c r="F295" i="57" s="1"/>
  <c r="G511" i="57" a="1"/>
  <c r="G511" i="57" s="1"/>
  <c r="F511" i="57" a="1"/>
  <c r="F511" i="57" s="1"/>
  <c r="G992" i="57" a="1"/>
  <c r="G992" i="57" s="1"/>
  <c r="F992" i="57" a="1"/>
  <c r="F992" i="57" s="1"/>
  <c r="G1956" i="57" a="1"/>
  <c r="G1956" i="57" s="1"/>
  <c r="F1956" i="57" a="1"/>
  <c r="F1956" i="57" s="1"/>
  <c r="G2172" i="57" a="1"/>
  <c r="G2172" i="57" s="1"/>
  <c r="F2172" i="57" a="1"/>
  <c r="F2172" i="57" s="1"/>
  <c r="G2388" i="57" a="1"/>
  <c r="G2388" i="57" s="1"/>
  <c r="F2388" i="57" a="1"/>
  <c r="F2388" i="57" s="1"/>
  <c r="G1831" i="57" a="1"/>
  <c r="G1831" i="57" s="1"/>
  <c r="F1831" i="57" a="1"/>
  <c r="F1831" i="57" s="1"/>
  <c r="G2047" i="57" a="1"/>
  <c r="G2047" i="57" s="1"/>
  <c r="F2047" i="57" a="1"/>
  <c r="F2047" i="57" s="1"/>
  <c r="G462" i="57" a="1"/>
  <c r="G462" i="57" s="1"/>
  <c r="F462" i="57" a="1"/>
  <c r="F462" i="57" s="1"/>
  <c r="G871" i="57" a="1"/>
  <c r="G871" i="57" s="1"/>
  <c r="F871" i="57" a="1"/>
  <c r="F871" i="57" s="1"/>
  <c r="G1339" i="57" a="1"/>
  <c r="G1339" i="57" s="1"/>
  <c r="F1339" i="57" a="1"/>
  <c r="F1339" i="57" s="1"/>
  <c r="G1258" i="57" a="1"/>
  <c r="G1258" i="57" s="1"/>
  <c r="F1258" i="57" a="1"/>
  <c r="F1258" i="57" s="1"/>
  <c r="G2329" i="57" a="1"/>
  <c r="G2329" i="57" s="1"/>
  <c r="F2329" i="57" a="1"/>
  <c r="F2329" i="57" s="1"/>
  <c r="G691" i="57" a="1"/>
  <c r="G691" i="57" s="1"/>
  <c r="F691" i="57" a="1"/>
  <c r="F691" i="57" s="1"/>
  <c r="G973" i="57" a="1"/>
  <c r="G973" i="57" s="1"/>
  <c r="F973" i="57" a="1"/>
  <c r="F973" i="57" s="1"/>
  <c r="G1375" i="57" a="1"/>
  <c r="G1375" i="57" s="1"/>
  <c r="F1375" i="57" a="1"/>
  <c r="F1375" i="57" s="1"/>
  <c r="G160" i="57" a="1"/>
  <c r="G160" i="57" s="1"/>
  <c r="F160" i="57" a="1"/>
  <c r="F160" i="57" s="1"/>
  <c r="G2371" i="57" a="1"/>
  <c r="G2371" i="57" s="1"/>
  <c r="F2371" i="57" a="1"/>
  <c r="F2371" i="57" s="1"/>
  <c r="G733" i="57" a="1"/>
  <c r="G733" i="57" s="1"/>
  <c r="F733" i="57" a="1"/>
  <c r="F733" i="57" s="1"/>
  <c r="G1045" i="57" a="1"/>
  <c r="G1045" i="57" s="1"/>
  <c r="F1045" i="57" a="1"/>
  <c r="F1045" i="57" s="1"/>
  <c r="G2305" i="57" a="1"/>
  <c r="G2305" i="57" s="1"/>
  <c r="F2305" i="57" a="1"/>
  <c r="F2305" i="57" s="1"/>
  <c r="G667" i="57" a="1"/>
  <c r="G667" i="57" s="1"/>
  <c r="F667" i="57" a="1"/>
  <c r="F667" i="57" s="1"/>
  <c r="G931" i="57" a="1"/>
  <c r="G931" i="57" s="1"/>
  <c r="F931" i="57" a="1"/>
  <c r="F931" i="57" s="1"/>
  <c r="G1327" i="57" a="1"/>
  <c r="G1327" i="57" s="1"/>
  <c r="F1327" i="57" a="1"/>
  <c r="F1327" i="57" s="1"/>
  <c r="G940" i="57" a="1"/>
  <c r="G940" i="57" s="1"/>
  <c r="F940" i="57" a="1"/>
  <c r="F940" i="57" s="1"/>
  <c r="G2311" i="57" a="1"/>
  <c r="G2311" i="57" s="1"/>
  <c r="F2311" i="57" a="1"/>
  <c r="F2311" i="57" s="1"/>
  <c r="G673" i="57" a="1"/>
  <c r="G673" i="57" s="1"/>
  <c r="F673" i="57" a="1"/>
  <c r="F673" i="57" s="1"/>
  <c r="G943" i="57" a="1"/>
  <c r="G943" i="57" s="1"/>
  <c r="F943" i="57" a="1"/>
  <c r="F943" i="57" s="1"/>
  <c r="G1345" i="57" a="1"/>
  <c r="G1345" i="57" s="1"/>
  <c r="F1345" i="57" a="1"/>
  <c r="F1345" i="57" s="1"/>
  <c r="G1042" i="57" a="1"/>
  <c r="G1042" i="57" s="1"/>
  <c r="F1042" i="57" a="1"/>
  <c r="F1042" i="57" s="1"/>
  <c r="G2317" i="57" a="1"/>
  <c r="G2317" i="57" s="1"/>
  <c r="F2317" i="57" a="1"/>
  <c r="F2317" i="57" s="1"/>
  <c r="G679" i="57" a="1"/>
  <c r="G679" i="57" s="1"/>
  <c r="F679" i="57" a="1"/>
  <c r="F679" i="57" s="1"/>
  <c r="G955" i="57" a="1"/>
  <c r="G955" i="57" s="1"/>
  <c r="F955" i="57" a="1"/>
  <c r="F955" i="57" s="1"/>
  <c r="G1357" i="57" a="1"/>
  <c r="G1357" i="57" s="1"/>
  <c r="F1357" i="57" a="1"/>
  <c r="F1357" i="57" s="1"/>
  <c r="G672" i="57" a="1"/>
  <c r="G672" i="57" s="1"/>
  <c r="F672" i="57" a="1"/>
  <c r="F672" i="57" s="1"/>
  <c r="G937" i="57" a="1"/>
  <c r="G937" i="57" s="1"/>
  <c r="F937" i="57" a="1"/>
  <c r="F937" i="57" s="1"/>
  <c r="G1405" i="57" a="1"/>
  <c r="G1405" i="57" s="1"/>
  <c r="F1405" i="57" a="1"/>
  <c r="F1405" i="57" s="1"/>
  <c r="G88" i="57" a="1"/>
  <c r="G88" i="57" s="1"/>
  <c r="F88" i="57" a="1"/>
  <c r="F88" i="57" s="1"/>
  <c r="G2359" i="57" a="1"/>
  <c r="G2359" i="57" s="1"/>
  <c r="F2359" i="57" a="1"/>
  <c r="F2359" i="57" s="1"/>
  <c r="G721" i="57" a="1"/>
  <c r="G721" i="57" s="1"/>
  <c r="F721" i="57" a="1"/>
  <c r="F721" i="57" s="1"/>
  <c r="G1021" i="57" a="1"/>
  <c r="G1021" i="57" s="1"/>
  <c r="F1021" i="57" a="1"/>
  <c r="F1021" i="57" s="1"/>
  <c r="G1435" i="57" a="1"/>
  <c r="G1435" i="57" s="1"/>
  <c r="F1435" i="57" a="1"/>
  <c r="F1435" i="57" s="1"/>
  <c r="F19" i="57" a="1"/>
  <c r="F19" i="57" s="1"/>
  <c r="G290" i="57" a="1"/>
  <c r="G290" i="57" s="1"/>
  <c r="F290" i="57" a="1"/>
  <c r="F290" i="57" s="1"/>
  <c r="G518" i="57" a="1"/>
  <c r="G518" i="57" s="1"/>
  <c r="F518" i="57" a="1"/>
  <c r="F518" i="57" s="1"/>
  <c r="G495" i="57" a="1"/>
  <c r="G495" i="57" s="1"/>
  <c r="F495" i="57" a="1"/>
  <c r="F495" i="57" s="1"/>
  <c r="G207" i="57" a="1"/>
  <c r="G207" i="57" s="1"/>
  <c r="F207" i="57" a="1"/>
  <c r="F207" i="57" s="1"/>
  <c r="G543" i="57" a="1"/>
  <c r="G543" i="57" s="1"/>
  <c r="F543" i="57" a="1"/>
  <c r="F543" i="57" s="1"/>
  <c r="G340" i="57" a="1"/>
  <c r="G340" i="57" s="1"/>
  <c r="F340" i="57" a="1"/>
  <c r="F340" i="57" s="1"/>
  <c r="G119" i="57" a="1"/>
  <c r="G119" i="57" s="1"/>
  <c r="F119" i="57" a="1"/>
  <c r="F119" i="57" s="1"/>
  <c r="G443" i="57" a="1"/>
  <c r="G443" i="57" s="1"/>
  <c r="F443" i="57" a="1"/>
  <c r="F443" i="57" s="1"/>
  <c r="G767" i="57" a="1"/>
  <c r="G767" i="57" s="1"/>
  <c r="F767" i="57" a="1"/>
  <c r="F767" i="57" s="1"/>
  <c r="G2506" i="57" a="1"/>
  <c r="G2506" i="57" s="1"/>
  <c r="F2506" i="57" a="1"/>
  <c r="F2506" i="57" s="1"/>
  <c r="G38" i="57" a="1"/>
  <c r="G38" i="57" s="1"/>
  <c r="F38" i="57" a="1"/>
  <c r="F38" i="57" s="1"/>
  <c r="G182" i="57" a="1"/>
  <c r="G182" i="57" s="1"/>
  <c r="F182" i="57" a="1"/>
  <c r="F182" i="57" s="1"/>
  <c r="G320" i="57" a="1"/>
  <c r="G320" i="57" s="1"/>
  <c r="F320" i="57" a="1"/>
  <c r="F320" i="57" s="1"/>
  <c r="G440" i="57" a="1"/>
  <c r="G440" i="57" s="1"/>
  <c r="F440" i="57" a="1"/>
  <c r="F440" i="57" s="1"/>
  <c r="G123" i="57" a="1"/>
  <c r="G123" i="57" s="1"/>
  <c r="F123" i="57" a="1"/>
  <c r="F123" i="57" s="1"/>
  <c r="G459" i="57" a="1"/>
  <c r="G459" i="57" s="1"/>
  <c r="F459" i="57" a="1"/>
  <c r="F459" i="57" s="1"/>
  <c r="G250" i="57" a="1"/>
  <c r="G250" i="57" s="1"/>
  <c r="F250" i="57" a="1"/>
  <c r="F250" i="57" s="1"/>
  <c r="G35" i="57" a="1"/>
  <c r="G35" i="57" s="1"/>
  <c r="F35" i="57" a="1"/>
  <c r="F35" i="57" s="1"/>
  <c r="G359" i="57" a="1"/>
  <c r="G359" i="57" s="1"/>
  <c r="F359" i="57" a="1"/>
  <c r="F359" i="57" s="1"/>
  <c r="G683" i="57" a="1"/>
  <c r="G683" i="57" s="1"/>
  <c r="F683" i="57" a="1"/>
  <c r="F683" i="57" s="1"/>
  <c r="G2489" i="57" a="1"/>
  <c r="G2489" i="57" s="1"/>
  <c r="F2489" i="57" a="1"/>
  <c r="F2489" i="57" s="1"/>
  <c r="G39" i="57" a="1"/>
  <c r="G39" i="57" s="1"/>
  <c r="F39" i="57" a="1"/>
  <c r="F39" i="57" s="1"/>
  <c r="G399" i="57" a="1"/>
  <c r="G399" i="57" s="1"/>
  <c r="F399" i="57" a="1"/>
  <c r="F399" i="57" s="1"/>
  <c r="G172" i="57" a="1"/>
  <c r="G172" i="57" s="1"/>
  <c r="F172" i="57" a="1"/>
  <c r="F172" i="57" s="1"/>
  <c r="G2498" i="57" a="1"/>
  <c r="G2498" i="57" s="1"/>
  <c r="F2498" i="57" a="1"/>
  <c r="F2498" i="57" s="1"/>
  <c r="G299" i="57" a="1"/>
  <c r="G299" i="57" s="1"/>
  <c r="F299" i="57" a="1"/>
  <c r="F299" i="57" s="1"/>
  <c r="G623" i="57" a="1"/>
  <c r="G623" i="57" s="1"/>
  <c r="F623" i="57" a="1"/>
  <c r="F623" i="57" s="1"/>
  <c r="G72" i="57" a="1"/>
  <c r="G72" i="57" s="1"/>
  <c r="F72" i="57" a="1"/>
  <c r="F72" i="57" s="1"/>
  <c r="G284" i="57" a="1"/>
  <c r="G284" i="57" s="1"/>
  <c r="F284" i="57" a="1"/>
  <c r="F284" i="57" s="1"/>
  <c r="G470" i="57" a="1"/>
  <c r="G470" i="57" s="1"/>
  <c r="F470" i="57" a="1"/>
  <c r="F470" i="57" s="1"/>
  <c r="G195" i="57" a="1"/>
  <c r="G195" i="57" s="1"/>
  <c r="F195" i="57" a="1"/>
  <c r="F195" i="57" s="1"/>
  <c r="G531" i="57" a="1"/>
  <c r="G531" i="57" s="1"/>
  <c r="F531" i="57" a="1"/>
  <c r="F531" i="57" s="1"/>
  <c r="G322" i="57" a="1"/>
  <c r="G322" i="57" s="1"/>
  <c r="F322" i="57" a="1"/>
  <c r="F322" i="57" s="1"/>
  <c r="G107" i="57" a="1"/>
  <c r="G107" i="57" s="1"/>
  <c r="F107" i="57" a="1"/>
  <c r="F107" i="57" s="1"/>
  <c r="G431" i="57" a="1"/>
  <c r="G431" i="57" s="1"/>
  <c r="F431" i="57" a="1"/>
  <c r="F431" i="57" s="1"/>
  <c r="G755" i="57" a="1"/>
  <c r="G755" i="57" s="1"/>
  <c r="F755" i="57" a="1"/>
  <c r="F755" i="57" s="1"/>
  <c r="G2482" i="57" a="1"/>
  <c r="G2482" i="57" s="1"/>
  <c r="F2482" i="57" a="1"/>
  <c r="F2482" i="57" s="1"/>
  <c r="G2508" i="57" a="1"/>
  <c r="G2508" i="57" s="1"/>
  <c r="F2508" i="57" a="1"/>
  <c r="F2508" i="57" s="1"/>
  <c r="G363" i="57" a="1"/>
  <c r="G363" i="57" s="1"/>
  <c r="F363" i="57" a="1"/>
  <c r="F363" i="57" s="1"/>
  <c r="G124" i="57" a="1"/>
  <c r="G124" i="57" s="1"/>
  <c r="F124" i="57" a="1"/>
  <c r="F124" i="57" s="1"/>
  <c r="G520" i="57" a="1"/>
  <c r="G520" i="57" s="1"/>
  <c r="F520" i="57" a="1"/>
  <c r="F520" i="57" s="1"/>
  <c r="G263" i="57" a="1"/>
  <c r="G263" i="57" s="1"/>
  <c r="F263" i="57" a="1"/>
  <c r="F263" i="57" s="1"/>
  <c r="G587" i="57" a="1"/>
  <c r="G587" i="57" s="1"/>
  <c r="F587" i="57" a="1"/>
  <c r="F587" i="57" s="1"/>
  <c r="G30" i="57" a="1"/>
  <c r="G30" i="57" s="1"/>
  <c r="F30" i="57" a="1"/>
  <c r="F30" i="57" s="1"/>
  <c r="G50" i="57" a="1"/>
  <c r="G50" i="57" s="1"/>
  <c r="F50" i="57" a="1"/>
  <c r="F50" i="57" s="1"/>
  <c r="G434" i="57" a="1"/>
  <c r="G434" i="57" s="1"/>
  <c r="F434" i="57" a="1"/>
  <c r="F434" i="57" s="1"/>
  <c r="G28" i="57" a="1"/>
  <c r="G28" i="57" s="1"/>
  <c r="F28" i="57" a="1"/>
  <c r="F28" i="57" s="1"/>
  <c r="G490" i="57" a="1"/>
  <c r="G490" i="57" s="1"/>
  <c r="F490" i="57" a="1"/>
  <c r="F490" i="57" s="1"/>
  <c r="G245" i="57" a="1"/>
  <c r="G245" i="57" s="1"/>
  <c r="F245" i="57" a="1"/>
  <c r="F245" i="57" s="1"/>
  <c r="G569" i="57" a="1"/>
  <c r="G569" i="57" s="1"/>
  <c r="F569" i="57" a="1"/>
  <c r="F569" i="57" s="1"/>
  <c r="G1450" i="57" a="1"/>
  <c r="G1450" i="57" s="1"/>
  <c r="F1450" i="57" a="1"/>
  <c r="F1450" i="57" s="1"/>
  <c r="G170" i="57" a="1"/>
  <c r="G170" i="57" s="1"/>
  <c r="F170" i="57" a="1"/>
  <c r="F170" i="57" s="1"/>
  <c r="G176" i="57" a="1"/>
  <c r="G176" i="57" s="1"/>
  <c r="F176" i="57" a="1"/>
  <c r="F176" i="57" s="1"/>
  <c r="G33" i="57" a="1"/>
  <c r="G33" i="57" s="1"/>
  <c r="F33" i="57" a="1"/>
  <c r="F33" i="57" s="1"/>
  <c r="G279" i="57" a="1"/>
  <c r="G279" i="57" s="1"/>
  <c r="F279" i="57" a="1"/>
  <c r="F279" i="57" s="1"/>
  <c r="G519" i="57" a="1"/>
  <c r="G519" i="57" s="1"/>
  <c r="F519" i="57" a="1"/>
  <c r="F519" i="57" s="1"/>
  <c r="G238" i="57" a="1"/>
  <c r="G238" i="57" s="1"/>
  <c r="F238" i="57" a="1"/>
  <c r="F238" i="57" s="1"/>
  <c r="G460" i="57" a="1"/>
  <c r="G460" i="57" s="1"/>
  <c r="F460" i="57" a="1"/>
  <c r="F460" i="57" s="1"/>
  <c r="F23" i="57" a="1"/>
  <c r="F23" i="57" s="1"/>
  <c r="G131" i="57" a="1"/>
  <c r="G131" i="57" s="1"/>
  <c r="F131" i="57" a="1"/>
  <c r="F131" i="57" s="1"/>
  <c r="G257" i="57" a="1"/>
  <c r="G257" i="57" s="1"/>
  <c r="F257" i="57" a="1"/>
  <c r="F257" i="57" s="1"/>
  <c r="G365" i="57" a="1"/>
  <c r="G365" i="57" s="1"/>
  <c r="F365" i="57" a="1"/>
  <c r="F365" i="57" s="1"/>
  <c r="G473" i="57" a="1"/>
  <c r="G473" i="57" s="1"/>
  <c r="F473" i="57" a="1"/>
  <c r="F473" i="57" s="1"/>
  <c r="G581" i="57" a="1"/>
  <c r="G581" i="57" s="1"/>
  <c r="F581" i="57" a="1"/>
  <c r="F581" i="57" s="1"/>
  <c r="G689" i="57" a="1"/>
  <c r="G689" i="57" s="1"/>
  <c r="F689" i="57" a="1"/>
  <c r="F689" i="57" s="1"/>
  <c r="G797" i="57" a="1"/>
  <c r="G797" i="57" s="1"/>
  <c r="F797" i="57" a="1"/>
  <c r="F797" i="57" s="1"/>
  <c r="F24" i="57" a="1"/>
  <c r="F24" i="57" s="1"/>
  <c r="G144" i="57" a="1"/>
  <c r="G144" i="57" s="1"/>
  <c r="F144" i="57" a="1"/>
  <c r="F144" i="57" s="1"/>
  <c r="G288" i="57" a="1"/>
  <c r="G288" i="57" s="1"/>
  <c r="F288" i="57" a="1"/>
  <c r="F288" i="57" s="1"/>
  <c r="G420" i="57" a="1"/>
  <c r="G420" i="57" s="1"/>
  <c r="F420" i="57" a="1"/>
  <c r="F420" i="57" s="1"/>
  <c r="G564" i="57" a="1"/>
  <c r="G564" i="57" s="1"/>
  <c r="F564" i="57" a="1"/>
  <c r="F564" i="57" s="1"/>
  <c r="G899" i="57" a="1"/>
  <c r="G899" i="57" s="1"/>
  <c r="F899" i="57" a="1"/>
  <c r="F899" i="57" s="1"/>
  <c r="G1007" i="57" a="1"/>
  <c r="G1007" i="57" s="1"/>
  <c r="F1007" i="57" a="1"/>
  <c r="F1007" i="57" s="1"/>
  <c r="G1115" i="57" a="1"/>
  <c r="G1115" i="57" s="1"/>
  <c r="F1115" i="57" a="1"/>
  <c r="F1115" i="57" s="1"/>
  <c r="G1223" i="57" a="1"/>
  <c r="G1223" i="57" s="1"/>
  <c r="F1223" i="57" a="1"/>
  <c r="F1223" i="57" s="1"/>
  <c r="G1337" i="57" a="1"/>
  <c r="G1337" i="57" s="1"/>
  <c r="F1337" i="57" a="1"/>
  <c r="F1337" i="57" s="1"/>
  <c r="G708" i="57" a="1"/>
  <c r="G708" i="57" s="1"/>
  <c r="F708" i="57" a="1"/>
  <c r="F708" i="57" s="1"/>
  <c r="G864" i="57" a="1"/>
  <c r="G864" i="57" s="1"/>
  <c r="F864" i="57" a="1"/>
  <c r="F864" i="57" s="1"/>
  <c r="G1002" i="57" a="1"/>
  <c r="G1002" i="57" s="1"/>
  <c r="F1002" i="57" a="1"/>
  <c r="F1002" i="57" s="1"/>
  <c r="G1134" i="57" a="1"/>
  <c r="G1134" i="57" s="1"/>
  <c r="F1134" i="57" a="1"/>
  <c r="F1134" i="57" s="1"/>
  <c r="G1260" i="57" a="1"/>
  <c r="G1260" i="57" s="1"/>
  <c r="F1260" i="57" a="1"/>
  <c r="F1260" i="57" s="1"/>
  <c r="G1398" i="57" a="1"/>
  <c r="G1398" i="57" s="1"/>
  <c r="F1398" i="57" a="1"/>
  <c r="F1398" i="57" s="1"/>
  <c r="G704" i="57" a="1"/>
  <c r="G704" i="57" s="1"/>
  <c r="F704" i="57" a="1"/>
  <c r="F704" i="57" s="1"/>
  <c r="G824" i="57" a="1"/>
  <c r="G824" i="57" s="1"/>
  <c r="F824" i="57" a="1"/>
  <c r="F824" i="57" s="1"/>
  <c r="G980" i="57" a="1"/>
  <c r="G980" i="57" s="1"/>
  <c r="F980" i="57" a="1"/>
  <c r="F980" i="57" s="1"/>
  <c r="G1142" i="57" a="1"/>
  <c r="G1142" i="57" s="1"/>
  <c r="F1142" i="57" a="1"/>
  <c r="F1142" i="57" s="1"/>
  <c r="G1304" i="57" a="1"/>
  <c r="G1304" i="57" s="1"/>
  <c r="F1304" i="57" a="1"/>
  <c r="F1304" i="57" s="1"/>
  <c r="G657" i="57" a="1"/>
  <c r="G657" i="57" s="1"/>
  <c r="F657" i="57" a="1"/>
  <c r="F657" i="57" s="1"/>
  <c r="G771" i="57" a="1"/>
  <c r="G771" i="57" s="1"/>
  <c r="F771" i="57" a="1"/>
  <c r="F771" i="57" s="1"/>
  <c r="G1047" i="57" a="1"/>
  <c r="G1047" i="57" s="1"/>
  <c r="F1047" i="57" a="1"/>
  <c r="F1047" i="57" s="1"/>
  <c r="G1389" i="57" a="1"/>
  <c r="G1389" i="57" s="1"/>
  <c r="F1389" i="57" a="1"/>
  <c r="F1389" i="57" s="1"/>
  <c r="G868" i="57" a="1"/>
  <c r="G868" i="57" s="1"/>
  <c r="F868" i="57" a="1"/>
  <c r="F868" i="57" s="1"/>
  <c r="G1234" i="57" a="1"/>
  <c r="G1234" i="57" s="1"/>
  <c r="F1234" i="57" a="1"/>
  <c r="F1234" i="57" s="1"/>
  <c r="G1515" i="57" a="1"/>
  <c r="G1515" i="57" s="1"/>
  <c r="F1515" i="57" a="1"/>
  <c r="F1515" i="57" s="1"/>
  <c r="G1821" i="57" a="1"/>
  <c r="G1821" i="57" s="1"/>
  <c r="F1821" i="57" a="1"/>
  <c r="F1821" i="57" s="1"/>
  <c r="G1630" i="57" a="1"/>
  <c r="G1630" i="57" s="1"/>
  <c r="F1630" i="57" a="1"/>
  <c r="F1630" i="57" s="1"/>
  <c r="G1942" i="57" a="1"/>
  <c r="G1942" i="57" s="1"/>
  <c r="F1942" i="57" a="1"/>
  <c r="F1942" i="57" s="1"/>
  <c r="G1937" i="57" a="1"/>
  <c r="G1937" i="57" s="1"/>
  <c r="F1937" i="57" a="1"/>
  <c r="F1937" i="57" s="1"/>
  <c r="G1952" i="57" a="1"/>
  <c r="G1952" i="57" s="1"/>
  <c r="F1952" i="57" a="1"/>
  <c r="F1952" i="57" s="1"/>
  <c r="G57" i="57" a="1"/>
  <c r="G57" i="57" s="1"/>
  <c r="F57" i="57" a="1"/>
  <c r="F57" i="57" s="1"/>
  <c r="G297" i="57" a="1"/>
  <c r="G297" i="57" s="1"/>
  <c r="F297" i="57" a="1"/>
  <c r="F297" i="57" s="1"/>
  <c r="G501" i="57" a="1"/>
  <c r="G501" i="57" s="1"/>
  <c r="F501" i="57" a="1"/>
  <c r="F501" i="57" s="1"/>
  <c r="G118" i="57" a="1"/>
  <c r="G118" i="57" s="1"/>
  <c r="F118" i="57" a="1"/>
  <c r="F118" i="57" s="1"/>
  <c r="G382" i="57" a="1"/>
  <c r="G382" i="57" s="1"/>
  <c r="F382" i="57" a="1"/>
  <c r="F382" i="57" s="1"/>
  <c r="G963" i="57" a="1"/>
  <c r="G963" i="57" s="1"/>
  <c r="F963" i="57" a="1"/>
  <c r="F963" i="57" s="1"/>
  <c r="G1293" i="57" a="1"/>
  <c r="G1293" i="57" s="1"/>
  <c r="F1293" i="57" a="1"/>
  <c r="F1293" i="57" s="1"/>
  <c r="G778" i="57" a="1"/>
  <c r="G778" i="57" s="1"/>
  <c r="F778" i="57" a="1"/>
  <c r="F778" i="57" s="1"/>
  <c r="G1144" i="57" a="1"/>
  <c r="G1144" i="57" s="1"/>
  <c r="F1144" i="57" a="1"/>
  <c r="F1144" i="57" s="1"/>
  <c r="G1427" i="57" a="1"/>
  <c r="G1427" i="57" s="1"/>
  <c r="F1427" i="57" a="1"/>
  <c r="F1427" i="57" s="1"/>
  <c r="G1731" i="57" a="1"/>
  <c r="G1731" i="57" s="1"/>
  <c r="F1731" i="57" a="1"/>
  <c r="F1731" i="57" s="1"/>
  <c r="G1534" i="57" a="1"/>
  <c r="G1534" i="57" s="1"/>
  <c r="F1534" i="57" a="1"/>
  <c r="F1534" i="57" s="1"/>
  <c r="G1846" i="57" a="1"/>
  <c r="G1846" i="57" s="1"/>
  <c r="F1846" i="57" a="1"/>
  <c r="F1846" i="57" s="1"/>
  <c r="G1793" i="57" a="1"/>
  <c r="G1793" i="57" s="1"/>
  <c r="F1793" i="57" a="1"/>
  <c r="F1793" i="57" s="1"/>
  <c r="G1808" i="57" a="1"/>
  <c r="G1808" i="57" s="1"/>
  <c r="F1808" i="57" a="1"/>
  <c r="F1808" i="57" s="1"/>
  <c r="G492" i="57" a="1"/>
  <c r="G492" i="57" s="1"/>
  <c r="F492" i="57" a="1"/>
  <c r="F492" i="57" s="1"/>
  <c r="G977" i="57" a="1"/>
  <c r="G977" i="57" s="1"/>
  <c r="F977" i="57" a="1"/>
  <c r="F977" i="57" s="1"/>
  <c r="G1121" i="57" a="1"/>
  <c r="G1121" i="57" s="1"/>
  <c r="F1121" i="57" a="1"/>
  <c r="F1121" i="57" s="1"/>
  <c r="G1229" i="57" a="1"/>
  <c r="G1229" i="57" s="1"/>
  <c r="F1229" i="57" a="1"/>
  <c r="F1229" i="57" s="1"/>
  <c r="G1343" i="57" a="1"/>
  <c r="G1343" i="57" s="1"/>
  <c r="F1343" i="57" a="1"/>
  <c r="F1343" i="57" s="1"/>
  <c r="G720" i="57" a="1"/>
  <c r="G720" i="57" s="1"/>
  <c r="F720" i="57" a="1"/>
  <c r="F720" i="57" s="1"/>
  <c r="G876" i="57" a="1"/>
  <c r="G876" i="57" s="1"/>
  <c r="F876" i="57" a="1"/>
  <c r="F876" i="57" s="1"/>
  <c r="G1032" i="57" a="1"/>
  <c r="G1032" i="57" s="1"/>
  <c r="F1032" i="57" a="1"/>
  <c r="F1032" i="57" s="1"/>
  <c r="G1158" i="57" a="1"/>
  <c r="G1158" i="57" s="1"/>
  <c r="F1158" i="57" a="1"/>
  <c r="F1158" i="57" s="1"/>
  <c r="G1284" i="57" a="1"/>
  <c r="G1284" i="57" s="1"/>
  <c r="F1284" i="57" a="1"/>
  <c r="F1284" i="57" s="1"/>
  <c r="G608" i="57" a="1"/>
  <c r="G608" i="57" s="1"/>
  <c r="F608" i="57" a="1"/>
  <c r="F608" i="57" s="1"/>
  <c r="G728" i="57" a="1"/>
  <c r="G728" i="57" s="1"/>
  <c r="F728" i="57" a="1"/>
  <c r="F728" i="57" s="1"/>
  <c r="G854" i="57" a="1"/>
  <c r="G854" i="57" s="1"/>
  <c r="F854" i="57" a="1"/>
  <c r="F854" i="57" s="1"/>
  <c r="G1016" i="57" a="1"/>
  <c r="G1016" i="57" s="1"/>
  <c r="F1016" i="57" a="1"/>
  <c r="F1016" i="57" s="1"/>
  <c r="G1178" i="57" a="1"/>
  <c r="G1178" i="57" s="1"/>
  <c r="F1178" i="57" a="1"/>
  <c r="F1178" i="57" s="1"/>
  <c r="G1340" i="57" a="1"/>
  <c r="G1340" i="57" s="1"/>
  <c r="F1340" i="57" a="1"/>
  <c r="F1340" i="57" s="1"/>
  <c r="G681" i="57" a="1"/>
  <c r="G681" i="57" s="1"/>
  <c r="F681" i="57" a="1"/>
  <c r="F681" i="57" s="1"/>
  <c r="G801" i="57" a="1"/>
  <c r="G801" i="57" s="1"/>
  <c r="F801" i="57" a="1"/>
  <c r="F801" i="57" s="1"/>
  <c r="G1119" i="57" a="1"/>
  <c r="G1119" i="57" s="1"/>
  <c r="F1119" i="57" a="1"/>
  <c r="F1119" i="57" s="1"/>
  <c r="G574" i="57" a="1"/>
  <c r="G574" i="57" s="1"/>
  <c r="F574" i="57" a="1"/>
  <c r="F574" i="57" s="1"/>
  <c r="G958" i="57" a="1"/>
  <c r="G958" i="57" s="1"/>
  <c r="F958" i="57" a="1"/>
  <c r="F958" i="57" s="1"/>
  <c r="G1318" i="57" a="1"/>
  <c r="G1318" i="57" s="1"/>
  <c r="F1318" i="57" a="1"/>
  <c r="F1318" i="57" s="1"/>
  <c r="G1581" i="57" a="1"/>
  <c r="G1581" i="57" s="1"/>
  <c r="F1581" i="57" a="1"/>
  <c r="F1581" i="57" s="1"/>
  <c r="G1887" i="57" a="1"/>
  <c r="G1887" i="57" s="1"/>
  <c r="F1887" i="57" a="1"/>
  <c r="F1887" i="57" s="1"/>
  <c r="G1702" i="57" a="1"/>
  <c r="G1702" i="57" s="1"/>
  <c r="F1702" i="57" a="1"/>
  <c r="F1702" i="57" s="1"/>
  <c r="G1541" i="57" a="1"/>
  <c r="G1541" i="57" s="1"/>
  <c r="F1541" i="57" a="1"/>
  <c r="F1541" i="57" s="1"/>
  <c r="G1556" i="57" a="1"/>
  <c r="G1556" i="57" s="1"/>
  <c r="F1556" i="57" a="1"/>
  <c r="F1556" i="57" s="1"/>
  <c r="G270" i="57" a="1"/>
  <c r="G270" i="57" s="1"/>
  <c r="F270" i="57" a="1"/>
  <c r="F270" i="57" s="1"/>
  <c r="G510" i="57" a="1"/>
  <c r="G510" i="57" s="1"/>
  <c r="F510" i="57" a="1"/>
  <c r="F510" i="57" s="1"/>
  <c r="G923" i="57" a="1"/>
  <c r="G923" i="57" s="1"/>
  <c r="F923" i="57" a="1"/>
  <c r="F923" i="57" s="1"/>
  <c r="G921" i="57" a="1"/>
  <c r="G921" i="57" s="1"/>
  <c r="F921" i="57" a="1"/>
  <c r="F921" i="57" s="1"/>
  <c r="G1257" i="57" a="1"/>
  <c r="G1257" i="57" s="1"/>
  <c r="F1257" i="57" a="1"/>
  <c r="F1257" i="57" s="1"/>
  <c r="G730" i="57" a="1"/>
  <c r="G730" i="57" s="1"/>
  <c r="F730" i="57" a="1"/>
  <c r="F730" i="57" s="1"/>
  <c r="G1102" i="57" a="1"/>
  <c r="G1102" i="57" s="1"/>
  <c r="F1102" i="57" a="1"/>
  <c r="F1102" i="57" s="1"/>
  <c r="G1367" i="57" a="1"/>
  <c r="G1367" i="57" s="1"/>
  <c r="F1367" i="57" a="1"/>
  <c r="F1367" i="57" s="1"/>
  <c r="G1695" i="57" a="1"/>
  <c r="G1695" i="57" s="1"/>
  <c r="F1695" i="57" a="1"/>
  <c r="F1695" i="57" s="1"/>
  <c r="G1498" i="57" a="1"/>
  <c r="G1498" i="57" s="1"/>
  <c r="F1498" i="57" a="1"/>
  <c r="F1498" i="57" s="1"/>
  <c r="G1810" i="57" a="1"/>
  <c r="G1810" i="57" s="1"/>
  <c r="F1810" i="57" a="1"/>
  <c r="F1810" i="57" s="1"/>
  <c r="G1721" i="57" a="1"/>
  <c r="G1721" i="57" s="1"/>
  <c r="F1721" i="57" a="1"/>
  <c r="F1721" i="57" s="1"/>
  <c r="G1736" i="57" a="1"/>
  <c r="G1736" i="57" s="1"/>
  <c r="F1736" i="57" a="1"/>
  <c r="F1736" i="57" s="1"/>
  <c r="G318" i="57" a="1"/>
  <c r="G318" i="57" s="1"/>
  <c r="F318" i="57" a="1"/>
  <c r="F318" i="57" s="1"/>
  <c r="G875" i="57" a="1"/>
  <c r="G875" i="57" s="1"/>
  <c r="F875" i="57" a="1"/>
  <c r="F875" i="57" s="1"/>
  <c r="G1019" i="57" a="1"/>
  <c r="G1019" i="57" s="1"/>
  <c r="F1019" i="57" a="1"/>
  <c r="F1019" i="57" s="1"/>
  <c r="G1127" i="57" a="1"/>
  <c r="G1127" i="57" s="1"/>
  <c r="F1127" i="57" a="1"/>
  <c r="F1127" i="57" s="1"/>
  <c r="G1235" i="57" a="1"/>
  <c r="G1235" i="57" s="1"/>
  <c r="F1235" i="57" a="1"/>
  <c r="F1235" i="57" s="1"/>
  <c r="G1349" i="57" a="1"/>
  <c r="G1349" i="57" s="1"/>
  <c r="F1349" i="57" a="1"/>
  <c r="F1349" i="57" s="1"/>
  <c r="G732" i="57" a="1"/>
  <c r="G732" i="57" s="1"/>
  <c r="F732" i="57" a="1"/>
  <c r="F732" i="57" s="1"/>
  <c r="G912" i="57" a="1"/>
  <c r="G912" i="57" s="1"/>
  <c r="F912" i="57" a="1"/>
  <c r="F912" i="57" s="1"/>
  <c r="G1038" i="57" a="1"/>
  <c r="G1038" i="57" s="1"/>
  <c r="F1038" i="57" a="1"/>
  <c r="F1038" i="57" s="1"/>
  <c r="G1164" i="57" a="1"/>
  <c r="G1164" i="57" s="1"/>
  <c r="F1164" i="57" a="1"/>
  <c r="F1164" i="57" s="1"/>
  <c r="G1290" i="57" a="1"/>
  <c r="G1290" i="57" s="1"/>
  <c r="F1290" i="57" a="1"/>
  <c r="F1290" i="57" s="1"/>
  <c r="G614" i="57" a="1"/>
  <c r="G614" i="57" s="1"/>
  <c r="F614" i="57" a="1"/>
  <c r="F614" i="57" s="1"/>
  <c r="G734" i="57" a="1"/>
  <c r="G734" i="57" s="1"/>
  <c r="F734" i="57" a="1"/>
  <c r="F734" i="57" s="1"/>
  <c r="G860" i="57" a="1"/>
  <c r="G860" i="57" s="1"/>
  <c r="F860" i="57" a="1"/>
  <c r="F860" i="57" s="1"/>
  <c r="G1022" i="57" a="1"/>
  <c r="G1022" i="57" s="1"/>
  <c r="F1022" i="57" a="1"/>
  <c r="F1022" i="57" s="1"/>
  <c r="G1184" i="57" a="1"/>
  <c r="G1184" i="57" s="1"/>
  <c r="F1184" i="57" a="1"/>
  <c r="F1184" i="57" s="1"/>
  <c r="G1346" i="57" a="1"/>
  <c r="G1346" i="57" s="1"/>
  <c r="F1346" i="57" a="1"/>
  <c r="F1346" i="57" s="1"/>
  <c r="G687" i="57" a="1"/>
  <c r="G687" i="57" s="1"/>
  <c r="F687" i="57" a="1"/>
  <c r="F687" i="57" s="1"/>
  <c r="G807" i="57" a="1"/>
  <c r="G807" i="57" s="1"/>
  <c r="F807" i="57" a="1"/>
  <c r="F807" i="57" s="1"/>
  <c r="G1125" i="57" a="1"/>
  <c r="G1125" i="57" s="1"/>
  <c r="F1125" i="57" a="1"/>
  <c r="F1125" i="57" s="1"/>
  <c r="G580" i="57" a="1"/>
  <c r="G580" i="57" s="1"/>
  <c r="F580" i="57" a="1"/>
  <c r="F580" i="57" s="1"/>
  <c r="G964" i="57" a="1"/>
  <c r="G964" i="57" s="1"/>
  <c r="F964" i="57" a="1"/>
  <c r="F964" i="57" s="1"/>
  <c r="G1324" i="57" a="1"/>
  <c r="G1324" i="57" s="1"/>
  <c r="F1324" i="57" a="1"/>
  <c r="F1324" i="57" s="1"/>
  <c r="G1599" i="57" a="1"/>
  <c r="G1599" i="57" s="1"/>
  <c r="F1599" i="57" a="1"/>
  <c r="F1599" i="57" s="1"/>
  <c r="G1911" i="57" a="1"/>
  <c r="G1911" i="57" s="1"/>
  <c r="F1911" i="57" a="1"/>
  <c r="F1911" i="57" s="1"/>
  <c r="G1714" i="57" a="1"/>
  <c r="G1714" i="57" s="1"/>
  <c r="F1714" i="57" a="1"/>
  <c r="F1714" i="57" s="1"/>
  <c r="G1577" i="57" a="1"/>
  <c r="G1577" i="57" s="1"/>
  <c r="F1577" i="57" a="1"/>
  <c r="F1577" i="57" s="1"/>
  <c r="G1592" i="57" a="1"/>
  <c r="G1592" i="57" s="1"/>
  <c r="F1592" i="57" a="1"/>
  <c r="F1592" i="57" s="1"/>
  <c r="G138" i="57" a="1"/>
  <c r="G138" i="57" s="1"/>
  <c r="F138" i="57" a="1"/>
  <c r="F138" i="57" s="1"/>
  <c r="G360" i="57" a="1"/>
  <c r="G360" i="57" s="1"/>
  <c r="F360" i="57" a="1"/>
  <c r="F360" i="57" s="1"/>
  <c r="G576" i="57" a="1"/>
  <c r="G576" i="57" s="1"/>
  <c r="F576" i="57" a="1"/>
  <c r="F576" i="57" s="1"/>
  <c r="G879" i="57" a="1"/>
  <c r="G879" i="57" s="1"/>
  <c r="F879" i="57" a="1"/>
  <c r="F879" i="57" s="1"/>
  <c r="G1215" i="57" a="1"/>
  <c r="G1215" i="57" s="1"/>
  <c r="F1215" i="57" a="1"/>
  <c r="F1215" i="57" s="1"/>
  <c r="G688" i="57" a="1"/>
  <c r="G688" i="57" s="1"/>
  <c r="F688" i="57" a="1"/>
  <c r="F688" i="57" s="1"/>
  <c r="G1060" i="57" a="1"/>
  <c r="G1060" i="57" s="1"/>
  <c r="F1060" i="57" a="1"/>
  <c r="F1060" i="57" s="1"/>
  <c r="G1426" i="57" a="1"/>
  <c r="G1426" i="57" s="1"/>
  <c r="F1426" i="57" a="1"/>
  <c r="F1426" i="57" s="1"/>
  <c r="G1659" i="57" a="1"/>
  <c r="G1659" i="57" s="1"/>
  <c r="F1659" i="57" a="1"/>
  <c r="F1659" i="57" s="1"/>
  <c r="G1462" i="57" a="1"/>
  <c r="G1462" i="57" s="1"/>
  <c r="F1462" i="57" a="1"/>
  <c r="F1462" i="57" s="1"/>
  <c r="G1774" i="57" a="1"/>
  <c r="G1774" i="57" s="1"/>
  <c r="F1774" i="57" a="1"/>
  <c r="F1774" i="57" s="1"/>
  <c r="G1667" i="57" a="1"/>
  <c r="G1667" i="57" s="1"/>
  <c r="F1667" i="57" a="1"/>
  <c r="F1667" i="57" s="1"/>
  <c r="G1688" i="57" a="1"/>
  <c r="G1688" i="57" s="1"/>
  <c r="F1688" i="57" a="1"/>
  <c r="F1688" i="57" s="1"/>
  <c r="G849" i="57" a="1"/>
  <c r="G849" i="57" s="1"/>
  <c r="F849" i="57" a="1"/>
  <c r="F849" i="57" s="1"/>
  <c r="G969" i="57" a="1"/>
  <c r="G969" i="57" s="1"/>
  <c r="F969" i="57" a="1"/>
  <c r="F969" i="57" s="1"/>
  <c r="G1077" i="57" a="1"/>
  <c r="G1077" i="57" s="1"/>
  <c r="F1077" i="57" a="1"/>
  <c r="F1077" i="57" s="1"/>
  <c r="G1185" i="57" a="1"/>
  <c r="G1185" i="57" s="1"/>
  <c r="F1185" i="57" a="1"/>
  <c r="F1185" i="57" s="1"/>
  <c r="G1299" i="57" a="1"/>
  <c r="G1299" i="57" s="1"/>
  <c r="F1299" i="57" a="1"/>
  <c r="F1299" i="57" s="1"/>
  <c r="G1419" i="57" a="1"/>
  <c r="G1419" i="57" s="1"/>
  <c r="F1419" i="57" a="1"/>
  <c r="F1419" i="57" s="1"/>
  <c r="G658" i="57" a="1"/>
  <c r="G658" i="57" s="1"/>
  <c r="F658" i="57" a="1"/>
  <c r="F658" i="57" s="1"/>
  <c r="G790" i="57" a="1"/>
  <c r="G790" i="57" s="1"/>
  <c r="F790" i="57" a="1"/>
  <c r="F790" i="57" s="1"/>
  <c r="G904" i="57" a="1"/>
  <c r="G904" i="57" s="1"/>
  <c r="F904" i="57" a="1"/>
  <c r="F904" i="57" s="1"/>
  <c r="G1024" i="57" a="1"/>
  <c r="G1024" i="57" s="1"/>
  <c r="F1024" i="57" a="1"/>
  <c r="F1024" i="57" s="1"/>
  <c r="G1150" i="57" a="1"/>
  <c r="G1150" i="57" s="1"/>
  <c r="F1150" i="57" a="1"/>
  <c r="F1150" i="57" s="1"/>
  <c r="G1270" i="57" a="1"/>
  <c r="G1270" i="57" s="1"/>
  <c r="F1270" i="57" a="1"/>
  <c r="F1270" i="57" s="1"/>
  <c r="G1396" i="57" a="1"/>
  <c r="G1396" i="57" s="1"/>
  <c r="F1396" i="57" a="1"/>
  <c r="F1396" i="57" s="1"/>
  <c r="G1439" i="57" a="1"/>
  <c r="G1439" i="57" s="1"/>
  <c r="F1439" i="57" a="1"/>
  <c r="F1439" i="57" s="1"/>
  <c r="G1635" i="57" a="1"/>
  <c r="G1635" i="57" s="1"/>
  <c r="F1635" i="57" a="1"/>
  <c r="F1635" i="57" s="1"/>
  <c r="G1893" i="57" a="1"/>
  <c r="G1893" i="57" s="1"/>
  <c r="F1893" i="57" a="1"/>
  <c r="F1893" i="57" s="1"/>
  <c r="G1654" i="57" a="1"/>
  <c r="G1654" i="57" s="1"/>
  <c r="F1654" i="57" a="1"/>
  <c r="F1654" i="57" s="1"/>
  <c r="G1912" i="57" a="1"/>
  <c r="G1912" i="57" s="1"/>
  <c r="F1912" i="57" a="1"/>
  <c r="F1912" i="57" s="1"/>
  <c r="G1655" i="57" a="1"/>
  <c r="G1655" i="57" s="1"/>
  <c r="F1655" i="57" a="1"/>
  <c r="F1655" i="57" s="1"/>
  <c r="G1913" i="57" a="1"/>
  <c r="G1913" i="57" s="1"/>
  <c r="F1913" i="57" a="1"/>
  <c r="F1913" i="57" s="1"/>
  <c r="G1670" i="57" a="1"/>
  <c r="G1670" i="57" s="1"/>
  <c r="F1670" i="57" a="1"/>
  <c r="F1670" i="57" s="1"/>
  <c r="G1934" i="57" a="1"/>
  <c r="G1934" i="57" s="1"/>
  <c r="F1934" i="57" a="1"/>
  <c r="F1934" i="57" s="1"/>
  <c r="G2193" i="57" a="1"/>
  <c r="G2193" i="57" s="1"/>
  <c r="F2193" i="57" a="1"/>
  <c r="F2193" i="57" s="1"/>
  <c r="G2463" i="57" a="1"/>
  <c r="G2463" i="57" s="1"/>
  <c r="F2463" i="57" a="1"/>
  <c r="F2463" i="57" s="1"/>
  <c r="G2266" i="57" a="1"/>
  <c r="G2266" i="57" s="1"/>
  <c r="F2266" i="57" a="1"/>
  <c r="F2266" i="57" s="1"/>
  <c r="G2099" i="57" a="1"/>
  <c r="G2099" i="57" s="1"/>
  <c r="F2099" i="57" a="1"/>
  <c r="F2099" i="57" s="1"/>
  <c r="G1958" i="57" a="1"/>
  <c r="G1958" i="57" s="1"/>
  <c r="F1958" i="57" a="1"/>
  <c r="F1958" i="57" s="1"/>
  <c r="G2270" i="57" a="1"/>
  <c r="G2270" i="57" s="1"/>
  <c r="F2270" i="57" a="1"/>
  <c r="F2270" i="57" s="1"/>
  <c r="G199" i="57" a="1"/>
  <c r="G199" i="57" s="1"/>
  <c r="F199" i="57" a="1"/>
  <c r="F199" i="57" s="1"/>
  <c r="G1560" i="57" a="1"/>
  <c r="G1560" i="57" s="1"/>
  <c r="F1560" i="57" a="1"/>
  <c r="F1560" i="57" s="1"/>
  <c r="G391" i="57" a="1"/>
  <c r="G391" i="57" s="1"/>
  <c r="F391" i="57" a="1"/>
  <c r="F391" i="57" s="1"/>
  <c r="G2203" i="57" a="1"/>
  <c r="G2203" i="57" s="1"/>
  <c r="F2203" i="57" a="1"/>
  <c r="F2203" i="57" s="1"/>
  <c r="G2199" i="57" a="1"/>
  <c r="G2199" i="57" s="1"/>
  <c r="F2199" i="57" a="1"/>
  <c r="F2199" i="57" s="1"/>
  <c r="G1960" i="57" a="1"/>
  <c r="G1960" i="57" s="1"/>
  <c r="F1960" i="57" a="1"/>
  <c r="F1960" i="57" s="1"/>
  <c r="G2272" i="57" a="1"/>
  <c r="G2272" i="57" s="1"/>
  <c r="F2272" i="57" a="1"/>
  <c r="F2272" i="57" s="1"/>
  <c r="G2117" i="57" a="1"/>
  <c r="G2117" i="57" s="1"/>
  <c r="F2117" i="57" a="1"/>
  <c r="F2117" i="57" s="1"/>
  <c r="G1964" i="57" a="1"/>
  <c r="G1964" i="57" s="1"/>
  <c r="F1964" i="57" a="1"/>
  <c r="F1964" i="57" s="1"/>
  <c r="G2276" i="57" a="1"/>
  <c r="G2276" i="57" s="1"/>
  <c r="F2276" i="57" a="1"/>
  <c r="F2276" i="57" s="1"/>
  <c r="G205" i="57" a="1"/>
  <c r="G205" i="57" s="1"/>
  <c r="F205" i="57" a="1"/>
  <c r="F205" i="57" s="1"/>
  <c r="G1566" i="57" a="1"/>
  <c r="G1566" i="57" s="1"/>
  <c r="F1566" i="57" a="1"/>
  <c r="F1566" i="57" s="1"/>
  <c r="G433" i="57" a="1"/>
  <c r="G433" i="57" s="1"/>
  <c r="F433" i="57" a="1"/>
  <c r="F433" i="57" s="1"/>
  <c r="G432" i="57" a="1"/>
  <c r="G432" i="57" s="1"/>
  <c r="F432" i="57" a="1"/>
  <c r="F432" i="57" s="1"/>
  <c r="G2247" i="57" a="1"/>
  <c r="G2247" i="57" s="1"/>
  <c r="F2247" i="57" a="1"/>
  <c r="F2247" i="57" s="1"/>
  <c r="G2026" i="57" a="1"/>
  <c r="G2026" i="57" s="1"/>
  <c r="F2026" i="57" a="1"/>
  <c r="F2026" i="57" s="1"/>
  <c r="G2338" i="57" a="1"/>
  <c r="G2338" i="57" s="1"/>
  <c r="F2338" i="57" a="1"/>
  <c r="F2338" i="57" s="1"/>
  <c r="G2171" i="57" a="1"/>
  <c r="G2171" i="57" s="1"/>
  <c r="F2171" i="57" a="1"/>
  <c r="F2171" i="57" s="1"/>
  <c r="G2024" i="57" a="1"/>
  <c r="G2024" i="57" s="1"/>
  <c r="F2024" i="57" a="1"/>
  <c r="F2024" i="57" s="1"/>
  <c r="G2348" i="57" a="1"/>
  <c r="G2348" i="57" s="1"/>
  <c r="F2348" i="57" a="1"/>
  <c r="F2348" i="57" s="1"/>
  <c r="G1452" i="57" a="1"/>
  <c r="G1452" i="57" s="1"/>
  <c r="F1452" i="57" a="1"/>
  <c r="F1452" i="57" s="1"/>
  <c r="G1644" i="57" a="1"/>
  <c r="G1644" i="57" s="1"/>
  <c r="F1644" i="57" a="1"/>
  <c r="F1644" i="57" s="1"/>
  <c r="G1028" i="57" a="1"/>
  <c r="G1028" i="57" s="1"/>
  <c r="F1028" i="57" a="1"/>
  <c r="F1028" i="57" s="1"/>
  <c r="G1207" i="57" a="1"/>
  <c r="G1207" i="57" s="1"/>
  <c r="F1207" i="57" a="1"/>
  <c r="F1207" i="57" s="1"/>
  <c r="G2301" i="57" a="1"/>
  <c r="G2301" i="57" s="1"/>
  <c r="F2301" i="57" a="1"/>
  <c r="F2301" i="57" s="1"/>
  <c r="G2086" i="57" a="1"/>
  <c r="G2086" i="57" s="1"/>
  <c r="F2086" i="57" a="1"/>
  <c r="F2086" i="57" s="1"/>
  <c r="G2392" i="57" a="1"/>
  <c r="G2392" i="57" s="1"/>
  <c r="F2392" i="57" a="1"/>
  <c r="F2392" i="57" s="1"/>
  <c r="G2231" i="57" a="1"/>
  <c r="G2231" i="57" s="1"/>
  <c r="F2231" i="57" a="1"/>
  <c r="F2231" i="57" s="1"/>
  <c r="G2090" i="57" a="1"/>
  <c r="G2090" i="57" s="1"/>
  <c r="F2090" i="57" a="1"/>
  <c r="F2090" i="57" s="1"/>
  <c r="G2414" i="57" a="1"/>
  <c r="G2414" i="57" s="1"/>
  <c r="F2414" i="57" a="1"/>
  <c r="F2414" i="57" s="1"/>
  <c r="G236" i="57" a="1"/>
  <c r="G236" i="57" s="1"/>
  <c r="F236" i="57" a="1"/>
  <c r="F236" i="57" s="1"/>
  <c r="G1710" i="57" a="1"/>
  <c r="G1710" i="57" s="1"/>
  <c r="F1710" i="57" a="1"/>
  <c r="F1710" i="57" s="1"/>
  <c r="G2052" i="57" a="1"/>
  <c r="G2052" i="57" s="1"/>
  <c r="F2052" i="57" a="1"/>
  <c r="F2052" i="57" s="1"/>
  <c r="G1469" i="57" a="1"/>
  <c r="G1469" i="57" s="1"/>
  <c r="F1469" i="57" a="1"/>
  <c r="F1469" i="57" s="1"/>
  <c r="G1727" i="57" a="1"/>
  <c r="G1727" i="57" s="1"/>
  <c r="F1727" i="57" a="1"/>
  <c r="F1727" i="57" s="1"/>
  <c r="G1484" i="57" a="1"/>
  <c r="G1484" i="57" s="1"/>
  <c r="F1484" i="57" a="1"/>
  <c r="F1484" i="57" s="1"/>
  <c r="G1742" i="57" a="1"/>
  <c r="G1742" i="57" s="1"/>
  <c r="F1742" i="57" a="1"/>
  <c r="F1742" i="57" s="1"/>
  <c r="G2007" i="57" a="1"/>
  <c r="G2007" i="57" s="1"/>
  <c r="F2007" i="57" a="1"/>
  <c r="F2007" i="57" s="1"/>
  <c r="G2265" i="57" a="1"/>
  <c r="G2265" i="57" s="1"/>
  <c r="F2265" i="57" a="1"/>
  <c r="F2265" i="57" s="1"/>
  <c r="G2038" i="57" a="1"/>
  <c r="G2038" i="57" s="1"/>
  <c r="F2038" i="57" a="1"/>
  <c r="F2038" i="57" s="1"/>
  <c r="G2350" i="57" a="1"/>
  <c r="G2350" i="57" s="1"/>
  <c r="F2350" i="57" a="1"/>
  <c r="F2350" i="57" s="1"/>
  <c r="G2189" i="57" a="1"/>
  <c r="G2189" i="57" s="1"/>
  <c r="F2189" i="57" a="1"/>
  <c r="F2189" i="57" s="1"/>
  <c r="G2042" i="57" a="1"/>
  <c r="G2042" i="57" s="1"/>
  <c r="F2042" i="57" a="1"/>
  <c r="F2042" i="57" s="1"/>
  <c r="G2360" i="57" a="1"/>
  <c r="G2360" i="57" s="1"/>
  <c r="F2360" i="57" a="1"/>
  <c r="F2360" i="57" s="1"/>
  <c r="G62" i="57" a="1"/>
  <c r="G62" i="57" s="1"/>
  <c r="F62" i="57" a="1"/>
  <c r="F62" i="57" s="1"/>
  <c r="G1662" i="57" a="1"/>
  <c r="G1662" i="57" s="1"/>
  <c r="F1662" i="57" a="1"/>
  <c r="F1662" i="57" s="1"/>
  <c r="G1280" i="57" a="1"/>
  <c r="G1280" i="57" s="1"/>
  <c r="F1280" i="57" a="1"/>
  <c r="F1280" i="57" s="1"/>
  <c r="G1441" i="57" a="1"/>
  <c r="G1441" i="57" s="1"/>
  <c r="F1441" i="57" a="1"/>
  <c r="F1441" i="57" s="1"/>
  <c r="G1649" i="57" a="1"/>
  <c r="G1649" i="57" s="1"/>
  <c r="F1649" i="57" a="1"/>
  <c r="F1649" i="57" s="1"/>
  <c r="G1907" i="57" a="1"/>
  <c r="G1907" i="57" s="1"/>
  <c r="F1907" i="57" a="1"/>
  <c r="F1907" i="57" s="1"/>
  <c r="G1664" i="57" a="1"/>
  <c r="G1664" i="57" s="1"/>
  <c r="F1664" i="57" a="1"/>
  <c r="F1664" i="57" s="1"/>
  <c r="G1922" i="57" a="1"/>
  <c r="G1922" i="57" s="1"/>
  <c r="F1922" i="57" a="1"/>
  <c r="F1922" i="57" s="1"/>
  <c r="G2187" i="57" a="1"/>
  <c r="G2187" i="57" s="1"/>
  <c r="F2187" i="57" a="1"/>
  <c r="F2187" i="57" s="1"/>
  <c r="G2457" i="57" a="1"/>
  <c r="G2457" i="57" s="1"/>
  <c r="F2457" i="57" a="1"/>
  <c r="F2457" i="57" s="1"/>
  <c r="G2254" i="57" a="1"/>
  <c r="G2254" i="57" s="1"/>
  <c r="F2254" i="57" a="1"/>
  <c r="F2254" i="57" s="1"/>
  <c r="G2093" i="57" a="1"/>
  <c r="G2093" i="57" s="1"/>
  <c r="F2093" i="57" a="1"/>
  <c r="F2093" i="57" s="1"/>
  <c r="G2405" i="57" a="1"/>
  <c r="G2405" i="57" s="1"/>
  <c r="F2405" i="57" a="1"/>
  <c r="F2405" i="57" s="1"/>
  <c r="G2258" i="57" a="1"/>
  <c r="G2258" i="57" s="1"/>
  <c r="F2258" i="57" a="1"/>
  <c r="F2258" i="57" s="1"/>
  <c r="G181" i="57" a="1"/>
  <c r="G181" i="57" s="1"/>
  <c r="F181" i="57" a="1"/>
  <c r="F181" i="57" s="1"/>
  <c r="G1536" i="57" a="1"/>
  <c r="G1536" i="57" s="1"/>
  <c r="F1536" i="57" a="1"/>
  <c r="F1536" i="57" s="1"/>
  <c r="G349" i="57" a="1"/>
  <c r="G349" i="57" s="1"/>
  <c r="F349" i="57" a="1"/>
  <c r="F349" i="57" s="1"/>
  <c r="G2143" i="57" a="1"/>
  <c r="G2143" i="57" s="1"/>
  <c r="F2143" i="57" a="1"/>
  <c r="F2143" i="57" s="1"/>
  <c r="G1575" i="57" a="1"/>
  <c r="G1575" i="57" s="1"/>
  <c r="F1575" i="57" a="1"/>
  <c r="F1575" i="57" s="1"/>
  <c r="G1791" i="57" a="1"/>
  <c r="G1791" i="57" s="1"/>
  <c r="F1791" i="57" a="1"/>
  <c r="F1791" i="57" s="1"/>
  <c r="G1504" i="57" a="1"/>
  <c r="G1504" i="57" s="1"/>
  <c r="F1504" i="57" a="1"/>
  <c r="F1504" i="57" s="1"/>
  <c r="G1720" i="57" a="1"/>
  <c r="G1720" i="57" s="1"/>
  <c r="F1720" i="57" a="1"/>
  <c r="F1720" i="57" s="1"/>
  <c r="G1936" i="57" a="1"/>
  <c r="G1936" i="57" s="1"/>
  <c r="F1936" i="57" a="1"/>
  <c r="F1936" i="57" s="1"/>
  <c r="G1637" i="57" a="1"/>
  <c r="G1637" i="57" s="1"/>
  <c r="F1637" i="57" a="1"/>
  <c r="F1637" i="57" s="1"/>
  <c r="G1853" i="57" a="1"/>
  <c r="G1853" i="57" s="1"/>
  <c r="F1853" i="57" a="1"/>
  <c r="F1853" i="57" s="1"/>
  <c r="G1568" i="57" a="1"/>
  <c r="G1568" i="57" s="1"/>
  <c r="F1568" i="57" a="1"/>
  <c r="F1568" i="57" s="1"/>
  <c r="G1784" i="57" a="1"/>
  <c r="G1784" i="57" s="1"/>
  <c r="F1784" i="57" a="1"/>
  <c r="F1784" i="57" s="1"/>
  <c r="G2001" i="57" a="1"/>
  <c r="G2001" i="57" s="1"/>
  <c r="F2001" i="57" a="1"/>
  <c r="F2001" i="57" s="1"/>
  <c r="G2217" i="57" a="1"/>
  <c r="G2217" i="57" s="1"/>
  <c r="F2217" i="57" a="1"/>
  <c r="F2217" i="57" s="1"/>
  <c r="G2439" i="57" a="1"/>
  <c r="G2439" i="57" s="1"/>
  <c r="F2439" i="57" a="1"/>
  <c r="F2439" i="57" s="1"/>
  <c r="G2194" i="57" a="1"/>
  <c r="G2194" i="57" s="1"/>
  <c r="F2194" i="57" a="1"/>
  <c r="F2194" i="57" s="1"/>
  <c r="G1979" i="57" a="1"/>
  <c r="G1979" i="57" s="1"/>
  <c r="F1979" i="57" a="1"/>
  <c r="F1979" i="57" s="1"/>
  <c r="G2237" i="57" a="1"/>
  <c r="G2237" i="57" s="1"/>
  <c r="F2237" i="57" a="1"/>
  <c r="F2237" i="57" s="1"/>
  <c r="G2036" i="57" a="1"/>
  <c r="G2036" i="57" s="1"/>
  <c r="F2036" i="57" a="1"/>
  <c r="F2036" i="57" s="1"/>
  <c r="G2294" i="57" a="1"/>
  <c r="G2294" i="57" s="1"/>
  <c r="F2294" i="57" a="1"/>
  <c r="F2294" i="57" s="1"/>
  <c r="G109" i="57" a="1"/>
  <c r="G109" i="57" s="1"/>
  <c r="F109" i="57" a="1"/>
  <c r="F109" i="57" s="1"/>
  <c r="G2417" i="57" a="1"/>
  <c r="G2417" i="57" s="1"/>
  <c r="F2417" i="57" a="1"/>
  <c r="F2417" i="57" s="1"/>
  <c r="G1596" i="57" a="1"/>
  <c r="G1596" i="57" s="1"/>
  <c r="F1596" i="57" a="1"/>
  <c r="F1596" i="57" s="1"/>
  <c r="G1854" i="57" a="1"/>
  <c r="G1854" i="57" s="1"/>
  <c r="F1854" i="57" a="1"/>
  <c r="F1854" i="57" s="1"/>
  <c r="G1621" i="57" a="1"/>
  <c r="G1621" i="57" s="1"/>
  <c r="F1621" i="57" a="1"/>
  <c r="F1621" i="57" s="1"/>
  <c r="G337" i="57" a="1"/>
  <c r="G337" i="57" s="1"/>
  <c r="F337" i="57" a="1"/>
  <c r="F337" i="57" s="1"/>
  <c r="G595" i="57" a="1"/>
  <c r="G595" i="57" s="1"/>
  <c r="F595" i="57" a="1"/>
  <c r="F595" i="57" s="1"/>
  <c r="G1370" i="57" a="1"/>
  <c r="G1370" i="57" s="1"/>
  <c r="F1370" i="57" a="1"/>
  <c r="F1370" i="57" s="1"/>
  <c r="G2124" i="57" a="1"/>
  <c r="G2124" i="57" s="1"/>
  <c r="F2124" i="57" a="1"/>
  <c r="F2124" i="57" s="1"/>
  <c r="G2382" i="57" a="1"/>
  <c r="G2382" i="57" s="1"/>
  <c r="F2382" i="57" a="1"/>
  <c r="F2382" i="57" s="1"/>
  <c r="G1873" i="57" a="1"/>
  <c r="G1873" i="57" s="1"/>
  <c r="F1873" i="57" a="1"/>
  <c r="F1873" i="57" s="1"/>
  <c r="G2131" i="57" a="1"/>
  <c r="G2131" i="57" s="1"/>
  <c r="F2131" i="57" a="1"/>
  <c r="F2131" i="57" s="1"/>
  <c r="G631" i="57" a="1"/>
  <c r="G631" i="57" s="1"/>
  <c r="F631" i="57" a="1"/>
  <c r="F631" i="57" s="1"/>
  <c r="G880" i="57" a="1"/>
  <c r="G880" i="57" s="1"/>
  <c r="F880" i="57" a="1"/>
  <c r="F880" i="57" s="1"/>
  <c r="G1543" i="57" a="1"/>
  <c r="G1543" i="57" s="1"/>
  <c r="F1543" i="57" a="1"/>
  <c r="F1543" i="57" s="1"/>
  <c r="G253" i="57" a="1"/>
  <c r="G253" i="57" s="1"/>
  <c r="F253" i="57" a="1"/>
  <c r="F253" i="57" s="1"/>
  <c r="G517" i="57" a="1"/>
  <c r="G517" i="57" s="1"/>
  <c r="F517" i="57" a="1"/>
  <c r="F517" i="57" s="1"/>
  <c r="G1136" i="57" a="1"/>
  <c r="G1136" i="57" s="1"/>
  <c r="F1136" i="57" a="1"/>
  <c r="F1136" i="57" s="1"/>
  <c r="G2046" i="57" a="1"/>
  <c r="G2046" i="57" s="1"/>
  <c r="F2046" i="57" a="1"/>
  <c r="F2046" i="57" s="1"/>
  <c r="G2304" i="57" a="1"/>
  <c r="G2304" i="57" s="1"/>
  <c r="F2304" i="57" a="1"/>
  <c r="F2304" i="57" s="1"/>
  <c r="G1789" i="57" a="1"/>
  <c r="G1789" i="57" s="1"/>
  <c r="F1789" i="57" a="1"/>
  <c r="F1789" i="57" s="1"/>
  <c r="G2053" i="57" a="1"/>
  <c r="G2053" i="57" s="1"/>
  <c r="F2053" i="57" a="1"/>
  <c r="F2053" i="57" s="1"/>
  <c r="G882" i="57" a="1"/>
  <c r="G882" i="57" s="1"/>
  <c r="F882" i="57" a="1"/>
  <c r="F882" i="57" s="1"/>
  <c r="G1303" i="57" a="1"/>
  <c r="G1303" i="57" s="1"/>
  <c r="F1303" i="57" a="1"/>
  <c r="F1303" i="57" s="1"/>
  <c r="G1920" i="57" a="1"/>
  <c r="G1920" i="57" s="1"/>
  <c r="F1920" i="57" a="1"/>
  <c r="F1920" i="57" s="1"/>
  <c r="G1687" i="57" a="1"/>
  <c r="G1687" i="57" s="1"/>
  <c r="F1687" i="57" a="1"/>
  <c r="F1687" i="57" s="1"/>
  <c r="G397" i="57" a="1"/>
  <c r="G397" i="57" s="1"/>
  <c r="F397" i="57" a="1"/>
  <c r="F397" i="57" s="1"/>
  <c r="G662" i="57" a="1"/>
  <c r="G662" i="57" s="1"/>
  <c r="F662" i="57" a="1"/>
  <c r="F662" i="57" s="1"/>
  <c r="G1245" i="57" a="1"/>
  <c r="G1245" i="57" s="1"/>
  <c r="F1245" i="57" a="1"/>
  <c r="F1245" i="57" s="1"/>
  <c r="G2190" i="57" a="1"/>
  <c r="G2190" i="57" s="1"/>
  <c r="F2190" i="57" a="1"/>
  <c r="F2190" i="57" s="1"/>
  <c r="G2448" i="57" a="1"/>
  <c r="G2448" i="57" s="1"/>
  <c r="F2448" i="57" a="1"/>
  <c r="F2448" i="57" s="1"/>
  <c r="G1933" i="57" a="1"/>
  <c r="G1933" i="57" s="1"/>
  <c r="F1933" i="57" a="1"/>
  <c r="F1933" i="57" s="1"/>
  <c r="G2209" i="57" a="1"/>
  <c r="G2209" i="57" s="1"/>
  <c r="F2209" i="57" a="1"/>
  <c r="F2209" i="57" s="1"/>
  <c r="G1003" i="57" a="1"/>
  <c r="G1003" i="57" s="1"/>
  <c r="F1003" i="57" a="1"/>
  <c r="F1003" i="57" s="1"/>
  <c r="G1800" i="57" a="1"/>
  <c r="G1800" i="57" s="1"/>
  <c r="F1800" i="57" a="1"/>
  <c r="F1800" i="57" s="1"/>
  <c r="G1567" i="57" a="1"/>
  <c r="G1567" i="57" s="1"/>
  <c r="F1567" i="57" a="1"/>
  <c r="F1567" i="57" s="1"/>
  <c r="G277" i="57" a="1"/>
  <c r="G277" i="57" s="1"/>
  <c r="F277" i="57" a="1"/>
  <c r="F277" i="57" s="1"/>
  <c r="G535" i="57" a="1"/>
  <c r="G535" i="57" s="1"/>
  <c r="F535" i="57" a="1"/>
  <c r="F535" i="57" s="1"/>
  <c r="G1190" i="57" a="1"/>
  <c r="G1190" i="57" s="1"/>
  <c r="F1190" i="57" a="1"/>
  <c r="F1190" i="57" s="1"/>
  <c r="G2070" i="57" a="1"/>
  <c r="G2070" i="57" s="1"/>
  <c r="F2070" i="57" a="1"/>
  <c r="F2070" i="57" s="1"/>
  <c r="G2328" i="57" a="1"/>
  <c r="G2328" i="57" s="1"/>
  <c r="F2328" i="57" a="1"/>
  <c r="F2328" i="57" s="1"/>
  <c r="G1813" i="57" a="1"/>
  <c r="G1813" i="57" s="1"/>
  <c r="F1813" i="57" a="1"/>
  <c r="F1813" i="57" s="1"/>
  <c r="G2071" i="57" a="1"/>
  <c r="G2071" i="57" s="1"/>
  <c r="F2071" i="57" a="1"/>
  <c r="F2071" i="57" s="1"/>
  <c r="G1086" i="57" a="1"/>
  <c r="G1086" i="57" s="1"/>
  <c r="F1086" i="57" a="1"/>
  <c r="F1086" i="57" s="1"/>
  <c r="G1363" i="57" a="1"/>
  <c r="G1363" i="57" s="1"/>
  <c r="F1363" i="57" a="1"/>
  <c r="F1363" i="57" s="1"/>
  <c r="G2462" i="57" a="1"/>
  <c r="G2462" i="57" s="1"/>
  <c r="F2462" i="57" a="1"/>
  <c r="F2462" i="57" s="1"/>
  <c r="G2464" i="57" a="1"/>
  <c r="G2464" i="57" s="1"/>
  <c r="F2464" i="57" a="1"/>
  <c r="F2464" i="57" s="1"/>
  <c r="G1500" i="57" a="1"/>
  <c r="G1500" i="57" s="1"/>
  <c r="F1500" i="57" a="1"/>
  <c r="F1500" i="57" s="1"/>
  <c r="G1764" i="57" a="1"/>
  <c r="G1764" i="57" s="1"/>
  <c r="F1764" i="57" a="1"/>
  <c r="F1764" i="57" s="1"/>
  <c r="G1531" i="57" a="1"/>
  <c r="G1531" i="57" s="1"/>
  <c r="F1531" i="57" a="1"/>
  <c r="F1531" i="57" s="1"/>
  <c r="G241" i="57" a="1"/>
  <c r="G241" i="57" s="1"/>
  <c r="F241" i="57" a="1"/>
  <c r="F241" i="57" s="1"/>
  <c r="G499" i="57" a="1"/>
  <c r="G499" i="57" s="1"/>
  <c r="F499" i="57" a="1"/>
  <c r="F499" i="57" s="1"/>
  <c r="G1082" i="57" a="1"/>
  <c r="G1082" i="57" s="1"/>
  <c r="F1082" i="57" a="1"/>
  <c r="F1082" i="57" s="1"/>
  <c r="G2034" i="57" a="1"/>
  <c r="G2034" i="57" s="1"/>
  <c r="F2034" i="57" a="1"/>
  <c r="F2034" i="57" s="1"/>
  <c r="G2292" i="57" a="1"/>
  <c r="G2292" i="57" s="1"/>
  <c r="F2292" i="57" a="1"/>
  <c r="F2292" i="57" s="1"/>
  <c r="G1777" i="57" a="1"/>
  <c r="G1777" i="57" s="1"/>
  <c r="F1777" i="57" a="1"/>
  <c r="F1777" i="57" s="1"/>
  <c r="G2035" i="57" a="1"/>
  <c r="G2035" i="57" s="1"/>
  <c r="F2035" i="57" a="1"/>
  <c r="F2035" i="57" s="1"/>
  <c r="G810" i="57" a="1"/>
  <c r="G810" i="57" s="1"/>
  <c r="F810" i="57" a="1"/>
  <c r="F810" i="57" s="1"/>
  <c r="G1273" i="57" a="1"/>
  <c r="G1273" i="57" s="1"/>
  <c r="F1273" i="57" a="1"/>
  <c r="F1273" i="57" s="1"/>
  <c r="G1972" i="57" a="1"/>
  <c r="G1972" i="57" s="1"/>
  <c r="F1972" i="57" a="1"/>
  <c r="F1972" i="57" s="1"/>
  <c r="G2188" i="57" a="1"/>
  <c r="G2188" i="57" s="1"/>
  <c r="F2188" i="57" a="1"/>
  <c r="F2188" i="57" s="1"/>
  <c r="G2404" i="57" a="1"/>
  <c r="G2404" i="57" s="1"/>
  <c r="F2404" i="57" a="1"/>
  <c r="F2404" i="57" s="1"/>
  <c r="G2147" i="57" a="1"/>
  <c r="G2147" i="57" s="1"/>
  <c r="F2147" i="57" a="1"/>
  <c r="F2147" i="57" s="1"/>
  <c r="G2363" i="57" a="1"/>
  <c r="G2363" i="57" s="1"/>
  <c r="F2363" i="57" a="1"/>
  <c r="F2363" i="57" s="1"/>
  <c r="G2120" i="57" a="1"/>
  <c r="G2120" i="57" s="1"/>
  <c r="F2120" i="57" a="1"/>
  <c r="F2120" i="57" s="1"/>
  <c r="G2336" i="57" a="1"/>
  <c r="G2336" i="57" s="1"/>
  <c r="F2336" i="57" a="1"/>
  <c r="F2336" i="57" s="1"/>
  <c r="G103" i="57" a="1"/>
  <c r="G103" i="57" s="1"/>
  <c r="F103" i="57" a="1"/>
  <c r="F103" i="57" s="1"/>
  <c r="G128" i="57" a="1"/>
  <c r="G128" i="57" s="1"/>
  <c r="F128" i="57" a="1"/>
  <c r="F128" i="57" s="1"/>
  <c r="G1506" i="57" a="1"/>
  <c r="G1506" i="57" s="1"/>
  <c r="F1506" i="57" a="1"/>
  <c r="F1506" i="57" s="1"/>
  <c r="G1722" i="57" a="1"/>
  <c r="G1722" i="57" s="1"/>
  <c r="F1722" i="57" a="1"/>
  <c r="F1722" i="57" s="1"/>
  <c r="G1938" i="57" a="1"/>
  <c r="G1938" i="57" s="1"/>
  <c r="F1938" i="57" a="1"/>
  <c r="F1938" i="57" s="1"/>
  <c r="G1663" i="57" a="1"/>
  <c r="G1663" i="57" s="1"/>
  <c r="F1663" i="57" a="1"/>
  <c r="F1663" i="57" s="1"/>
  <c r="G331" i="57" a="1"/>
  <c r="G331" i="57" s="1"/>
  <c r="F331" i="57" a="1"/>
  <c r="F331" i="57" s="1"/>
  <c r="G547" i="57" a="1"/>
  <c r="G547" i="57" s="1"/>
  <c r="F547" i="57" a="1"/>
  <c r="F547" i="57" s="1"/>
  <c r="G1100" i="57" a="1"/>
  <c r="G1100" i="57" s="1"/>
  <c r="F1100" i="57" a="1"/>
  <c r="F1100" i="57" s="1"/>
  <c r="G1992" i="57" a="1"/>
  <c r="G1992" i="57" s="1"/>
  <c r="F1992" i="57" a="1"/>
  <c r="F1992" i="57" s="1"/>
  <c r="G2208" i="57" a="1"/>
  <c r="G2208" i="57" s="1"/>
  <c r="F2208" i="57" a="1"/>
  <c r="F2208" i="57" s="1"/>
  <c r="G2424" i="57" a="1"/>
  <c r="G2424" i="57" s="1"/>
  <c r="F2424" i="57" a="1"/>
  <c r="F2424" i="57" s="1"/>
  <c r="G1867" i="57" a="1"/>
  <c r="G1867" i="57" s="1"/>
  <c r="F1867" i="57" a="1"/>
  <c r="F1867" i="57" s="1"/>
  <c r="G2083" i="57" a="1"/>
  <c r="G2083" i="57" s="1"/>
  <c r="F2083" i="57" a="1"/>
  <c r="F2083" i="57" s="1"/>
  <c r="G714" i="57" a="1"/>
  <c r="G714" i="57" s="1"/>
  <c r="F714" i="57" a="1"/>
  <c r="F714" i="57" s="1"/>
  <c r="G949" i="57" a="1"/>
  <c r="G949" i="57" s="1"/>
  <c r="F949" i="57" a="1"/>
  <c r="F949" i="57" s="1"/>
  <c r="G1417" i="57" a="1"/>
  <c r="G1417" i="57" s="1"/>
  <c r="F1417" i="57" a="1"/>
  <c r="F1417" i="57" s="1"/>
  <c r="G100" i="57" a="1"/>
  <c r="G100" i="57" s="1"/>
  <c r="F100" i="57" a="1"/>
  <c r="F100" i="57" s="1"/>
  <c r="G2365" i="57" a="1"/>
  <c r="G2365" i="57" s="1"/>
  <c r="F2365" i="57" a="1"/>
  <c r="F2365" i="57" s="1"/>
  <c r="G727" i="57" a="1"/>
  <c r="G727" i="57" s="1"/>
  <c r="F727" i="57" a="1"/>
  <c r="F727" i="57" s="1"/>
  <c r="G1033" i="57" a="1"/>
  <c r="G1033" i="57" s="1"/>
  <c r="F1033" i="57" a="1"/>
  <c r="F1033" i="57" s="1"/>
  <c r="G40" i="57" a="1"/>
  <c r="G40" i="57" s="1"/>
  <c r="F40" i="57" a="1"/>
  <c r="F40" i="57" s="1"/>
  <c r="G628" i="57" a="1"/>
  <c r="G628" i="57" s="1"/>
  <c r="F628" i="57" a="1"/>
  <c r="F628" i="57" s="1"/>
  <c r="G2407" i="57" a="1"/>
  <c r="G2407" i="57" s="1"/>
  <c r="F2407" i="57" a="1"/>
  <c r="F2407" i="57" s="1"/>
  <c r="G769" i="57" a="1"/>
  <c r="G769" i="57" s="1"/>
  <c r="F769" i="57" a="1"/>
  <c r="F769" i="57" s="1"/>
  <c r="G1117" i="57" a="1"/>
  <c r="G1117" i="57" s="1"/>
  <c r="F1117" i="57" a="1"/>
  <c r="F1117" i="57" s="1"/>
  <c r="G2341" i="57" a="1"/>
  <c r="G2341" i="57" s="1"/>
  <c r="F2341" i="57" a="1"/>
  <c r="F2341" i="57" s="1"/>
  <c r="G703" i="57" a="1"/>
  <c r="G703" i="57" s="1"/>
  <c r="F703" i="57" a="1"/>
  <c r="F703" i="57" s="1"/>
  <c r="G991" i="57" a="1"/>
  <c r="G991" i="57" s="1"/>
  <c r="F991" i="57" a="1"/>
  <c r="F991" i="57" s="1"/>
  <c r="G1399" i="57" a="1"/>
  <c r="G1399" i="57" s="1"/>
  <c r="F1399" i="57" a="1"/>
  <c r="F1399" i="57" s="1"/>
  <c r="G64" i="57" a="1"/>
  <c r="G64" i="57" s="1"/>
  <c r="F64" i="57" a="1"/>
  <c r="F64" i="57" s="1"/>
  <c r="G2347" i="57" a="1"/>
  <c r="G2347" i="57" s="1"/>
  <c r="F2347" i="57" a="1"/>
  <c r="F2347" i="57" s="1"/>
  <c r="G709" i="57" a="1"/>
  <c r="G709" i="57" s="1"/>
  <c r="F709" i="57" a="1"/>
  <c r="F709" i="57" s="1"/>
  <c r="G997" i="57" a="1"/>
  <c r="G997" i="57" s="1"/>
  <c r="F997" i="57" a="1"/>
  <c r="F997" i="57" s="1"/>
  <c r="G1411" i="57" a="1"/>
  <c r="G1411" i="57" s="1"/>
  <c r="F1411" i="57" a="1"/>
  <c r="F1411" i="57" s="1"/>
  <c r="G76" i="57" a="1"/>
  <c r="G76" i="57" s="1"/>
  <c r="F76" i="57" a="1"/>
  <c r="F76" i="57" s="1"/>
  <c r="G2353" i="57" a="1"/>
  <c r="G2353" i="57" s="1"/>
  <c r="F2353" i="57" a="1"/>
  <c r="F2353" i="57" s="1"/>
  <c r="G715" i="57" a="1"/>
  <c r="G715" i="57" s="1"/>
  <c r="F715" i="57" a="1"/>
  <c r="F715" i="57" s="1"/>
  <c r="G1009" i="57" a="1"/>
  <c r="G1009" i="57" s="1"/>
  <c r="F1009" i="57" a="1"/>
  <c r="F1009" i="57" s="1"/>
  <c r="G1423" i="57" a="1"/>
  <c r="G1423" i="57" s="1"/>
  <c r="F1423" i="57" a="1"/>
  <c r="F1423" i="57" s="1"/>
  <c r="G786" i="57" a="1"/>
  <c r="G786" i="57" s="1"/>
  <c r="F786" i="57" a="1"/>
  <c r="F786" i="57" s="1"/>
  <c r="G1027" i="57" a="1"/>
  <c r="G1027" i="57" s="1"/>
  <c r="F1027" i="57" a="1"/>
  <c r="F1027" i="57" s="1"/>
  <c r="G1312" i="57" a="1"/>
  <c r="G1312" i="57" s="1"/>
  <c r="F1312" i="57" a="1"/>
  <c r="F1312" i="57" s="1"/>
  <c r="G514" i="57" a="1"/>
  <c r="G514" i="57" s="1"/>
  <c r="F514" i="57" a="1"/>
  <c r="F514" i="57" s="1"/>
  <c r="G2395" i="57" a="1"/>
  <c r="G2395" i="57" s="1"/>
  <c r="F2395" i="57" a="1"/>
  <c r="F2395" i="57" s="1"/>
  <c r="G757" i="57" a="1"/>
  <c r="G757" i="57" s="1"/>
  <c r="F757" i="57" a="1"/>
  <c r="F757" i="57" s="1"/>
  <c r="G1093" i="57" a="1"/>
  <c r="G1093" i="57" s="1"/>
  <c r="F1093" i="57" a="1"/>
  <c r="F1093" i="57" s="1"/>
  <c r="D545" i="57"/>
  <c r="D313" i="57"/>
  <c r="D348" i="57"/>
  <c r="D2393" i="57"/>
  <c r="D736" i="57"/>
  <c r="D221" i="57"/>
  <c r="D1118" i="57"/>
  <c r="D216" i="57"/>
  <c r="D637" i="57"/>
  <c r="D138" i="57"/>
  <c r="D614" i="57"/>
  <c r="D574" i="57"/>
  <c r="E16" i="57"/>
  <c r="D501" i="57"/>
  <c r="D110" i="57"/>
  <c r="D11" i="57"/>
  <c r="G11" i="57" s="1" a="1"/>
  <c r="G11" i="57" s="1"/>
  <c r="D508" i="57"/>
  <c r="D731" i="57"/>
  <c r="D106" i="57"/>
  <c r="D578" i="57"/>
  <c r="D240" i="57"/>
  <c r="D994" i="57"/>
  <c r="D1013" i="57"/>
  <c r="D1113" i="57"/>
  <c r="D1352" i="57"/>
  <c r="D602" i="57"/>
  <c r="D780" i="57"/>
  <c r="D650" i="57"/>
  <c r="D168" i="57"/>
  <c r="D234" i="57"/>
  <c r="D1233" i="57"/>
  <c r="D74" i="57"/>
  <c r="D308" i="57"/>
  <c r="D609" i="57"/>
  <c r="D799" i="57"/>
  <c r="D1035" i="57"/>
  <c r="D1163" i="57"/>
  <c r="D119" i="57"/>
  <c r="D284" i="57"/>
  <c r="D131" i="57"/>
  <c r="D638" i="57"/>
  <c r="D1226" i="57"/>
  <c r="D798" i="57"/>
  <c r="D664" i="57"/>
  <c r="D978" i="57"/>
  <c r="D556" i="57"/>
  <c r="D319" i="57"/>
  <c r="D811" i="57"/>
  <c r="D745" i="57"/>
  <c r="D537" i="57"/>
  <c r="D42" i="57"/>
  <c r="D744" i="57"/>
  <c r="D316" i="57"/>
  <c r="D573" i="57"/>
  <c r="D406" i="57"/>
  <c r="D332" i="57"/>
  <c r="D512" i="57"/>
  <c r="D274" i="57"/>
  <c r="D166" i="57"/>
  <c r="D1026" i="57"/>
  <c r="D842" i="57"/>
  <c r="D464" i="57"/>
  <c r="D120" i="57"/>
  <c r="D485" i="57"/>
  <c r="D1050" i="57"/>
  <c r="D399" i="57"/>
  <c r="D708" i="57"/>
  <c r="D290" i="57"/>
  <c r="D459" i="57"/>
  <c r="D44" i="57"/>
  <c r="D99" i="57"/>
  <c r="D112" i="57"/>
  <c r="D1014" i="57"/>
  <c r="D429" i="57"/>
  <c r="D1204" i="57"/>
  <c r="D1114" i="57"/>
  <c r="D950" i="57"/>
  <c r="D323" i="57"/>
  <c r="D984" i="57"/>
  <c r="D114" i="57"/>
  <c r="D1149" i="57"/>
  <c r="D1140" i="57"/>
  <c r="D1242" i="57"/>
  <c r="D1103" i="57"/>
  <c r="D157" i="57"/>
  <c r="D137" i="57"/>
  <c r="D1254" i="57"/>
  <c r="D674" i="57"/>
  <c r="D269" i="57"/>
  <c r="D294" i="57"/>
  <c r="D542" i="57"/>
  <c r="D442" i="57"/>
  <c r="D827" i="57"/>
  <c r="D196" i="57"/>
  <c r="D347" i="57"/>
  <c r="D2387" i="57"/>
  <c r="E2387" i="57"/>
  <c r="D85" i="57"/>
  <c r="D605" i="57"/>
  <c r="D610" i="57"/>
  <c r="D892" i="57"/>
  <c r="D220" i="57"/>
  <c r="D592" i="57"/>
  <c r="D857" i="57"/>
  <c r="D411" i="57"/>
  <c r="D544" i="57"/>
  <c r="D945" i="57"/>
  <c r="D823" i="57"/>
  <c r="D331" i="57"/>
  <c r="D482" i="57"/>
  <c r="D230" i="57"/>
  <c r="D296" i="57"/>
  <c r="D133" i="57"/>
  <c r="D252" i="57"/>
  <c r="D82" i="57"/>
  <c r="D502" i="57"/>
  <c r="D838" i="57"/>
  <c r="D462" i="57"/>
  <c r="D76" i="57"/>
  <c r="D834" i="57"/>
  <c r="D991" i="57"/>
  <c r="D310" i="57"/>
  <c r="D520" i="57"/>
  <c r="D948" i="57"/>
  <c r="D727" i="57"/>
  <c r="D100" i="57"/>
  <c r="D611" i="57"/>
  <c r="D479" i="57"/>
  <c r="D297" i="57"/>
  <c r="D496" i="57"/>
  <c r="D818" i="57"/>
  <c r="D1345" i="57"/>
  <c r="D622" i="57"/>
  <c r="D679" i="57"/>
  <c r="D1337" i="57"/>
  <c r="D397" i="57"/>
  <c r="D566" i="57"/>
  <c r="D722" i="57"/>
  <c r="D1228" i="57"/>
  <c r="D785" i="57"/>
  <c r="D1060" i="57"/>
  <c r="D875" i="57"/>
  <c r="D413" i="57"/>
  <c r="D581" i="57"/>
  <c r="D873" i="57"/>
  <c r="D1024" i="57"/>
  <c r="D1326" i="57"/>
  <c r="D530" i="57"/>
  <c r="D639" i="57"/>
  <c r="D686" i="57"/>
  <c r="D174" i="57"/>
  <c r="D743" i="57"/>
  <c r="D1346" i="57"/>
  <c r="D809" i="57"/>
  <c r="D1403" i="57"/>
  <c r="D2477" i="57"/>
  <c r="D507" i="57"/>
  <c r="D91" i="57"/>
  <c r="D387" i="57"/>
  <c r="D615" i="57"/>
  <c r="D564" i="57"/>
  <c r="D606" i="57"/>
  <c r="D583" i="57"/>
  <c r="D244" i="57"/>
  <c r="D1391" i="57"/>
  <c r="D1090" i="57"/>
  <c r="D1291" i="57"/>
  <c r="D1067" i="57"/>
  <c r="D434" i="57"/>
  <c r="D165" i="57"/>
  <c r="D452" i="57"/>
  <c r="D1286" i="57"/>
  <c r="D41" i="57"/>
  <c r="D1152" i="57"/>
  <c r="D43" i="57"/>
  <c r="D470" i="57"/>
  <c r="D201" i="57"/>
  <c r="D488" i="57"/>
  <c r="D57" i="57"/>
  <c r="D151" i="57"/>
  <c r="D93" i="57"/>
  <c r="D380" i="57"/>
  <c r="D116" i="57"/>
  <c r="D463" i="57"/>
  <c r="D129" i="57"/>
  <c r="D481" i="57"/>
  <c r="D506" i="57"/>
  <c r="D398" i="57"/>
  <c r="D416" i="57"/>
  <c r="D1310" i="57"/>
  <c r="D12" i="57"/>
  <c r="G12" i="57" s="1" a="1"/>
  <c r="G12" i="57" s="1"/>
  <c r="D84" i="57"/>
  <c r="D690" i="57"/>
  <c r="D966" i="57"/>
  <c r="D652" i="57"/>
  <c r="D805" i="57"/>
  <c r="D1131" i="57"/>
  <c r="D843" i="57"/>
  <c r="D1381" i="57"/>
  <c r="D1399" i="57"/>
  <c r="D1388" i="57"/>
  <c r="D1409" i="57"/>
  <c r="D55" i="57"/>
  <c r="D80" i="57"/>
  <c r="D181" i="57"/>
  <c r="D754" i="57"/>
  <c r="D718" i="57"/>
  <c r="D672" i="57"/>
  <c r="D302" i="57"/>
  <c r="D136" i="57"/>
  <c r="D208" i="57"/>
  <c r="D995" i="57"/>
  <c r="D1369" i="57"/>
  <c r="D825" i="57"/>
  <c r="D337" i="57"/>
  <c r="D56" i="57"/>
  <c r="D521" i="57"/>
  <c r="D189" i="57"/>
  <c r="D700" i="57"/>
  <c r="D248" i="57"/>
  <c r="D669" i="57"/>
  <c r="D492" i="57"/>
  <c r="D832" i="57"/>
  <c r="D448" i="57"/>
  <c r="D1018" i="57"/>
  <c r="D293" i="57"/>
  <c r="D988" i="57"/>
  <c r="D739" i="57"/>
  <c r="D437" i="57"/>
  <c r="D886" i="57"/>
  <c r="D958" i="57"/>
  <c r="D375" i="57"/>
  <c r="D1223" i="57"/>
  <c r="D1308" i="57"/>
  <c r="D821" i="57"/>
  <c r="D1037" i="57"/>
  <c r="D709" i="57"/>
  <c r="D1280" i="57"/>
  <c r="D1128" i="57"/>
  <c r="D1327" i="57"/>
  <c r="D22" i="57"/>
  <c r="G22" i="57" s="1" a="1"/>
  <c r="G22" i="57" s="1"/>
  <c r="D389" i="57"/>
  <c r="D159" i="57"/>
  <c r="D599" i="57"/>
  <c r="D101" i="57"/>
  <c r="D555" i="57"/>
  <c r="D964" i="57"/>
  <c r="D898" i="57"/>
  <c r="D868" i="57"/>
  <c r="D540" i="57"/>
  <c r="D238" i="57"/>
  <c r="D249" i="57"/>
  <c r="D738" i="57"/>
  <c r="D649" i="57"/>
  <c r="D517" i="57"/>
  <c r="D1028" i="57"/>
  <c r="D828" i="57"/>
  <c r="D769" i="57"/>
  <c r="D730" i="57"/>
  <c r="D889" i="57"/>
  <c r="D741" i="57"/>
  <c r="D759" i="57"/>
  <c r="D678" i="57"/>
  <c r="D339" i="57"/>
  <c r="D391" i="57"/>
  <c r="D89" i="57"/>
  <c r="D385" i="57"/>
  <c r="D212" i="57"/>
  <c r="D77" i="57"/>
  <c r="D219" i="57"/>
  <c r="D163" i="57"/>
  <c r="D317" i="57"/>
  <c r="D169" i="57"/>
  <c r="D668" i="57"/>
  <c r="D305" i="57"/>
  <c r="D591" i="57"/>
  <c r="D572" i="57"/>
  <c r="D278" i="57"/>
  <c r="D232" i="57"/>
  <c r="D441" i="57"/>
  <c r="D728" i="57"/>
  <c r="D342" i="57"/>
  <c r="D850" i="57"/>
  <c r="D990" i="57"/>
  <c r="D108" i="57"/>
  <c r="D1009" i="57"/>
  <c r="D750" i="57"/>
  <c r="D667" i="57"/>
  <c r="D864" i="57"/>
  <c r="D1021" i="57"/>
  <c r="D768" i="57"/>
  <c r="D897" i="57"/>
  <c r="D526" i="57"/>
  <c r="D1033" i="57"/>
  <c r="D1283" i="57"/>
  <c r="D1193" i="57"/>
  <c r="D445" i="57"/>
  <c r="D164" i="57"/>
  <c r="D453" i="57"/>
  <c r="D359" i="57"/>
  <c r="D561" i="57"/>
  <c r="D970" i="57"/>
  <c r="D330" i="57"/>
  <c r="D629" i="57"/>
  <c r="D96" i="57"/>
  <c r="D880" i="57"/>
  <c r="D585" i="57"/>
  <c r="D365" i="57"/>
  <c r="D280" i="57"/>
  <c r="D1002" i="57"/>
  <c r="D658" i="57"/>
  <c r="D900" i="57"/>
  <c r="D841" i="57"/>
  <c r="D814" i="57"/>
  <c r="D226" i="57"/>
  <c r="D788" i="57"/>
  <c r="D1004" i="57"/>
  <c r="D837" i="57"/>
  <c r="D909" i="57"/>
  <c r="D1055" i="57"/>
  <c r="D915" i="57"/>
  <c r="D187" i="57"/>
  <c r="D171" i="57"/>
  <c r="D134" i="57"/>
  <c r="D203" i="57"/>
  <c r="D494" i="57"/>
  <c r="D726" i="57"/>
  <c r="D178" i="57"/>
  <c r="D246" i="57"/>
  <c r="D191" i="57"/>
  <c r="D630" i="57"/>
  <c r="D1160" i="57"/>
  <c r="D694" i="57"/>
  <c r="D924" i="57"/>
  <c r="D504" i="57"/>
  <c r="D763" i="57"/>
  <c r="D535" i="57"/>
  <c r="D1034" i="57"/>
  <c r="D1185" i="57"/>
  <c r="D923" i="57"/>
  <c r="D1109" i="57"/>
  <c r="D819" i="57"/>
  <c r="D1025" i="57"/>
  <c r="D977" i="57"/>
  <c r="D879" i="57"/>
  <c r="D1336" i="57"/>
  <c r="D1192" i="57"/>
  <c r="D1126" i="57"/>
  <c r="D346" i="57"/>
  <c r="D424" i="57"/>
  <c r="D815" i="57"/>
  <c r="D911" i="57"/>
  <c r="D1080" i="57"/>
  <c r="D1293" i="57"/>
  <c r="D1097" i="57"/>
  <c r="D1378" i="57"/>
  <c r="D1423" i="57"/>
  <c r="D1277" i="57"/>
  <c r="D1019" i="57"/>
  <c r="D1427" i="57"/>
  <c r="D1031" i="57"/>
  <c r="D773" i="57"/>
  <c r="D1340" i="57"/>
  <c r="D1438" i="57"/>
  <c r="D1202" i="57"/>
  <c r="D1082" i="57"/>
  <c r="D653" i="57"/>
  <c r="D1072" i="57"/>
  <c r="D926" i="57"/>
  <c r="D869" i="57"/>
  <c r="D1102" i="57"/>
  <c r="D2435" i="57"/>
  <c r="D1445" i="57"/>
  <c r="D1008" i="57"/>
  <c r="D1252" i="57"/>
  <c r="D259" i="57"/>
  <c r="D272" i="57"/>
  <c r="D104" i="57"/>
  <c r="D54" i="57"/>
  <c r="D735" i="57"/>
  <c r="D928" i="57"/>
  <c r="D862" i="57"/>
  <c r="D95" i="57"/>
  <c r="D582" i="57"/>
  <c r="D859" i="57"/>
  <c r="D996" i="57"/>
  <c r="D753" i="57"/>
  <c r="D237" i="57"/>
  <c r="D18" i="57"/>
  <c r="G18" i="57" s="1" a="1"/>
  <c r="G18" i="57" s="1"/>
  <c r="D211" i="57"/>
  <c r="D146" i="57"/>
  <c r="D229" i="57"/>
  <c r="D197" i="57"/>
  <c r="D185" i="57"/>
  <c r="D14" i="57"/>
  <c r="G14" i="57" s="1" a="1"/>
  <c r="G14" i="57" s="1"/>
  <c r="D338" i="57"/>
  <c r="D299" i="57"/>
  <c r="D35" i="57"/>
  <c r="D37" i="57"/>
  <c r="D325" i="57"/>
  <c r="D206" i="57"/>
  <c r="D31" i="57"/>
  <c r="D247" i="57"/>
  <c r="D265" i="57"/>
  <c r="D224" i="57"/>
  <c r="D366" i="57"/>
  <c r="D1042" i="57"/>
  <c r="D19" i="57"/>
  <c r="G19" i="57" s="1" a="1"/>
  <c r="G19" i="57" s="1"/>
  <c r="D70" i="57"/>
  <c r="D588" i="57"/>
  <c r="D579" i="57"/>
  <c r="D118" i="57"/>
  <c r="D63" i="57"/>
  <c r="D675" i="57"/>
  <c r="D324" i="57"/>
  <c r="D532" i="57"/>
  <c r="D607" i="57"/>
  <c r="D702" i="57"/>
  <c r="D334" i="57"/>
  <c r="D878" i="57"/>
  <c r="D487" i="57"/>
  <c r="D912" i="57"/>
  <c r="D386" i="57"/>
  <c r="D286" i="57"/>
  <c r="D717" i="57"/>
  <c r="D666" i="57"/>
  <c r="D906" i="57"/>
  <c r="D888" i="57"/>
  <c r="D546" i="57"/>
  <c r="D697" i="57"/>
  <c r="D111" i="57"/>
  <c r="D51" i="57"/>
  <c r="D273" i="57"/>
  <c r="D81" i="57"/>
  <c r="D69" i="57"/>
  <c r="D505" i="57"/>
  <c r="D327" i="57"/>
  <c r="D597" i="57"/>
  <c r="D340" i="57"/>
  <c r="D723" i="57"/>
  <c r="D1003" i="57"/>
  <c r="D877" i="57"/>
  <c r="D1241" i="57"/>
  <c r="D1144" i="57"/>
  <c r="D1361" i="57"/>
  <c r="D350" i="57"/>
  <c r="D368" i="57"/>
  <c r="D395" i="57"/>
  <c r="D884" i="57"/>
  <c r="D695" i="57"/>
  <c r="D661" i="57"/>
  <c r="D1093" i="57"/>
  <c r="D1145" i="57"/>
  <c r="D1296" i="57"/>
  <c r="D866" i="57"/>
  <c r="D1275" i="57"/>
  <c r="D383" i="57"/>
  <c r="D1392" i="57"/>
  <c r="D1404" i="57"/>
  <c r="D1038" i="57"/>
  <c r="D1333" i="57"/>
  <c r="D1218" i="57"/>
  <c r="D1406" i="57"/>
  <c r="D794" i="57"/>
  <c r="D1329" i="57"/>
  <c r="D1407" i="57"/>
  <c r="D1367" i="57"/>
  <c r="D714" i="57"/>
  <c r="D776" i="57"/>
  <c r="D803" i="57"/>
  <c r="D1056" i="57"/>
  <c r="D1157" i="57"/>
  <c r="D856" i="57"/>
  <c r="D976" i="57"/>
  <c r="D410" i="57"/>
  <c r="D466" i="57"/>
  <c r="D328" i="57"/>
  <c r="D840" i="57"/>
  <c r="D921" i="57"/>
  <c r="D903" i="57"/>
  <c r="D1049" i="57"/>
  <c r="D223" i="57"/>
  <c r="D97" i="57"/>
  <c r="D86" i="57"/>
  <c r="D130" i="57"/>
  <c r="D143" i="57"/>
  <c r="D83" i="57"/>
  <c r="D209" i="57"/>
  <c r="D162" i="57"/>
  <c r="D102" i="57"/>
  <c r="D1015" i="57"/>
  <c r="D311" i="57"/>
  <c r="D917" i="57"/>
  <c r="D1244" i="57"/>
  <c r="D902" i="57"/>
  <c r="D1358" i="57"/>
  <c r="D1174" i="57"/>
  <c r="D1379" i="57"/>
  <c r="D1200" i="57"/>
  <c r="D1400" i="57"/>
  <c r="D516" i="57"/>
  <c r="D1319" i="57"/>
  <c r="D1262" i="57"/>
  <c r="D374" i="57"/>
  <c r="D560" i="57"/>
  <c r="D680" i="57"/>
  <c r="D279" i="57"/>
  <c r="D518" i="57"/>
  <c r="D620" i="57"/>
  <c r="D124" i="57"/>
  <c r="D688" i="57"/>
  <c r="D670" i="57"/>
  <c r="D351" i="57"/>
  <c r="D747" i="57"/>
  <c r="D1394" i="57"/>
  <c r="D1066" i="57"/>
  <c r="D447" i="57"/>
  <c r="D1265" i="57"/>
  <c r="D1390" i="57"/>
  <c r="D1129" i="57"/>
  <c r="D1000" i="57"/>
  <c r="D1016" i="57"/>
  <c r="D1302" i="57"/>
  <c r="D1007" i="57"/>
  <c r="D1092" i="57"/>
  <c r="D1266" i="57"/>
  <c r="D914" i="57"/>
  <c r="D440" i="57"/>
  <c r="D845" i="57"/>
  <c r="D1287" i="57"/>
  <c r="D1443" i="57"/>
  <c r="D1005" i="57"/>
  <c r="D801" i="57"/>
  <c r="D1405" i="57"/>
  <c r="D367" i="57"/>
  <c r="D1429" i="57"/>
  <c r="D1142" i="57"/>
  <c r="D1064" i="57"/>
  <c r="D1282" i="57"/>
  <c r="D755" i="57"/>
  <c r="D1260" i="57"/>
  <c r="D1249" i="57"/>
  <c r="D419" i="57"/>
  <c r="D1119" i="57"/>
  <c r="D1048" i="57"/>
  <c r="D1373" i="57"/>
  <c r="D1116" i="57"/>
  <c r="D983" i="57"/>
  <c r="D190" i="57"/>
  <c r="D770" i="57"/>
  <c r="D855" i="57"/>
  <c r="D1301" i="57"/>
  <c r="D1397" i="57"/>
  <c r="D934" i="57"/>
  <c r="D432" i="57"/>
  <c r="D604" i="57"/>
  <c r="D774" i="57"/>
  <c r="D568" i="57"/>
  <c r="D454" i="57"/>
  <c r="D806" i="57"/>
  <c r="D613" i="57"/>
  <c r="D476" i="57"/>
  <c r="D531" i="57"/>
  <c r="D184" i="57"/>
  <c r="D687" i="57"/>
  <c r="D624" i="57"/>
  <c r="D186" i="57"/>
  <c r="D810" i="57"/>
  <c r="D640" i="57"/>
  <c r="D752" i="57"/>
  <c r="D1263" i="57"/>
  <c r="D715" i="57"/>
  <c r="D1342" i="57"/>
  <c r="D1338" i="57"/>
  <c r="D1098" i="57"/>
  <c r="D1305" i="57"/>
  <c r="D1205" i="57"/>
  <c r="D1417" i="57"/>
  <c r="D1435" i="57"/>
  <c r="D1297" i="57"/>
  <c r="D1237" i="57"/>
  <c r="D1164" i="57"/>
  <c r="D1343" i="57"/>
  <c r="D458" i="57"/>
  <c r="D989" i="57"/>
  <c r="D1162" i="57"/>
  <c r="D1074" i="57"/>
  <c r="D1070" i="57"/>
  <c r="D250" i="57"/>
  <c r="D625" i="57"/>
  <c r="D1258" i="57"/>
  <c r="D1071" i="57"/>
  <c r="D1117" i="57"/>
  <c r="D1159" i="57"/>
  <c r="D1201" i="57"/>
  <c r="D1172" i="57"/>
  <c r="D1132" i="57"/>
  <c r="D1375" i="57"/>
  <c r="D761" i="57"/>
  <c r="D420" i="57"/>
  <c r="D587" i="57"/>
  <c r="D1408" i="57"/>
  <c r="D1158" i="57"/>
  <c r="D1430" i="57"/>
  <c r="D1235" i="57"/>
  <c r="D1178" i="57"/>
  <c r="D1151" i="57"/>
  <c r="D1234" i="57"/>
  <c r="D1171" i="57"/>
  <c r="D1383" i="57"/>
  <c r="D1357" i="57"/>
  <c r="D1444" i="57"/>
  <c r="D1088" i="57"/>
  <c r="D1111" i="57"/>
  <c r="D1125" i="57"/>
  <c r="D533" i="57"/>
  <c r="D1044" i="57"/>
  <c r="D1122" i="57"/>
  <c r="D1065" i="57"/>
  <c r="D1316" i="57"/>
  <c r="D1389" i="57"/>
  <c r="D1355" i="57"/>
  <c r="D562" i="57"/>
  <c r="D571" i="57"/>
  <c r="D393" i="57"/>
  <c r="D777" i="57"/>
  <c r="D352" i="57"/>
  <c r="D1328" i="57"/>
  <c r="D1259" i="57"/>
  <c r="D1364" i="57"/>
  <c r="D746" i="57"/>
  <c r="D1083" i="57"/>
  <c r="D1227" i="57"/>
  <c r="D1387" i="57"/>
  <c r="D1272" i="57"/>
  <c r="D1370" i="57"/>
  <c r="D951" i="57"/>
  <c r="D793" i="57"/>
  <c r="D918" i="57"/>
  <c r="D1248" i="57"/>
  <c r="D703" i="57"/>
  <c r="D214" i="57"/>
  <c r="D813" i="57"/>
  <c r="D144" i="57"/>
  <c r="D547" i="57"/>
  <c r="D1213" i="57"/>
  <c r="D1224" i="57"/>
  <c r="D1156" i="57"/>
  <c r="D489" i="57"/>
  <c r="D1396" i="57"/>
  <c r="D920" i="57"/>
  <c r="D1139" i="57"/>
  <c r="D396" i="57"/>
  <c r="D891" i="57"/>
  <c r="D764" i="57"/>
  <c r="D357" i="57"/>
  <c r="D863" i="57"/>
  <c r="D139" i="57"/>
  <c r="D79" i="57"/>
  <c r="D295" i="57"/>
  <c r="D52" i="57"/>
  <c r="D207" i="57"/>
  <c r="D403" i="57"/>
  <c r="D113" i="57"/>
  <c r="D469" i="57"/>
  <c r="D177" i="57"/>
  <c r="D23" i="57"/>
  <c r="G23" i="57" s="1" a="1"/>
  <c r="G23" i="57" s="1"/>
  <c r="D126" i="57"/>
  <c r="D748" i="57"/>
  <c r="D268" i="57"/>
  <c r="D132" i="57"/>
  <c r="D477" i="57"/>
  <c r="D654" i="57"/>
  <c r="D222" i="57"/>
  <c r="D431" i="57"/>
  <c r="D514" i="57"/>
  <c r="D645" i="57"/>
  <c r="D456" i="57"/>
  <c r="D341" i="57"/>
  <c r="D808" i="57"/>
  <c r="D816" i="57"/>
  <c r="D930" i="57"/>
  <c r="D480" i="57"/>
  <c r="D641" i="57"/>
  <c r="D885" i="57"/>
  <c r="D1077" i="57"/>
  <c r="D1167" i="57"/>
  <c r="D1344" i="57"/>
  <c r="D1222" i="57"/>
  <c r="D1084" i="57"/>
  <c r="D971" i="57"/>
  <c r="D1134" i="57"/>
  <c r="D1182" i="57"/>
  <c r="D1363" i="57"/>
  <c r="D1414" i="57"/>
  <c r="D1339" i="57"/>
  <c r="D683" i="57"/>
  <c r="D195" i="57"/>
  <c r="D115" i="57"/>
  <c r="D193" i="57"/>
  <c r="D125" i="57"/>
  <c r="D73" i="57"/>
  <c r="D25" i="57"/>
  <c r="G25" i="57" s="1" a="1"/>
  <c r="G25" i="57" s="1"/>
  <c r="D421" i="57"/>
  <c r="D390" i="57"/>
  <c r="D904" i="57"/>
  <c r="D179" i="57"/>
  <c r="D427" i="57"/>
  <c r="D13" i="57"/>
  <c r="G13" i="57" s="1" a="1"/>
  <c r="G13" i="57" s="1"/>
  <c r="D266" i="57"/>
  <c r="D145" i="57"/>
  <c r="D98" i="57"/>
  <c r="D256" i="57"/>
  <c r="D474" i="57"/>
  <c r="D704" i="57"/>
  <c r="D627" i="57"/>
  <c r="D498" i="57"/>
  <c r="D300" i="57"/>
  <c r="D608" i="57"/>
  <c r="D940" i="57"/>
  <c r="D156" i="57"/>
  <c r="D548" i="57"/>
  <c r="D449" i="57"/>
  <c r="D425" i="57"/>
  <c r="D558" i="57"/>
  <c r="D522" i="57"/>
  <c r="D956" i="57"/>
  <c r="D922" i="57"/>
  <c r="D721" i="57"/>
  <c r="D943" i="57"/>
  <c r="D1100" i="57"/>
  <c r="D549" i="57"/>
  <c r="D329" i="57"/>
  <c r="D804" i="57"/>
  <c r="D981" i="57"/>
  <c r="D1239" i="57"/>
  <c r="D795" i="57"/>
  <c r="D1061" i="57"/>
  <c r="D1177" i="57"/>
  <c r="D647" i="57"/>
  <c r="D1270" i="57"/>
  <c r="D1356" i="57"/>
  <c r="D732" i="57"/>
  <c r="D1199" i="57"/>
  <c r="D1332" i="57"/>
  <c r="D262" i="57"/>
  <c r="D1289" i="57"/>
  <c r="D1415" i="57"/>
  <c r="D1322" i="57"/>
  <c r="D1418" i="57"/>
  <c r="D1442" i="57"/>
  <c r="D303" i="57"/>
  <c r="D1292" i="57"/>
  <c r="D227" i="57"/>
  <c r="D255" i="57"/>
  <c r="D127" i="57"/>
  <c r="D320" i="57"/>
  <c r="D68" i="57"/>
  <c r="D392" i="57"/>
  <c r="D307" i="57"/>
  <c r="D471" i="57"/>
  <c r="D58" i="57"/>
  <c r="D46" i="57"/>
  <c r="D210" i="57"/>
  <c r="D71" i="57"/>
  <c r="D1006" i="57"/>
  <c r="D567" i="57"/>
  <c r="D318" i="57"/>
  <c r="D225" i="57"/>
  <c r="D635" i="57"/>
  <c r="D1040" i="57"/>
  <c r="D594" i="57"/>
  <c r="D473" i="57"/>
  <c r="D822" i="57"/>
  <c r="D824" i="57"/>
  <c r="D712" i="57"/>
  <c r="D936" i="57"/>
  <c r="D382" i="57"/>
  <c r="D689" i="57"/>
  <c r="D1197" i="57"/>
  <c r="D851" i="57"/>
  <c r="D1225" i="57"/>
  <c r="D1017" i="57"/>
  <c r="D1314" i="57"/>
  <c r="D529" i="57"/>
  <c r="D1230" i="57"/>
  <c r="D589" i="57"/>
  <c r="D499" i="57"/>
  <c r="D30" i="57"/>
  <c r="D39" i="57"/>
  <c r="D50" i="57"/>
  <c r="D188" i="57"/>
  <c r="D105" i="57"/>
  <c r="D241" i="57"/>
  <c r="D369" i="57"/>
  <c r="D515" i="57"/>
  <c r="D1012" i="57"/>
  <c r="D239" i="57"/>
  <c r="D40" i="57"/>
  <c r="D628" i="57"/>
  <c r="D882" i="57"/>
  <c r="D1196" i="57"/>
  <c r="D580" i="57"/>
  <c r="D1059" i="57"/>
  <c r="D673" i="57"/>
  <c r="D905" i="57"/>
  <c r="D213" i="57"/>
  <c r="D553" i="57"/>
  <c r="D525" i="57"/>
  <c r="D292" i="57"/>
  <c r="D867" i="57"/>
  <c r="D304" i="57"/>
  <c r="D552" i="57"/>
  <c r="D830" i="57"/>
  <c r="D1331" i="57"/>
  <c r="D312" i="57"/>
  <c r="D510" i="57"/>
  <c r="D66" i="57"/>
  <c r="D706" i="57"/>
  <c r="D59" i="57"/>
  <c r="D172" i="57"/>
  <c r="D938" i="57"/>
  <c r="D94" i="57"/>
  <c r="D103" i="57"/>
  <c r="D28" i="57"/>
  <c r="D242" i="57"/>
  <c r="D152" i="57"/>
  <c r="D528" i="57"/>
  <c r="D287" i="57"/>
  <c r="D263" i="57"/>
  <c r="D534" i="57"/>
  <c r="D835" i="57"/>
  <c r="D288" i="57"/>
  <c r="D88" i="57"/>
  <c r="D676" i="57"/>
  <c r="D853" i="57"/>
  <c r="D634" i="57"/>
  <c r="D598" i="57"/>
  <c r="D1274" i="57"/>
  <c r="D681" i="57"/>
  <c r="D852" i="57"/>
  <c r="D47" i="57"/>
  <c r="D16" i="57"/>
  <c r="D931" i="57"/>
  <c r="D538" i="57"/>
  <c r="D490" i="57"/>
  <c r="D972" i="57"/>
  <c r="D161" i="57"/>
  <c r="D34" i="57"/>
  <c r="D235" i="57"/>
  <c r="D149" i="57"/>
  <c r="D78" i="57"/>
  <c r="D215" i="57"/>
  <c r="D1220" i="57"/>
  <c r="D967" i="57"/>
  <c r="D786" i="57"/>
  <c r="D980" i="57"/>
  <c r="D961" i="57"/>
  <c r="D643" i="57"/>
  <c r="D182" i="57"/>
  <c r="D49" i="57"/>
  <c r="D205" i="57"/>
  <c r="D475" i="57"/>
  <c r="D663" i="57"/>
  <c r="D790" i="57"/>
  <c r="D173" i="57"/>
  <c r="D275" i="57"/>
  <c r="D682" i="57"/>
  <c r="D942" i="57"/>
  <c r="D979" i="57"/>
  <c r="D849" i="57"/>
  <c r="D1349" i="57"/>
  <c r="D218" i="57"/>
  <c r="D199" i="57"/>
  <c r="D122" i="57"/>
  <c r="D446" i="57"/>
  <c r="D17" i="57"/>
  <c r="G17" i="57" s="1" a="1"/>
  <c r="G17" i="57" s="1"/>
  <c r="D699" i="57"/>
  <c r="D484" i="57"/>
  <c r="D336" i="57"/>
  <c r="D543" i="57"/>
  <c r="D944" i="57"/>
  <c r="D960" i="57"/>
  <c r="D180" i="57"/>
  <c r="D858" i="57"/>
  <c r="D616" i="57"/>
  <c r="D876" i="57"/>
  <c r="D817" i="57"/>
  <c r="D298" i="57"/>
  <c r="D619" i="57"/>
  <c r="D962" i="57"/>
  <c r="D321" i="57"/>
  <c r="D854" i="57"/>
  <c r="D1425" i="57"/>
  <c r="D1087" i="57"/>
  <c r="D412" i="57"/>
  <c r="D1212" i="57"/>
  <c r="D1416" i="57"/>
  <c r="D734" i="57"/>
  <c r="D550" i="57"/>
  <c r="D874" i="57"/>
  <c r="D792" i="57"/>
  <c r="D1309" i="57"/>
  <c r="D784" i="57"/>
  <c r="D322" i="57"/>
  <c r="D1313" i="57"/>
  <c r="D947" i="57"/>
  <c r="D148" i="57"/>
  <c r="D1095" i="57"/>
  <c r="D204" i="57"/>
  <c r="D1020" i="57"/>
  <c r="D935" i="57"/>
  <c r="D1206" i="57"/>
  <c r="D260" i="57"/>
  <c r="D907" i="57"/>
  <c r="D974" i="57"/>
  <c r="D1304" i="57"/>
  <c r="D908" i="57"/>
  <c r="D655" i="57"/>
  <c r="D623" i="57"/>
  <c r="D21" i="57"/>
  <c r="G21" i="57" s="1" a="1"/>
  <c r="G21" i="57" s="1"/>
  <c r="D381" i="57"/>
  <c r="D1366" i="57"/>
  <c r="D1385" i="57"/>
  <c r="D1170" i="57"/>
  <c r="D771" i="57"/>
  <c r="D1323" i="57"/>
  <c r="D724" i="57"/>
  <c r="D1243" i="57"/>
  <c r="D200" i="57"/>
  <c r="D946" i="57"/>
  <c r="D314" i="57"/>
  <c r="D539" i="57"/>
  <c r="D720" i="57"/>
  <c r="D883" i="57"/>
  <c r="D559" i="57"/>
  <c r="D865" i="57"/>
  <c r="D590" i="57"/>
  <c r="D618" i="57"/>
  <c r="D781" i="57"/>
  <c r="D997" i="57"/>
  <c r="D1107" i="57"/>
  <c r="D1032" i="57"/>
  <c r="D797" i="57"/>
  <c r="D1318" i="57"/>
  <c r="D1261" i="57"/>
  <c r="D1147" i="57"/>
  <c r="D807" i="57"/>
  <c r="D953" i="57"/>
  <c r="D595" i="57"/>
  <c r="D1011" i="57"/>
  <c r="D430" i="57"/>
  <c r="D408" i="57"/>
  <c r="D150" i="57"/>
  <c r="D660" i="57"/>
  <c r="D751" i="57"/>
  <c r="D789" i="57"/>
  <c r="D1374" i="57"/>
  <c r="D1186" i="57"/>
  <c r="D315" i="57"/>
  <c r="D48" i="57"/>
  <c r="D1347" i="57"/>
  <c r="D1096" i="57"/>
  <c r="D1365" i="57"/>
  <c r="D276" i="57"/>
  <c r="D872" i="57"/>
  <c r="D29" i="57"/>
  <c r="D175" i="57"/>
  <c r="D326" i="57"/>
  <c r="D443" i="57"/>
  <c r="D409" i="57"/>
  <c r="D128" i="57"/>
  <c r="D53" i="57"/>
  <c r="D26" i="57"/>
  <c r="G26" i="57" s="1" a="1"/>
  <c r="G26" i="57" s="1"/>
  <c r="D33" i="57"/>
  <c r="D32" i="57"/>
  <c r="D194" i="57"/>
  <c r="D154" i="57"/>
  <c r="D711" i="57"/>
  <c r="D651" i="57"/>
  <c r="D844" i="57"/>
  <c r="D870" i="57"/>
  <c r="D472" i="57"/>
  <c r="D839" i="57"/>
  <c r="D147" i="57"/>
  <c r="D67" i="57"/>
  <c r="D283" i="57"/>
  <c r="D281" i="57"/>
  <c r="D87" i="57"/>
  <c r="D301" i="57"/>
  <c r="D309" i="57"/>
  <c r="D353" i="57"/>
  <c r="D153" i="57"/>
  <c r="D289" i="57"/>
  <c r="D527" i="57"/>
  <c r="D141" i="57"/>
  <c r="D451" i="57"/>
  <c r="D140" i="57"/>
  <c r="D258" i="57"/>
  <c r="D486" i="57"/>
  <c r="D633" i="57"/>
  <c r="D826" i="57"/>
  <c r="D270" i="57"/>
  <c r="D345" i="57"/>
  <c r="D438" i="57"/>
  <c r="D796" i="57"/>
  <c r="D285" i="57"/>
  <c r="D982" i="57"/>
  <c r="D233" i="57"/>
  <c r="D952" i="57"/>
  <c r="D422" i="57"/>
  <c r="D358" i="57"/>
  <c r="D778" i="57"/>
  <c r="D762" i="57"/>
  <c r="D685" i="57"/>
  <c r="D919" i="57"/>
  <c r="D64" i="57"/>
  <c r="D636" i="57"/>
  <c r="D659" i="57"/>
  <c r="D631" i="57"/>
  <c r="D1058" i="57"/>
  <c r="D742" i="57"/>
  <c r="D756" i="57"/>
  <c r="D913" i="57"/>
  <c r="D932" i="57"/>
  <c r="D861" i="57"/>
  <c r="D1251" i="57"/>
  <c r="D779" i="57"/>
  <c r="D483" i="57"/>
  <c r="D831" i="57"/>
  <c r="D642" i="57"/>
  <c r="D1169" i="57"/>
  <c r="D927" i="57"/>
  <c r="D1271" i="57"/>
  <c r="D1079" i="57"/>
  <c r="D1354" i="57"/>
  <c r="D1350" i="57"/>
  <c r="D1299" i="57"/>
  <c r="D1195" i="57"/>
  <c r="D701" i="57"/>
  <c r="D749" i="57"/>
  <c r="D183" i="57"/>
  <c r="D38" i="57"/>
  <c r="D254" i="57"/>
  <c r="D335" i="57"/>
  <c r="D123" i="57"/>
  <c r="D363" i="57"/>
  <c r="D135" i="57"/>
  <c r="D271" i="57"/>
  <c r="D176" i="57"/>
  <c r="D500" i="57"/>
  <c r="D563" i="57"/>
  <c r="D117" i="57"/>
  <c r="D109" i="57"/>
  <c r="D202" i="57"/>
  <c r="D596" i="57"/>
  <c r="D192" i="57"/>
  <c r="D519" i="57"/>
  <c r="D569" i="57"/>
  <c r="D60" i="57"/>
  <c r="D423" i="57"/>
  <c r="D155" i="57"/>
  <c r="D716" i="57"/>
  <c r="D306" i="57"/>
  <c r="D228" i="57"/>
  <c r="D333" i="57"/>
  <c r="D444" i="57"/>
  <c r="D245" i="57"/>
  <c r="D402" i="57"/>
  <c r="D656" i="57"/>
  <c r="D65" i="57"/>
  <c r="D554" i="57"/>
  <c r="D160" i="57"/>
  <c r="D684" i="57"/>
  <c r="D937" i="57"/>
  <c r="D1094" i="57"/>
  <c r="D511" i="57"/>
  <c r="D894" i="57"/>
  <c r="D968" i="57"/>
  <c r="D1208" i="57"/>
  <c r="D949" i="57"/>
  <c r="D570" i="57"/>
  <c r="D401" i="57"/>
  <c r="D586" i="57"/>
  <c r="D1041" i="57"/>
  <c r="D1257" i="57"/>
  <c r="D1155" i="57"/>
  <c r="D1209" i="57"/>
  <c r="D1001" i="57"/>
  <c r="D541" i="57"/>
  <c r="D1127" i="57"/>
  <c r="D833" i="57"/>
  <c r="D1010" i="57"/>
  <c r="D999" i="57"/>
  <c r="D373" i="57"/>
  <c r="D92" i="57"/>
  <c r="D417" i="57"/>
  <c r="D158" i="57"/>
  <c r="D24" i="57"/>
  <c r="G24" i="57" s="1" a="1"/>
  <c r="G24" i="57" s="1"/>
  <c r="D557" i="57"/>
  <c r="D277" i="57"/>
  <c r="D170" i="57"/>
  <c r="D257" i="57"/>
  <c r="D632" i="57"/>
  <c r="D251" i="57"/>
  <c r="D356" i="57"/>
  <c r="D617" i="57"/>
  <c r="D142" i="57"/>
  <c r="D705" i="57"/>
  <c r="D575" i="57"/>
  <c r="D536" i="57"/>
  <c r="D72" i="57"/>
  <c r="D600" i="57"/>
  <c r="D414" i="57"/>
  <c r="D282" i="57"/>
  <c r="D167" i="57"/>
  <c r="D407" i="57"/>
  <c r="D107" i="57"/>
  <c r="D692" i="57"/>
  <c r="D36" i="57"/>
  <c r="D662" i="57"/>
  <c r="D848" i="57"/>
  <c r="D1148" i="57"/>
  <c r="D954" i="57"/>
  <c r="D895" i="57"/>
  <c r="D973" i="57"/>
  <c r="D812" i="57"/>
  <c r="D729" i="57"/>
  <c r="D871" i="57"/>
  <c r="D626" i="57"/>
  <c r="D985" i="57"/>
  <c r="D513" i="57"/>
  <c r="D765" i="57"/>
  <c r="D1029" i="57"/>
  <c r="D1203" i="57"/>
  <c r="D890" i="57"/>
  <c r="D1268" i="57"/>
  <c r="D1057" i="57"/>
  <c r="D1069" i="57"/>
  <c r="D959" i="57"/>
  <c r="D696" i="57"/>
  <c r="D1181" i="57"/>
  <c r="D941" i="57"/>
  <c r="D1288" i="57"/>
  <c r="D929" i="57"/>
  <c r="D1284" i="57"/>
  <c r="D1075" i="57"/>
  <c r="D1108" i="57"/>
  <c r="D1091" i="57"/>
  <c r="D601" i="57"/>
  <c r="D1068" i="57"/>
  <c r="D1256" i="57"/>
  <c r="D965" i="57"/>
  <c r="D1165" i="57"/>
  <c r="D733" i="57"/>
  <c r="D791" i="57"/>
  <c r="D1110" i="57"/>
  <c r="D1285" i="57"/>
  <c r="D1278" i="57"/>
  <c r="D1295" i="57"/>
  <c r="D1198" i="57"/>
  <c r="D1384" i="57"/>
  <c r="D1175" i="57"/>
  <c r="D1085" i="57"/>
  <c r="D465" i="57"/>
  <c r="D523" i="57"/>
  <c r="D1433" i="57"/>
  <c r="D364" i="57"/>
  <c r="D1052" i="57"/>
  <c r="D468" i="57"/>
  <c r="D1130" i="57"/>
  <c r="D836" i="57"/>
  <c r="D707" i="57"/>
  <c r="D1191" i="57"/>
  <c r="D1245" i="57"/>
  <c r="D1023" i="57"/>
  <c r="D1348" i="57"/>
  <c r="D1422" i="57"/>
  <c r="D963" i="57"/>
  <c r="D1362" i="57"/>
  <c r="D418" i="57"/>
  <c r="D1360" i="57"/>
  <c r="D899" i="57"/>
  <c r="D1426" i="57"/>
  <c r="D1219" i="57"/>
  <c r="D1236" i="57"/>
  <c r="D1146" i="57"/>
  <c r="D1436" i="57"/>
  <c r="D1229" i="57"/>
  <c r="D404" i="57"/>
  <c r="D433" i="57"/>
  <c r="D820" i="57"/>
  <c r="D267" i="57"/>
  <c r="D495" i="57"/>
  <c r="D829" i="57"/>
  <c r="D1101" i="57"/>
  <c r="D698" i="57"/>
  <c r="D1238" i="57"/>
  <c r="D577" i="57"/>
  <c r="D460" i="57"/>
  <c r="D758" i="57"/>
  <c r="D901" i="57"/>
  <c r="D896" i="57"/>
  <c r="D993" i="57"/>
  <c r="D1073" i="57"/>
  <c r="D975" i="57"/>
  <c r="D1290" i="57"/>
  <c r="D415" i="57"/>
  <c r="D354" i="57"/>
  <c r="D657" i="57"/>
  <c r="D969" i="57"/>
  <c r="D243" i="57"/>
  <c r="D1376" i="57"/>
  <c r="D1188" i="57"/>
  <c r="D1030" i="57"/>
  <c r="D436" i="57"/>
  <c r="D509" i="57"/>
  <c r="D1104" i="57"/>
  <c r="D1166" i="57"/>
  <c r="D1078" i="57"/>
  <c r="D767" i="57"/>
  <c r="D1294" i="57"/>
  <c r="D1431" i="57"/>
  <c r="D1089" i="57"/>
  <c r="D1187" i="57"/>
  <c r="D881" i="57"/>
  <c r="D1398" i="57"/>
  <c r="D1210" i="57"/>
  <c r="D737" i="57"/>
  <c r="D1120" i="57"/>
  <c r="D1062" i="57"/>
  <c r="D1047" i="57"/>
  <c r="D800" i="57"/>
  <c r="D291" i="57"/>
  <c r="D1380" i="57"/>
  <c r="D757" i="57"/>
  <c r="D1434" i="57"/>
  <c r="D612" i="57"/>
  <c r="D933" i="57"/>
  <c r="D939" i="57"/>
  <c r="D1216" i="57"/>
  <c r="D1194" i="57"/>
  <c r="D665" i="57"/>
  <c r="D1123" i="57"/>
  <c r="D1372" i="57"/>
  <c r="D1267" i="57"/>
  <c r="D1368" i="57"/>
  <c r="D1180" i="57"/>
  <c r="D775" i="57"/>
  <c r="D1325" i="57"/>
  <c r="D987" i="57"/>
  <c r="D1276" i="57"/>
  <c r="D1176" i="57"/>
  <c r="D1421" i="57"/>
  <c r="D1279" i="57"/>
  <c r="D428" i="57"/>
  <c r="D435" i="57"/>
  <c r="D377" i="57"/>
  <c r="D802" i="57"/>
  <c r="D648" i="57"/>
  <c r="D621" i="57"/>
  <c r="D1353" i="57"/>
  <c r="D1441" i="57"/>
  <c r="D1432" i="57"/>
  <c r="D27" i="57"/>
  <c r="D1351" i="57"/>
  <c r="D1255" i="57"/>
  <c r="D1334" i="57"/>
  <c r="D725" i="57"/>
  <c r="D1424" i="57"/>
  <c r="D75" i="57"/>
  <c r="D362" i="57"/>
  <c r="D439" i="57"/>
  <c r="D45" i="57"/>
  <c r="D261" i="57"/>
  <c r="D450" i="57"/>
  <c r="D847" i="57"/>
  <c r="D1298" i="57"/>
  <c r="D1410" i="57"/>
  <c r="D1371" i="57"/>
  <c r="D343" i="57"/>
  <c r="D551" i="57"/>
  <c r="D524" i="57"/>
  <c r="D384" i="57"/>
  <c r="D644" i="57"/>
  <c r="D231" i="57"/>
  <c r="D584" i="57"/>
  <c r="D846" i="57"/>
  <c r="D400" i="57"/>
  <c r="D693" i="57"/>
  <c r="D860" i="57"/>
  <c r="D1137" i="57"/>
  <c r="D1036" i="57"/>
  <c r="D1382" i="57"/>
  <c r="D1412" i="57"/>
  <c r="D461" i="57"/>
  <c r="D379" i="57"/>
  <c r="D467" i="57"/>
  <c r="D603" i="57"/>
  <c r="D426" i="57"/>
  <c r="D766" i="57"/>
  <c r="D405" i="57"/>
  <c r="D478" i="57"/>
  <c r="D740" i="57"/>
  <c r="D887" i="57"/>
  <c r="D782" i="57"/>
  <c r="D1217" i="57"/>
  <c r="D455" i="57"/>
  <c r="D1386" i="57"/>
  <c r="D344" i="57"/>
  <c r="D925" i="57"/>
  <c r="D360" i="57"/>
  <c r="D671" i="57"/>
  <c r="D1136" i="57"/>
  <c r="D1154" i="57"/>
  <c r="D1115" i="57"/>
  <c r="D1135" i="57"/>
  <c r="D1419" i="57"/>
  <c r="D1138" i="57"/>
  <c r="D1393" i="57"/>
  <c r="D1076" i="57"/>
  <c r="D677" i="57"/>
  <c r="D957" i="57"/>
  <c r="D1215" i="57"/>
  <c r="D1281" i="57"/>
  <c r="D893" i="57"/>
  <c r="D1320" i="57"/>
  <c r="D497" i="57"/>
  <c r="D376" i="57"/>
  <c r="D593" i="57"/>
  <c r="D1214" i="57"/>
  <c r="D1179" i="57"/>
  <c r="D1269" i="57"/>
  <c r="D378" i="57"/>
  <c r="D503" i="57"/>
  <c r="D372" i="57"/>
  <c r="D1190" i="57"/>
  <c r="D1231" i="57"/>
  <c r="D1321" i="57"/>
  <c r="D394" i="57"/>
  <c r="D719" i="57"/>
  <c r="D1440" i="57"/>
  <c r="D371" i="57"/>
  <c r="D1112" i="57"/>
  <c r="D713" i="57"/>
  <c r="D1053" i="57"/>
  <c r="D1143" i="57"/>
  <c r="D1099" i="57"/>
  <c r="D1253" i="57"/>
  <c r="D491" i="57"/>
  <c r="D1330" i="57"/>
  <c r="D1054" i="57"/>
  <c r="D1207" i="57"/>
  <c r="D1153" i="57"/>
  <c r="D1250" i="57"/>
  <c r="D1184" i="57"/>
  <c r="D1150" i="57"/>
  <c r="D1045" i="57"/>
  <c r="D1439" i="57"/>
  <c r="D1246" i="57"/>
  <c r="D1124" i="57"/>
  <c r="D1046" i="57"/>
  <c r="D1161" i="57"/>
  <c r="D1402" i="57"/>
  <c r="D1106" i="57"/>
  <c r="D1420" i="57"/>
  <c r="D1232" i="57"/>
  <c r="D1307" i="57"/>
  <c r="D361" i="57"/>
  <c r="D1221" i="57"/>
  <c r="D1189" i="57"/>
  <c r="D1428" i="57"/>
  <c r="D1341" i="57"/>
  <c r="D1051" i="57"/>
  <c r="D1306" i="57"/>
  <c r="D1401" i="57"/>
  <c r="D1324" i="57"/>
  <c r="D370" i="57"/>
  <c r="D1133" i="57"/>
  <c r="D1247" i="57"/>
  <c r="D1043" i="57"/>
  <c r="D388" i="57"/>
  <c r="D1311" i="57"/>
  <c r="D1063" i="57"/>
  <c r="D1183" i="57"/>
  <c r="D1312" i="57"/>
  <c r="D1240" i="57"/>
  <c r="D1105" i="57"/>
  <c r="D1141" i="57"/>
  <c r="D1264" i="57"/>
  <c r="D1081" i="57"/>
  <c r="D1359" i="57"/>
  <c r="D1437" i="57"/>
  <c r="D1377" i="57"/>
  <c r="D355" i="57"/>
  <c r="D1413" i="57"/>
  <c r="D1317" i="57"/>
  <c r="D1300" i="57"/>
  <c r="D1335" i="57"/>
  <c r="D1039" i="57"/>
  <c r="D1395" i="57"/>
  <c r="D15" i="57"/>
  <c r="G15" i="57" s="1" a="1"/>
  <c r="G15" i="57" s="1"/>
  <c r="D2506" i="57"/>
  <c r="D2495" i="57"/>
  <c r="D2504" i="57"/>
  <c r="D2505" i="57"/>
  <c r="D2486" i="57"/>
  <c r="D2499" i="57"/>
  <c r="D2498" i="57"/>
  <c r="D2471" i="57"/>
  <c r="D2327" i="57"/>
  <c r="D1447" i="57"/>
  <c r="D2507" i="57"/>
  <c r="D2501" i="57"/>
  <c r="D1446" i="57"/>
  <c r="D1972" i="57"/>
  <c r="D2492" i="57"/>
  <c r="D2411" i="57"/>
  <c r="D2510" i="57"/>
  <c r="D2509" i="57"/>
  <c r="D2508" i="57"/>
  <c r="D2500" i="57"/>
  <c r="D2503" i="57"/>
  <c r="D2502" i="57"/>
  <c r="D2491" i="57"/>
  <c r="D2497" i="57"/>
  <c r="D2496" i="57"/>
  <c r="D2489" i="57"/>
  <c r="D2482" i="57"/>
  <c r="D2315" i="57"/>
  <c r="D2485" i="57"/>
  <c r="D2351" i="57"/>
  <c r="D2490" i="57"/>
  <c r="D2484" i="57"/>
  <c r="D2494" i="57"/>
  <c r="D2483" i="57"/>
  <c r="D2488" i="57"/>
  <c r="D2493" i="57"/>
  <c r="D2487" i="57"/>
  <c r="D2369" i="57"/>
  <c r="D1966" i="57"/>
  <c r="D2405" i="57"/>
  <c r="D2333" i="57"/>
  <c r="D2441" i="57"/>
  <c r="D1453" i="57"/>
  <c r="D2442" i="57"/>
  <c r="D2420" i="57"/>
  <c r="D2439" i="57"/>
  <c r="D2455" i="57"/>
  <c r="D2308" i="57"/>
  <c r="D2353" i="57"/>
  <c r="D2386" i="57"/>
  <c r="D2401" i="57"/>
  <c r="D2479" i="57"/>
  <c r="D2436" i="57"/>
  <c r="D2389" i="57"/>
  <c r="D2336" i="57"/>
  <c r="D2285" i="57"/>
  <c r="D2233" i="57"/>
  <c r="D2182" i="57"/>
  <c r="D2130" i="57"/>
  <c r="D2077" i="57"/>
  <c r="D2026" i="57"/>
  <c r="D1974" i="57"/>
  <c r="D1825" i="57"/>
  <c r="D2257" i="57"/>
  <c r="D2206" i="57"/>
  <c r="D2154" i="57"/>
  <c r="D2102" i="57"/>
  <c r="D2051" i="57"/>
  <c r="D1998" i="57"/>
  <c r="D1908" i="57"/>
  <c r="D2282" i="57"/>
  <c r="D2231" i="57"/>
  <c r="D2178" i="57"/>
  <c r="D2126" i="57"/>
  <c r="D2075" i="57"/>
  <c r="D2023" i="57"/>
  <c r="D1818" i="57"/>
  <c r="D2272" i="57"/>
  <c r="D2220" i="57"/>
  <c r="D2168" i="57"/>
  <c r="D2117" i="57"/>
  <c r="D2065" i="57"/>
  <c r="D2012" i="57"/>
  <c r="D1951" i="57"/>
  <c r="D1777" i="57"/>
  <c r="D2474" i="57"/>
  <c r="D2431" i="57"/>
  <c r="D2383" i="57"/>
  <c r="D2332" i="57"/>
  <c r="D2279" i="57"/>
  <c r="D2227" i="57"/>
  <c r="D2176" i="57"/>
  <c r="D2124" i="57"/>
  <c r="D2072" i="57"/>
  <c r="D2020" i="57"/>
  <c r="D1968" i="57"/>
  <c r="D1806" i="57"/>
  <c r="D2444" i="57"/>
  <c r="D2399" i="57"/>
  <c r="D2347" i="57"/>
  <c r="D2296" i="57"/>
  <c r="D2243" i="57"/>
  <c r="D2191" i="57"/>
  <c r="D2140" i="57"/>
  <c r="D2088" i="57"/>
  <c r="D2036" i="57"/>
  <c r="D1984" i="57"/>
  <c r="D1866" i="57"/>
  <c r="D2452" i="57"/>
  <c r="D2416" i="57"/>
  <c r="D2374" i="57"/>
  <c r="D2330" i="57"/>
  <c r="D2287" i="57"/>
  <c r="D2244" i="57"/>
  <c r="D2201" i="57"/>
  <c r="D2158" i="57"/>
  <c r="D2114" i="57"/>
  <c r="D2071" i="57"/>
  <c r="D2028" i="57"/>
  <c r="D1985" i="57"/>
  <c r="D1896" i="57"/>
  <c r="D1854" i="57"/>
  <c r="D2403" i="57"/>
  <c r="D2367" i="57"/>
  <c r="D2331" i="57"/>
  <c r="D2295" i="57"/>
  <c r="D2259" i="57"/>
  <c r="D2223" i="57"/>
  <c r="D2187" i="57"/>
  <c r="D2151" i="57"/>
  <c r="D2115" i="57"/>
  <c r="D2079" i="57"/>
  <c r="D2043" i="57"/>
  <c r="D2007" i="57"/>
  <c r="D1971" i="57"/>
  <c r="D1873" i="57"/>
  <c r="D1965" i="57"/>
  <c r="D1929" i="57"/>
  <c r="D1893" i="57"/>
  <c r="D1857" i="57"/>
  <c r="D1821" i="57"/>
  <c r="D1785" i="57"/>
  <c r="D1749" i="57"/>
  <c r="D1713" i="57"/>
  <c r="D1677" i="57"/>
  <c r="D1641" i="57"/>
  <c r="D1605" i="57"/>
  <c r="D1569" i="57"/>
  <c r="D1533" i="57"/>
  <c r="D1497" i="57"/>
  <c r="D1461" i="57"/>
  <c r="D1934" i="57"/>
  <c r="D1898" i="57"/>
  <c r="D1862" i="57"/>
  <c r="D1826" i="57"/>
  <c r="D1790" i="57"/>
  <c r="D1754" i="57"/>
  <c r="D1718" i="57"/>
  <c r="D1682" i="57"/>
  <c r="D1646" i="57"/>
  <c r="D1610" i="57"/>
  <c r="D1574" i="57"/>
  <c r="D1538" i="57"/>
  <c r="D1502" i="57"/>
  <c r="D1466" i="57"/>
  <c r="D1741" i="57"/>
  <c r="D1705" i="57"/>
  <c r="D1669" i="57"/>
  <c r="D1633" i="57"/>
  <c r="D1597" i="57"/>
  <c r="D1561" i="57"/>
  <c r="D1525" i="57"/>
  <c r="D1489" i="57"/>
  <c r="D1764" i="57"/>
  <c r="D1728" i="57"/>
  <c r="D1692" i="57"/>
  <c r="D1656" i="57"/>
  <c r="D1620" i="57"/>
  <c r="D1584" i="57"/>
  <c r="D1548" i="57"/>
  <c r="D1512" i="57"/>
  <c r="D1476" i="57"/>
  <c r="D1949" i="57"/>
  <c r="D1913" i="57"/>
  <c r="D1877" i="57"/>
  <c r="D1841" i="57"/>
  <c r="D1805" i="57"/>
  <c r="D1769" i="57"/>
  <c r="D1733" i="57"/>
  <c r="D1697" i="57"/>
  <c r="D1661" i="57"/>
  <c r="D1625" i="57"/>
  <c r="D1589" i="57"/>
  <c r="D1553" i="57"/>
  <c r="D1517" i="57"/>
  <c r="D1481" i="57"/>
  <c r="D1954" i="57"/>
  <c r="D1918" i="57"/>
  <c r="D1882" i="57"/>
  <c r="D1846" i="57"/>
  <c r="D1810" i="57"/>
  <c r="D1774" i="57"/>
  <c r="D1738" i="57"/>
  <c r="D1702" i="57"/>
  <c r="D1666" i="57"/>
  <c r="D1630" i="57"/>
  <c r="D1594" i="57"/>
  <c r="D1558" i="57"/>
  <c r="D1522" i="57"/>
  <c r="D1486" i="57"/>
  <c r="D1451" i="57"/>
  <c r="D2425" i="57"/>
  <c r="D2394" i="57"/>
  <c r="D2413" i="57"/>
  <c r="D2454" i="57"/>
  <c r="D2300" i="57"/>
  <c r="D2469" i="57"/>
  <c r="D2326" i="57"/>
  <c r="D2462" i="57"/>
  <c r="D2475" i="57"/>
  <c r="D2384" i="57"/>
  <c r="D2472" i="57"/>
  <c r="D2429" i="57"/>
  <c r="D2380" i="57"/>
  <c r="D2328" i="57"/>
  <c r="D2276" i="57"/>
  <c r="D2225" i="57"/>
  <c r="D2173" i="57"/>
  <c r="D2120" i="57"/>
  <c r="D2069" i="57"/>
  <c r="D2017" i="57"/>
  <c r="D1795" i="57"/>
  <c r="D2249" i="57"/>
  <c r="D2197" i="57"/>
  <c r="D2146" i="57"/>
  <c r="D2094" i="57"/>
  <c r="D2041" i="57"/>
  <c r="D1990" i="57"/>
  <c r="D1884" i="57"/>
  <c r="D2274" i="57"/>
  <c r="D2221" i="57"/>
  <c r="D2170" i="57"/>
  <c r="D2118" i="57"/>
  <c r="D2066" i="57"/>
  <c r="D2015" i="57"/>
  <c r="D1956" i="57"/>
  <c r="D1782" i="57"/>
  <c r="D2263" i="57"/>
  <c r="D2212" i="57"/>
  <c r="D2160" i="57"/>
  <c r="D2108" i="57"/>
  <c r="D2056" i="57"/>
  <c r="D2004" i="57"/>
  <c r="D1926" i="57"/>
  <c r="D2467" i="57"/>
  <c r="D2424" i="57"/>
  <c r="D2375" i="57"/>
  <c r="D2322" i="57"/>
  <c r="D2270" i="57"/>
  <c r="D2219" i="57"/>
  <c r="D2167" i="57"/>
  <c r="D2116" i="57"/>
  <c r="D2063" i="57"/>
  <c r="D2011" i="57"/>
  <c r="D1950" i="57"/>
  <c r="D1776" i="57"/>
  <c r="D2480" i="57"/>
  <c r="D2437" i="57"/>
  <c r="D2390" i="57"/>
  <c r="D2339" i="57"/>
  <c r="D2286" i="57"/>
  <c r="D2234" i="57"/>
  <c r="D2183" i="57"/>
  <c r="D2131" i="57"/>
  <c r="D2080" i="57"/>
  <c r="D2027" i="57"/>
  <c r="D1975" i="57"/>
  <c r="D1836" i="57"/>
  <c r="D2446" i="57"/>
  <c r="D2410" i="57"/>
  <c r="D2366" i="57"/>
  <c r="D2323" i="57"/>
  <c r="D2280" i="57"/>
  <c r="D2237" i="57"/>
  <c r="D2194" i="57"/>
  <c r="D2150" i="57"/>
  <c r="D2107" i="57"/>
  <c r="D2064" i="57"/>
  <c r="D2021" i="57"/>
  <c r="D1978" i="57"/>
  <c r="D1872" i="57"/>
  <c r="D1831" i="57"/>
  <c r="D2397" i="57"/>
  <c r="D2361" i="57"/>
  <c r="D2325" i="57"/>
  <c r="D2289" i="57"/>
  <c r="D2253" i="57"/>
  <c r="D2217" i="57"/>
  <c r="D2181" i="57"/>
  <c r="D2145" i="57"/>
  <c r="D2109" i="57"/>
  <c r="D2073" i="57"/>
  <c r="D2037" i="57"/>
  <c r="D2001" i="57"/>
  <c r="D1963" i="57"/>
  <c r="D1855" i="57"/>
  <c r="D1959" i="57"/>
  <c r="D1923" i="57"/>
  <c r="D1887" i="57"/>
  <c r="D1851" i="57"/>
  <c r="D1815" i="57"/>
  <c r="D1779" i="57"/>
  <c r="D1743" i="57"/>
  <c r="D1707" i="57"/>
  <c r="D1671" i="57"/>
  <c r="D1635" i="57"/>
  <c r="D1599" i="57"/>
  <c r="D1563" i="57"/>
  <c r="D1527" i="57"/>
  <c r="D1491" i="57"/>
  <c r="D1964" i="57"/>
  <c r="D1928" i="57"/>
  <c r="D1892" i="57"/>
  <c r="D1856" i="57"/>
  <c r="D1820" i="57"/>
  <c r="D1784" i="57"/>
  <c r="D1748" i="57"/>
  <c r="D1712" i="57"/>
  <c r="D1676" i="57"/>
  <c r="D1640" i="57"/>
  <c r="D1604" i="57"/>
  <c r="D1568" i="57"/>
  <c r="D1532" i="57"/>
  <c r="D1496" i="57"/>
  <c r="D1460" i="57"/>
  <c r="D1735" i="57"/>
  <c r="D1699" i="57"/>
  <c r="D1663" i="57"/>
  <c r="D1627" i="57"/>
  <c r="D1591" i="57"/>
  <c r="D1555" i="57"/>
  <c r="D1519" i="57"/>
  <c r="D1483" i="57"/>
  <c r="D1758" i="57"/>
  <c r="D1722" i="57"/>
  <c r="D1686" i="57"/>
  <c r="D1650" i="57"/>
  <c r="D1614" i="57"/>
  <c r="D1578" i="57"/>
  <c r="D1542" i="57"/>
  <c r="D1506" i="57"/>
  <c r="D1470" i="57"/>
  <c r="D1943" i="57"/>
  <c r="D1907" i="57"/>
  <c r="D1871" i="57"/>
  <c r="D1835" i="57"/>
  <c r="D1799" i="57"/>
  <c r="D1763" i="57"/>
  <c r="D1727" i="57"/>
  <c r="D1691" i="57"/>
  <c r="D1655" i="57"/>
  <c r="D1619" i="57"/>
  <c r="D1583" i="57"/>
  <c r="D1547" i="57"/>
  <c r="D1511" i="57"/>
  <c r="D1475" i="57"/>
  <c r="D1948" i="57"/>
  <c r="D1912" i="57"/>
  <c r="D1876" i="57"/>
  <c r="D1840" i="57"/>
  <c r="D1804" i="57"/>
  <c r="D1768" i="57"/>
  <c r="D1732" i="57"/>
  <c r="D1696" i="57"/>
  <c r="D1660" i="57"/>
  <c r="D1624" i="57"/>
  <c r="D1588" i="57"/>
  <c r="D1552" i="57"/>
  <c r="D1516" i="57"/>
  <c r="D1480" i="57"/>
  <c r="D2396" i="57"/>
  <c r="D2370" i="57"/>
  <c r="D2412" i="57"/>
  <c r="D2427" i="57"/>
  <c r="D2449" i="57"/>
  <c r="D2299" i="57"/>
  <c r="D2448" i="57"/>
  <c r="D2461" i="57"/>
  <c r="D2368" i="57"/>
  <c r="D2465" i="57"/>
  <c r="D2421" i="57"/>
  <c r="D2371" i="57"/>
  <c r="D2320" i="57"/>
  <c r="D2268" i="57"/>
  <c r="D2216" i="57"/>
  <c r="D2164" i="57"/>
  <c r="D2112" i="57"/>
  <c r="D2060" i="57"/>
  <c r="D2009" i="57"/>
  <c r="D1939" i="57"/>
  <c r="D2292" i="57"/>
  <c r="D2240" i="57"/>
  <c r="D2189" i="57"/>
  <c r="D2137" i="57"/>
  <c r="D2084" i="57"/>
  <c r="D2033" i="57"/>
  <c r="D1981" i="57"/>
  <c r="D1860" i="57"/>
  <c r="D2264" i="57"/>
  <c r="D2213" i="57"/>
  <c r="D2161" i="57"/>
  <c r="D2110" i="57"/>
  <c r="D2058" i="57"/>
  <c r="D2005" i="57"/>
  <c r="D1932" i="57"/>
  <c r="D2306" i="57"/>
  <c r="D2255" i="57"/>
  <c r="D2203" i="57"/>
  <c r="D2152" i="57"/>
  <c r="D2099" i="57"/>
  <c r="D2047" i="57"/>
  <c r="D1996" i="57"/>
  <c r="D1902" i="57"/>
  <c r="D2460" i="57"/>
  <c r="D2417" i="57"/>
  <c r="D2365" i="57"/>
  <c r="D2314" i="57"/>
  <c r="D2262" i="57"/>
  <c r="D2210" i="57"/>
  <c r="D2159" i="57"/>
  <c r="D2106" i="57"/>
  <c r="D2054" i="57"/>
  <c r="D2003" i="57"/>
  <c r="D1921" i="57"/>
  <c r="D2473" i="57"/>
  <c r="D2430" i="57"/>
  <c r="D2382" i="57"/>
  <c r="D2329" i="57"/>
  <c r="D2278" i="57"/>
  <c r="D2226" i="57"/>
  <c r="D2174" i="57"/>
  <c r="D2123" i="57"/>
  <c r="D2070" i="57"/>
  <c r="D2018" i="57"/>
  <c r="D1967" i="57"/>
  <c r="D1800" i="57"/>
  <c r="D2476" i="57"/>
  <c r="D2440" i="57"/>
  <c r="D2402" i="57"/>
  <c r="D2359" i="57"/>
  <c r="D2316" i="57"/>
  <c r="D2273" i="57"/>
  <c r="D2230" i="57"/>
  <c r="D2186" i="57"/>
  <c r="D2143" i="57"/>
  <c r="D2100" i="57"/>
  <c r="D2057" i="57"/>
  <c r="D2014" i="57"/>
  <c r="D1970" i="57"/>
  <c r="D1849" i="57"/>
  <c r="D1812" i="57"/>
  <c r="D2391" i="57"/>
  <c r="D2355" i="57"/>
  <c r="D2319" i="57"/>
  <c r="D2283" i="57"/>
  <c r="D2247" i="57"/>
  <c r="D2211" i="57"/>
  <c r="D2175" i="57"/>
  <c r="D2139" i="57"/>
  <c r="D2103" i="57"/>
  <c r="D2067" i="57"/>
  <c r="D2031" i="57"/>
  <c r="D1995" i="57"/>
  <c r="D1945" i="57"/>
  <c r="D1837" i="57"/>
  <c r="D1953" i="57"/>
  <c r="D1917" i="57"/>
  <c r="D1881" i="57"/>
  <c r="D1845" i="57"/>
  <c r="D1809" i="57"/>
  <c r="D1773" i="57"/>
  <c r="D1737" i="57"/>
  <c r="D1701" i="57"/>
  <c r="D1665" i="57"/>
  <c r="D1629" i="57"/>
  <c r="D1593" i="57"/>
  <c r="D1557" i="57"/>
  <c r="D1521" i="57"/>
  <c r="D1485" i="57"/>
  <c r="D1958" i="57"/>
  <c r="D1922" i="57"/>
  <c r="D1886" i="57"/>
  <c r="D1850" i="57"/>
  <c r="D1814" i="57"/>
  <c r="D1778" i="57"/>
  <c r="D1742" i="57"/>
  <c r="D1706" i="57"/>
  <c r="D1670" i="57"/>
  <c r="D1634" i="57"/>
  <c r="D1598" i="57"/>
  <c r="D1562" i="57"/>
  <c r="D1526" i="57"/>
  <c r="D1490" i="57"/>
  <c r="D1765" i="57"/>
  <c r="D1729" i="57"/>
  <c r="D1693" i="57"/>
  <c r="D1657" i="57"/>
  <c r="D1621" i="57"/>
  <c r="D1585" i="57"/>
  <c r="D1549" i="57"/>
  <c r="D1513" i="57"/>
  <c r="D1477" i="57"/>
  <c r="D1752" i="57"/>
  <c r="D1716" i="57"/>
  <c r="D1680" i="57"/>
  <c r="D1644" i="57"/>
  <c r="D1608" i="57"/>
  <c r="D1572" i="57"/>
  <c r="D1536" i="57"/>
  <c r="D1500" i="57"/>
  <c r="D1464" i="57"/>
  <c r="D1937" i="57"/>
  <c r="D1901" i="57"/>
  <c r="D1865" i="57"/>
  <c r="D1829" i="57"/>
  <c r="D1793" i="57"/>
  <c r="D1757" i="57"/>
  <c r="D1721" i="57"/>
  <c r="D1685" i="57"/>
  <c r="D1649" i="57"/>
  <c r="D1613" i="57"/>
  <c r="D1577" i="57"/>
  <c r="D1541" i="57"/>
  <c r="D1505" i="57"/>
  <c r="D1469" i="57"/>
  <c r="D1942" i="57"/>
  <c r="D1906" i="57"/>
  <c r="D1870" i="57"/>
  <c r="D1834" i="57"/>
  <c r="D1798" i="57"/>
  <c r="D1762" i="57"/>
  <c r="D1726" i="57"/>
  <c r="D1690" i="57"/>
  <c r="D1654" i="57"/>
  <c r="D1618" i="57"/>
  <c r="D1582" i="57"/>
  <c r="D1546" i="57"/>
  <c r="D1510" i="57"/>
  <c r="D1474" i="57"/>
  <c r="D2376" i="57"/>
  <c r="D2342" i="57"/>
  <c r="D2362" i="57"/>
  <c r="D2426" i="57"/>
  <c r="D2433" i="57"/>
  <c r="D2334" i="57"/>
  <c r="D2447" i="57"/>
  <c r="D2350" i="57"/>
  <c r="D2457" i="57"/>
  <c r="D2414" i="57"/>
  <c r="D2363" i="57"/>
  <c r="D2311" i="57"/>
  <c r="D2260" i="57"/>
  <c r="D2207" i="57"/>
  <c r="D2155" i="57"/>
  <c r="D2104" i="57"/>
  <c r="D2052" i="57"/>
  <c r="D2000" i="57"/>
  <c r="D1914" i="57"/>
  <c r="D2284" i="57"/>
  <c r="D2232" i="57"/>
  <c r="D2180" i="57"/>
  <c r="D2128" i="57"/>
  <c r="D2076" i="57"/>
  <c r="D2024" i="57"/>
  <c r="D1973" i="57"/>
  <c r="D1824" i="57"/>
  <c r="D2256" i="57"/>
  <c r="D2204" i="57"/>
  <c r="D2153" i="57"/>
  <c r="D2101" i="57"/>
  <c r="D2048" i="57"/>
  <c r="D1997" i="57"/>
  <c r="D1903" i="57"/>
  <c r="D2298" i="57"/>
  <c r="D2246" i="57"/>
  <c r="D2195" i="57"/>
  <c r="D2142" i="57"/>
  <c r="D2090" i="57"/>
  <c r="D2039" i="57"/>
  <c r="D1987" i="57"/>
  <c r="D1878" i="57"/>
  <c r="D2453" i="57"/>
  <c r="D2408" i="57"/>
  <c r="D2357" i="57"/>
  <c r="D2305" i="57"/>
  <c r="D2254" i="57"/>
  <c r="D2202" i="57"/>
  <c r="D2149" i="57"/>
  <c r="D2098" i="57"/>
  <c r="D2046" i="57"/>
  <c r="D1994" i="57"/>
  <c r="D1897" i="57"/>
  <c r="D2466" i="57"/>
  <c r="D2423" i="57"/>
  <c r="D2372" i="57"/>
  <c r="D2321" i="57"/>
  <c r="D2269" i="57"/>
  <c r="D2218" i="57"/>
  <c r="D2166" i="57"/>
  <c r="D2113" i="57"/>
  <c r="D2062" i="57"/>
  <c r="D2010" i="57"/>
  <c r="D1944" i="57"/>
  <c r="D1771" i="57"/>
  <c r="D2470" i="57"/>
  <c r="D2434" i="57"/>
  <c r="D2395" i="57"/>
  <c r="D2352" i="57"/>
  <c r="D2309" i="57"/>
  <c r="D2266" i="57"/>
  <c r="D2222" i="57"/>
  <c r="D2179" i="57"/>
  <c r="D2136" i="57"/>
  <c r="D2093" i="57"/>
  <c r="D2050" i="57"/>
  <c r="D2006" i="57"/>
  <c r="D1957" i="57"/>
  <c r="D1830" i="57"/>
  <c r="D1789" i="57"/>
  <c r="D2385" i="57"/>
  <c r="D2349" i="57"/>
  <c r="D2313" i="57"/>
  <c r="D2277" i="57"/>
  <c r="D2241" i="57"/>
  <c r="D2205" i="57"/>
  <c r="D2169" i="57"/>
  <c r="D2133" i="57"/>
  <c r="D2097" i="57"/>
  <c r="D2061" i="57"/>
  <c r="D2025" i="57"/>
  <c r="D1989" i="57"/>
  <c r="D1927" i="57"/>
  <c r="D1819" i="57"/>
  <c r="D1947" i="57"/>
  <c r="D1911" i="57"/>
  <c r="D1875" i="57"/>
  <c r="D1839" i="57"/>
  <c r="D1803" i="57"/>
  <c r="D1767" i="57"/>
  <c r="D1731" i="57"/>
  <c r="D1695" i="57"/>
  <c r="D1659" i="57"/>
  <c r="D1623" i="57"/>
  <c r="D1587" i="57"/>
  <c r="D1551" i="57"/>
  <c r="D1515" i="57"/>
  <c r="D1479" i="57"/>
  <c r="D1952" i="57"/>
  <c r="D1916" i="57"/>
  <c r="D1880" i="57"/>
  <c r="D1844" i="57"/>
  <c r="D1808" i="57"/>
  <c r="D1772" i="57"/>
  <c r="D1736" i="57"/>
  <c r="D1700" i="57"/>
  <c r="D1664" i="57"/>
  <c r="D1628" i="57"/>
  <c r="D1592" i="57"/>
  <c r="D1556" i="57"/>
  <c r="D1520" i="57"/>
  <c r="D1484" i="57"/>
  <c r="D1759" i="57"/>
  <c r="D1723" i="57"/>
  <c r="D1687" i="57"/>
  <c r="D1651" i="57"/>
  <c r="D1615" i="57"/>
  <c r="D1579" i="57"/>
  <c r="D1543" i="57"/>
  <c r="D1507" i="57"/>
  <c r="D1471" i="57"/>
  <c r="D1746" i="57"/>
  <c r="D1710" i="57"/>
  <c r="D1674" i="57"/>
  <c r="D1638" i="57"/>
  <c r="D1602" i="57"/>
  <c r="D1566" i="57"/>
  <c r="D1530" i="57"/>
  <c r="D1494" i="57"/>
  <c r="D1458" i="57"/>
  <c r="D1931" i="57"/>
  <c r="D1895" i="57"/>
  <c r="D1859" i="57"/>
  <c r="D1823" i="57"/>
  <c r="D1787" i="57"/>
  <c r="D1751" i="57"/>
  <c r="D1715" i="57"/>
  <c r="D1679" i="57"/>
  <c r="D1643" i="57"/>
  <c r="D1607" i="57"/>
  <c r="D1571" i="57"/>
  <c r="D1535" i="57"/>
  <c r="D1499" i="57"/>
  <c r="D1463" i="57"/>
  <c r="D1936" i="57"/>
  <c r="D1900" i="57"/>
  <c r="D1864" i="57"/>
  <c r="D1828" i="57"/>
  <c r="D1792" i="57"/>
  <c r="D1756" i="57"/>
  <c r="D1720" i="57"/>
  <c r="D1684" i="57"/>
  <c r="D1648" i="57"/>
  <c r="D1612" i="57"/>
  <c r="D1576" i="57"/>
  <c r="D1540" i="57"/>
  <c r="D1504" i="57"/>
  <c r="D1468" i="57"/>
  <c r="D2344" i="57"/>
  <c r="D2463" i="57"/>
  <c r="D2318" i="57"/>
  <c r="D2341" i="57"/>
  <c r="D2360" i="57"/>
  <c r="D2378" i="57"/>
  <c r="D2419" i="57"/>
  <c r="D2317" i="57"/>
  <c r="D2432" i="57"/>
  <c r="D2450" i="57"/>
  <c r="D2406" i="57"/>
  <c r="D2354" i="57"/>
  <c r="D2303" i="57"/>
  <c r="D2250" i="57"/>
  <c r="D2198" i="57"/>
  <c r="D2147" i="57"/>
  <c r="D2095" i="57"/>
  <c r="D2044" i="57"/>
  <c r="D1991" i="57"/>
  <c r="D1885" i="57"/>
  <c r="D2275" i="57"/>
  <c r="D2224" i="57"/>
  <c r="D2171" i="57"/>
  <c r="D2119" i="57"/>
  <c r="D2068" i="57"/>
  <c r="D2016" i="57"/>
  <c r="D1962" i="57"/>
  <c r="D1794" i="57"/>
  <c r="D2248" i="57"/>
  <c r="D2196" i="57"/>
  <c r="D2144" i="57"/>
  <c r="D2092" i="57"/>
  <c r="D2040" i="57"/>
  <c r="D1988" i="57"/>
  <c r="D1879" i="57"/>
  <c r="D2290" i="57"/>
  <c r="D2238" i="57"/>
  <c r="D2185" i="57"/>
  <c r="D2134" i="57"/>
  <c r="D2082" i="57"/>
  <c r="D2030" i="57"/>
  <c r="D1979" i="57"/>
  <c r="D1843" i="57"/>
  <c r="D2445" i="57"/>
  <c r="D2400" i="57"/>
  <c r="D2348" i="57"/>
  <c r="D2297" i="57"/>
  <c r="D2245" i="57"/>
  <c r="D2192" i="57"/>
  <c r="D2141" i="57"/>
  <c r="D2089" i="57"/>
  <c r="D2038" i="57"/>
  <c r="D1986" i="57"/>
  <c r="D1867" i="57"/>
  <c r="D2459" i="57"/>
  <c r="D2415" i="57"/>
  <c r="D2364" i="57"/>
  <c r="D2312" i="57"/>
  <c r="D2261" i="57"/>
  <c r="D2209" i="57"/>
  <c r="D2156" i="57"/>
  <c r="D2105" i="57"/>
  <c r="D2053" i="57"/>
  <c r="D2002" i="57"/>
  <c r="D1920" i="57"/>
  <c r="D2464" i="57"/>
  <c r="D2428" i="57"/>
  <c r="D2388" i="57"/>
  <c r="D2345" i="57"/>
  <c r="D2302" i="57"/>
  <c r="D2258" i="57"/>
  <c r="D2215" i="57"/>
  <c r="D2172" i="57"/>
  <c r="D2129" i="57"/>
  <c r="D2086" i="57"/>
  <c r="D2042" i="57"/>
  <c r="D1999" i="57"/>
  <c r="D1938" i="57"/>
  <c r="D1807" i="57"/>
  <c r="D1770" i="57"/>
  <c r="D2379" i="57"/>
  <c r="D2343" i="57"/>
  <c r="D2307" i="57"/>
  <c r="D2271" i="57"/>
  <c r="D2235" i="57"/>
  <c r="D2199" i="57"/>
  <c r="D2163" i="57"/>
  <c r="D2127" i="57"/>
  <c r="D2091" i="57"/>
  <c r="D2055" i="57"/>
  <c r="D2019" i="57"/>
  <c r="D1983" i="57"/>
  <c r="D1909" i="57"/>
  <c r="D1801" i="57"/>
  <c r="D1941" i="57"/>
  <c r="D1905" i="57"/>
  <c r="D1869" i="57"/>
  <c r="D1833" i="57"/>
  <c r="D1797" i="57"/>
  <c r="D1761" i="57"/>
  <c r="D1725" i="57"/>
  <c r="D1689" i="57"/>
  <c r="D1653" i="57"/>
  <c r="D1617" i="57"/>
  <c r="D1581" i="57"/>
  <c r="D1545" i="57"/>
  <c r="D1509" i="57"/>
  <c r="D1473" i="57"/>
  <c r="D1946" i="57"/>
  <c r="D1910" i="57"/>
  <c r="D1874" i="57"/>
  <c r="D1838" i="57"/>
  <c r="D1802" i="57"/>
  <c r="D1766" i="57"/>
  <c r="D1730" i="57"/>
  <c r="D1694" i="57"/>
  <c r="D1658" i="57"/>
  <c r="D1622" i="57"/>
  <c r="D1586" i="57"/>
  <c r="D1550" i="57"/>
  <c r="D1514" i="57"/>
  <c r="D1478" i="57"/>
  <c r="D1753" i="57"/>
  <c r="D1717" i="57"/>
  <c r="D1681" i="57"/>
  <c r="D1645" i="57"/>
  <c r="D1609" i="57"/>
  <c r="D1573" i="57"/>
  <c r="D1537" i="57"/>
  <c r="D1501" i="57"/>
  <c r="D1465" i="57"/>
  <c r="D1740" i="57"/>
  <c r="D1704" i="57"/>
  <c r="D1668" i="57"/>
  <c r="D1632" i="57"/>
  <c r="D1596" i="57"/>
  <c r="D1560" i="57"/>
  <c r="D1524" i="57"/>
  <c r="D1488" i="57"/>
  <c r="D1961" i="57"/>
  <c r="D1925" i="57"/>
  <c r="D1889" i="57"/>
  <c r="D1853" i="57"/>
  <c r="D1817" i="57"/>
  <c r="D1781" i="57"/>
  <c r="D1745" i="57"/>
  <c r="D1709" i="57"/>
  <c r="D1673" i="57"/>
  <c r="D1637" i="57"/>
  <c r="D1601" i="57"/>
  <c r="D1565" i="57"/>
  <c r="D1529" i="57"/>
  <c r="D1493" i="57"/>
  <c r="D1457" i="57"/>
  <c r="D1930" i="57"/>
  <c r="D1894" i="57"/>
  <c r="D1858" i="57"/>
  <c r="D1822" i="57"/>
  <c r="D1786" i="57"/>
  <c r="D1750" i="57"/>
  <c r="D1714" i="57"/>
  <c r="D1678" i="57"/>
  <c r="D1642" i="57"/>
  <c r="D1606" i="57"/>
  <c r="D1570" i="57"/>
  <c r="D1534" i="57"/>
  <c r="D1498" i="57"/>
  <c r="D1462" i="57"/>
  <c r="D2468" i="57"/>
  <c r="D2324" i="57"/>
  <c r="D2456" i="57"/>
  <c r="D2310" i="57"/>
  <c r="D2478" i="57"/>
  <c r="D2335" i="57"/>
  <c r="D2358" i="57"/>
  <c r="D2377" i="57"/>
  <c r="D2404" i="57"/>
  <c r="D2418" i="57"/>
  <c r="D2443" i="57"/>
  <c r="D2398" i="57"/>
  <c r="D2346" i="57"/>
  <c r="D2293" i="57"/>
  <c r="D2242" i="57"/>
  <c r="D2190" i="57"/>
  <c r="D2138" i="57"/>
  <c r="D2087" i="57"/>
  <c r="D2034" i="57"/>
  <c r="D1982" i="57"/>
  <c r="D1861" i="57"/>
  <c r="D2267" i="57"/>
  <c r="D2214" i="57"/>
  <c r="D2162" i="57"/>
  <c r="D2111" i="57"/>
  <c r="D2059" i="57"/>
  <c r="D2008" i="57"/>
  <c r="D1933" i="57"/>
  <c r="D2291" i="57"/>
  <c r="D2239" i="57"/>
  <c r="D2188" i="57"/>
  <c r="D2135" i="57"/>
  <c r="D2083" i="57"/>
  <c r="D2032" i="57"/>
  <c r="D1980" i="57"/>
  <c r="D1848" i="57"/>
  <c r="D2281" i="57"/>
  <c r="D2228" i="57"/>
  <c r="D2177" i="57"/>
  <c r="D2125" i="57"/>
  <c r="D2074" i="57"/>
  <c r="D2022" i="57"/>
  <c r="D1969" i="57"/>
  <c r="D1813" i="57"/>
  <c r="D2481" i="57"/>
  <c r="D2438" i="57"/>
  <c r="D2392" i="57"/>
  <c r="D2340" i="57"/>
  <c r="D2288" i="57"/>
  <c r="D2236" i="57"/>
  <c r="D2184" i="57"/>
  <c r="D2132" i="57"/>
  <c r="D2081" i="57"/>
  <c r="D2029" i="57"/>
  <c r="D1976" i="57"/>
  <c r="D1842" i="57"/>
  <c r="D2451" i="57"/>
  <c r="D2407" i="57"/>
  <c r="D2356" i="57"/>
  <c r="D2304" i="57"/>
  <c r="D2252" i="57"/>
  <c r="D2200" i="57"/>
  <c r="D2148" i="57"/>
  <c r="D2096" i="57"/>
  <c r="D2045" i="57"/>
  <c r="D1993" i="57"/>
  <c r="D1890" i="57"/>
  <c r="D2458" i="57"/>
  <c r="D2422" i="57"/>
  <c r="D2381" i="57"/>
  <c r="D2338" i="57"/>
  <c r="D2294" i="57"/>
  <c r="D2251" i="57"/>
  <c r="D2208" i="57"/>
  <c r="D2165" i="57"/>
  <c r="D2122" i="57"/>
  <c r="D2078" i="57"/>
  <c r="D2035" i="57"/>
  <c r="D1992" i="57"/>
  <c r="D1915" i="57"/>
  <c r="D1788" i="57"/>
  <c r="D2409" i="57"/>
  <c r="D2373" i="57"/>
  <c r="D2337" i="57"/>
  <c r="D2301" i="57"/>
  <c r="D2265" i="57"/>
  <c r="D2229" i="57"/>
  <c r="D2193" i="57"/>
  <c r="D2157" i="57"/>
  <c r="D2121" i="57"/>
  <c r="D2085" i="57"/>
  <c r="D2049" i="57"/>
  <c r="D2013" i="57"/>
  <c r="D1977" i="57"/>
  <c r="D1891" i="57"/>
  <c r="D1783" i="57"/>
  <c r="D1935" i="57"/>
  <c r="D1899" i="57"/>
  <c r="D1863" i="57"/>
  <c r="D1827" i="57"/>
  <c r="D1791" i="57"/>
  <c r="D1755" i="57"/>
  <c r="D1719" i="57"/>
  <c r="D1683" i="57"/>
  <c r="D1647" i="57"/>
  <c r="D1611" i="57"/>
  <c r="D1575" i="57"/>
  <c r="D1539" i="57"/>
  <c r="D1503" i="57"/>
  <c r="D1467" i="57"/>
  <c r="D1940" i="57"/>
  <c r="D1904" i="57"/>
  <c r="D1868" i="57"/>
  <c r="D1832" i="57"/>
  <c r="D1796" i="57"/>
  <c r="D1760" i="57"/>
  <c r="D1724" i="57"/>
  <c r="D1688" i="57"/>
  <c r="D1652" i="57"/>
  <c r="D1616" i="57"/>
  <c r="D1580" i="57"/>
  <c r="D1544" i="57"/>
  <c r="D1508" i="57"/>
  <c r="D1472" i="57"/>
  <c r="D1747" i="57"/>
  <c r="D1711" i="57"/>
  <c r="D1675" i="57"/>
  <c r="D1639" i="57"/>
  <c r="D1603" i="57"/>
  <c r="D1567" i="57"/>
  <c r="D1531" i="57"/>
  <c r="D1495" i="57"/>
  <c r="D1459" i="57"/>
  <c r="D1734" i="57"/>
  <c r="D1698" i="57"/>
  <c r="D1662" i="57"/>
  <c r="D1626" i="57"/>
  <c r="D1590" i="57"/>
  <c r="D1554" i="57"/>
  <c r="D1518" i="57"/>
  <c r="D1482" i="57"/>
  <c r="D1955" i="57"/>
  <c r="D1919" i="57"/>
  <c r="D1883" i="57"/>
  <c r="D1847" i="57"/>
  <c r="D1811" i="57"/>
  <c r="D1775" i="57"/>
  <c r="D1739" i="57"/>
  <c r="D1703" i="57"/>
  <c r="D1667" i="57"/>
  <c r="D1631" i="57"/>
  <c r="D1595" i="57"/>
  <c r="D1559" i="57"/>
  <c r="D1523" i="57"/>
  <c r="D1487" i="57"/>
  <c r="D1960" i="57"/>
  <c r="D1924" i="57"/>
  <c r="D1888" i="57"/>
  <c r="D1852" i="57"/>
  <c r="D1816" i="57"/>
  <c r="D1780" i="57"/>
  <c r="D1744" i="57"/>
  <c r="D1708" i="57"/>
  <c r="D1672" i="57"/>
  <c r="D1636" i="57"/>
  <c r="D1600" i="57"/>
  <c r="D1564" i="57"/>
  <c r="D1528" i="57"/>
  <c r="D1492" i="57"/>
  <c r="D1456" i="57"/>
  <c r="D1449" i="57"/>
  <c r="D1450" i="57"/>
  <c r="D1454" i="57"/>
  <c r="D1452" i="57"/>
  <c r="D1448" i="57"/>
  <c r="D1455" i="57"/>
  <c r="G2387" i="57" l="1" a="1"/>
  <c r="G2387" i="57" s="1"/>
  <c r="F2387" i="57" a="1"/>
  <c r="F2387" i="57" s="1"/>
  <c r="G16" i="57" a="1"/>
  <c r="G16" i="57" s="1"/>
  <c r="F16" i="57" a="1"/>
  <c r="F16" i="57" s="1"/>
  <c r="ET11" i="42" l="1" a="1"/>
  <c r="ET11" i="42" s="1"/>
  <c r="AQ10" i="42" a="1"/>
  <c r="AQ10" i="42" s="1"/>
  <c r="ET9" i="42" l="1" a="1"/>
  <c r="ET9" i="42" s="1"/>
  <c r="ET31" i="42" s="1" a="1"/>
  <c r="ET31" i="42" s="1"/>
  <c r="BP10" i="42" a="1"/>
  <c r="BP10" i="42" s="1"/>
  <c r="A53" i="42" a="1"/>
  <c r="A53" i="42" s="1"/>
  <c r="AQ16" i="42"/>
  <c r="CE10" i="42" s="1" a="1"/>
  <c r="CE10" i="42" s="1"/>
  <c r="AQ12" i="42"/>
  <c r="EM20" i="42"/>
  <c r="ET58" i="42"/>
  <c r="BW10" i="42" l="1" a="1"/>
  <c r="BW10" i="42" s="1"/>
  <c r="BM10" i="42" a="1"/>
  <c r="BM10" i="42" s="1"/>
  <c r="DN10" i="42" a="1"/>
  <c r="DN10" i="42" s="1"/>
  <c r="CS10" i="42" a="1"/>
  <c r="CS10" i="42" s="1"/>
  <c r="CW10" i="42" s="1" a="1"/>
  <c r="CW10" i="42" s="1"/>
  <c r="ET47" i="42" a="1"/>
  <c r="ET47" i="42" s="1"/>
  <c r="CP24" i="42"/>
  <c r="DE10" i="42" s="1" a="1"/>
  <c r="DE10" i="42" s="1"/>
  <c r="ET10" i="42" a="1"/>
  <c r="ET10" i="42" s="1"/>
  <c r="ET14" i="42" s="1" a="1"/>
  <c r="ET14" i="42" s="1"/>
  <c r="CG10" i="42" a="1"/>
  <c r="CG10" i="42" s="1"/>
  <c r="CF10" i="42" a="1"/>
  <c r="CF10" i="42" s="1"/>
  <c r="AQ14" i="42"/>
  <c r="ET75" i="42" l="1" a="1"/>
  <c r="ET75" i="42" s="1"/>
  <c r="AQ24" i="42" s="1"/>
  <c r="C30" i="42" a="1"/>
  <c r="C30" i="42" s="1"/>
  <c r="DO10" i="42" a="1"/>
  <c r="DO10" i="42" s="1"/>
  <c r="C3" i="58" s="1" a="1"/>
  <c r="C3" i="58" s="1"/>
  <c r="DQ10" i="42" a="1"/>
  <c r="DQ10" i="42" s="1"/>
  <c r="DP10" i="42" a="1"/>
  <c r="DP10" i="42" s="1"/>
  <c r="DS10" i="42" a="1"/>
  <c r="DS10" i="42" s="1"/>
  <c r="DT10" i="42" a="1"/>
  <c r="DT10" i="42" s="1"/>
  <c r="DR10" i="42" a="1"/>
  <c r="DR10" i="42" s="1"/>
  <c r="D3" i="58" s="1" a="1"/>
  <c r="D3" i="58" s="1"/>
  <c r="DF10" i="42" a="1"/>
  <c r="DF10" i="42" s="1"/>
  <c r="EU46" i="42" a="1"/>
  <c r="EU46" i="42" s="1"/>
  <c r="ET61" i="42" a="1"/>
  <c r="ET61" i="42" s="1"/>
  <c r="ET65" i="42" s="1"/>
  <c r="B45" i="42" s="1"/>
  <c r="CU10" i="42" a="1"/>
  <c r="CU10" i="42" s="1"/>
  <c r="AY10" i="42" a="1"/>
  <c r="AY10" i="42" s="1"/>
  <c r="BR10" i="42" a="1"/>
  <c r="BR10" i="42" s="1"/>
  <c r="ES75" i="42" a="1"/>
  <c r="ES75" i="42" s="1"/>
  <c r="EU75" i="42" s="1" a="1"/>
  <c r="EU75" i="42" s="1"/>
  <c r="BG12" i="42"/>
  <c r="BQ20" i="42"/>
  <c r="AX34" i="42"/>
  <c r="BC10" i="42" s="1" a="1"/>
  <c r="BC10" i="42" s="1"/>
  <c r="CQ10" i="42" a="1"/>
  <c r="CQ10" i="42" s="1"/>
  <c r="DX10" i="42" a="1"/>
  <c r="DX10" i="42" s="1"/>
  <c r="ED10" i="42" s="1" a="1"/>
  <c r="ED10" i="42" s="1"/>
  <c r="AR12" i="42"/>
  <c r="EF10" i="42" a="1"/>
  <c r="EF10" i="42" s="1"/>
  <c r="EL10" i="42" s="1" a="1"/>
  <c r="EL10" i="42" s="1"/>
  <c r="AS10" i="42" a="1"/>
  <c r="AS10" i="42" s="1"/>
  <c r="DJ10" i="42" a="1"/>
  <c r="DJ10" i="42" s="1"/>
  <c r="A3" i="58" a="1"/>
  <c r="A3" i="58" s="1"/>
  <c r="AQ26" i="42" l="1" a="1"/>
  <c r="AQ26" i="42" s="1"/>
  <c r="EH10" i="42" a="1"/>
  <c r="EH10" i="42" s="1"/>
  <c r="EN10" i="42" a="1"/>
  <c r="EN10" i="42" s="1"/>
  <c r="AQ20" i="42"/>
  <c r="AQ22" i="42"/>
  <c r="BS10" i="42" a="1"/>
  <c r="BS10" i="42" s="1"/>
  <c r="BT10" i="42" a="1"/>
  <c r="BT10" i="42" s="1"/>
  <c r="CV10" i="42" a="1"/>
  <c r="CV10" i="42" s="1"/>
  <c r="CX10" i="42" s="1" a="1"/>
  <c r="CX10" i="42" s="1"/>
  <c r="CY10" i="42" s="1" a="1"/>
  <c r="CY10" i="42" s="1"/>
  <c r="CZ10" i="42" a="1"/>
  <c r="CZ10" i="42" s="1"/>
  <c r="DA10" i="42" a="1"/>
  <c r="DA10" i="42" s="1"/>
  <c r="ET17" i="42" a="1"/>
  <c r="ET17" i="42" s="1"/>
  <c r="CR10" i="42" a="1"/>
  <c r="CR10" i="42" s="1"/>
  <c r="ET22" i="42" a="1"/>
  <c r="ET22" i="42" s="1"/>
  <c r="ET41" i="42" a="1"/>
  <c r="ET21" i="42" a="1"/>
  <c r="ET21" i="42" s="1"/>
  <c r="ET19" i="42" a="1"/>
  <c r="ET19" i="42" s="1"/>
  <c r="ET18" i="42" a="1"/>
  <c r="ET18" i="42" s="1"/>
  <c r="ET24" i="42" s="1" a="1"/>
  <c r="ET24" i="42" s="1"/>
  <c r="ET20" i="42" a="1"/>
  <c r="ET20" i="42" s="1"/>
  <c r="DH10" i="42" a="1"/>
  <c r="DH10" i="42" s="1"/>
  <c r="DL10" i="42" a="1"/>
  <c r="DL10" i="42" s="1"/>
  <c r="DG10" i="42" a="1"/>
  <c r="DG10" i="42" s="1"/>
  <c r="DC10" i="42" l="1" a="1"/>
  <c r="DC10" i="42" s="1"/>
  <c r="EM40" i="42"/>
  <c r="EQ10" i="42" a="1"/>
  <c r="EQ10" i="42" s="1"/>
  <c r="DK10" i="42" a="1"/>
  <c r="DK10" i="42" s="1"/>
  <c r="DU10" i="42" s="1" a="1"/>
  <c r="DU10" i="42" s="1"/>
  <c r="BU10" i="42" a="1"/>
  <c r="BU10" i="42" s="1"/>
  <c r="DI10" i="42" a="1"/>
  <c r="DI10" i="42" s="1"/>
  <c r="DM10" i="42" a="1"/>
  <c r="DM10" i="42" s="1"/>
  <c r="ET41" i="42"/>
  <c r="EM24" i="42"/>
  <c r="ET23" i="42" a="1"/>
  <c r="ET23" i="42" s="1"/>
  <c r="ET26" i="42" a="1"/>
  <c r="ET26" i="42" s="1"/>
  <c r="AR42" i="42" s="1"/>
  <c r="AR44" i="42" s="1"/>
  <c r="ET15" i="42" a="1"/>
  <c r="ET15" i="42" s="1"/>
  <c r="ET16" i="42" a="1"/>
  <c r="ET16" i="42" s="1"/>
  <c r="CT10" i="42" l="1" a="1"/>
  <c r="CT10" i="42" s="1"/>
  <c r="DB10" i="42" s="1" a="1"/>
  <c r="DB10" i="42" s="1"/>
  <c r="DD10" i="42" s="1" a="1"/>
  <c r="DD10" i="42" s="1"/>
  <c r="BX10" i="42" a="1"/>
  <c r="BX10" i="42" s="1"/>
  <c r="BZ10" i="42" a="1"/>
  <c r="BZ10" i="42" s="1"/>
  <c r="CP30" i="42"/>
  <c r="AT10" i="42" a="1"/>
  <c r="AT10" i="42" s="1"/>
  <c r="AR18" i="42" a="1"/>
  <c r="AR18" i="42" s="1"/>
  <c r="ET34" i="42" a="1"/>
  <c r="CP36" i="42" a="1"/>
  <c r="CP36" i="42" s="1"/>
  <c r="CP39" i="42" s="1" a="1"/>
  <c r="CP39" i="42" s="1"/>
  <c r="CP42" i="42" s="1" a="1"/>
  <c r="CP42" i="42" s="1"/>
  <c r="CP45" i="42" s="1" a="1"/>
  <c r="CP45" i="42" s="1"/>
  <c r="DV10" i="42" a="1"/>
  <c r="DV10" i="42" s="1"/>
  <c r="EM28" i="42"/>
  <c r="EM38" i="42" s="1"/>
  <c r="EM34" i="42"/>
  <c r="ET48" i="42" a="1"/>
  <c r="ET48" i="42" s="1"/>
  <c r="ET49" i="42" a="1"/>
  <c r="ET49" i="42" s="1"/>
  <c r="CH10" i="42" l="1" a="1"/>
  <c r="CH10" i="42" s="1"/>
  <c r="ET50" i="42" a="1"/>
  <c r="ET50" i="42" s="1"/>
  <c r="ET25" i="42" a="1"/>
  <c r="ET25" i="42" s="1"/>
  <c r="ET34" i="42"/>
  <c r="AX22" i="42" s="1"/>
  <c r="C40" i="42" s="1"/>
  <c r="EM22" i="42"/>
  <c r="AR20" i="42"/>
  <c r="AR10" i="42" s="1"/>
  <c r="AR38" i="42"/>
  <c r="AX36" i="42"/>
  <c r="BG32" i="42"/>
  <c r="AX30" i="42"/>
  <c r="BG30" i="42"/>
  <c r="AV10" i="42" a="1"/>
  <c r="AV10" i="42" s="1"/>
  <c r="AX38" i="42"/>
  <c r="AU10" i="42" a="1"/>
  <c r="AU10" i="42" s="1"/>
  <c r="CP48" i="42" a="1"/>
  <c r="CP48" i="42" s="1"/>
  <c r="CP10" i="42" s="1"/>
  <c r="BG34" i="42" l="1"/>
  <c r="BI10" i="42" s="1" a="1"/>
  <c r="BI10" i="42" s="1"/>
  <c r="BG48" i="42" s="1"/>
  <c r="AX40" i="42"/>
  <c r="BD10" i="42" s="1" a="1"/>
  <c r="BD10" i="42" s="1"/>
  <c r="AX54" i="42" s="1"/>
  <c r="BG22" i="42"/>
  <c r="D40" i="42" s="1"/>
  <c r="BV10" i="42" a="1"/>
  <c r="BV10" i="42" s="1"/>
  <c r="EG10" i="42" a="1"/>
  <c r="EG10" i="42" s="1"/>
  <c r="EI10" i="42" s="1" a="1"/>
  <c r="EI10" i="42" s="1"/>
  <c r="EJ10" i="42" s="1" a="1"/>
  <c r="EJ10" i="42" s="1"/>
  <c r="EP10" i="42" a="1"/>
  <c r="EP10" i="42" s="1"/>
  <c r="ET12" i="42" a="1"/>
  <c r="ET12" i="42" s="1"/>
  <c r="ET51" i="42" a="1"/>
  <c r="ET51" i="42" s="1"/>
  <c r="ET13" i="42" s="1" a="1"/>
  <c r="ET13" i="42" s="1"/>
  <c r="DZ10" i="42" a="1"/>
  <c r="DZ10" i="42" s="1"/>
  <c r="EO10" i="42" a="1"/>
  <c r="EO10" i="42" s="1"/>
  <c r="AR32" i="42"/>
  <c r="AR36" i="42" s="1"/>
  <c r="AR24" i="42" s="1"/>
  <c r="AR26" i="42" s="1"/>
  <c r="AR28" i="42" s="1"/>
  <c r="AR30" i="42"/>
  <c r="ET39" i="42" a="1"/>
  <c r="ET39" i="42" s="1"/>
  <c r="AW10" i="42" a="1"/>
  <c r="AW10" i="42" s="1"/>
  <c r="BB10" i="42" a="1"/>
  <c r="BB10" i="42" s="1"/>
  <c r="AX32" i="42" s="1"/>
  <c r="EM32" i="42"/>
  <c r="EM26" i="42"/>
  <c r="EM36" i="42" s="1"/>
  <c r="DY10" i="42" l="1" a="1"/>
  <c r="DY10" i="42" s="1"/>
  <c r="EA10" i="42" s="1" a="1"/>
  <c r="EA10" i="42" s="1"/>
  <c r="EB10" i="42" s="1" a="1"/>
  <c r="EB10" i="42" s="1"/>
  <c r="AZ10" i="42" a="1"/>
  <c r="AZ10" i="42" s="1"/>
  <c r="BA10" i="42" s="1" a="1"/>
  <c r="BA10" i="42" s="1"/>
  <c r="AX28" i="42" s="1"/>
  <c r="EM10" i="42"/>
  <c r="BL18" i="42" a="1"/>
  <c r="BL18" i="42" s="1"/>
  <c r="BL10" i="42" s="1"/>
  <c r="D53" i="42" a="1"/>
  <c r="D53" i="42" s="1"/>
  <c r="ET27" i="42" s="1" a="1"/>
  <c r="ET27" i="42" s="1"/>
  <c r="BN10" i="42" a="1"/>
  <c r="BN10" i="42" s="1"/>
  <c r="BO10" i="42" a="1"/>
  <c r="BO10" i="42" s="1"/>
  <c r="BY10" i="42" a="1"/>
  <c r="BY10" i="42" s="1"/>
  <c r="CB10" i="42" s="1" a="1"/>
  <c r="CB10" i="42" s="1"/>
  <c r="CA10" i="42" a="1"/>
  <c r="CA10" i="42" s="1"/>
  <c r="AR22" i="42"/>
  <c r="AR40" i="42"/>
  <c r="AR16" i="42" s="1"/>
  <c r="B40" i="42"/>
  <c r="EE22" i="42"/>
  <c r="EE20" i="42"/>
  <c r="B3" i="58" a="1"/>
  <c r="B3" i="58" s="1"/>
  <c r="EK10" i="42" l="1" a="1"/>
  <c r="EK10" i="42" s="1"/>
  <c r="DW20" i="42"/>
  <c r="DW22" i="42"/>
  <c r="BE10" i="42" a="1"/>
  <c r="BE10" i="42" s="1"/>
  <c r="BF10" i="42" a="1"/>
  <c r="BF10" i="42" s="1"/>
  <c r="BK10" i="42" a="1"/>
  <c r="BK10" i="42" s="1"/>
  <c r="AX26" i="42"/>
  <c r="C42" i="42" s="1"/>
  <c r="BG24" i="42"/>
  <c r="D41" i="42" s="1"/>
  <c r="AX24" i="42"/>
  <c r="C41" i="42" s="1"/>
  <c r="BG26" i="42"/>
  <c r="BJ10" i="42" a="1"/>
  <c r="BJ10" i="42" s="1"/>
  <c r="CD10" i="42" a="1"/>
  <c r="CD10" i="42" s="1"/>
  <c r="CC10" i="42" a="1"/>
  <c r="CC10" i="42" s="1"/>
  <c r="ET30" i="42" a="1"/>
  <c r="ET30" i="42" s="1"/>
  <c r="CM10" i="42" s="1" a="1"/>
  <c r="CM10" i="42" s="1"/>
  <c r="CN10" i="42" s="1" a="1"/>
  <c r="CN10" i="42" s="1"/>
  <c r="ET28" i="42"/>
  <c r="ET29" i="42" a="1"/>
  <c r="ET29" i="42" s="1"/>
  <c r="C53" i="42" s="1" a="1"/>
  <c r="C53" i="42" s="1"/>
  <c r="AR14" i="42"/>
  <c r="AX12" i="42"/>
  <c r="AX42" i="42" l="1" a="1"/>
  <c r="AX42" i="42" s="1"/>
  <c r="AX46" i="42" s="1"/>
  <c r="AX50" i="42" s="1"/>
  <c r="AX14" i="42" s="1"/>
  <c r="AQ28" i="42"/>
  <c r="EC10" i="42" a="1"/>
  <c r="EC10" i="42" s="1"/>
  <c r="BG36" i="42" a="1"/>
  <c r="BG36" i="42" s="1"/>
  <c r="BG40" i="42" s="1"/>
  <c r="AQ30" i="42"/>
  <c r="D42" i="42"/>
  <c r="CL10" i="42" a="1"/>
  <c r="CL10" i="42" s="1"/>
  <c r="CO10" i="42" s="1" a="1"/>
  <c r="CO10" i="42" s="1"/>
  <c r="CJ10" i="42" a="1"/>
  <c r="CJ10" i="42" s="1"/>
  <c r="CK10" i="42" s="1" a="1"/>
  <c r="CK10" i="42" s="1"/>
  <c r="BQ24" i="42" s="1"/>
  <c r="BQ30" i="42" s="1" a="1"/>
  <c r="BQ30" i="42" s="1"/>
  <c r="BQ34" i="42" s="1" a="1"/>
  <c r="BQ34" i="42" s="1"/>
  <c r="BQ28" i="42" s="1"/>
  <c r="BQ10" i="42" s="1"/>
  <c r="CI10" i="42" a="1"/>
  <c r="CI10" i="42" s="1"/>
  <c r="B49" i="42"/>
  <c r="ET54" i="42" a="1"/>
  <c r="ET54" i="42" s="1"/>
  <c r="ET68" i="42" s="1"/>
  <c r="AX52" i="42" l="1"/>
  <c r="AX16" i="42" s="1"/>
  <c r="AX48" i="42"/>
  <c r="AX20" i="42" s="1"/>
  <c r="BG42" i="42"/>
  <c r="BG20" i="42" s="1"/>
  <c r="BG44" i="42"/>
  <c r="BG14" i="42" s="1"/>
  <c r="BG46" i="42"/>
  <c r="BG16" i="42" s="1"/>
  <c r="ET55" i="42"/>
  <c r="ET60" i="42" s="1"/>
  <c r="ET56" i="42" a="1"/>
  <c r="ET56" i="42" s="1"/>
  <c r="ET63" i="42" l="1" a="1"/>
  <c r="ET63" i="42" s="1"/>
  <c r="ET67" i="42" s="1"/>
  <c r="B47" i="42" s="1"/>
  <c r="ET62" i="42" a="1"/>
  <c r="ET62" i="42" s="1"/>
  <c r="ET66" i="42" s="1"/>
  <c r="B46" i="42" s="1"/>
  <c r="ET64" i="42" a="1"/>
  <c r="ET64" i="42" s="1"/>
  <c r="ET69" i="42" s="1"/>
  <c r="B48" i="42"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<sst xmlns="http://schemas.openxmlformats.org/spreadsheetml/2006/main" count="519" uniqueCount="456">
  <si>
    <t>Gennemsnit</t>
  </si>
  <si>
    <t>Standardafvigelse</t>
  </si>
  <si>
    <t>Konfidensniveau</t>
  </si>
  <si>
    <t>Formålet er at fremme læring af beskrivende statistik og statistisk analyse.</t>
  </si>
  <si>
    <t>Overskrift input</t>
  </si>
  <si>
    <t>Analyse input</t>
  </si>
  <si>
    <t>Anvendelse af JBKstat</t>
  </si>
  <si>
    <t>Manual i brug af data arket</t>
  </si>
  <si>
    <t>Manual i brug af Lineær Regression arket</t>
  </si>
  <si>
    <t>Eksempel 1 (interval)</t>
  </si>
  <si>
    <t>Antal observationer</t>
  </si>
  <si>
    <t>Lineær regression</t>
  </si>
  <si>
    <t>Udarbejd en lineær regressionsmodel</t>
  </si>
  <si>
    <t>Konstant</t>
  </si>
  <si>
    <t>konstant</t>
  </si>
  <si>
    <t>Forudsigelsesinterval</t>
  </si>
  <si>
    <t>Konfidensinterval</t>
  </si>
  <si>
    <t>Residual</t>
  </si>
  <si>
    <t>Kvadreret residual</t>
  </si>
  <si>
    <t>Koefficient</t>
  </si>
  <si>
    <t>Afhængig variabel</t>
  </si>
  <si>
    <t>Signifikant</t>
  </si>
  <si>
    <t>Antal uafhængige variable</t>
  </si>
  <si>
    <t>x1</t>
  </si>
  <si>
    <t>1. Indsæt data i tabellen på data arket</t>
  </si>
  <si>
    <t xml:space="preserve">Gå til Manual i brug af Data arket                                          </t>
  </si>
  <si>
    <t xml:space="preserve">Gå til Data                                                                                             </t>
  </si>
  <si>
    <t xml:space="preserve">Gå til Manual i brug af Lineær Regression arket                                      </t>
  </si>
  <si>
    <t xml:space="preserve">Gå til Lineær Regression                                                                     </t>
  </si>
  <si>
    <t>Formål med JBKstat</t>
  </si>
  <si>
    <t>JBKstat er et værktøj til studerende på Erhvervsakademi Aarhus.</t>
  </si>
  <si>
    <t>1. Vælg et observationssæt, som er lineært afhængigt af andre observationssæt</t>
  </si>
  <si>
    <t>Alle variable kan vælges med drop-down menuer (se figur 3)</t>
  </si>
  <si>
    <t>2. Vælg op til 5 observationssæt, som kan bruges til at forudsige den afhængige variable</t>
  </si>
  <si>
    <t>3. Vælg et konfidensniveau til analysen</t>
  </si>
  <si>
    <t>95% som konfidensniveau er almindeligt, hvis ikke andet er nødvendigt</t>
  </si>
  <si>
    <t>Derfor anbefales det, at man eksperimenterer sig frem med udeladelse af variable</t>
  </si>
  <si>
    <t>Vær opmærksom på, at en variabel godt kan blive signifikant når en anden udelades</t>
  </si>
  <si>
    <t>En model er god, hvis alt hvad der er inkluderet er signifikant</t>
  </si>
  <si>
    <t>Hvis flere modeller opfylder dette kriterie, så anbefales det at vælge efter justeret R²</t>
  </si>
  <si>
    <t>En højere justeret R² værdi viser at modellen forklarer den afhængige variabel bedre</t>
  </si>
  <si>
    <t>De blå cirkler viser observationer</t>
  </si>
  <si>
    <t>Det svarer til R² værdien for regressionsmodellen</t>
  </si>
  <si>
    <t>I overskriften ses den procentdel af variationen i den afhængige variabel der er forklaret</t>
  </si>
  <si>
    <t>Små afvigelser fra regressionslinjen er tegn på en præcis model</t>
  </si>
  <si>
    <t>Den sorte streg viser regressionslinjen</t>
  </si>
  <si>
    <t>Hvis der er flere uafhængige variable inkluderet er der tale om multipel lineær regression</t>
  </si>
  <si>
    <t>Multipel lineær regression danner også en ret linje, men i n dimensioner i stedet for 2</t>
  </si>
  <si>
    <t>De blå cirkler viser observationernes y-værdi, minus effekten af de øvrige variable</t>
  </si>
  <si>
    <t>Det kan fortolkes som den del af variationen i y-værdier, som denne variabel skal forklare</t>
  </si>
  <si>
    <t>Derfor kan regressionslinjen ikke vises på et enkelt diagram</t>
  </si>
  <si>
    <t>Den gule søjle viser effekten af konstanten.</t>
  </si>
  <si>
    <t>Den sorte søje viser den totale beregnede værdi for den afhængige variable.</t>
  </si>
  <si>
    <t>X værdi af interesse</t>
  </si>
  <si>
    <t>Du kan også vælge at angive værdier for uafhængige variable ved at vælge Inkluderet</t>
  </si>
  <si>
    <t>Konfidensintervallet viser, hvor regressionslinjen også kunne have været.</t>
  </si>
  <si>
    <t>Forudsigelsesintervallet viser, hvor observationerne også kunne have været.</t>
  </si>
  <si>
    <t>Tager vi en ny stikprøve fra samme population, vil vi med den angivne konfidens få observationer indenfor forudsigelsesintervallet</t>
  </si>
  <si>
    <t>Tager vi en ny stikprøve fra samme population, vil vi med den angivne konfidens få en linje indenfor konfidensintervallet</t>
  </si>
  <si>
    <t>Afstanden til linjen er den del af variationen, som ikke forklares af modellen (også kaldet residualet)</t>
  </si>
  <si>
    <t>Krydserne er der ikke hvis angivne værdier for uafhængige variable er Udeladt</t>
  </si>
  <si>
    <t>Krydserne viser den præcise effekt af variablen på y værdien, ved den angivne værdi</t>
  </si>
  <si>
    <t>Tosidet</t>
  </si>
  <si>
    <t>Normalfordeling</t>
  </si>
  <si>
    <t>t-fordeling</t>
  </si>
  <si>
    <t>Normalfordeling med kendt standardafvigelse</t>
  </si>
  <si>
    <t>Venstresidet hypotese om værdi</t>
  </si>
  <si>
    <t>Højresidet hypotese om værdi</t>
  </si>
  <si>
    <t>Tosidet hypotese om værdi</t>
  </si>
  <si>
    <t>Venstresidet hypotese om forskel</t>
  </si>
  <si>
    <t>Højresidet hypotese om forskel</t>
  </si>
  <si>
    <t>Tosidet hypotese om forskel</t>
  </si>
  <si>
    <t>t-fordeling med pooled standardafvigelse</t>
  </si>
  <si>
    <t>Normalfordeling med kendte standardafvigelser</t>
  </si>
  <si>
    <t>t-fordeling uden pooled standardafvigelse</t>
  </si>
  <si>
    <t>Chi-i-anden-fordeling</t>
  </si>
  <si>
    <t>F-fordeling</t>
  </si>
  <si>
    <t>Normalfordeling med forbedret teststørrelse</t>
  </si>
  <si>
    <t>Synlig</t>
  </si>
  <si>
    <t>Forklaring</t>
  </si>
  <si>
    <t>Skal vurderes</t>
  </si>
  <si>
    <t>Kun data arket skal udfyldes, før en analyse kan udføres</t>
  </si>
  <si>
    <t>Analysen på hvert af de øvrige ark kan udføres uafhængigt</t>
  </si>
  <si>
    <t>Det kan være en fordel at skrive datatypen ind i overskriften, hvis det ikke giver sig selv</t>
  </si>
  <si>
    <t>Det anbefales at bruge korte, beskrivende overskrifter</t>
  </si>
  <si>
    <t>Formålet med arket Data er at indeholde alt data, som bruges til videre analyse</t>
  </si>
  <si>
    <t>Formålet med arket Lineær Regression er at udarbejde en lineær regressionsmodel</t>
  </si>
  <si>
    <t>Den afhængige variabel skal have samme antal observationer som de uafhængige variable (se figur 18)</t>
  </si>
  <si>
    <t>Hvis en uafhængig variabel ikke skal inkluderes bør den udelades</t>
  </si>
  <si>
    <t>Udeladelse af variable og konstanten kan gøres ved at fjerne fluebenet i checkboksen ved "Inkluder i model" (se figur 19)</t>
  </si>
  <si>
    <t>Vælg et konfidensniveau som er større end 50% og mindre end 100% (se figur 20)</t>
  </si>
  <si>
    <t>Ufhængige variable kontrolleres automatisk for korrekt antal observationer (se figur 18)</t>
  </si>
  <si>
    <t>4. Brug signifikans og R^2 til at optimere regressionsmodellen</t>
  </si>
  <si>
    <t>Hvis en uafhængige variabel ikke har en signifkant koefficient bør den udelades (se figur 21)</t>
  </si>
  <si>
    <t>Her kan signifikans diagrammet være en hjælp til visualisering (se figur 22)</t>
  </si>
  <si>
    <t>Analyse input checkbox</t>
  </si>
  <si>
    <t>5. Vælg om du er interesseret i resultater for specifikke værdier af de uafhængige variable</t>
  </si>
  <si>
    <t>Hvis ikke der er nogen specifikke værdier du er interesseret i, så vælg Udeladt (se figur 23)</t>
  </si>
  <si>
    <t>Det er vigtigt, at du angiver værdier for alle uafhængige variable der er inkluderet i modellen (se figur 24)</t>
  </si>
  <si>
    <t>6. Fortolk resultater i modellen</t>
  </si>
  <si>
    <t>Beregning af y værdien ved de angivne værdier er visualiseret i et vandfaldsdiagram (se figur 25)</t>
  </si>
  <si>
    <t>Den lilla søjle viser effekten af uafhægig variabel 1 ved en givet værdi.</t>
  </si>
  <si>
    <t>Den røde søjle viser effekten af uafhægig variabel 2 ved en givet værdi.</t>
  </si>
  <si>
    <t>Den grønne søjle viser effekten af uafhægig variabel 3 ved en givet værdi.</t>
  </si>
  <si>
    <t>Den orange søjle viser effekten af uafhægig variabel 4 ved en givet værdi.</t>
  </si>
  <si>
    <t>Den lyseblå søjle viser effekten af uafhægig variabel 5 ved en givet værdi.</t>
  </si>
  <si>
    <t>Hvis der kun er 1 uafhængig variabel inkluderet er der tale om simpel lineær regression (se figur 26)</t>
  </si>
  <si>
    <t>I konfidensinterval diagrammet ses en dybere analyse af den simple lineære regression (se figur 27)</t>
  </si>
  <si>
    <t>I forudsigelsesinterval diagrammet ses en dybere analyse af den simple lineære regression (se figur 28)</t>
  </si>
  <si>
    <t>I stedet vises effekten af hver variabel isoleret fra de øvrige variable (se figur 29)</t>
  </si>
  <si>
    <t>Under diagrammerne vises, hvordan modellen anvendes til beregning med de angivne værdier (se figur 30)</t>
  </si>
  <si>
    <t>Værdier, der skal angives er markeret orange.</t>
  </si>
  <si>
    <t>Eksempel 3 (nominal)</t>
  </si>
  <si>
    <t>Eksempel 2 (interval)</t>
  </si>
  <si>
    <t>Antal variable</t>
  </si>
  <si>
    <t>Eksempel 4 (nominal)</t>
  </si>
  <si>
    <t>Observation</t>
  </si>
  <si>
    <t>Variationsbredde</t>
  </si>
  <si>
    <t>Korrelationer</t>
  </si>
  <si>
    <t>Venstresidet</t>
  </si>
  <si>
    <t>Højresidet</t>
  </si>
  <si>
    <t>Residualer</t>
  </si>
  <si>
    <t>This work is licensed under a Creative Commons Attribution-ShareAlike 4.0 International Public License</t>
  </si>
  <si>
    <t>Kontrol af forudsætninger</t>
  </si>
  <si>
    <t>Kolonne med data</t>
  </si>
  <si>
    <t>Sekvens</t>
  </si>
  <si>
    <t>Data ID</t>
  </si>
  <si>
    <t>Afrunding til x akse</t>
  </si>
  <si>
    <t>Maksimum cifferantal uden decimaler, x akse</t>
  </si>
  <si>
    <t>Minimum y</t>
  </si>
  <si>
    <t>Maksimum y</t>
  </si>
  <si>
    <t>Z score ID</t>
  </si>
  <si>
    <t>Inkluder konstant</t>
  </si>
  <si>
    <t>Konstant inkluderet</t>
  </si>
  <si>
    <t>Afhængig variabel ID</t>
  </si>
  <si>
    <t>Uafhængige variable ID</t>
  </si>
  <si>
    <t>Data, LyData</t>
  </si>
  <si>
    <t>Placering i datatabel</t>
  </si>
  <si>
    <t>Sekvens for uafhængige variable</t>
  </si>
  <si>
    <t>Standardafvigelse for estimat</t>
  </si>
  <si>
    <t>Linest koefficienter</t>
  </si>
  <si>
    <t>Linest standardafvigelser</t>
  </si>
  <si>
    <t>Linest r^2 og standardafvigelse for y estimat</t>
  </si>
  <si>
    <t>Linest F og frihedsgrader</t>
  </si>
  <si>
    <t>Linest regression sum of squares og residual sum of squares</t>
  </si>
  <si>
    <t>Signifikanssandsynlighed</t>
  </si>
  <si>
    <t>R^2 for mulige simple lineære regressioner</t>
  </si>
  <si>
    <t>Linest for bedste simple lineære regression</t>
  </si>
  <si>
    <t>Forklaringsgrad som afrundet procent</t>
  </si>
  <si>
    <t>Uafhængig variabel navn</t>
  </si>
  <si>
    <t>Simpel linjeplot ID</t>
  </si>
  <si>
    <t>Observationer x, LxSimpel</t>
  </si>
  <si>
    <t>Sorterede observationer x, LsxSimpel</t>
  </si>
  <si>
    <t>Sorterede observationer, LsySimpel</t>
  </si>
  <si>
    <t>Simpel lineær regression linjeplot, overskrift</t>
  </si>
  <si>
    <t>Simpel lineær regression linjeplot, serie 1</t>
  </si>
  <si>
    <t>Simpel lineær regression linjeplot, serie 2</t>
  </si>
  <si>
    <t>Maksimum cifferantal</t>
  </si>
  <si>
    <t>Koefficient for x1 som afrundet tal</t>
  </si>
  <si>
    <t>konstant som afrundet tal</t>
  </si>
  <si>
    <t>Konstant er negativ</t>
  </si>
  <si>
    <t>Linjetilpasningsplot</t>
  </si>
  <si>
    <t>Simpel lineær regression linjeplot, serie 3</t>
  </si>
  <si>
    <t>Konstant som tekst i formel</t>
  </si>
  <si>
    <t>Estimat x værdi af interesse</t>
  </si>
  <si>
    <t>Konfidensinterval ID</t>
  </si>
  <si>
    <t>Simpel lineær regression konfidensinterval, serie 1</t>
  </si>
  <si>
    <t>Simpel lineær regression konfidensinterval, overskrift</t>
  </si>
  <si>
    <t>Simpel lineær regression konfidensinterval, serie 2</t>
  </si>
  <si>
    <t>Simpel lineær regression konfidensinterval, serie 3</t>
  </si>
  <si>
    <t>Simpel lineær regression konfidensinterval, serie 4</t>
  </si>
  <si>
    <t>Øvre grænse</t>
  </si>
  <si>
    <t>Nedre grænse</t>
  </si>
  <si>
    <t>Sum af kvadreret residual</t>
  </si>
  <si>
    <t>Gennemsnit af uafhængig variabel</t>
  </si>
  <si>
    <t>Kvadreret forskel fra gennemsnit for uafhængig variabel</t>
  </si>
  <si>
    <t>Sum af kvadreret forskel fra gennemsnit for uafhængig variabel</t>
  </si>
  <si>
    <t>ID til konfidensintervalkurve smoothing</t>
  </si>
  <si>
    <t>Antal punkter til smooth konfidensinterval kurve</t>
  </si>
  <si>
    <t>Minimum x</t>
  </si>
  <si>
    <t>Maksimum x</t>
  </si>
  <si>
    <t>Regressionslinje y, Lsy2Simpel</t>
  </si>
  <si>
    <t>Simpel lineær regression konfidensinterval, serie 5</t>
  </si>
  <si>
    <t>Maksimum cifferantal uden decimaler, y akse</t>
  </si>
  <si>
    <t>Afrunding til y akse</t>
  </si>
  <si>
    <t>Øvre grænse, afrundet</t>
  </si>
  <si>
    <t>Nedre grænse, afrundet</t>
  </si>
  <si>
    <t>Nedre konfidensinterval, LkNedre</t>
  </si>
  <si>
    <t>Øvre konfidensinterval, LkOevre</t>
  </si>
  <si>
    <t>X position, LkX</t>
  </si>
  <si>
    <t>Estimeret gennemsnit ved x værdi af interesse</t>
  </si>
  <si>
    <t>Gennemsnit, afrundet</t>
  </si>
  <si>
    <t>Antal punkter til smooth forudsigelsesinterval kurve</t>
  </si>
  <si>
    <t>ID til forudsigelsesintervalkurve smoothing</t>
  </si>
  <si>
    <t>X position, LfX</t>
  </si>
  <si>
    <t>Øvre forudsigelsesinterval, LfOevre</t>
  </si>
  <si>
    <t>Nedre forudsigelsesinterval, LfNedre</t>
  </si>
  <si>
    <t>Navne på uafhængige variable</t>
  </si>
  <si>
    <t>Symbol i model</t>
  </si>
  <si>
    <t>xmean</t>
  </si>
  <si>
    <t>ymean</t>
  </si>
  <si>
    <t>m = sump / sumsq</t>
  </si>
  <si>
    <t>b = ymean - m * xmean</t>
  </si>
  <si>
    <t>sst</t>
  </si>
  <si>
    <t>ssr</t>
  </si>
  <si>
    <t>sumpr</t>
  </si>
  <si>
    <t>sumsq</t>
  </si>
  <si>
    <t>xsum</t>
  </si>
  <si>
    <t>Signifikanssandsynlighed, Lss</t>
  </si>
  <si>
    <t>Signifikans af uafhængige variable, overskrift</t>
  </si>
  <si>
    <t>Signifikans af uafhængige variable, serie 1</t>
  </si>
  <si>
    <t>Signifikans af uafhængige variable, serie 2</t>
  </si>
  <si>
    <t>Antal signifikante variable</t>
  </si>
  <si>
    <t>Signifikante uahængige variable, Lssy1</t>
  </si>
  <si>
    <t>Ikke signifikante uafhængige variable, Lssy2</t>
  </si>
  <si>
    <t>Navne på uafhængige variable, lssx</t>
  </si>
  <si>
    <t>Grænse for signifikans</t>
  </si>
  <si>
    <t>Signifikans af uafhængige variable, serie 3</t>
  </si>
  <si>
    <t>Ikke signifikant</t>
  </si>
  <si>
    <t>Multipel lineær regression, overskrift</t>
  </si>
  <si>
    <t>stddev.p</t>
  </si>
  <si>
    <t>row</t>
  </si>
  <si>
    <t>column</t>
  </si>
  <si>
    <t>Yscore, stacked</t>
  </si>
  <si>
    <t>Zscore, stacked</t>
  </si>
  <si>
    <t>Standardiseret score for uafhængig variabel</t>
  </si>
  <si>
    <t>Effekt på afhængig variabel</t>
  </si>
  <si>
    <t>MinMax ID</t>
  </si>
  <si>
    <t>Maxif, x</t>
  </si>
  <si>
    <t>Minif, x</t>
  </si>
  <si>
    <t>Maxif, y</t>
  </si>
  <si>
    <t>Minif, y</t>
  </si>
  <si>
    <t>Koefficientplot ID</t>
  </si>
  <si>
    <t>Type</t>
  </si>
  <si>
    <t>Række</t>
  </si>
  <si>
    <t>Koefficientplot x, LmkX</t>
  </si>
  <si>
    <t>Koefficientplot y, LmkY</t>
  </si>
  <si>
    <t>Dokumentation</t>
  </si>
  <si>
    <t>Effekt per standardafvigelse</t>
  </si>
  <si>
    <t>Max effekt per standardafvigelse variabel</t>
  </si>
  <si>
    <t>Vægtet effekt</t>
  </si>
  <si>
    <t>Antal variable med stor effekt</t>
  </si>
  <si>
    <t>Maksimalt antal variable nævnt i overskrift</t>
  </si>
  <si>
    <t>Antal variable i overskrift</t>
  </si>
  <si>
    <t>Match</t>
  </si>
  <si>
    <t>Antal observationer i alt</t>
  </si>
  <si>
    <t>Matchende par, y til max x</t>
  </si>
  <si>
    <t>Sårbare formler gemmes på dette ark, for at undgå indsættelse af rækker og kolonner.</t>
  </si>
  <si>
    <t>Labels til sammenligning af koefficienter</t>
  </si>
  <si>
    <t>Labels er ikke dynamisk i plottet, men bundet til en 150 celler stor range gennem value to cells data labels funktionen. Dermed håndteres max 50 koefficienter. Labels er gemt på Beregningsark.</t>
  </si>
  <si>
    <t>Stacked x</t>
  </si>
  <si>
    <t>ymin</t>
  </si>
  <si>
    <t>ymax</t>
  </si>
  <si>
    <t>xmax</t>
  </si>
  <si>
    <t>xmin</t>
  </si>
  <si>
    <t>X ID</t>
  </si>
  <si>
    <t>Parallelle koordinater, overskrift</t>
  </si>
  <si>
    <t>Parallelle koordinater, serie 1</t>
  </si>
  <si>
    <t>Parallelle koordinater, serie 2</t>
  </si>
  <si>
    <t>Parallelle koordinater, x akse</t>
  </si>
  <si>
    <t>Parallelle koordinater, y akse</t>
  </si>
  <si>
    <t>Uafhængig variabel ID</t>
  </si>
  <si>
    <t>Transformation lineær, min 0 max 1</t>
  </si>
  <si>
    <t>Serie ID</t>
  </si>
  <si>
    <t>Kombination ID</t>
  </si>
  <si>
    <t>Kombinationer</t>
  </si>
  <si>
    <t>Par ID</t>
  </si>
  <si>
    <t>Par position lodret</t>
  </si>
  <si>
    <t>Par position vandret</t>
  </si>
  <si>
    <t>Position opslag</t>
  </si>
  <si>
    <t>Observation ID</t>
  </si>
  <si>
    <t>Par ID til labels</t>
  </si>
  <si>
    <t>Vandret spacing</t>
  </si>
  <si>
    <t>Lodret spacing</t>
  </si>
  <si>
    <t>Lodret label</t>
  </si>
  <si>
    <t>Vandret label</t>
  </si>
  <si>
    <t>Lodret navn</t>
  </si>
  <si>
    <t>Vandret navn</t>
  </si>
  <si>
    <t>Labels til korrelationskoefficienter</t>
  </si>
  <si>
    <t>ID til position til kategorinavne</t>
  </si>
  <si>
    <t>Labels til korrelationskoefficienter, y akse kategorier</t>
  </si>
  <si>
    <t>Labels til korrelationskoefficienter, x akse kategorier</t>
  </si>
  <si>
    <t>Korrelationskoefficienter</t>
  </si>
  <si>
    <t>Højre side uafhængige variabel</t>
  </si>
  <si>
    <t>Venstre side uafhængige variabel</t>
  </si>
  <si>
    <t>Parallelle koordinater</t>
  </si>
  <si>
    <t>Parallelle koordinater x, LpX</t>
  </si>
  <si>
    <t>Parallelle koordinater y, LpY</t>
  </si>
  <si>
    <t>Korrelationskoefficient label y, LpRy</t>
  </si>
  <si>
    <t>Korrelationskoefficient label x, LpRx</t>
  </si>
  <si>
    <t>Lodret navn x, LpYlx</t>
  </si>
  <si>
    <t>Lodret navn y, LpYly</t>
  </si>
  <si>
    <t>Vandret navn x, LpXlx</t>
  </si>
  <si>
    <t>Vandret navn y, LpXly</t>
  </si>
  <si>
    <t>Labels er ikke dynamisk i plottet, men bundet til en 1700 celler stor range gennem value to cells data labels funktionen. Dermed håndteres max 58 koefficienter. Labels er gemt på Beregningsark.</t>
  </si>
  <si>
    <t>Korrelation stærk nok til overskrift</t>
  </si>
  <si>
    <t>Absolut korrelation</t>
  </si>
  <si>
    <t>Max anatal korrelationer i overskrift</t>
  </si>
  <si>
    <t>Antal korrelationer i overskrift</t>
  </si>
  <si>
    <t>Antal korrelationer mulige til overskrift</t>
  </si>
  <si>
    <t>Stærkeste korrelationer</t>
  </si>
  <si>
    <t>Afrundet</t>
  </si>
  <si>
    <t>Indeks på stærkeste korrelationer</t>
  </si>
  <si>
    <t>Stærkeste korrelationer, korrekt fortegn</t>
  </si>
  <si>
    <t>De stærkeste absolutte korrelationer</t>
  </si>
  <si>
    <t>Simpel lineær regression, normalfraktildiagram af residualer, overskrift</t>
  </si>
  <si>
    <t>Simpel, residualer, serie 1</t>
  </si>
  <si>
    <t>Simpel, residualer, serie 2</t>
  </si>
  <si>
    <t>Simpel, residualer, x akse</t>
  </si>
  <si>
    <t>Simpel, residualer, y akse</t>
  </si>
  <si>
    <t>Værdier og forventede værdier for residualer</t>
  </si>
  <si>
    <t>Standardafvigelse i normalfordeling for residualer</t>
  </si>
  <si>
    <t xml:space="preserve"> Residualer</t>
  </si>
  <si>
    <t xml:space="preserve"> Normalfordeling for residualer</t>
  </si>
  <si>
    <t>Residual ID</t>
  </si>
  <si>
    <t>Regressionslinje y</t>
  </si>
  <si>
    <t>Sorterede observationer y</t>
  </si>
  <si>
    <t>Sorteret residual, LrS</t>
  </si>
  <si>
    <t>Z score, LrZ</t>
  </si>
  <si>
    <t>Forventet Z værdi, LrfZ</t>
  </si>
  <si>
    <t>Simpel lineær regression
Normalfraktildiagram af residualer</t>
  </si>
  <si>
    <t>Multipel lineær regression, normalfraktildiagram af residualer, overskrift</t>
  </si>
  <si>
    <t>Multipel, residualer, serie 1</t>
  </si>
  <si>
    <t>Multipel, residualer, serie 2</t>
  </si>
  <si>
    <t>Multipel, residualer, x akse</t>
  </si>
  <si>
    <t>Multipel, residualer, y akse</t>
  </si>
  <si>
    <t>Regressionslinje y, sorteret</t>
  </si>
  <si>
    <t>Observationer y</t>
  </si>
  <si>
    <t>Sorteret residual, LrSm</t>
  </si>
  <si>
    <t>Z score, LrZm</t>
  </si>
  <si>
    <t>Forventet Z værdi, LrfZm</t>
  </si>
  <si>
    <t>Simpel og multipel lineær regression, forklaringsgradsvisualisering, overskrift</t>
  </si>
  <si>
    <t>Forklaringsgrad, serie 1</t>
  </si>
  <si>
    <t>Forklaringsgrad, serie 2</t>
  </si>
  <si>
    <t>Forklaringsgrad, x akse</t>
  </si>
  <si>
    <t>Forklaringsgrad, y akse</t>
  </si>
  <si>
    <t>Beregnet værdi i regression</t>
  </si>
  <si>
    <t xml:space="preserve"> Referencelinje ved perfekt forklaringsgrad</t>
  </si>
  <si>
    <t>Forklaringsgrad, serie 3</t>
  </si>
  <si>
    <t xml:space="preserve"> Beregnet værdi, simpel lineær regression</t>
  </si>
  <si>
    <t xml:space="preserve"> Beregnet værdi, multipel lineær regression</t>
  </si>
  <si>
    <t>Forklaringsgrad simpel</t>
  </si>
  <si>
    <t>Forklaringsgrad multipel</t>
  </si>
  <si>
    <t>Justeret forklaringsgrad simpel</t>
  </si>
  <si>
    <t>Justeret forklaringsgrad multipel</t>
  </si>
  <si>
    <t>Afrundet Forklaringsgrad simpel</t>
  </si>
  <si>
    <t>Afrundet Forklaringsgrad multipel</t>
  </si>
  <si>
    <t>Afrundet Justeret forklaringsgrad simpel</t>
  </si>
  <si>
    <t>Afrundet Justeret forklaringsgrad multipel</t>
  </si>
  <si>
    <t>Afrunding, antal cifre</t>
  </si>
  <si>
    <t>Observationer, y sorteret, Lfsy</t>
  </si>
  <si>
    <t>Regression, multipel, Lfm</t>
  </si>
  <si>
    <t>Regression, simpel, Lfs</t>
  </si>
  <si>
    <t>Observationer y, Lfyx</t>
  </si>
  <si>
    <t>Ymin aksestyringspunkt</t>
  </si>
  <si>
    <t>Ymax aksestyringspunkt</t>
  </si>
  <si>
    <t>Aksestyringspunkt, x</t>
  </si>
  <si>
    <t>Inkluderet_liste</t>
  </si>
  <si>
    <t>Inkluderet</t>
  </si>
  <si>
    <t>Udeladt</t>
  </si>
  <si>
    <t>Visualisering</t>
  </si>
  <si>
    <t>Indenfor range</t>
  </si>
  <si>
    <t>Intet overlap</t>
  </si>
  <si>
    <t>Uafhængige variable, hjælpeberegning</t>
  </si>
  <si>
    <t>Anbefaling</t>
  </si>
  <si>
    <t>Beregninger til slicer om afhængig og uafhængige variable</t>
  </si>
  <si>
    <t>Valg til lineær regression</t>
  </si>
  <si>
    <t>Vælg en afhængig variabel</t>
  </si>
  <si>
    <t>Uafhængige variable</t>
  </si>
  <si>
    <t>SandFalsk_liste</t>
  </si>
  <si>
    <t>Estimat x værdi af interesse, afrundet</t>
  </si>
  <si>
    <t>Normaliseret effekt af uafhængig variabel</t>
  </si>
  <si>
    <t>Unik max effekt per standardafvigelse variabel</t>
  </si>
  <si>
    <t>Maksimal R^2 for simpel lineær regression</t>
  </si>
  <si>
    <t>Indeks for maksimal R^2 blandt mulige uafhængige variable</t>
  </si>
  <si>
    <t>X data</t>
  </si>
  <si>
    <t>Indeks til reorganisering</t>
  </si>
  <si>
    <t>Linest koefficienter, multipel lineær regression</t>
  </si>
  <si>
    <t>Reorganisering af linest, multipel</t>
  </si>
  <si>
    <t>Følgende spill-arrays er horisontale og skal derfor være længst til højre på arket</t>
  </si>
  <si>
    <t>Dette spill-arrays er både horisontalt og vertikalt og skal derfor være længst til højre, nederst på arket</t>
  </si>
  <si>
    <t>Lineær sammenhæng mellem afhængig og uafhængige variable</t>
  </si>
  <si>
    <t>Residualer er normalfordelt</t>
  </si>
  <si>
    <t>Residualers standardafvigelse afhænger ikke af uafhængige variable</t>
  </si>
  <si>
    <t>Uafhængige variable er ikke stærkt korrelerede med hinanden</t>
  </si>
  <si>
    <t>Valg til analyse af simpel lineær regression</t>
  </si>
  <si>
    <t>Visualisering ved X værdi af interesse</t>
  </si>
  <si>
    <t>Gennemsnit ved X værdi af interesse</t>
  </si>
  <si>
    <t>Interval øvre grænse ved X værdi af interesse</t>
  </si>
  <si>
    <t>Interval nedre grænse ved X værdi af interesse</t>
  </si>
  <si>
    <t>Koefficienteffekt</t>
  </si>
  <si>
    <t>Uafhængig varibel i multipel lineær regression</t>
  </si>
  <si>
    <t>Værdi af interesse</t>
  </si>
  <si>
    <t>Signifikant uafhængig variabel</t>
  </si>
  <si>
    <t>Analyse af multipel lineær regression</t>
  </si>
  <si>
    <t>Eksempel beregning med værdier af interesse</t>
  </si>
  <si>
    <t>Afrundede koefficienter</t>
  </si>
  <si>
    <t>Afrundning, antal decimaler for koefficienter</t>
  </si>
  <si>
    <t>Afrundet konstant</t>
  </si>
  <si>
    <t xml:space="preserve">y = </t>
  </si>
  <si>
    <t>Modelspecifikation med symboler</t>
  </si>
  <si>
    <t>Præcist resultat af beregning</t>
  </si>
  <si>
    <t>Modelspecifikation beregninger for multipel lineær regression</t>
  </si>
  <si>
    <t>Symbol afhængig variabel</t>
  </si>
  <si>
    <t>Symboler og koefficienter, uafhængige variable</t>
  </si>
  <si>
    <t xml:space="preserve">β0 + </t>
  </si>
  <si>
    <t>Værdi, konstant</t>
  </si>
  <si>
    <t>Symbol, konstant</t>
  </si>
  <si>
    <t>Modelspecifikation med symboler og koefficienter</t>
  </si>
  <si>
    <t>Modelspecifikation med navne og koefficienter</t>
  </si>
  <si>
    <t>Symboler, uafhængige variable</t>
  </si>
  <si>
    <t>Modelspecifikation, symboler og koefficienter</t>
  </si>
  <si>
    <t>Modelspecifikation, symboler</t>
  </si>
  <si>
    <t>Navne og koefficienter, uafhængige variable</t>
  </si>
  <si>
    <t>Modelspecifikation, navne og koefficienter</t>
  </si>
  <si>
    <t>Værdi af interesse, uafhængige variable</t>
  </si>
  <si>
    <t>Værdi af interesse, uafhængige variable i multipel lineær regression</t>
  </si>
  <si>
    <t>Afrundet y værdi ved værdier af interesse</t>
  </si>
  <si>
    <t>y værdi ved værdier af interesse i multipel lineær regression</t>
  </si>
  <si>
    <t>Koefficienteffekt ved værdier af interesse</t>
  </si>
  <si>
    <t>Matchende par, y til min x</t>
  </si>
  <si>
    <t>Hældning på linje</t>
  </si>
  <si>
    <t>Z score, værdi af interesse</t>
  </si>
  <si>
    <t>Forskel xmax til værdi af interesse Z</t>
  </si>
  <si>
    <t>Værdi af interesse, Z score, LmkVxX</t>
  </si>
  <si>
    <t>Y ved værdi af interesse, LmkVxY</t>
  </si>
  <si>
    <t>Multipel lineær regression koefficienteffekt, serie 1</t>
  </si>
  <si>
    <t>Multipel lineær regression koefficienteffekt, serie 2</t>
  </si>
  <si>
    <t>Multipel lineær regression koefficienteffekt, x akse</t>
  </si>
  <si>
    <t>Multipel lineær regression koefficienteffekt, y akse</t>
  </si>
  <si>
    <t>Koefficienteffekt ved værdi af interesse</t>
  </si>
  <si>
    <t>Slicer til valg om inkludering af afhængig og uafhængige variable i lineær regression</t>
  </si>
  <si>
    <t>Max antal variable, baseret på tabelstørrelse</t>
  </si>
  <si>
    <t>Tabel ID</t>
  </si>
  <si>
    <t>Valg til analyse af multipel lineær regression</t>
  </si>
  <si>
    <t>Navn, afhængig variabel</t>
  </si>
  <si>
    <t>Hypotese_liste</t>
  </si>
  <si>
    <t>Fordeling_liste</t>
  </si>
  <si>
    <t>Hypotesetesetype_liste</t>
  </si>
  <si>
    <t>Beregningsmetode_liste</t>
  </si>
  <si>
    <t>Max antal observationer</t>
  </si>
  <si>
    <t>Har overskrift</t>
  </si>
  <si>
    <t>Sidste position for variabel</t>
  </si>
  <si>
    <t>Vælg uafhængige variable (Multi-Select)</t>
  </si>
  <si>
    <t xml:space="preserve">     Resultat overblik</t>
  </si>
  <si>
    <t>DataTitel_liste</t>
  </si>
  <si>
    <t>Overskriften anvendes som reference til dine data i al videre analyse og skal derfor være unik</t>
  </si>
  <si>
    <t>1. Giv hvert observationssæt en unik overskrift</t>
  </si>
  <si>
    <t>2. Indsæt data under hver overskrift</t>
  </si>
  <si>
    <t>Data er indsat korrekt, hvis det står under en overskrift og ikke indeholder blanke celler</t>
  </si>
  <si>
    <t>Den sikreste måde at indsætte data på, er igennem indsæt speciel =&gt; indsæt værdier (se figur 1)</t>
  </si>
  <si>
    <t>Alle variable har samme antal observationer</t>
  </si>
  <si>
    <t>Ægte antal observationer</t>
  </si>
  <si>
    <t>3. Fortsæt til en af de 6 øvrige ark for at udføre statistisk analyse af dine data</t>
  </si>
  <si>
    <t>v. 1.21.LineærRegression</t>
  </si>
  <si>
    <t>2. Analyser lineære sammenhænge på arket Lineær Regression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</si>
</sst>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000"/>
    <numFmt numFmtId="165" formatCode="0.000%"/>
    <numFmt numFmtId="166" formatCode="#,##0.000"/>
    <numFmt numFmtId="167" formatCode="#,##0.00\ &quot;kr.&quot;"/>
    <numFmt numFmtId="168" formatCode="#,##0\ &quot;kr.&quot;"/>
  </numFmts>
  <fonts count="20" x14ac:knownFonts="1">
    <font>
      <sz val="11"/>
      <color theme="1"/>
      <name val="Tw Cen MT"/>
      <family val="2"/>
      <scheme val="minor"/>
    </font>
    <font>
      <sz val="11"/>
      <color theme="1"/>
      <name val="Tw Cen MT"/>
      <family val="2"/>
      <scheme val="minor"/>
    </font>
    <font>
      <sz val="11"/>
      <color rgb="FF006100"/>
      <name val="Tw Cen MT"/>
      <family val="2"/>
      <scheme val="minor"/>
    </font>
    <font>
      <sz val="11"/>
      <color rgb="FF9C0006"/>
      <name val="Tw Cen MT"/>
      <family val="2"/>
      <scheme val="minor"/>
    </font>
    <font>
      <sz val="11"/>
      <color rgb="FF9C6500"/>
      <name val="Tw Cen MT"/>
      <family val="2"/>
      <scheme val="minor"/>
    </font>
    <font>
      <sz val="11"/>
      <color rgb="FF3F3F76"/>
      <name val="Tw Cen MT"/>
      <family val="2"/>
      <scheme val="minor"/>
    </font>
    <font>
      <sz val="11"/>
      <color rgb="FFFA7D00"/>
      <name val="Tw Cen MT"/>
      <family val="2"/>
      <scheme val="minor"/>
    </font>
    <font>
      <b/>
      <sz val="11"/>
      <color theme="0"/>
      <name val="Tw Cen MT"/>
      <family val="2"/>
      <scheme val="minor"/>
    </font>
    <font>
      <sz val="11"/>
      <color rgb="FFFF0000"/>
      <name val="Tw Cen MT"/>
      <family val="2"/>
      <scheme val="minor"/>
    </font>
    <font>
      <b/>
      <sz val="11"/>
      <color theme="1"/>
      <name val="Tw Cen MT"/>
      <family val="2"/>
      <scheme val="minor"/>
    </font>
    <font>
      <b/>
      <sz val="14"/>
      <name val="Tw Cen MT"/>
      <family val="2"/>
      <scheme val="minor"/>
    </font>
    <font>
      <b/>
      <sz val="11"/>
      <name val="Tw Cen MT"/>
      <family val="2"/>
      <scheme val="minor"/>
    </font>
    <font>
      <sz val="14"/>
      <color theme="1"/>
      <name val="Tw Cen MT"/>
      <family val="2"/>
      <scheme val="major"/>
    </font>
    <font>
      <i/>
      <sz val="11"/>
      <color rgb="FF7F7F7F"/>
      <name val="Tw Cen MT"/>
      <family val="2"/>
      <scheme val="minor"/>
    </font>
    <font>
      <sz val="11"/>
      <color theme="0"/>
      <name val="Tw Cen MT"/>
      <family val="2"/>
      <scheme val="minor"/>
    </font>
    <font>
      <sz val="8"/>
      <name val="Tw Cen MT"/>
      <family val="2"/>
      <scheme val="minor"/>
    </font>
    <font>
      <sz val="11"/>
      <name val="Tw Cen MT"/>
      <family val="2"/>
      <scheme val="minor"/>
    </font>
    <font>
      <sz val="11"/>
      <color theme="1"/>
      <name val="Calibri"/>
      <family val="2"/>
    </font>
    <font>
      <b/>
      <sz val="14"/>
      <color theme="0"/>
      <name val="Tw Cen MT"/>
      <family val="2"/>
      <scheme val="minor"/>
    </font>
    <font>
      <u/>
      <sz val="11"/>
      <color theme="10"/>
      <name val="Tw Cen MT"/>
      <family val="2"/>
      <scheme val="minor"/>
    </font>
  </fonts>
  <fills count="1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4" tint="0.79998168889431442"/>
        <bgColor indexed="65"/>
      </patternFill>
    </fill>
    <fill>
      <patternFill patternType="solid">
        <fgColor theme="8" tint="0.79998168889431442"/>
        <bgColor indexed="65"/>
      </patternFill>
    </fill>
  </fills>
  <borders count="8">
    <border>
      <left/>
      <right/>
      <top/>
      <bottom/>
      <diagonal/>
    </border>
    <border>
      <left/>
      <right/>
      <top/>
      <bottom style="double">
        <color rgb="FFFF80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bottom style="double">
        <color auto="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s>
  <cellStyleXfs count="31">
    <xf numFmtId="0" fontId="0" fillId="0" borderId="0">
      <alignment vertical="top"/>
    </xf>
    <xf numFmtId="0" fontId="12" fillId="0" borderId="0" applyNumberFormat="0" applyFill="0" applyBorder="0" applyProtection="0">
      <alignment vertical="top"/>
    </xf>
    <xf numFmtId="0" fontId="10" fillId="0" borderId="0" applyNumberFormat="0" applyFill="0" applyBorder="0" applyProtection="0">
      <alignment vertical="top"/>
    </xf>
    <xf numFmtId="0" fontId="11" fillId="0" borderId="0" applyNumberFormat="0" applyFill="0" applyBorder="0" applyProtection="0">
      <alignment vertical="top"/>
    </xf>
    <xf numFmtId="0" fontId="16" fillId="0" borderId="2" applyNumberFormat="0" applyFont="0" applyFill="0" applyAlignment="0" applyProtection="0">
      <alignment vertical="top"/>
    </xf>
    <xf numFmtId="0" fontId="11" fillId="0" borderId="0" applyNumberFormat="0" applyFill="0" applyBorder="0" applyProtection="0">
      <alignment horizontal="centerContinuous" vertical="top" wrapText="1"/>
    </xf>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0" fontId="5" fillId="5" borderId="2" applyNumberFormat="0" applyAlignment="0" applyProtection="0"/>
    <xf numFmtId="164" fontId="11" fillId="0" borderId="2" applyNumberFormat="0" applyAlignment="0" applyProtection="0"/>
    <xf numFmtId="0" fontId="5" fillId="6" borderId="2" applyNumberFormat="0" applyAlignment="0" applyProtection="0"/>
    <xf numFmtId="0" fontId="6" fillId="0" borderId="1" applyNumberFormat="0" applyFill="0" applyAlignment="0" applyProtection="0"/>
    <xf numFmtId="0" fontId="7" fillId="7" borderId="2" applyNumberFormat="0" applyAlignment="0" applyProtection="0"/>
    <xf numFmtId="0" fontId="8" fillId="0" borderId="0" applyNumberFormat="0" applyFill="0" applyBorder="0" applyAlignment="0" applyProtection="0"/>
    <xf numFmtId="0" fontId="1" fillId="8" borderId="2" applyNumberFormat="0" applyAlignment="0" applyProtection="0">
      <alignment vertical="top" wrapText="1"/>
    </xf>
    <xf numFmtId="166" fontId="9" fillId="0" borderId="3" applyNumberFormat="0" applyFill="0" applyAlignment="0" applyProtection="0"/>
    <xf numFmtId="0" fontId="13" fillId="0" borderId="0" applyNumberFormat="0" applyAlignment="0" applyProtection="0">
      <alignment vertical="top"/>
    </xf>
    <xf numFmtId="166" fontId="1" fillId="0" borderId="0" applyFont="0" applyFill="0" applyBorder="0" applyAlignment="0" applyProtection="0"/>
    <xf numFmtId="3" fontId="1" fillId="0" borderId="0" applyFont="0" applyFill="0" applyBorder="0" applyAlignment="0" applyProtection="0"/>
    <xf numFmtId="167" fontId="1" fillId="0" borderId="0" applyFont="0" applyFill="0" applyBorder="0" applyAlignment="0" applyProtection="0"/>
    <xf numFmtId="168" fontId="1" fillId="0" borderId="0" applyFont="0" applyFill="0" applyBorder="0" applyAlignment="0" applyProtection="0"/>
    <xf numFmtId="165" fontId="1" fillId="0" borderId="0" applyFont="0" applyFill="0" applyBorder="0" applyAlignment="0" applyProtection="0"/>
    <xf numFmtId="0" fontId="1" fillId="0" borderId="0" applyNumberFormat="0" applyFill="0" applyBorder="0" applyAlignment="0" applyProtection="0">
      <alignment vertical="top"/>
    </xf>
    <xf numFmtId="0" fontId="1" fillId="0" borderId="0" applyNumberFormat="0" applyFont="0" applyBorder="0" applyAlignment="0" applyProtection="0">
      <alignment vertical="top"/>
    </xf>
    <xf numFmtId="0" fontId="16" fillId="13" borderId="0" applyNumberFormat="0" applyBorder="0" applyAlignment="0" applyProtection="0"/>
    <xf numFmtId="0" fontId="1" fillId="10" borderId="0" applyNumberFormat="0" applyBorder="0" applyAlignment="0" applyProtection="0"/>
    <xf numFmtId="0" fontId="1" fillId="12" borderId="0" applyNumberFormat="0" applyBorder="0" applyAlignment="0" applyProtection="0"/>
    <xf numFmtId="0" fontId="19" fillId="0" borderId="0" applyNumberFormat="0" applyFill="0" applyBorder="0" applyAlignment="0" applyProtection="0">
      <alignment vertical="top"/>
    </xf>
    <xf numFmtId="0" fontId="1" fillId="14" borderId="0" applyNumberFormat="0" applyBorder="0" applyAlignment="0" applyProtection="0"/>
    <xf numFmtId="0" fontId="1" fillId="15" borderId="0" applyNumberFormat="0" applyBorder="0" applyAlignment="0" applyProtection="0"/>
  </cellStyleXfs>
  <cellXfs count="63">
    <xf numFmtId="0" fontId="0" fillId="0" borderId="0" xfId="0">
      <alignment vertical="top"/>
    </xf>
    <xf numFmtId="0" fontId="10" fillId="0" borderId="0" xfId="2">
      <alignment vertical="top"/>
    </xf>
    <xf numFmtId="0" fontId="5" fillId="5" borderId="2" xfId="9" applyAlignment="1">
      <alignment vertical="top"/>
    </xf>
    <xf numFmtId="0" fontId="11" fillId="0" borderId="0" xfId="3">
      <alignment vertical="top"/>
    </xf>
    <xf numFmtId="0" fontId="13" fillId="0" borderId="0" xfId="17">
      <alignment vertical="top"/>
    </xf>
    <xf numFmtId="0" fontId="13" fillId="0" borderId="0" xfId="17" applyAlignment="1">
      <alignment horizontal="left" vertical="top"/>
    </xf>
    <xf numFmtId="0" fontId="1" fillId="10" borderId="0" xfId="23" applyFill="1" applyAlignment="1">
      <alignment horizontal="left" vertical="top"/>
    </xf>
    <xf numFmtId="0" fontId="1" fillId="12" borderId="0" xfId="23" applyFill="1" applyAlignment="1">
      <alignment horizontal="left" vertical="top"/>
    </xf>
    <xf numFmtId="0" fontId="1" fillId="9" borderId="0" xfId="23" applyFill="1" applyAlignment="1">
      <alignment horizontal="left" vertical="top"/>
    </xf>
    <xf numFmtId="0" fontId="14" fillId="11" borderId="0" xfId="23" applyFont="1" applyFill="1" applyAlignment="1">
      <alignment horizontal="left" vertical="top"/>
    </xf>
    <xf numFmtId="0" fontId="10" fillId="10" borderId="0" xfId="2" applyFill="1">
      <alignment vertical="top"/>
    </xf>
    <xf numFmtId="0" fontId="13" fillId="0" borderId="0" xfId="17" applyFill="1">
      <alignment vertical="top"/>
    </xf>
    <xf numFmtId="0" fontId="10" fillId="12" borderId="0" xfId="2" applyFill="1">
      <alignment vertical="top"/>
    </xf>
    <xf numFmtId="0" fontId="10" fillId="9" borderId="0" xfId="2" applyFill="1">
      <alignment vertical="top"/>
    </xf>
    <xf numFmtId="0" fontId="18" fillId="11" borderId="0" xfId="2" applyFont="1" applyFill="1">
      <alignment vertical="top"/>
    </xf>
    <xf numFmtId="0" fontId="1" fillId="12" borderId="0" xfId="27" applyAlignment="1">
      <alignment vertical="top"/>
    </xf>
    <xf numFmtId="0" fontId="1" fillId="10" borderId="0" xfId="26" applyAlignment="1">
      <alignment vertical="top"/>
    </xf>
    <xf numFmtId="0" fontId="19" fillId="0" borderId="0" xfId="28">
      <alignment vertical="top"/>
    </xf>
    <xf numFmtId="0" fontId="5" fillId="5" borderId="2" xfId="9" applyAlignment="1" applyProtection="1">
      <alignment vertical="top"/>
      <protection locked="0"/>
    </xf>
    <xf numFmtId="0" fontId="0" fillId="0" borderId="0" xfId="0" applyProtection="1">
      <alignment vertical="top"/>
      <protection locked="0"/>
    </xf>
    <xf numFmtId="0" fontId="10" fillId="0" borderId="0" xfId="2" applyProtection="1">
      <alignment vertical="top"/>
      <protection locked="0"/>
    </xf>
    <xf numFmtId="0" fontId="13" fillId="0" borderId="0" xfId="17" applyProtection="1">
      <alignment vertical="top"/>
      <protection locked="0"/>
    </xf>
    <xf numFmtId="0" fontId="17" fillId="0" borderId="0" xfId="0" applyFont="1" applyProtection="1">
      <alignment vertical="top"/>
      <protection locked="0"/>
    </xf>
    <xf numFmtId="0" fontId="11" fillId="0" borderId="0" xfId="3" applyProtection="1">
      <alignment vertical="top"/>
      <protection locked="0"/>
    </xf>
    <xf numFmtId="165" fontId="5" fillId="5" borderId="2" xfId="22" applyNumberFormat="1" applyFont="1" applyFill="1" applyBorder="1" applyAlignment="1" applyProtection="1">
      <alignment vertical="top"/>
      <protection locked="0"/>
    </xf>
    <xf numFmtId="165" fontId="0" fillId="0" borderId="0" xfId="22" applyFont="1" applyAlignment="1" applyProtection="1">
      <alignment vertical="top"/>
      <protection locked="0"/>
    </xf>
    <xf numFmtId="0" fontId="0" fillId="0" borderId="0" xfId="0" quotePrefix="1" applyProtection="1">
      <alignment vertical="top"/>
      <protection locked="0"/>
    </xf>
    <xf numFmtId="0" fontId="0" fillId="0" borderId="0" xfId="0" applyProtection="1">
      <alignment vertical="top"/>
    </xf>
    <xf numFmtId="0" fontId="0" fillId="0" borderId="2" xfId="4" applyFont="1" applyProtection="1">
      <alignment vertical="top"/>
    </xf>
    <xf numFmtId="0" fontId="7" fillId="7" borderId="2" xfId="13" applyAlignment="1" applyProtection="1">
      <alignment vertical="top"/>
    </xf>
    <xf numFmtId="0" fontId="0" fillId="0" borderId="0" xfId="0" applyAlignment="1" applyProtection="1">
      <alignment vertical="top"/>
      <protection locked="0"/>
    </xf>
    <xf numFmtId="0" fontId="18" fillId="11" borderId="0" xfId="2" applyFont="1" applyFill="1" applyProtection="1">
      <alignment vertical="top"/>
    </xf>
    <xf numFmtId="0" fontId="13" fillId="0" borderId="0" xfId="17" applyProtection="1">
      <alignment vertical="top"/>
    </xf>
    <xf numFmtId="0" fontId="1" fillId="14" borderId="0" xfId="29" applyAlignment="1">
      <alignment vertical="top"/>
    </xf>
    <xf numFmtId="0" fontId="1" fillId="15" borderId="0" xfId="30" applyAlignment="1">
      <alignment vertical="top"/>
    </xf>
    <xf numFmtId="0" fontId="0" fillId="0" borderId="2" xfId="4" applyFont="1">
      <alignment vertical="top"/>
    </xf>
    <xf numFmtId="0" fontId="11" fillId="0" borderId="2" xfId="10" applyNumberFormat="1" applyAlignment="1">
      <alignment vertical="top"/>
    </xf>
    <xf numFmtId="0" fontId="5" fillId="6" borderId="2" xfId="11" applyAlignment="1" applyProtection="1">
      <alignment vertical="top"/>
      <protection locked="0"/>
    </xf>
    <xf numFmtId="0" fontId="1" fillId="8" borderId="2" xfId="15" applyAlignment="1">
      <alignment vertical="top"/>
    </xf>
    <xf numFmtId="0" fontId="5" fillId="6" borderId="2" xfId="11" applyAlignment="1">
      <alignment vertical="top"/>
    </xf>
    <xf numFmtId="166" fontId="11" fillId="0" borderId="2" xfId="10" applyNumberFormat="1" applyAlignment="1">
      <alignment vertical="top"/>
    </xf>
    <xf numFmtId="0" fontId="0" fillId="0" borderId="2" xfId="4" applyFont="1" applyProtection="1">
      <alignment vertical="top"/>
      <protection locked="0"/>
    </xf>
    <xf numFmtId="0" fontId="11" fillId="0" borderId="2" xfId="10" applyNumberFormat="1" applyAlignment="1" applyProtection="1">
      <alignment vertical="top"/>
      <protection locked="0"/>
    </xf>
    <xf numFmtId="166" fontId="11" fillId="0" borderId="2" xfId="10" applyNumberFormat="1" applyAlignment="1" applyProtection="1">
      <alignment vertical="top"/>
      <protection locked="0"/>
    </xf>
    <xf numFmtId="0" fontId="0" fillId="0" borderId="2" xfId="4" applyFont="1" applyAlignment="1" applyProtection="1">
      <alignment vertical="top"/>
      <protection locked="0"/>
    </xf>
    <xf numFmtId="0" fontId="0" fillId="0" borderId="0" xfId="0" applyNumberFormat="1">
      <alignment vertical="top"/>
    </xf>
    <xf numFmtId="166" fontId="5" fillId="6" borderId="2" xfId="11" applyNumberFormat="1" applyAlignment="1" applyProtection="1">
      <alignment vertical="top"/>
      <protection locked="0"/>
    </xf>
    <xf numFmtId="0" fontId="5" fillId="6" borderId="2" xfId="18" applyNumberFormat="1" applyFont="1" applyFill="1" applyBorder="1" applyAlignment="1" applyProtection="1">
      <alignment vertical="top"/>
      <protection locked="0"/>
    </xf>
    <xf numFmtId="165" fontId="5" fillId="6" borderId="2" xfId="11" applyNumberFormat="1" applyAlignment="1" applyProtection="1">
      <alignment vertical="top"/>
      <protection locked="0"/>
    </xf>
    <xf numFmtId="0" fontId="0" fillId="0" borderId="0" xfId="18" applyNumberFormat="1" applyFont="1" applyAlignment="1" applyProtection="1">
      <alignment vertical="top"/>
      <protection locked="0"/>
    </xf>
    <xf numFmtId="0" fontId="0" fillId="0" borderId="5" xfId="4" applyFont="1" applyBorder="1" applyAlignment="1" applyProtection="1">
      <alignment vertical="top"/>
      <protection locked="0"/>
    </xf>
    <xf numFmtId="0" fontId="0" fillId="0" borderId="5" xfId="4" applyFont="1" applyBorder="1" applyProtection="1">
      <alignment vertical="top"/>
      <protection locked="0"/>
    </xf>
    <xf numFmtId="0" fontId="0" fillId="0" borderId="7" xfId="4" applyFont="1" applyBorder="1" applyProtection="1">
      <alignment vertical="top"/>
      <protection locked="0"/>
    </xf>
    <xf numFmtId="0" fontId="0" fillId="0" borderId="2" xfId="4" applyFont="1" applyBorder="1">
      <alignment vertical="top"/>
    </xf>
    <xf numFmtId="0" fontId="0" fillId="0" borderId="2" xfId="4" applyFont="1" applyBorder="1" applyProtection="1">
      <alignment vertical="top"/>
      <protection locked="0"/>
    </xf>
    <xf numFmtId="0" fontId="5" fillId="5" borderId="2" xfId="9" applyBorder="1" applyAlignment="1" applyProtection="1">
      <alignment vertical="top"/>
      <protection locked="0"/>
    </xf>
    <xf numFmtId="0" fontId="5" fillId="5" borderId="4" xfId="9" applyBorder="1" applyAlignment="1" applyProtection="1">
      <alignment vertical="top"/>
      <protection locked="0"/>
    </xf>
    <xf numFmtId="0" fontId="11" fillId="0" borderId="5" xfId="10" applyNumberFormat="1" applyBorder="1" applyAlignment="1" applyProtection="1">
      <alignment vertical="top"/>
      <protection locked="0"/>
    </xf>
    <xf numFmtId="0" fontId="11" fillId="0" borderId="6" xfId="10" applyNumberFormat="1" applyBorder="1" applyAlignment="1" applyProtection="1">
      <alignment vertical="top"/>
      <protection locked="0"/>
    </xf>
    <xf numFmtId="0" fontId="11" fillId="0" borderId="7" xfId="10" applyNumberFormat="1" applyBorder="1" applyAlignment="1" applyProtection="1">
      <alignment vertical="top"/>
      <protection locked="0"/>
    </xf>
    <xf numFmtId="0" fontId="11" fillId="5" borderId="2" xfId="3" applyFill="1" applyBorder="1">
      <alignment vertical="top"/>
    </xf>
    <xf numFmtId="0" fontId="11" fillId="0" borderId="0" xfId="5" applyProtection="1">
      <alignment horizontal="centerContinuous" vertical="top" wrapText="1"/>
      <protection locked="0"/>
    </xf>
    <xf numFmtId="0" fontId="1" fillId="12" borderId="0" xfId="23" applyFill="1" applyAlignment="1" applyProtection="1">
      <alignment horizontal="left"/>
    </xf>
  </cellXfs>
  <cellStyles count="31">
    <cellStyle name="20% - Accent1" xfId="29" builtinId="30"/>
    <cellStyle name="20% - Accent5" xfId="30" builtinId="46"/>
    <cellStyle name="60% - Accent1" xfId="26" builtinId="32"/>
    <cellStyle name="60% - Accent5" xfId="27" builtinId="48"/>
    <cellStyle name="Accent6" xfId="25" builtinId="49" customBuiltin="1"/>
    <cellStyle name="Bad" xfId="7" builtinId="27" hidden="1"/>
    <cellStyle name="Calculation" xfId="11" builtinId="22" customBuiltin="1"/>
    <cellStyle name="Check Cell" xfId="13" builtinId="23" customBuiltin="1"/>
    <cellStyle name="Comma" xfId="18" builtinId="3" customBuiltin="1"/>
    <cellStyle name="Comma [0]" xfId="19" builtinId="6" customBuiltin="1"/>
    <cellStyle name="Currency" xfId="20" builtinId="4" customBuiltin="1"/>
    <cellStyle name="Currency [0]" xfId="21" builtinId="7" customBuiltin="1"/>
    <cellStyle name="Explanatory Text" xfId="17" builtinId="53" customBuiltin="1"/>
    <cellStyle name="Good" xfId="6" builtinId="26" hidden="1"/>
    <cellStyle name="Heading 1" xfId="2" builtinId="16" customBuiltin="1"/>
    <cellStyle name="Heading 2" xfId="3" builtinId="17" customBuiltin="1"/>
    <cellStyle name="Heading 3" xfId="4" builtinId="18" customBuiltin="1"/>
    <cellStyle name="Heading 4" xfId="5" builtinId="19" customBuiltin="1"/>
    <cellStyle name="Hyperlink" xfId="28" builtinId="8"/>
    <cellStyle name="Input" xfId="9" builtinId="20" customBuiltin="1"/>
    <cellStyle name="Linked Cell" xfId="12" builtinId="24" hidden="1"/>
    <cellStyle name="Neutral" xfId="8" builtinId="28" hidden="1"/>
    <cellStyle name="Normal" xfId="0" builtinId="0" customBuiltin="1"/>
    <cellStyle name="Normal Fill" xfId="24" xr:uid="{F8B51D0D-85A6-44BC-88ED-53A39908D51E}"/>
    <cellStyle name="Normal Font" xfId="23" xr:uid="{38BB73A8-EBB3-49D5-98B5-B3C1275E03C2}"/>
    <cellStyle name="Note" xfId="15" builtinId="10" customBuiltin="1"/>
    <cellStyle name="Output" xfId="10" builtinId="21" customBuiltin="1"/>
    <cellStyle name="Percent" xfId="22" builtinId="5" customBuiltin="1"/>
    <cellStyle name="Title" xfId="1" builtinId="15" hidden="1" customBuiltin="1"/>
    <cellStyle name="Total" xfId="16" builtinId="25" customBuiltin="1"/>
    <cellStyle name="Warning Text" xfId="14" builtinId="11" hidden="1"/>
  </cellStyles>
  <dxfs count="121">
    <dxf>
      <font>
        <color rgb="FF9C0006"/>
      </font>
      <fill>
        <patternFill>
          <bgColor rgb="FFFFC7CE"/>
        </patternFill>
      </fill>
    </dxf>
    <dxf>
      <font>
        <color theme="0"/>
      </font>
      <fill>
        <patternFill patternType="none">
          <bgColor auto="1"/>
        </patternFill>
      </fill>
      <border>
        <left/>
        <right/>
        <bottom/>
        <vertical/>
        <horizontal/>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theme="3" tint="0.79998168889431442"/>
        </patternFill>
      </fill>
    </dxf>
    <dxf>
      <fill>
        <patternFill>
          <bgColor theme="3" tint="0.79998168889431442"/>
        </patternFill>
      </fill>
    </dxf>
    <dxf>
      <fill>
        <patternFill patternType="none">
          <bgColor auto="1"/>
        </patternFill>
      </fill>
      <border>
        <left style="thick">
          <color theme="3" tint="-0.24994659260841701"/>
        </left>
      </border>
    </dxf>
    <dxf>
      <font>
        <b/>
        <i val="0"/>
        <color theme="0"/>
      </font>
      <fill>
        <patternFill>
          <bgColor theme="3"/>
        </patternFill>
      </fill>
    </dxf>
    <dxf>
      <border>
        <top style="thick">
          <color theme="3" tint="-0.24994659260841701"/>
        </top>
      </border>
    </dxf>
    <dxf>
      <font>
        <b/>
        <i val="0"/>
        <color theme="0"/>
      </font>
      <fill>
        <patternFill>
          <bgColor theme="3"/>
        </patternFill>
      </fill>
    </dxf>
    <dxf>
      <border>
        <left style="thin">
          <color theme="3" tint="0.39994506668294322"/>
        </left>
        <right style="thin">
          <color theme="3" tint="0.39994506668294322"/>
        </right>
        <top style="thin">
          <color theme="3" tint="0.39994506668294322"/>
        </top>
        <bottom style="thin">
          <color theme="3" tint="0.39994506668294322"/>
        </bottom>
        <vertical style="thin">
          <color theme="3" tint="0.39994506668294322"/>
        </vertical>
        <horizontal style="thin">
          <color theme="3" tint="0.39994506668294322"/>
        </horizontal>
      </border>
    </dxf>
    <dxf>
      <fill>
        <patternFill>
          <bgColor theme="9" tint="0.79998168889431442"/>
        </patternFill>
      </fill>
    </dxf>
    <dxf>
      <fill>
        <patternFill>
          <bgColor theme="9" tint="0.79998168889431442"/>
        </patternFill>
      </fill>
    </dxf>
    <dxf>
      <fill>
        <patternFill patternType="none">
          <bgColor auto="1"/>
        </patternFill>
      </fill>
      <border>
        <left style="thick">
          <color theme="9" tint="-0.24994659260841701"/>
        </left>
      </border>
    </dxf>
    <dxf>
      <font>
        <b/>
        <i val="0"/>
        <color theme="0"/>
      </font>
      <fill>
        <patternFill>
          <bgColor theme="9"/>
        </patternFill>
      </fill>
    </dxf>
    <dxf>
      <border>
        <top style="thick">
          <color theme="9" tint="-0.24994659260841701"/>
        </top>
      </border>
    </dxf>
    <dxf>
      <font>
        <b/>
        <i val="0"/>
        <color theme="0"/>
      </font>
      <fill>
        <patternFill>
          <bgColor theme="9"/>
        </patternFill>
      </fill>
    </dxf>
    <dxf>
      <border>
        <left style="thin">
          <color theme="9" tint="0.39994506668294322"/>
        </left>
        <right style="thin">
          <color theme="9" tint="0.39994506668294322"/>
        </right>
        <top style="thin">
          <color theme="9" tint="0.39994506668294322"/>
        </top>
        <bottom style="thin">
          <color theme="9" tint="0.39994506668294322"/>
        </bottom>
        <vertical style="thin">
          <color theme="9" tint="0.39994506668294322"/>
        </vertical>
        <horizontal style="thin">
          <color theme="9" tint="0.39994506668294322"/>
        </horizontal>
      </border>
    </dxf>
    <dxf>
      <fill>
        <patternFill>
          <bgColor theme="8" tint="0.79998168889431442"/>
        </patternFill>
      </fill>
    </dxf>
    <dxf>
      <fill>
        <patternFill>
          <bgColor theme="8" tint="0.79998168889431442"/>
        </patternFill>
      </fill>
    </dxf>
    <dxf>
      <fill>
        <patternFill patternType="none">
          <bgColor auto="1"/>
        </patternFill>
      </fill>
      <border>
        <left style="thick">
          <color theme="8" tint="-0.24994659260841701"/>
        </left>
      </border>
    </dxf>
    <dxf>
      <font>
        <b/>
        <i val="0"/>
        <color theme="0"/>
      </font>
      <fill>
        <patternFill>
          <bgColor theme="8"/>
        </patternFill>
      </fill>
    </dxf>
    <dxf>
      <border>
        <top style="thick">
          <color theme="8" tint="-0.24994659260841701"/>
        </top>
      </border>
    </dxf>
    <dxf>
      <font>
        <b/>
        <i val="0"/>
        <color theme="0"/>
      </font>
      <fill>
        <patternFill>
          <bgColor theme="8"/>
        </patternFill>
      </fill>
    </dxf>
    <dxf>
      <border>
        <left style="thin">
          <color theme="8" tint="0.39994506668294322"/>
        </left>
        <right style="thin">
          <color theme="8" tint="0.39994506668294322"/>
        </right>
        <top style="thin">
          <color theme="8" tint="0.39994506668294322"/>
        </top>
        <bottom style="thin">
          <color theme="8" tint="0.39994506668294322"/>
        </bottom>
        <vertical style="thin">
          <color theme="8" tint="0.39994506668294322"/>
        </vertical>
        <horizontal style="thin">
          <color theme="8" tint="0.39994506668294322"/>
        </horizontal>
      </border>
    </dxf>
    <dxf>
      <fill>
        <patternFill>
          <bgColor theme="7" tint="0.79998168889431442"/>
        </patternFill>
      </fill>
    </dxf>
    <dxf>
      <fill>
        <patternFill>
          <bgColor theme="7" tint="0.79998168889431442"/>
        </patternFill>
      </fill>
    </dxf>
    <dxf>
      <fill>
        <patternFill patternType="none">
          <bgColor auto="1"/>
        </patternFill>
      </fill>
      <border>
        <left style="thick">
          <color theme="7" tint="-0.24994659260841701"/>
        </left>
      </border>
    </dxf>
    <dxf>
      <font>
        <b/>
        <i val="0"/>
        <color theme="0"/>
      </font>
      <fill>
        <patternFill>
          <bgColor theme="7"/>
        </patternFill>
      </fill>
    </dxf>
    <dxf>
      <border>
        <top style="thick">
          <color theme="7" tint="-0.24994659260841701"/>
        </top>
      </border>
    </dxf>
    <dxf>
      <font>
        <b/>
        <i val="0"/>
        <color theme="0"/>
      </font>
      <fill>
        <patternFill>
          <bgColor theme="7"/>
        </patternFill>
      </fill>
    </dxf>
    <dxf>
      <border>
        <left style="thin">
          <color theme="7" tint="0.39994506668294322"/>
        </left>
        <right style="thin">
          <color theme="7" tint="0.39994506668294322"/>
        </right>
        <top style="thin">
          <color theme="7" tint="0.39994506668294322"/>
        </top>
        <bottom style="thin">
          <color theme="7" tint="0.39994506668294322"/>
        </bottom>
        <vertical style="thin">
          <color theme="7" tint="0.39994506668294322"/>
        </vertical>
        <horizontal style="thin">
          <color theme="7" tint="0.39994506668294322"/>
        </horizontal>
      </border>
    </dxf>
    <dxf>
      <fill>
        <patternFill>
          <bgColor theme="6" tint="0.79998168889431442"/>
        </patternFill>
      </fill>
    </dxf>
    <dxf>
      <fill>
        <patternFill>
          <bgColor theme="6" tint="0.79998168889431442"/>
        </patternFill>
      </fill>
    </dxf>
    <dxf>
      <fill>
        <patternFill patternType="none">
          <bgColor auto="1"/>
        </patternFill>
      </fill>
      <border>
        <left style="thick">
          <color theme="6" tint="-0.24994659260841701"/>
        </left>
      </border>
    </dxf>
    <dxf>
      <font>
        <b/>
        <i val="0"/>
        <color theme="0"/>
      </font>
      <fill>
        <patternFill>
          <bgColor theme="6"/>
        </patternFill>
      </fill>
    </dxf>
    <dxf>
      <border>
        <top style="thick">
          <color theme="6" tint="-0.24994659260841701"/>
        </top>
      </border>
    </dxf>
    <dxf>
      <font>
        <b/>
        <i val="0"/>
        <color theme="0"/>
      </font>
      <fill>
        <patternFill>
          <bgColor theme="6"/>
        </patternFill>
      </fill>
    </dxf>
    <dxf>
      <border>
        <left style="thin">
          <color theme="6" tint="0.39994506668294322"/>
        </left>
        <right style="thin">
          <color theme="6" tint="0.39994506668294322"/>
        </right>
        <top style="thin">
          <color theme="6" tint="0.39994506668294322"/>
        </top>
        <bottom style="thin">
          <color theme="6" tint="0.39994506668294322"/>
        </bottom>
        <vertical style="thin">
          <color theme="6" tint="0.39994506668294322"/>
        </vertical>
        <horizontal style="thin">
          <color theme="6" tint="0.39994506668294322"/>
        </horizontal>
      </border>
    </dxf>
    <dxf>
      <fill>
        <patternFill>
          <bgColor theme="5" tint="0.79998168889431442"/>
        </patternFill>
      </fill>
    </dxf>
    <dxf>
      <fill>
        <patternFill>
          <bgColor theme="5" tint="0.79998168889431442"/>
        </patternFill>
      </fill>
    </dxf>
    <dxf>
      <fill>
        <patternFill patternType="none">
          <bgColor auto="1"/>
        </patternFill>
      </fill>
      <border>
        <left style="thick">
          <color theme="5" tint="-0.24994659260841701"/>
        </left>
      </border>
    </dxf>
    <dxf>
      <font>
        <b/>
        <i val="0"/>
        <color theme="0"/>
      </font>
      <fill>
        <patternFill>
          <bgColor theme="5"/>
        </patternFill>
      </fill>
    </dxf>
    <dxf>
      <border>
        <top style="thick">
          <color theme="5" tint="-0.24994659260841701"/>
        </top>
      </border>
    </dxf>
    <dxf>
      <font>
        <b/>
        <i val="0"/>
        <color theme="0"/>
      </font>
      <fill>
        <patternFill>
          <bgColor theme="5"/>
        </patternFill>
      </fill>
    </dxf>
    <dxf>
      <border>
        <left style="thin">
          <color theme="5" tint="0.39994506668294322"/>
        </left>
        <right style="thin">
          <color theme="5" tint="0.39994506668294322"/>
        </right>
        <top style="thin">
          <color theme="5" tint="0.39994506668294322"/>
        </top>
        <bottom style="thin">
          <color theme="5" tint="0.39994506668294322"/>
        </bottom>
        <vertical style="thin">
          <color theme="5" tint="0.39994506668294322"/>
        </vertical>
        <horizontal style="thin">
          <color theme="5" tint="0.39994506668294322"/>
        </horizontal>
      </border>
    </dxf>
    <dxf>
      <fill>
        <patternFill>
          <bgColor theme="4" tint="0.79998168889431442"/>
        </patternFill>
      </fill>
    </dxf>
    <dxf>
      <fill>
        <patternFill>
          <bgColor theme="4" tint="0.79998168889431442"/>
        </patternFill>
      </fill>
    </dxf>
    <dxf>
      <fill>
        <patternFill patternType="none">
          <bgColor auto="1"/>
        </patternFill>
      </fill>
      <border>
        <left style="thick">
          <color theme="4" tint="-0.24994659260841701"/>
        </left>
      </border>
    </dxf>
    <dxf>
      <font>
        <b/>
        <i val="0"/>
        <color theme="0"/>
      </font>
      <fill>
        <patternFill>
          <bgColor theme="4"/>
        </patternFill>
      </fill>
    </dxf>
    <dxf>
      <border>
        <top style="thick">
          <color theme="4" tint="-0.24994659260841701"/>
        </top>
      </border>
    </dxf>
    <dxf>
      <font>
        <b/>
        <i val="0"/>
        <color theme="0"/>
      </font>
      <fill>
        <patternFill>
          <bgColor theme="4"/>
        </patternFill>
      </fill>
    </dxf>
    <dxf>
      <border>
        <left style="thin">
          <color theme="4" tint="0.39994506668294322"/>
        </left>
        <right style="thin">
          <color theme="4" tint="0.39994506668294322"/>
        </right>
        <top style="thin">
          <color theme="4" tint="0.39994506668294322"/>
        </top>
        <bottom style="thin">
          <color theme="4" tint="0.39994506668294322"/>
        </bottom>
        <vertical style="thin">
          <color theme="4" tint="0.39994506668294322"/>
        </vertical>
        <horizontal style="thin">
          <color theme="4" tint="0.39994506668294322"/>
        </horizontal>
      </border>
    </dxf>
    <dxf>
      <fill>
        <patternFill>
          <bgColor theme="0" tint="-0.24994659260841701"/>
        </patternFill>
      </fill>
    </dxf>
    <dxf>
      <fill>
        <patternFill>
          <bgColor theme="0" tint="-0.24994659260841701"/>
        </patternFill>
      </fill>
    </dxf>
    <dxf>
      <fill>
        <patternFill patternType="none">
          <bgColor auto="1"/>
        </patternFill>
      </fill>
      <border>
        <left style="thick">
          <color theme="1" tint="0.24994659260841701"/>
        </left>
      </border>
    </dxf>
    <dxf>
      <font>
        <b/>
        <i val="0"/>
        <color theme="0"/>
      </font>
      <fill>
        <patternFill>
          <bgColor theme="1"/>
        </patternFill>
      </fill>
    </dxf>
    <dxf>
      <border>
        <top style="thick">
          <color theme="1" tint="0.24994659260841701"/>
        </top>
      </border>
    </dxf>
    <dxf>
      <font>
        <b/>
        <i val="0"/>
        <color theme="0"/>
      </font>
      <fill>
        <patternFill>
          <bgColor theme="1"/>
        </patternFill>
      </fill>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border>
        <left style="thin">
          <color theme="9" tint="0.39994506668294322"/>
        </left>
        <right style="thin">
          <color theme="9" tint="0.39994506668294322"/>
        </right>
        <vertical style="thin">
          <color theme="9" tint="0.39994506668294322"/>
        </vertical>
      </border>
    </dxf>
    <dxf>
      <border>
        <left style="thin">
          <color theme="9" tint="0.39994506668294322"/>
        </left>
        <right style="thin">
          <color theme="9" tint="0.39994506668294322"/>
        </right>
        <vertical style="thin">
          <color theme="9" tint="0.39994506668294322"/>
        </vertical>
      </border>
    </dxf>
    <dxf>
      <border>
        <top style="thin">
          <color theme="9" tint="0.39994506668294322"/>
        </top>
        <bottom style="thin">
          <color theme="9" tint="0.39994506668294322"/>
        </bottom>
        <horizontal style="thin">
          <color theme="9" tint="0.39994506668294322"/>
        </horizontal>
      </border>
    </dxf>
    <dxf>
      <border>
        <top style="thin">
          <color theme="9" tint="0.39994506668294322"/>
        </top>
        <bottom style="thin">
          <color theme="9" tint="0.39994506668294322"/>
        </bottom>
        <horizontal style="thin">
          <color theme="9" tint="0.39994506668294322"/>
        </horizontal>
      </border>
    </dxf>
    <dxf>
      <fill>
        <patternFill patternType="none">
          <bgColor auto="1"/>
        </patternFill>
      </fill>
      <border>
        <left style="thick">
          <color theme="9" tint="-0.24994659260841701"/>
        </left>
      </border>
    </dxf>
    <dxf>
      <border>
        <top style="thick">
          <color theme="9" tint="-0.24994659260841701"/>
        </top>
      </border>
    </dxf>
    <dxf>
      <font>
        <b/>
        <i val="0"/>
        <color theme="0"/>
      </font>
      <fill>
        <patternFill>
          <bgColor theme="9"/>
        </patternFill>
      </fill>
    </dxf>
    <dxf>
      <border>
        <left style="thin">
          <color theme="9" tint="0.39994506668294322"/>
        </left>
        <right style="thin">
          <color theme="9" tint="0.39994506668294322"/>
        </right>
        <top style="thin">
          <color theme="9" tint="0.39994506668294322"/>
        </top>
        <bottom style="thin">
          <color theme="9" tint="0.39994506668294322"/>
        </bottom>
        <vertical/>
        <horizontal/>
      </border>
    </dxf>
    <dxf>
      <border>
        <left style="thin">
          <color theme="8" tint="0.39994506668294322"/>
        </left>
        <right style="thin">
          <color theme="8" tint="0.39994506668294322"/>
        </right>
        <vertical style="thin">
          <color theme="8" tint="0.39994506668294322"/>
        </vertical>
      </border>
    </dxf>
    <dxf>
      <border>
        <left style="thin">
          <color theme="8" tint="0.39994506668294322"/>
        </left>
        <right style="thin">
          <color theme="8" tint="0.39994506668294322"/>
        </right>
        <vertical style="thin">
          <color theme="8" tint="0.39994506668294322"/>
        </vertical>
      </border>
    </dxf>
    <dxf>
      <border>
        <top style="thin">
          <color theme="8" tint="0.39994506668294322"/>
        </top>
        <bottom style="thin">
          <color theme="8" tint="0.39994506668294322"/>
        </bottom>
        <horizontal style="thin">
          <color theme="8" tint="0.39994506668294322"/>
        </horizontal>
      </border>
    </dxf>
    <dxf>
      <border>
        <top style="thin">
          <color theme="8" tint="0.39994506668294322"/>
        </top>
        <bottom style="thin">
          <color theme="8" tint="0.39994506668294322"/>
        </bottom>
        <horizontal style="thin">
          <color theme="8" tint="0.39994506668294322"/>
        </horizontal>
      </border>
    </dxf>
    <dxf>
      <fill>
        <patternFill patternType="none">
          <bgColor auto="1"/>
        </patternFill>
      </fill>
      <border>
        <left style="thick">
          <color theme="8" tint="-0.24994659260841701"/>
        </left>
      </border>
    </dxf>
    <dxf>
      <border>
        <top style="thick">
          <color theme="8" tint="-0.24994659260841701"/>
        </top>
      </border>
    </dxf>
    <dxf>
      <font>
        <b/>
        <i val="0"/>
        <color theme="0"/>
      </font>
      <fill>
        <patternFill>
          <bgColor theme="8"/>
        </patternFill>
      </fill>
    </dxf>
    <dxf>
      <border>
        <left style="thin">
          <color theme="8" tint="0.39994506668294322"/>
        </left>
        <right style="thin">
          <color theme="8" tint="0.39994506668294322"/>
        </right>
        <top style="thin">
          <color theme="8" tint="0.39994506668294322"/>
        </top>
        <bottom style="thin">
          <color theme="8" tint="0.39994506668294322"/>
        </bottom>
        <vertical/>
        <horizontal/>
      </border>
    </dxf>
    <dxf>
      <border>
        <left style="thin">
          <color theme="7" tint="0.39994506668294322"/>
        </left>
        <right style="thin">
          <color theme="7" tint="0.39994506668294322"/>
        </right>
        <vertical style="thin">
          <color theme="7" tint="0.39994506668294322"/>
        </vertical>
      </border>
    </dxf>
    <dxf>
      <border>
        <left style="thin">
          <color theme="7" tint="0.39994506668294322"/>
        </left>
        <right style="thin">
          <color theme="7" tint="0.39994506668294322"/>
        </right>
        <vertical style="thin">
          <color theme="7" tint="0.39994506668294322"/>
        </vertical>
      </border>
    </dxf>
    <dxf>
      <border>
        <top style="thin">
          <color theme="7" tint="0.39994506668294322"/>
        </top>
        <bottom style="thin">
          <color theme="7" tint="0.39994506668294322"/>
        </bottom>
        <horizontal style="thin">
          <color theme="7" tint="0.39994506668294322"/>
        </horizontal>
      </border>
    </dxf>
    <dxf>
      <border>
        <top style="thin">
          <color theme="7" tint="0.39994506668294322"/>
        </top>
        <bottom style="thin">
          <color theme="7" tint="0.39994506668294322"/>
        </bottom>
        <horizontal style="thin">
          <color theme="7" tint="0.39994506668294322"/>
        </horizontal>
      </border>
    </dxf>
    <dxf>
      <fill>
        <patternFill patternType="none">
          <bgColor auto="1"/>
        </patternFill>
      </fill>
      <border>
        <left style="thick">
          <color theme="7" tint="-0.24994659260841701"/>
        </left>
      </border>
    </dxf>
    <dxf>
      <border>
        <top style="thick">
          <color theme="7" tint="-0.24994659260841701"/>
        </top>
      </border>
    </dxf>
    <dxf>
      <font>
        <b/>
        <i val="0"/>
        <color theme="0"/>
      </font>
      <fill>
        <patternFill>
          <bgColor theme="7"/>
        </patternFill>
      </fill>
    </dxf>
    <dxf>
      <border>
        <left style="thin">
          <color theme="7" tint="0.39994506668294322"/>
        </left>
        <right style="thin">
          <color theme="7" tint="0.39994506668294322"/>
        </right>
        <top style="thin">
          <color theme="7" tint="0.39994506668294322"/>
        </top>
        <bottom style="thin">
          <color theme="7" tint="0.39994506668294322"/>
        </bottom>
        <vertical/>
        <horizontal/>
      </border>
    </dxf>
    <dxf>
      <border>
        <left style="thin">
          <color theme="6" tint="0.39994506668294322"/>
        </left>
        <right style="thin">
          <color theme="6" tint="0.39994506668294322"/>
        </right>
        <vertical style="thin">
          <color theme="6" tint="0.39994506668294322"/>
        </vertical>
      </border>
    </dxf>
    <dxf>
      <border>
        <left style="thin">
          <color theme="6" tint="0.39994506668294322"/>
        </left>
        <right style="thin">
          <color theme="6" tint="0.39994506668294322"/>
        </right>
        <vertical style="thin">
          <color theme="6" tint="0.39994506668294322"/>
        </vertical>
      </border>
    </dxf>
    <dxf>
      <border>
        <top style="thin">
          <color theme="6" tint="0.39994506668294322"/>
        </top>
        <bottom style="thin">
          <color theme="6" tint="0.39994506668294322"/>
        </bottom>
        <horizontal style="thin">
          <color theme="6" tint="0.39994506668294322"/>
        </horizontal>
      </border>
    </dxf>
    <dxf>
      <border>
        <top style="thin">
          <color theme="6" tint="0.39994506668294322"/>
        </top>
        <bottom style="thin">
          <color theme="6" tint="0.39994506668294322"/>
        </bottom>
        <horizontal style="thin">
          <color theme="6" tint="0.39994506668294322"/>
        </horizontal>
      </border>
    </dxf>
    <dxf>
      <fill>
        <patternFill patternType="none">
          <bgColor auto="1"/>
        </patternFill>
      </fill>
      <border>
        <left style="thick">
          <color theme="6" tint="-0.24994659260841701"/>
        </left>
      </border>
    </dxf>
    <dxf>
      <border>
        <top style="thick">
          <color theme="6" tint="-0.24994659260841701"/>
        </top>
      </border>
    </dxf>
    <dxf>
      <font>
        <b/>
        <i val="0"/>
        <color theme="0"/>
      </font>
      <fill>
        <patternFill>
          <bgColor theme="6"/>
        </patternFill>
      </fill>
    </dxf>
    <dxf>
      <border>
        <left style="thin">
          <color theme="6" tint="0.39994506668294322"/>
        </left>
        <right style="thin">
          <color theme="6" tint="0.39994506668294322"/>
        </right>
        <top style="thin">
          <color theme="6" tint="0.39994506668294322"/>
        </top>
        <bottom style="thin">
          <color theme="6" tint="0.39994506668294322"/>
        </bottom>
        <vertical/>
        <horizontal/>
      </border>
    </dxf>
    <dxf>
      <border>
        <left style="thin">
          <color theme="5" tint="0.39994506668294322"/>
        </left>
        <right style="thin">
          <color theme="5" tint="0.39994506668294322"/>
        </right>
        <vertical style="thin">
          <color theme="5" tint="0.39994506668294322"/>
        </vertical>
      </border>
    </dxf>
    <dxf>
      <border>
        <left style="thin">
          <color theme="5" tint="0.39994506668294322"/>
        </left>
        <right style="thin">
          <color theme="5" tint="0.39994506668294322"/>
        </right>
        <vertical style="thin">
          <color theme="5" tint="0.39994506668294322"/>
        </vertical>
      </border>
    </dxf>
    <dxf>
      <border>
        <top style="thin">
          <color theme="5" tint="0.39994506668294322"/>
        </top>
        <bottom style="thin">
          <color theme="5" tint="0.39994506668294322"/>
        </bottom>
        <horizontal style="thin">
          <color theme="5" tint="0.39994506668294322"/>
        </horizontal>
      </border>
    </dxf>
    <dxf>
      <border>
        <top style="thin">
          <color theme="5" tint="0.39994506668294322"/>
        </top>
        <bottom style="thin">
          <color theme="5" tint="0.39994506668294322"/>
        </bottom>
        <horizontal style="thin">
          <color theme="5" tint="0.39994506668294322"/>
        </horizontal>
      </border>
    </dxf>
    <dxf>
      <fill>
        <patternFill patternType="none">
          <bgColor auto="1"/>
        </patternFill>
      </fill>
      <border>
        <left style="thick">
          <color theme="5" tint="-0.24994659260841701"/>
        </left>
      </border>
    </dxf>
    <dxf>
      <border>
        <top style="thick">
          <color theme="5" tint="-0.24994659260841701"/>
        </top>
      </border>
    </dxf>
    <dxf>
      <font>
        <b/>
        <i val="0"/>
        <color theme="0"/>
      </font>
      <fill>
        <patternFill>
          <bgColor theme="5"/>
        </patternFill>
      </fill>
    </dxf>
    <dxf>
      <border>
        <left style="thin">
          <color theme="5" tint="0.39994506668294322"/>
        </left>
        <right style="thin">
          <color theme="5" tint="0.39994506668294322"/>
        </right>
        <top style="thin">
          <color theme="5" tint="0.39994506668294322"/>
        </top>
        <bottom style="thin">
          <color theme="5" tint="0.39994506668294322"/>
        </bottom>
        <vertical/>
        <horizontal/>
      </border>
    </dxf>
    <dxf>
      <border>
        <left style="thin">
          <color theme="4" tint="0.39994506668294322"/>
        </left>
        <right style="thin">
          <color theme="4" tint="0.39994506668294322"/>
        </right>
        <vertical style="thin">
          <color theme="4" tint="0.39994506668294322"/>
        </vertical>
      </border>
    </dxf>
    <dxf>
      <border>
        <left style="thin">
          <color theme="4" tint="0.39994506668294322"/>
        </left>
        <right style="thin">
          <color theme="4" tint="0.39994506668294322"/>
        </right>
        <vertical style="thin">
          <color theme="4" tint="0.39994506668294322"/>
        </vertical>
      </border>
    </dxf>
    <dxf>
      <border>
        <top style="thin">
          <color theme="4" tint="0.39994506668294322"/>
        </top>
        <bottom style="thin">
          <color theme="4" tint="0.39994506668294322"/>
        </bottom>
        <horizontal style="thin">
          <color theme="4" tint="0.39994506668294322"/>
        </horizontal>
      </border>
    </dxf>
    <dxf>
      <border>
        <top style="thin">
          <color theme="4" tint="0.39994506668294322"/>
        </top>
        <bottom style="thin">
          <color theme="4" tint="0.39994506668294322"/>
        </bottom>
        <horizontal style="thin">
          <color theme="4" tint="0.39994506668294322"/>
        </horizontal>
      </border>
    </dxf>
    <dxf>
      <fill>
        <patternFill patternType="none">
          <bgColor auto="1"/>
        </patternFill>
      </fill>
      <border>
        <left style="thick">
          <color theme="4" tint="-0.24994659260841701"/>
        </left>
      </border>
    </dxf>
    <dxf>
      <border>
        <top style="thick">
          <color theme="4" tint="-0.24994659260841701"/>
        </top>
      </border>
    </dxf>
    <dxf>
      <font>
        <b/>
        <i val="0"/>
        <color theme="0"/>
      </font>
      <fill>
        <patternFill>
          <bgColor theme="4"/>
        </patternFill>
      </fill>
    </dxf>
    <dxf>
      <border>
        <left style="thin">
          <color theme="4" tint="0.39994506668294322"/>
        </left>
        <right style="thin">
          <color theme="4" tint="0.39994506668294322"/>
        </right>
        <top style="thin">
          <color theme="4" tint="0.39994506668294322"/>
        </top>
        <bottom style="thin">
          <color theme="4" tint="0.39994506668294322"/>
        </bottom>
        <vertical/>
        <horizontal/>
      </border>
    </dxf>
    <dxf>
      <border>
        <left style="thin">
          <color theme="1" tint="0.34998626667073579"/>
        </left>
        <right style="thin">
          <color theme="1" tint="0.34998626667073579"/>
        </right>
        <vertical style="thin">
          <color theme="1" tint="0.34998626667073579"/>
        </vertical>
      </border>
    </dxf>
    <dxf>
      <border>
        <left style="thin">
          <color theme="1" tint="0.34998626667073579"/>
        </left>
        <right style="thin">
          <color theme="1" tint="0.34998626667073579"/>
        </right>
        <vertical style="thin">
          <color theme="1" tint="0.34998626667073579"/>
        </vertical>
      </border>
    </dxf>
    <dxf>
      <border>
        <top style="thin">
          <color theme="1" tint="0.34998626667073579"/>
        </top>
        <bottom style="thin">
          <color theme="1" tint="0.34998626667073579"/>
        </bottom>
        <horizontal style="thin">
          <color theme="1" tint="0.34998626667073579"/>
        </horizontal>
      </border>
    </dxf>
    <dxf>
      <border>
        <top style="thin">
          <color theme="1" tint="0.34998626667073579"/>
        </top>
        <bottom style="thin">
          <color theme="1" tint="0.34998626667073579"/>
        </bottom>
        <horizontal style="thin">
          <color theme="1" tint="0.34998626667073579"/>
        </horizontal>
      </border>
    </dxf>
    <dxf>
      <fill>
        <patternFill patternType="none">
          <bgColor auto="1"/>
        </patternFill>
      </fill>
      <border>
        <left style="thick">
          <color theme="1" tint="0.24994659260841701"/>
        </left>
      </border>
    </dxf>
    <dxf>
      <border>
        <top style="thick">
          <color theme="1" tint="0.24994659260841701"/>
        </top>
      </border>
    </dxf>
    <dxf>
      <font>
        <b/>
        <i val="0"/>
        <color theme="0"/>
      </font>
      <fill>
        <patternFill>
          <bgColor theme="1"/>
        </patternFill>
      </fill>
    </dxf>
    <dxf>
      <border>
        <left style="thin">
          <color theme="1" tint="0.34998626667073579"/>
        </left>
        <right style="thin">
          <color theme="1" tint="0.34998626667073579"/>
        </right>
        <top style="thin">
          <color theme="1" tint="0.34998626667073579"/>
        </top>
        <bottom style="thin">
          <color theme="1" tint="0.34998626667073579"/>
        </bottom>
        <vertical/>
        <horizontal/>
      </border>
    </dxf>
  </dxfs>
  <tableStyles count="15" defaultTableStyle="Table 1" defaultPivotStyle="PivotStyleLight16">
    <tableStyle name="List 0" pivot="0" count="8" xr9:uid="{00000000-0011-0000-FFFF-FFFF00000000}">
      <tableStyleElement type="wholeTable" dxfId="120"/>
      <tableStyleElement type="headerRow" dxfId="119"/>
      <tableStyleElement type="totalRow" dxfId="118"/>
      <tableStyleElement type="lastColumn" dxfId="117"/>
      <tableStyleElement type="firstRowStripe" dxfId="116"/>
      <tableStyleElement type="secondRowStripe" dxfId="115"/>
      <tableStyleElement type="firstColumnStripe" dxfId="114"/>
      <tableStyleElement type="secondColumnStripe" dxfId="113"/>
    </tableStyle>
    <tableStyle name="List 1" pivot="0" count="8" xr9:uid="{00000000-0011-0000-FFFF-FFFF01000000}">
      <tableStyleElement type="wholeTable" dxfId="112"/>
      <tableStyleElement type="headerRow" dxfId="111"/>
      <tableStyleElement type="totalRow" dxfId="110"/>
      <tableStyleElement type="lastColumn" dxfId="109"/>
      <tableStyleElement type="firstRowStripe" dxfId="108"/>
      <tableStyleElement type="secondRowStripe" dxfId="107"/>
      <tableStyleElement type="firstColumnStripe" dxfId="106"/>
      <tableStyleElement type="secondColumnStripe" dxfId="105"/>
    </tableStyle>
    <tableStyle name="List 2" pivot="0" count="8" xr9:uid="{00000000-0011-0000-FFFF-FFFF02000000}">
      <tableStyleElement type="wholeTable" dxfId="104"/>
      <tableStyleElement type="headerRow" dxfId="103"/>
      <tableStyleElement type="totalRow" dxfId="102"/>
      <tableStyleElement type="lastColumn" dxfId="101"/>
      <tableStyleElement type="firstRowStripe" dxfId="100"/>
      <tableStyleElement type="secondRowStripe" dxfId="99"/>
      <tableStyleElement type="firstColumnStripe" dxfId="98"/>
      <tableStyleElement type="secondColumnStripe" dxfId="97"/>
    </tableStyle>
    <tableStyle name="List 3" pivot="0" count="8" xr9:uid="{00000000-0011-0000-FFFF-FFFF03000000}">
      <tableStyleElement type="wholeTable" dxfId="96"/>
      <tableStyleElement type="headerRow" dxfId="95"/>
      <tableStyleElement type="totalRow" dxfId="94"/>
      <tableStyleElement type="lastColumn" dxfId="93"/>
      <tableStyleElement type="firstRowStripe" dxfId="92"/>
      <tableStyleElement type="secondRowStripe" dxfId="91"/>
      <tableStyleElement type="firstColumnStripe" dxfId="90"/>
      <tableStyleElement type="secondColumnStripe" dxfId="89"/>
    </tableStyle>
    <tableStyle name="List 4" pivot="0" count="8" xr9:uid="{00000000-0011-0000-FFFF-FFFF04000000}">
      <tableStyleElement type="wholeTable" dxfId="88"/>
      <tableStyleElement type="headerRow" dxfId="87"/>
      <tableStyleElement type="totalRow" dxfId="86"/>
      <tableStyleElement type="lastColumn" dxfId="85"/>
      <tableStyleElement type="firstRowStripe" dxfId="84"/>
      <tableStyleElement type="secondRowStripe" dxfId="83"/>
      <tableStyleElement type="firstColumnStripe" dxfId="82"/>
      <tableStyleElement type="secondColumnStripe" dxfId="81"/>
    </tableStyle>
    <tableStyle name="List 5" pivot="0" count="8" xr9:uid="{00000000-0011-0000-FFFF-FFFF05000000}">
      <tableStyleElement type="wholeTable" dxfId="80"/>
      <tableStyleElement type="headerRow" dxfId="79"/>
      <tableStyleElement type="totalRow" dxfId="78"/>
      <tableStyleElement type="lastColumn" dxfId="77"/>
      <tableStyleElement type="firstRowStripe" dxfId="76"/>
      <tableStyleElement type="secondRowStripe" dxfId="75"/>
      <tableStyleElement type="firstColumnStripe" dxfId="74"/>
      <tableStyleElement type="secondColumnStripe" dxfId="73"/>
    </tableStyle>
    <tableStyle name="List 6" pivot="0" count="8" xr9:uid="{00000000-0011-0000-FFFF-FFFF06000000}">
      <tableStyleElement type="wholeTable" dxfId="72"/>
      <tableStyleElement type="headerRow" dxfId="71"/>
      <tableStyleElement type="totalRow" dxfId="70"/>
      <tableStyleElement type="lastColumn" dxfId="69"/>
      <tableStyleElement type="firstRowStripe" dxfId="68"/>
      <tableStyleElement type="secondRowStripe" dxfId="67"/>
      <tableStyleElement type="firstColumnStripe" dxfId="66"/>
      <tableStyleElement type="secondColumnStripe" dxfId="65"/>
    </tableStyle>
    <tableStyle name="Table 0" pivot="0" count="7" xr9:uid="{00000000-0011-0000-FFFF-FFFF07000000}">
      <tableStyleElement type="wholeTable" dxfId="64"/>
      <tableStyleElement type="headerRow" dxfId="63"/>
      <tableStyleElement type="totalRow" dxfId="62"/>
      <tableStyleElement type="firstColumn" dxfId="61"/>
      <tableStyleElement type="lastColumn" dxfId="60"/>
      <tableStyleElement type="secondRowStripe" dxfId="59"/>
      <tableStyleElement type="secondColumnStripe" dxfId="58"/>
    </tableStyle>
    <tableStyle name="Table 1" pivot="0" count="7" xr9:uid="{00000000-0011-0000-FFFF-FFFF08000000}">
      <tableStyleElement type="wholeTable" dxfId="57"/>
      <tableStyleElement type="headerRow" dxfId="56"/>
      <tableStyleElement type="totalRow" dxfId="55"/>
      <tableStyleElement type="firstColumn" dxfId="54"/>
      <tableStyleElement type="lastColumn" dxfId="53"/>
      <tableStyleElement type="secondRowStripe" dxfId="52"/>
      <tableStyleElement type="secondColumnStripe" dxfId="51"/>
    </tableStyle>
    <tableStyle name="Table 2" pivot="0" count="7" xr9:uid="{00000000-0011-0000-FFFF-FFFF09000000}">
      <tableStyleElement type="wholeTable" dxfId="50"/>
      <tableStyleElement type="headerRow" dxfId="49"/>
      <tableStyleElement type="totalRow" dxfId="48"/>
      <tableStyleElement type="firstColumn" dxfId="47"/>
      <tableStyleElement type="lastColumn" dxfId="46"/>
      <tableStyleElement type="secondRowStripe" dxfId="45"/>
      <tableStyleElement type="secondColumnStripe" dxfId="44"/>
    </tableStyle>
    <tableStyle name="Table 3" pivot="0" count="7" xr9:uid="{00000000-0011-0000-FFFF-FFFF0A000000}">
      <tableStyleElement type="wholeTable" dxfId="43"/>
      <tableStyleElement type="headerRow" dxfId="42"/>
      <tableStyleElement type="totalRow" dxfId="41"/>
      <tableStyleElement type="firstColumn" dxfId="40"/>
      <tableStyleElement type="lastColumn" dxfId="39"/>
      <tableStyleElement type="secondRowStripe" dxfId="38"/>
      <tableStyleElement type="secondColumnStripe" dxfId="37"/>
    </tableStyle>
    <tableStyle name="Table 4" pivot="0" count="7" xr9:uid="{00000000-0011-0000-FFFF-FFFF0B000000}">
      <tableStyleElement type="wholeTable" dxfId="36"/>
      <tableStyleElement type="headerRow" dxfId="35"/>
      <tableStyleElement type="totalRow" dxfId="34"/>
      <tableStyleElement type="firstColumn" dxfId="33"/>
      <tableStyleElement type="lastColumn" dxfId="32"/>
      <tableStyleElement type="secondRowStripe" dxfId="31"/>
      <tableStyleElement type="secondColumnStripe" dxfId="30"/>
    </tableStyle>
    <tableStyle name="Table 5" pivot="0" count="7" xr9:uid="{00000000-0011-0000-FFFF-FFFF0C000000}">
      <tableStyleElement type="wholeTable" dxfId="29"/>
      <tableStyleElement type="headerRow" dxfId="28"/>
      <tableStyleElement type="totalRow" dxfId="27"/>
      <tableStyleElement type="firstColumn" dxfId="26"/>
      <tableStyleElement type="lastColumn" dxfId="25"/>
      <tableStyleElement type="secondRowStripe" dxfId="24"/>
      <tableStyleElement type="secondColumnStripe" dxfId="23"/>
    </tableStyle>
    <tableStyle name="Table 6" pivot="0" count="7" xr9:uid="{00000000-0011-0000-FFFF-FFFF0D000000}">
      <tableStyleElement type="wholeTable" dxfId="22"/>
      <tableStyleElement type="headerRow" dxfId="21"/>
      <tableStyleElement type="totalRow" dxfId="20"/>
      <tableStyleElement type="firstColumn" dxfId="19"/>
      <tableStyleElement type="lastColumn" dxfId="18"/>
      <tableStyleElement type="secondRowStripe" dxfId="17"/>
      <tableStyleElement type="secondColumnStripe" dxfId="16"/>
    </tableStyle>
    <tableStyle name="Table 7" pivot="0" count="7" xr9:uid="{6BE13D90-1AF0-4518-A1F1-60987CE17347}">
      <tableStyleElement type="wholeTable" dxfId="15"/>
      <tableStyleElement type="headerRow" dxfId="14"/>
      <tableStyleElement type="totalRow" dxfId="13"/>
      <tableStyleElement type="firstColumn" dxfId="12"/>
      <tableStyleElement type="lastColumn" dxfId="11"/>
      <tableStyleElement type="secondRowStripe" dxfId="10"/>
      <tableStyleElement type="secondColumnStripe" dxfId="9"/>
    </tableStyle>
  </tableStyles>
  <colors>
    <mruColors>
      <color rgb="FFFFC7CE"/>
      <color rgb="FF9C0006"/>
      <color rgb="FFD9D9D9"/>
      <color rgb="FF7F7F7F"/>
      <color rgb="FF3F3F76"/>
      <color rgb="FFBFBFBF"/>
      <color rgb="FF3F3F6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heetMetadata" Target="metadata.xml"/><Relationship Id="rId18"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LineærRegression!$BQ$10</c:f>
          <c:strCache>
            <c:ptCount val="1"/>
            <c:pt idx="0">
              <c:v>Koefficienteffekt i multipel lineær regression
Ændringer i Eksempel 2 (interval) har størst effekt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0"/>
          <c:order val="0"/>
          <c:tx>
            <c:strRef>
              <c:f>LineærRegression!$BQ$12</c:f>
              <c:strCache>
                <c:ptCount val="1"/>
                <c:pt idx="0">
                  <c:v>Normaliseret effekt af uafhængig variabel</c:v>
                </c:pt>
              </c:strCache>
            </c:strRef>
          </c:tx>
          <c:spPr>
            <a:ln w="28575" cap="rnd">
              <a:solidFill>
                <a:schemeClr val="accent1"/>
              </a:solidFill>
              <a:round/>
            </a:ln>
            <a:effectLst/>
          </c:spPr>
          <c:marker>
            <c:symbol val="none"/>
          </c:marker>
          <c:dLbls>
            <c:dLbl>
              <c:idx val="0"/>
              <c:tx>
                <c:rich>
                  <a:bodyPr/>
                  <a:lstStyle/>
                  <a:p>
                    <a:fld id="{CAF51E28-AC68-4100-A591-94B7231C75B9}"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391D-4C21-9DB1-33ADF270BBD8}"/>
                </c:ext>
              </c:extLst>
            </c:dLbl>
            <c:dLbl>
              <c:idx val="1"/>
              <c:tx>
                <c:rich>
                  <a:bodyPr/>
                  <a:lstStyle/>
                  <a:p>
                    <a:fld id="{F4686AA1-1FAD-48C3-81D4-9291BE3B106A}"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391D-4C21-9DB1-33ADF270BBD8}"/>
                </c:ext>
              </c:extLst>
            </c:dLbl>
            <c:dLbl>
              <c:idx val="2"/>
              <c:tx>
                <c:rich>
                  <a:bodyPr/>
                  <a:lstStyle/>
                  <a:p>
                    <a:endParaRPr lang="da-DK"/>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391D-4C21-9DB1-33ADF270BBD8}"/>
                </c:ext>
              </c:extLst>
            </c:dLbl>
            <c:dLbl>
              <c:idx val="3"/>
              <c:tx>
                <c:rich>
                  <a:bodyPr/>
                  <a:lstStyle/>
                  <a:p>
                    <a:fld id="{C4475594-84FA-42E5-9B86-EB174BC6C05D}"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391D-4C21-9DB1-33ADF270BBD8}"/>
                </c:ext>
              </c:extLst>
            </c:dLbl>
            <c:dLbl>
              <c:idx val="4"/>
              <c:tx>
                <c:rich>
                  <a:bodyPr/>
                  <a:lstStyle/>
                  <a:p>
                    <a:fld id="{7F0B27FB-1627-4135-8A0F-5B12C22EEA66}"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391D-4C21-9DB1-33ADF270BBD8}"/>
                </c:ext>
              </c:extLst>
            </c:dLbl>
            <c:dLbl>
              <c:idx val="5"/>
              <c:tx>
                <c:rich>
                  <a:bodyPr/>
                  <a:lstStyle/>
                  <a:p>
                    <a:endParaRPr lang="da-DK"/>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5-391D-4C21-9DB1-33ADF270BBD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[0]!LmkX</c:f>
              <c:numCache>
                <c:formatCode>General</c:formatCode>
                <c:ptCount val="6"/>
                <c:pt idx="0">
                  <c:v>1.3568458048465697</c:v>
                </c:pt>
                <c:pt idx="1">
                  <c:v>-1.807500578536976</c:v>
                </c:pt>
                <c:pt idx="2">
                  <c:v>#N/A</c:v>
                </c:pt>
                <c:pt idx="3">
                  <c:v>1.7320508075688774</c:v>
                </c:pt>
                <c:pt idx="4">
                  <c:v>-0.57735026918962584</c:v>
                </c:pt>
                <c:pt idx="5">
                  <c:v>#N/A</c:v>
                </c:pt>
              </c:numCache>
            </c:numRef>
          </c:xVal>
          <c:yVal>
            <c:numRef>
              <c:f>[0]!LmkY</c:f>
              <c:numCache>
                <c:formatCode>General</c:formatCode>
                <c:ptCount val="6"/>
                <c:pt idx="0">
                  <c:v>4.118459773571125</c:v>
                </c:pt>
                <c:pt idx="1">
                  <c:v>-1.3882569782235548</c:v>
                </c:pt>
                <c:pt idx="2">
                  <c:v>#N/A</c:v>
                </c:pt>
                <c:pt idx="3">
                  <c:v>0.92006454592698861</c:v>
                </c:pt>
                <c:pt idx="4">
                  <c:v>0</c:v>
                </c:pt>
                <c:pt idx="5">
                  <c:v>#N/A</c:v>
                </c:pt>
              </c:numCache>
            </c:numRef>
          </c:yVal>
          <c:smooth val="0"/>
          <c:extLst>
            <c:ext xmlns:c15="http://schemas.microsoft.com/office/drawing/2012/chart" uri="{02D57815-91ED-43cb-92C2-25804820EDAC}">
              <c15:datalabelsRange>
                <c15:f>Beregningsark!$A$3:$A$152</c15:f>
                <c15:dlblRangeCache>
                  <c:ptCount val="150"/>
                  <c:pt idx="0">
                    <c:v>Eksempel 2 (interval)</c:v>
                  </c:pt>
                  <c:pt idx="1">
                    <c:v>Eksempel 2 (interval)</c:v>
                  </c:pt>
                  <c:pt idx="2">
                    <c:v>Eksempel 2 (interval)</c:v>
                  </c:pt>
                  <c:pt idx="3">
                    <c:v>Eksempel 3 (nominal)</c:v>
                  </c:pt>
                  <c:pt idx="4">
                    <c:v>Eksempel 3 (nominal)</c:v>
                  </c:pt>
                  <c:pt idx="5">
                    <c:v>Eksempel 3 (nominal)</c:v>
                  </c:pt>
                </c15:dlblRangeCache>
              </c15:datalabelsRange>
            </c:ext>
            <c:ext xmlns:c16="http://schemas.microsoft.com/office/drawing/2014/chart" uri="{C3380CC4-5D6E-409C-BE32-E72D297353CC}">
              <c16:uniqueId val="{00000009-391D-4C21-9DB1-33ADF270BBD8}"/>
            </c:ext>
          </c:extLst>
        </c:ser>
        <c:ser>
          <c:idx val="1"/>
          <c:order val="1"/>
          <c:tx>
            <c:strRef>
              <c:f>LineærRegression!$BQ$14</c:f>
              <c:strCache>
                <c:ptCount val="1"/>
                <c:pt idx="0">
                  <c:v>Koefficienteffekt ved værdi af interesse</c:v>
                </c:pt>
              </c:strCache>
            </c:strRef>
          </c:tx>
          <c:spPr>
            <a:ln w="19050" cap="rnd">
              <a:noFill/>
              <a:round/>
            </a:ln>
            <a:effectLst/>
          </c:spPr>
          <c:marker>
            <c:symbol val="x"/>
            <c:size val="15"/>
            <c:spPr>
              <a:noFill/>
              <a:ln w="28575">
                <a:solidFill>
                  <a:schemeClr val="accent2"/>
                </a:solidFill>
              </a:ln>
              <a:effectLst/>
            </c:spPr>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[0]!LmkVxX</c:f>
              <c:numCache>
                <c:formatCode>General</c:formatCode>
                <c:ptCount val="2"/>
                <c:pt idx="0">
                  <c:v>-0.76599512378686307</c:v>
                </c:pt>
                <c:pt idx="1">
                  <c:v>1.7320508075688774</c:v>
                </c:pt>
              </c:numCache>
            </c:numRef>
          </c:xVal>
          <c:yVal>
            <c:numRef>
              <c:f>[0]!LmkVxY</c:f>
              <c:numCache>
                <c:formatCode>General</c:formatCode>
                <c:ptCount val="2"/>
                <c:pt idx="0">
                  <c:v>0.42421069752609331</c:v>
                </c:pt>
                <c:pt idx="1">
                  <c:v>0.92006454592698861</c:v>
                </c:pt>
              </c:numCache>
            </c:numRef>
          </c:yVal>
          <c:smooth val="0"/>
          <c:extLst>
            <c:ext xmlns:c16="http://schemas.microsoft.com/office/drawing/2014/chart" uri="{C3380CC4-5D6E-409C-BE32-E72D297353CC}">
              <c16:uniqueId val="{0000000A-391D-4C21-9DB1-33ADF270BBD8}"/>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LineærRegression!$BQ$16</c:f>
              <c:strCache>
                <c:ptCount val="1"/>
                <c:pt idx="0">
                  <c:v>Standardiseret score for uafhængig variabel</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LineærRegression!$BQ$18</c:f>
              <c:strCache>
                <c:ptCount val="1"/>
                <c:pt idx="0">
                  <c:v>Effekt på afhængig variabel</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LineærRegression!$AR$10</c:f>
          <c:strCache>
            <c:ptCount val="1"/>
            <c:pt idx="0">
              <c:v>Linjetilpasningsplot for simpel lineær regression
Eksempel 2 (interval) forklarer 19.5%
af variationen i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smoothMarker"/>
        <c:varyColors val="0"/>
        <c:ser>
          <c:idx val="0"/>
          <c:order val="1"/>
          <c:tx>
            <c:strRef>
              <c:f>LineærRegression!$AR$14</c:f>
              <c:strCache>
                <c:ptCount val="1"/>
                <c:pt idx="0">
                  <c:v> Eksempel 1 (interval) = 0.444 * Eksempel 2 (interval) + 0.015</c:v>
                </c:pt>
              </c:strCache>
            </c:strRef>
          </c:tx>
          <c:spPr>
            <a:ln w="28575" cap="rnd">
              <a:solidFill>
                <a:schemeClr val="tx1"/>
              </a:solidFill>
              <a:round/>
            </a:ln>
            <a:effectLst/>
          </c:spPr>
          <c:marker>
            <c:symbol val="none"/>
          </c:marker>
          <c:trendline>
            <c:spPr>
              <a:ln w="19050" cap="rnd">
                <a:noFill/>
                <a:prstDash val="sysDot"/>
              </a:ln>
              <a:effectLst/>
            </c:spPr>
            <c:trendlineType val="linear"/>
            <c:dispRSqr val="0"/>
            <c:dispEq val="1"/>
            <c:trendlineLbl>
              <c:layout>
                <c:manualLayout>
                  <c:x val="9.1441677702123914E-2"/>
                  <c:y val="-8.3514739831897611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rendlineLbl>
          </c:trendline>
          <c:xVal>
            <c:numRef>
              <c:f>[0]!LsxSimpel</c:f>
              <c:numCache>
                <c:formatCode>General</c:formatCode>
                <c:ptCount val="12"/>
                <c:pt idx="0">
                  <c:v>-3.2725647568992748</c:v>
                </c:pt>
                <c:pt idx="1">
                  <c:v>-2.2379718387660041</c:v>
                </c:pt>
                <c:pt idx="2">
                  <c:v>2</c:v>
                </c:pt>
                <c:pt idx="3">
                  <c:v>2.0228895016109072</c:v>
                </c:pt>
                <c:pt idx="4">
                  <c:v>2.0315172703350726</c:v>
                </c:pt>
                <c:pt idx="5">
                  <c:v>4</c:v>
                </c:pt>
                <c:pt idx="6">
                  <c:v>5</c:v>
                </c:pt>
                <c:pt idx="7">
                  <c:v>5.4220501567463426</c:v>
                </c:pt>
                <c:pt idx="8">
                  <c:v>6.3251059591845431</c:v>
                </c:pt>
                <c:pt idx="9">
                  <c:v>9</c:v>
                </c:pt>
                <c:pt idx="10">
                  <c:v>9.7085240838788316</c:v>
                </c:pt>
                <c:pt idx="11">
                  <c:v>9.7085240838788316</c:v>
                </c:pt>
              </c:numCache>
            </c:numRef>
          </c:xVal>
          <c:yVal>
            <c:numRef>
              <c:f>[0]!Lsy2Simpel</c:f>
              <c:numCache>
                <c:formatCode>General</c:formatCode>
                <c:ptCount val="12"/>
                <c:pt idx="0">
                  <c:v>-1.4374212088539973</c:v>
                </c:pt>
                <c:pt idx="1">
                  <c:v>-0.97817244327948039</c:v>
                </c:pt>
                <c:pt idx="2">
                  <c:v>0.90303445595636256</c:v>
                </c:pt>
                <c:pt idx="3">
                  <c:v>0.91319495017121943</c:v>
                </c:pt>
                <c:pt idx="4">
                  <c:v>0.91702475807613404</c:v>
                </c:pt>
                <c:pt idx="5">
                  <c:v>1.7908208645529828</c:v>
                </c:pt>
                <c:pt idx="6">
                  <c:v>2.234714068851293</c:v>
                </c:pt>
                <c:pt idx="7">
                  <c:v>2.4220592653040312</c:v>
                </c:pt>
                <c:pt idx="8">
                  <c:v>2.8229195991085057</c:v>
                </c:pt>
                <c:pt idx="9">
                  <c:v>4.0102868860445335</c:v>
                </c:pt>
                <c:pt idx="10">
                  <c:v>4.3247959119600328</c:v>
                </c:pt>
                <c:pt idx="11">
                  <c:v>4.3247959119600328</c:v>
                </c:pt>
              </c:numCache>
            </c:numRef>
          </c:yVal>
          <c:smooth val="1"/>
          <c:extLst>
            <c:ext xmlns:c16="http://schemas.microsoft.com/office/drawing/2014/chart" uri="{C3380CC4-5D6E-409C-BE32-E72D297353CC}">
              <c16:uniqueId val="{00000001-4D7F-44CB-80F5-EC93153FAEEA}"/>
            </c:ext>
          </c:extLst>
        </c:ser>
        <c:dLbls>
          <c:showLegendKey val="0"/>
          <c:showVal val="0"/>
          <c:showCatName val="0"/>
          <c:showSerName val="0"/>
          <c:showPercent val="0"/>
          <c:showBubbleSize val="0"/>
        </c:dLbls>
        <c:axId val="1385891392"/>
        <c:axId val="1328708544"/>
      </c:scatterChart>
      <c:scatterChart>
        <c:scatterStyle val="lineMarker"/>
        <c:varyColors val="0"/>
        <c:ser>
          <c:idx val="1"/>
          <c:order val="0"/>
          <c:tx>
            <c:strRef>
              <c:f>LineærRegression!$AR$12</c:f>
              <c:strCache>
                <c:ptCount val="1"/>
                <c:pt idx="0">
                  <c:v> Observationer (n=12)</c:v>
                </c:pt>
              </c:strCache>
            </c:strRef>
          </c:tx>
          <c:spPr>
            <a:ln w="25400" cap="rnd">
              <a:noFill/>
              <a:round/>
            </a:ln>
            <a:effectLst/>
          </c:spPr>
          <c:marker>
            <c:symbol val="circle"/>
            <c:size val="7"/>
            <c:spPr>
              <a:noFill/>
              <a:ln w="28575">
                <a:solidFill>
                  <a:schemeClr val="accent1">
                    <a:alpha val="70000"/>
                  </a:schemeClr>
                </a:solidFill>
              </a:ln>
              <a:effectLst/>
            </c:spPr>
          </c:marker>
          <c:xVal>
            <c:numRef>
              <c:f>[0]!LsxSimpel</c:f>
              <c:numCache>
                <c:formatCode>General</c:formatCode>
                <c:ptCount val="12"/>
                <c:pt idx="0">
                  <c:v>-3.2725647568992748</c:v>
                </c:pt>
                <c:pt idx="1">
                  <c:v>-2.2379718387660041</c:v>
                </c:pt>
                <c:pt idx="2">
                  <c:v>2</c:v>
                </c:pt>
                <c:pt idx="3">
                  <c:v>2.0228895016109072</c:v>
                </c:pt>
                <c:pt idx="4">
                  <c:v>2.0315172703350726</c:v>
                </c:pt>
                <c:pt idx="5">
                  <c:v>4</c:v>
                </c:pt>
                <c:pt idx="6">
                  <c:v>5</c:v>
                </c:pt>
                <c:pt idx="7">
                  <c:v>5.4220501567463426</c:v>
                </c:pt>
                <c:pt idx="8">
                  <c:v>6.3251059591845431</c:v>
                </c:pt>
                <c:pt idx="9">
                  <c:v>9</c:v>
                </c:pt>
                <c:pt idx="10">
                  <c:v>9.7085240838788316</c:v>
                </c:pt>
                <c:pt idx="11">
                  <c:v>9.7085240838788316</c:v>
                </c:pt>
              </c:numCache>
            </c:numRef>
          </c:xVal>
          <c:yVal>
            <c:numRef>
              <c:f>[0]!LsySimpel</c:f>
              <c:numCache>
                <c:formatCode>General</c:formatCode>
                <c:ptCount val="12"/>
                <c:pt idx="0">
                  <c:v>-1.1469596428732241</c:v>
                </c:pt>
                <c:pt idx="1">
                  <c:v>-1.479592604535932</c:v>
                </c:pt>
                <c:pt idx="2">
                  <c:v>1.2989587493526971</c:v>
                </c:pt>
                <c:pt idx="3">
                  <c:v>-0.30723615599325882</c:v>
                </c:pt>
                <c:pt idx="4">
                  <c:v>-0.40935481016144565</c:v>
                </c:pt>
                <c:pt idx="5">
                  <c:v>1.8110756828005981</c:v>
                </c:pt>
                <c:pt idx="6">
                  <c:v>8</c:v>
                </c:pt>
                <c:pt idx="7">
                  <c:v>8.4427372017371785E-2</c:v>
                </c:pt>
                <c:pt idx="8">
                  <c:v>1.3803796539630533</c:v>
                </c:pt>
                <c:pt idx="9">
                  <c:v>13</c:v>
                </c:pt>
                <c:pt idx="10">
                  <c:v>0.91409189597286977</c:v>
                </c:pt>
                <c:pt idx="11">
                  <c:v>-0.89773712069108735</c:v>
                </c:pt>
              </c:numCache>
            </c:numRef>
          </c:yVal>
          <c:smooth val="0"/>
          <c:extLst>
            <c:ext xmlns:c16="http://schemas.microsoft.com/office/drawing/2014/chart" uri="{C3380CC4-5D6E-409C-BE32-E72D297353CC}">
              <c16:uniqueId val="{00000002-4D7F-44CB-80F5-EC93153FAEEA}"/>
            </c:ext>
          </c:extLst>
        </c:ser>
        <c:ser>
          <c:idx val="2"/>
          <c:order val="2"/>
          <c:tx>
            <c:strRef>
              <c:f>LineærRegression!$AR$10</c:f>
              <c:strCache>
                <c:ptCount val="1"/>
                <c:pt idx="0">
                  <c:v>Linjetilpasningsplot for simpel lineær regression
Eksempel 2 (interval) forklarer 19.5%
af variationen i Eksempel 1 (interval)</c:v>
                </c:pt>
              </c:strCache>
            </c:strRef>
          </c:tx>
          <c:spPr>
            <a:ln w="25400" cap="rnd">
              <a:noFill/>
              <a:round/>
            </a:ln>
            <a:effectLst/>
          </c:spPr>
          <c:marker>
            <c:symbol val="none"/>
          </c:marker>
          <c:xVal>
            <c:numRef>
              <c:f>(LineærRegression!$AR$38,LineærRegression!$AR$38)</c:f>
              <c:numCache>
                <c:formatCode>General</c:formatCode>
                <c:ptCount val="2"/>
                <c:pt idx="0">
                  <c:v>4.14233953833077</c:v>
                </c:pt>
                <c:pt idx="1">
                  <c:v>4.14233953833077</c:v>
                </c:pt>
              </c:numCache>
            </c:numRef>
          </c:xVal>
          <c:yVal>
            <c:numRef>
              <c:f>(LineærRegression!$AQ$28,LineærRegression!$AQ$30)</c:f>
              <c:numCache>
                <c:formatCode>General</c:formatCode>
                <c:ptCount val="2"/>
                <c:pt idx="0">
                  <c:v>-11.951147136555756</c:v>
                </c:pt>
                <c:pt idx="1">
                  <c:v>14.367118518839385</c:v>
                </c:pt>
              </c:numCache>
            </c:numRef>
          </c:yVal>
          <c:smooth val="0"/>
          <c:extLst>
            <c:ext xmlns:c16="http://schemas.microsoft.com/office/drawing/2014/chart" uri="{C3380CC4-5D6E-409C-BE32-E72D297353CC}">
              <c16:uniqueId val="{00000003-4D7F-44CB-80F5-EC93153FAEEA}"/>
            </c:ext>
          </c:extLst>
        </c:ser>
        <c:ser>
          <c:idx val="3"/>
          <c:order val="3"/>
          <c:tx>
            <c:strRef>
              <c:f>LineærRegression!$AR$16</c:f>
              <c:strCache>
                <c:ptCount val="1"/>
                <c:pt idx="0">
                  <c:v> Givet at Eksempel 2 (interval) = 1 estimeres Eksempel 1 (interval) = 0.459</c:v>
                </c:pt>
              </c:strCache>
            </c:strRef>
          </c:tx>
          <c:spPr>
            <a:ln w="25400" cap="rnd">
              <a:noFill/>
              <a:round/>
            </a:ln>
            <a:effectLst/>
          </c:spPr>
          <c:marker>
            <c:symbol val="x"/>
            <c:size val="15"/>
            <c:spPr>
              <a:noFill/>
              <a:ln w="28575">
                <a:solidFill>
                  <a:schemeClr val="tx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LineærRegression!$B$38</c:f>
              <c:numCache>
                <c:formatCode>General</c:formatCode>
                <c:ptCount val="1"/>
                <c:pt idx="0">
                  <c:v>1</c:v>
                </c:pt>
              </c:numCache>
            </c:numRef>
          </c:xVal>
          <c:yVal>
            <c:numRef>
              <c:f>LineærRegression!$B$40</c:f>
              <c:numCache>
                <c:formatCode>#,##0.000</c:formatCode>
                <c:ptCount val="1"/>
                <c:pt idx="0">
                  <c:v>0.45914125165805242</c:v>
                </c:pt>
              </c:numCache>
            </c:numRef>
          </c:yVal>
          <c:smooth val="0"/>
          <c:extLst>
            <c:ext xmlns:c16="http://schemas.microsoft.com/office/drawing/2014/chart" uri="{C3380CC4-5D6E-409C-BE32-E72D297353CC}">
              <c16:uniqueId val="{00000004-4D7F-44CB-80F5-EC93153FAEEA}"/>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LineærRegression!$AR$18</c:f>
              <c:strCache>
                <c:ptCount val="1"/>
                <c:pt idx="0">
                  <c:v>Eksempel 2 (interval)</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LineærRegression!$AQ$10</c:f>
              <c:strCache>
                <c:ptCount val="1"/>
                <c:pt idx="0">
                  <c:v>Eksempel 1 (interval)</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legendEntry>
        <c:idx val="2"/>
        <c:delete val="1"/>
      </c:legendEntry>
      <c:legendEntry>
        <c:idx val="4"/>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LineærRegression!$BL$10</c:f>
          <c:strCache>
            <c:ptCount val="1"/>
            <c:pt idx="0">
              <c:v>Ud af 2 inkluderede uafhængige variable
er 0 signifikante ved 95% konfidensniveau</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bar"/>
        <c:grouping val="stacked"/>
        <c:varyColors val="0"/>
        <c:ser>
          <c:idx val="0"/>
          <c:order val="0"/>
          <c:tx>
            <c:strRef>
              <c:f>LineærRegression!$BL$12</c:f>
              <c:strCache>
                <c:ptCount val="1"/>
                <c:pt idx="0">
                  <c:v>Signifikant</c:v>
                </c:pt>
              </c:strCache>
            </c:strRef>
          </c:tx>
          <c:spPr>
            <a:solidFill>
              <a:schemeClr val="accent1"/>
            </a:solidFill>
            <a:ln>
              <a:noFill/>
            </a:ln>
            <a:effectLst/>
          </c:spPr>
          <c:invertIfNegative val="0"/>
          <c:dLbls>
            <c:spPr>
              <a:solidFill>
                <a:schemeClr val="bg1"/>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inBase"/>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Ref>
              <c:f>[0]!Lssx</c:f>
              <c:strCache>
                <c:ptCount val="2"/>
                <c:pt idx="0">
                  <c:v>Eksempel 2 (interval)     </c:v>
                </c:pt>
                <c:pt idx="1">
                  <c:v>Eksempel 3 (nominal)     </c:v>
                </c:pt>
              </c:strCache>
            </c:strRef>
          </c:cat>
          <c:val>
            <c:numRef>
              <c:f>[0]!Lssy1</c:f>
              <c:numCache>
                <c:formatCode>General</c:formatCode>
                <c:ptCount val="2"/>
                <c:pt idx="0">
                  <c:v>#N/A</c:v>
                </c:pt>
                <c:pt idx="1">
                  <c:v>#N/A</c:v>
                </c:pt>
              </c:numCache>
            </c:numRef>
          </c:val>
          <c:extLst>
            <c:ext xmlns:c16="http://schemas.microsoft.com/office/drawing/2014/chart" uri="{C3380CC4-5D6E-409C-BE32-E72D297353CC}">
              <c16:uniqueId val="{00000000-5E5C-4BC6-98E9-F928001F9D2A}"/>
            </c:ext>
          </c:extLst>
        </c:ser>
        <c:ser>
          <c:idx val="1"/>
          <c:order val="1"/>
          <c:tx>
            <c:strRef>
              <c:f>LineærRegression!$BL$14</c:f>
              <c:strCache>
                <c:ptCount val="1"/>
                <c:pt idx="0">
                  <c:v>Ikke signifikant</c:v>
                </c:pt>
              </c:strCache>
            </c:strRef>
          </c:tx>
          <c:spPr>
            <a:solidFill>
              <a:schemeClr val="accent2"/>
            </a:solidFill>
            <a:ln>
              <a:noFill/>
            </a:ln>
            <a:effectLst/>
          </c:spPr>
          <c:invertIfNegative val="0"/>
          <c:dLbls>
            <c:spPr>
              <a:solidFill>
                <a:schemeClr val="bg1"/>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inBase"/>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Ref>
              <c:f>[0]!Lssx</c:f>
              <c:strCache>
                <c:ptCount val="2"/>
                <c:pt idx="0">
                  <c:v>Eksempel 2 (interval)     </c:v>
                </c:pt>
                <c:pt idx="1">
                  <c:v>Eksempel 3 (nominal)     </c:v>
                </c:pt>
              </c:strCache>
            </c:strRef>
          </c:cat>
          <c:val>
            <c:numRef>
              <c:f>[0]!Lssy2</c:f>
              <c:numCache>
                <c:formatCode>General</c:formatCode>
                <c:ptCount val="2"/>
                <c:pt idx="0">
                  <c:v>0.19806158153598377</c:v>
                </c:pt>
                <c:pt idx="1">
                  <c:v>0.7576462468032521</c:v>
                </c:pt>
              </c:numCache>
            </c:numRef>
          </c:val>
          <c:extLst>
            <c:ext xmlns:c16="http://schemas.microsoft.com/office/drawing/2014/chart" uri="{C3380CC4-5D6E-409C-BE32-E72D297353CC}">
              <c16:uniqueId val="{00000001-5E5C-4BC6-98E9-F928001F9D2A}"/>
            </c:ext>
          </c:extLst>
        </c:ser>
        <c:dLbls>
          <c:showLegendKey val="0"/>
          <c:showVal val="0"/>
          <c:showCatName val="0"/>
          <c:showSerName val="0"/>
          <c:showPercent val="0"/>
          <c:showBubbleSize val="0"/>
        </c:dLbls>
        <c:gapWidth val="25"/>
        <c:overlap val="100"/>
        <c:axId val="530040208"/>
        <c:axId val="530040624"/>
      </c:barChart>
      <c:scatterChart>
        <c:scatterStyle val="lineMarker"/>
        <c:varyColors val="0"/>
        <c:ser>
          <c:idx val="2"/>
          <c:order val="2"/>
          <c:tx>
            <c:strRef>
              <c:f>LineærRegression!$BL$16</c:f>
              <c:strCache>
                <c:ptCount val="1"/>
                <c:pt idx="0">
                  <c:v>Grænse for signifikans = 5%</c:v>
                </c:pt>
              </c:strCache>
            </c:strRef>
          </c:tx>
          <c:spPr>
            <a:ln w="28575" cap="rnd">
              <a:solidFill>
                <a:sysClr val="windowText" lastClr="000000"/>
              </a:solidFill>
              <a:round/>
            </a:ln>
            <a:effectLst/>
          </c:spPr>
          <c:marker>
            <c:symbol val="none"/>
          </c:marker>
          <c:dPt>
            <c:idx val="1"/>
            <c:marker>
              <c:symbol val="none"/>
            </c:marker>
            <c:bubble3D val="0"/>
            <c:extLst>
              <c:ext xmlns:c16="http://schemas.microsoft.com/office/drawing/2014/chart" uri="{C3380CC4-5D6E-409C-BE32-E72D297353CC}">
                <c16:uniqueId val="{00000002-5E5C-4BC6-98E9-F928001F9D2A}"/>
              </c:ext>
            </c:extLst>
          </c:dPt>
          <c:dLbls>
            <c:dLbl>
              <c:idx val="1"/>
              <c:delete val="1"/>
              <c:extLst>
                <c:ext xmlns:c15="http://schemas.microsoft.com/office/drawing/2012/chart" uri="{CE6537A1-D6FC-4f65-9D91-7224C49458BB}"/>
                <c:ext xmlns:c16="http://schemas.microsoft.com/office/drawing/2014/chart" uri="{C3380CC4-5D6E-409C-BE32-E72D297353CC}">
                  <c16:uniqueId val="{00000002-5E5C-4BC6-98E9-F928001F9D2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b"/>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(LineærRegression!$BL$24,LineærRegression!$BL$24)</c:f>
              <c:numCache>
                <c:formatCode>0.000%</c:formatCode>
                <c:ptCount val="2"/>
                <c:pt idx="0">
                  <c:v>5.0000000000000044E-2</c:v>
                </c:pt>
                <c:pt idx="1">
                  <c:v>5.0000000000000044E-2</c:v>
                </c:pt>
              </c:numCache>
            </c:numRef>
          </c:xVal>
          <c:yVal>
            <c:numRef>
              <c:f>(LineærRegression!$BL$20,LineærRegression!$BL$22)</c:f>
              <c:numCache>
                <c:formatCode>General</c:formatCode>
                <c:ptCount val="2"/>
                <c:pt idx="0">
                  <c:v>0</c:v>
                </c:pt>
                <c:pt idx="1">
                  <c:v>1</c:v>
                </c:pt>
              </c:numCache>
            </c:numRef>
          </c:yVal>
          <c:smooth val="0"/>
          <c:extLst>
            <c:ext xmlns:c16="http://schemas.microsoft.com/office/drawing/2014/chart" uri="{C3380CC4-5D6E-409C-BE32-E72D297353CC}">
              <c16:uniqueId val="{00000004-5E5C-4BC6-98E9-F928001F9D2A}"/>
            </c:ext>
          </c:extLst>
        </c:ser>
        <c:dLbls>
          <c:showLegendKey val="0"/>
          <c:showVal val="0"/>
          <c:showCatName val="0"/>
          <c:showSerName val="0"/>
          <c:showPercent val="0"/>
          <c:showBubbleSize val="0"/>
        </c:dLbls>
        <c:axId val="881375776"/>
        <c:axId val="881366208"/>
      </c:scatterChart>
      <c:valAx>
        <c:axId val="881375776"/>
        <c:scaling>
          <c:orientation val="minMax"/>
        </c:scaling>
        <c:delete val="1"/>
        <c:axPos val="b"/>
        <c:numFmt formatCode="0.000%" sourceLinked="1"/>
        <c:majorTickMark val="none"/>
        <c:minorTickMark val="none"/>
        <c:tickLblPos val="high"/>
        <c:crossAx val="881366208"/>
        <c:crosses val="autoZero"/>
        <c:crossBetween val="midCat"/>
      </c:valAx>
      <c:valAx>
        <c:axId val="881366208"/>
        <c:scaling>
          <c:orientation val="minMax"/>
          <c:max val="1"/>
        </c:scaling>
        <c:delete val="0"/>
        <c:axPos val="l"/>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881375776"/>
        <c:crosses val="autoZero"/>
        <c:crossBetween val="midCat"/>
      </c:valAx>
      <c:valAx>
        <c:axId val="530040624"/>
        <c:scaling>
          <c:orientation val="minMax"/>
        </c:scaling>
        <c:delete val="0"/>
        <c:axPos val="t"/>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530040208"/>
        <c:crosses val="autoZero"/>
        <c:crossBetween val="between"/>
      </c:valAx>
      <c:catAx>
        <c:axId val="530040208"/>
        <c:scaling>
          <c:orientation val="maxMin"/>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530040624"/>
        <c:crosses val="autoZero"/>
        <c:auto val="1"/>
        <c:lblAlgn val="ctr"/>
        <c:lblOffset val="100"/>
        <c:noMultiLvlLbl val="0"/>
      </c:cat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LineærRegression!$EM$10</c:f>
          <c:strCache>
            <c:ptCount val="1"/>
            <c:pt idx="0">
              <c:v>Forklaringsgrad i simpel regression:   19.5% (justeret 11.5%)
Forklaringsgrad i multipel regression: 20.4% (justeret 2.7%)</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1"/>
          <c:order val="0"/>
          <c:tx>
            <c:strRef>
              <c:f>LineærRegression!$EM$14</c:f>
              <c:strCache>
                <c:ptCount val="1"/>
                <c:pt idx="0">
                  <c:v> Beregnet værdi, simpel lineær regression</c:v>
                </c:pt>
              </c:strCache>
            </c:strRef>
          </c:tx>
          <c:spPr>
            <a:ln w="25400" cap="rnd">
              <a:noFill/>
              <a:round/>
            </a:ln>
            <a:effectLst/>
          </c:spPr>
          <c:marker>
            <c:symbol val="circle"/>
            <c:size val="7"/>
            <c:spPr>
              <a:noFill/>
              <a:ln w="28575">
                <a:solidFill>
                  <a:schemeClr val="accent1">
                    <a:alpha val="70000"/>
                  </a:schemeClr>
                </a:solidFill>
              </a:ln>
              <a:effectLst/>
            </c:spPr>
          </c:marker>
          <c:xVal>
            <c:numRef>
              <c:f>[0]!Lfyx</c:f>
              <c:numCache>
                <c:formatCode>General</c:formatCode>
                <c:ptCount val="12"/>
                <c:pt idx="0">
                  <c:v>1.2989587493526971</c:v>
                </c:pt>
                <c:pt idx="1">
                  <c:v>-1.1469596428732241</c:v>
                </c:pt>
                <c:pt idx="2">
                  <c:v>-0.40935481016144565</c:v>
                </c:pt>
                <c:pt idx="3">
                  <c:v>-1.479592604535932</c:v>
                </c:pt>
                <c:pt idx="4">
                  <c:v>1.8110756828005981</c:v>
                </c:pt>
                <c:pt idx="5">
                  <c:v>8</c:v>
                </c:pt>
                <c:pt idx="6">
                  <c:v>-0.30723615599325882</c:v>
                </c:pt>
                <c:pt idx="7">
                  <c:v>13</c:v>
                </c:pt>
                <c:pt idx="8">
                  <c:v>1.3803796539630533</c:v>
                </c:pt>
                <c:pt idx="9">
                  <c:v>8.4427372017371785E-2</c:v>
                </c:pt>
                <c:pt idx="10">
                  <c:v>0.91409189597286977</c:v>
                </c:pt>
                <c:pt idx="11">
                  <c:v>-0.89773712069108735</c:v>
                </c:pt>
              </c:numCache>
            </c:numRef>
          </c:xVal>
          <c:yVal>
            <c:numRef>
              <c:f>[0]!Lfs</c:f>
              <c:numCache>
                <c:formatCode>General</c:formatCode>
                <c:ptCount val="12"/>
                <c:pt idx="0">
                  <c:v>0.90303445595636256</c:v>
                </c:pt>
                <c:pt idx="1">
                  <c:v>-1.4374212088539973</c:v>
                </c:pt>
                <c:pt idx="2">
                  <c:v>0.91702475807613404</c:v>
                </c:pt>
                <c:pt idx="3">
                  <c:v>-0.97817244327948039</c:v>
                </c:pt>
                <c:pt idx="4">
                  <c:v>1.7908208645529828</c:v>
                </c:pt>
                <c:pt idx="5">
                  <c:v>2.234714068851293</c:v>
                </c:pt>
                <c:pt idx="6">
                  <c:v>0.91319495017121943</c:v>
                </c:pt>
                <c:pt idx="7">
                  <c:v>4.0102868860445335</c:v>
                </c:pt>
                <c:pt idx="8">
                  <c:v>2.8229195991085057</c:v>
                </c:pt>
                <c:pt idx="9">
                  <c:v>2.4220592653040312</c:v>
                </c:pt>
                <c:pt idx="10">
                  <c:v>4.3247959119600328</c:v>
                </c:pt>
                <c:pt idx="11">
                  <c:v>4.3247959119600328</c:v>
                </c:pt>
              </c:numCache>
            </c:numRef>
          </c:yVal>
          <c:smooth val="0"/>
          <c:extLst>
            <c:ext xmlns:c16="http://schemas.microsoft.com/office/drawing/2014/chart" uri="{C3380CC4-5D6E-409C-BE32-E72D297353CC}">
              <c16:uniqueId val="{00000000-592A-4A84-BF3A-F7DA74A1DBCF}"/>
            </c:ext>
          </c:extLst>
        </c:ser>
        <c:ser>
          <c:idx val="3"/>
          <c:order val="1"/>
          <c:tx>
            <c:strRef>
              <c:f>LineærRegression!$EM$16</c:f>
              <c:strCache>
                <c:ptCount val="1"/>
                <c:pt idx="0">
                  <c:v> Beregnet værdi, multipel lineær regression</c:v>
                </c:pt>
              </c:strCache>
            </c:strRef>
          </c:tx>
          <c:spPr>
            <a:ln w="25400" cap="rnd">
              <a:noFill/>
              <a:round/>
            </a:ln>
            <a:effectLst/>
          </c:spPr>
          <c:marker>
            <c:symbol val="circle"/>
            <c:size val="7"/>
            <c:spPr>
              <a:noFill/>
              <a:ln w="28575">
                <a:solidFill>
                  <a:schemeClr val="accent2">
                    <a:alpha val="70000"/>
                  </a:schemeClr>
                </a:solidFill>
              </a:ln>
              <a:effectLst/>
            </c:spPr>
          </c:marker>
          <c:xVal>
            <c:numRef>
              <c:f>[0]!Lfyx</c:f>
              <c:numCache>
                <c:formatCode>General</c:formatCode>
                <c:ptCount val="12"/>
                <c:pt idx="0">
                  <c:v>1.2989587493526971</c:v>
                </c:pt>
                <c:pt idx="1">
                  <c:v>-1.1469596428732241</c:v>
                </c:pt>
                <c:pt idx="2">
                  <c:v>-0.40935481016144565</c:v>
                </c:pt>
                <c:pt idx="3">
                  <c:v>-1.479592604535932</c:v>
                </c:pt>
                <c:pt idx="4">
                  <c:v>1.8110756828005981</c:v>
                </c:pt>
                <c:pt idx="5">
                  <c:v>8</c:v>
                </c:pt>
                <c:pt idx="6">
                  <c:v>-0.30723615599325882</c:v>
                </c:pt>
                <c:pt idx="7">
                  <c:v>13</c:v>
                </c:pt>
                <c:pt idx="8">
                  <c:v>1.3803796539630533</c:v>
                </c:pt>
                <c:pt idx="9">
                  <c:v>8.4427372017371785E-2</c:v>
                </c:pt>
                <c:pt idx="10">
                  <c:v>0.91409189597286977</c:v>
                </c:pt>
                <c:pt idx="11">
                  <c:v>-0.89773712069108735</c:v>
                </c:pt>
              </c:numCache>
            </c:numRef>
          </c:xVal>
          <c:yVal>
            <c:numRef>
              <c:f>[0]!Lfm</c:f>
              <c:numCache>
                <c:formatCode>General</c:formatCode>
                <c:ptCount val="12"/>
                <c:pt idx="0">
                  <c:v>0.71518493194619648</c:v>
                </c:pt>
                <c:pt idx="1">
                  <c:v>-1.5214934413295471</c:v>
                </c:pt>
                <c:pt idx="2">
                  <c:v>0.72855489517915606</c:v>
                </c:pt>
                <c:pt idx="3">
                  <c:v>-1.0826080578726749</c:v>
                </c:pt>
                <c:pt idx="4">
                  <c:v>1.5636063269983851</c:v>
                </c:pt>
                <c:pt idx="5">
                  <c:v>2.907881570451468</c:v>
                </c:pt>
                <c:pt idx="6">
                  <c:v>0.72489490339058404</c:v>
                </c:pt>
                <c:pt idx="7">
                  <c:v>3.6846598146288567</c:v>
                </c:pt>
                <c:pt idx="8">
                  <c:v>3.4700056936931274</c:v>
                </c:pt>
                <c:pt idx="9">
                  <c:v>3.0869197618358313</c:v>
                </c:pt>
                <c:pt idx="10">
                  <c:v>3.9852233104651327</c:v>
                </c:pt>
                <c:pt idx="11">
                  <c:v>3.9852233104651327</c:v>
                </c:pt>
              </c:numCache>
            </c:numRef>
          </c:yVal>
          <c:smooth val="0"/>
          <c:extLst>
            <c:ext xmlns:c16="http://schemas.microsoft.com/office/drawing/2014/chart" uri="{C3380CC4-5D6E-409C-BE32-E72D297353CC}">
              <c16:uniqueId val="{00000001-592A-4A84-BF3A-F7DA74A1DBCF}"/>
            </c:ext>
          </c:extLst>
        </c:ser>
        <c:ser>
          <c:idx val="2"/>
          <c:order val="2"/>
          <c:tx>
            <c:strRef>
              <c:f>LineærRegression!$EM$10</c:f>
              <c:strCache>
                <c:ptCount val="1"/>
                <c:pt idx="0">
                  <c:v>Forklaringsgrad i simpel regression:   19.5% (justeret 11.5%)
Forklaringsgrad i multipel regression: 20.4% (justeret 2.7%)</c:v>
                </c:pt>
              </c:strCache>
            </c:strRef>
          </c:tx>
          <c:spPr>
            <a:ln w="25400" cap="rnd">
              <a:noFill/>
              <a:round/>
            </a:ln>
            <a:effectLst/>
          </c:spPr>
          <c:marker>
            <c:symbol val="none"/>
          </c:marker>
          <c:xVal>
            <c:numRef>
              <c:f>(LineærRegression!$EM$40,LineærRegression!$EM$40)</c:f>
              <c:numCache>
                <c:formatCode>General</c:formatCode>
                <c:ptCount val="2"/>
                <c:pt idx="0">
                  <c:v>1.8540044183209705</c:v>
                </c:pt>
                <c:pt idx="1">
                  <c:v>1.8540044183209705</c:v>
                </c:pt>
              </c:numCache>
            </c:numRef>
          </c:xVal>
          <c:yVal>
            <c:numRef>
              <c:f>(LineærRegression!$AQ$28,LineærRegression!$AQ$30)</c:f>
              <c:numCache>
                <c:formatCode>General</c:formatCode>
                <c:ptCount val="2"/>
                <c:pt idx="0">
                  <c:v>-11.951147136555756</c:v>
                </c:pt>
                <c:pt idx="1">
                  <c:v>14.367118518839385</c:v>
                </c:pt>
              </c:numCache>
            </c:numRef>
          </c:yVal>
          <c:smooth val="0"/>
          <c:extLst>
            <c:ext xmlns:c16="http://schemas.microsoft.com/office/drawing/2014/chart" uri="{C3380CC4-5D6E-409C-BE32-E72D297353CC}">
              <c16:uniqueId val="{00000002-592A-4A84-BF3A-F7DA74A1DBCF}"/>
            </c:ext>
          </c:extLst>
        </c:ser>
        <c:ser>
          <c:idx val="0"/>
          <c:order val="3"/>
          <c:tx>
            <c:strRef>
              <c:f>LineærRegression!$EM$12</c:f>
              <c:strCache>
                <c:ptCount val="1"/>
                <c:pt idx="0">
                  <c:v> Referencelinje ved perfekt forklaringsgrad</c:v>
                </c:pt>
              </c:strCache>
            </c:strRef>
          </c:tx>
          <c:spPr>
            <a:ln w="28575" cap="rnd">
              <a:solidFill>
                <a:schemeClr val="tx1"/>
              </a:solidFill>
              <a:round/>
            </a:ln>
            <a:effectLst/>
          </c:spPr>
          <c:marker>
            <c:symbol val="none"/>
          </c:marker>
          <c:xVal>
            <c:numRef>
              <c:f>[0]!Lfsy</c:f>
              <c:numCache>
                <c:formatCode>General</c:formatCode>
                <c:ptCount val="12"/>
                <c:pt idx="0">
                  <c:v>-1.479592604535932</c:v>
                </c:pt>
                <c:pt idx="1">
                  <c:v>-1.1469596428732241</c:v>
                </c:pt>
                <c:pt idx="2">
                  <c:v>-0.89773712069108735</c:v>
                </c:pt>
                <c:pt idx="3">
                  <c:v>-0.40935481016144565</c:v>
                </c:pt>
                <c:pt idx="4">
                  <c:v>-0.30723615599325882</c:v>
                </c:pt>
                <c:pt idx="5">
                  <c:v>8.4427372017371785E-2</c:v>
                </c:pt>
                <c:pt idx="6">
                  <c:v>0.91409189597286977</c:v>
                </c:pt>
                <c:pt idx="7">
                  <c:v>1.2989587493526971</c:v>
                </c:pt>
                <c:pt idx="8">
                  <c:v>1.3803796539630533</c:v>
                </c:pt>
                <c:pt idx="9">
                  <c:v>1.8110756828005981</c:v>
                </c:pt>
                <c:pt idx="10">
                  <c:v>8</c:v>
                </c:pt>
                <c:pt idx="11">
                  <c:v>13</c:v>
                </c:pt>
              </c:numCache>
            </c:numRef>
          </c:xVal>
          <c:yVal>
            <c:numRef>
              <c:f>[0]!Lfsy</c:f>
              <c:numCache>
                <c:formatCode>General</c:formatCode>
                <c:ptCount val="12"/>
                <c:pt idx="0">
                  <c:v>-1.479592604535932</c:v>
                </c:pt>
                <c:pt idx="1">
                  <c:v>-1.1469596428732241</c:v>
                </c:pt>
                <c:pt idx="2">
                  <c:v>-0.89773712069108735</c:v>
                </c:pt>
                <c:pt idx="3">
                  <c:v>-0.40935481016144565</c:v>
                </c:pt>
                <c:pt idx="4">
                  <c:v>-0.30723615599325882</c:v>
                </c:pt>
                <c:pt idx="5">
                  <c:v>8.4427372017371785E-2</c:v>
                </c:pt>
                <c:pt idx="6">
                  <c:v>0.91409189597286977</c:v>
                </c:pt>
                <c:pt idx="7">
                  <c:v>1.2989587493526971</c:v>
                </c:pt>
                <c:pt idx="8">
                  <c:v>1.3803796539630533</c:v>
                </c:pt>
                <c:pt idx="9">
                  <c:v>1.8110756828005981</c:v>
                </c:pt>
                <c:pt idx="10">
                  <c:v>8</c:v>
                </c:pt>
                <c:pt idx="11">
                  <c:v>13</c:v>
                </c:pt>
              </c:numCache>
            </c:numRef>
          </c:yVal>
          <c:smooth val="0"/>
          <c:extLst>
            <c:ext xmlns:c16="http://schemas.microsoft.com/office/drawing/2014/chart" uri="{C3380CC4-5D6E-409C-BE32-E72D297353CC}">
              <c16:uniqueId val="{00000003-592A-4A84-BF3A-F7DA74A1DBCF}"/>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LineærRegression!$EM$18</c:f>
              <c:strCache>
                <c:ptCount val="1"/>
                <c:pt idx="0">
                  <c:v>Beregnet værdi i regression</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LineærRegression!$EM$20</c:f>
              <c:strCache>
                <c:ptCount val="1"/>
                <c:pt idx="0">
                  <c:v>Eksempel 1 (interval)</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legendEntry>
        <c:idx val="2"/>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LineærRegression!$AX$10</c:f>
          <c:strCache>
            <c:ptCount val="1"/>
            <c:pt idx="0">
              <c:v>Konfidensinterval for simpel lineær regression
Gennemsnittet er med 95% sandsynlighed mellem
øvre og nedre grænse i konfidensintervallet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4"/>
          <c:order val="1"/>
          <c:tx>
            <c:strRef>
              <c:f>LineærRegression!$AX$14</c:f>
              <c:strCache>
                <c:ptCount val="1"/>
                <c:pt idx="0">
                  <c:v> Givet at Eksempel 2 (interval) = 1 estimeres øvre grænse for konfidensinterval = 3.743</c:v>
                </c:pt>
              </c:strCache>
            </c:strRef>
          </c:tx>
          <c:spPr>
            <a:ln w="25400" cap="rnd">
              <a:noFill/>
              <a:round/>
            </a:ln>
            <a:effectLst/>
          </c:spPr>
          <c:marker>
            <c:symbol val="x"/>
            <c:size val="15"/>
            <c:spPr>
              <a:noFill/>
              <a:ln w="28575">
                <a:solidFill>
                  <a:schemeClr val="tx1"/>
                </a:solidFill>
                <a:prstDash val="solid"/>
              </a:ln>
              <a:effectLst/>
            </c:spPr>
          </c:marker>
          <c:dLbls>
            <c:dLbl>
              <c:idx val="0"/>
              <c:tx>
                <c:rich>
                  <a:bodyPr/>
                  <a:lstStyle/>
                  <a:p>
                    <a:fld id="{B637E1E6-1A5B-4BDC-93E0-644522D7D333}"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7141-461C-B0AD-34C0C2F9AA7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LineærRegression!$C$38</c:f>
              <c:numCache>
                <c:formatCode>General</c:formatCode>
                <c:ptCount val="1"/>
                <c:pt idx="0">
                  <c:v>1</c:v>
                </c:pt>
              </c:numCache>
            </c:numRef>
          </c:xVal>
          <c:yVal>
            <c:numRef>
              <c:f>LineærRegression!$AX$24</c:f>
              <c:numCache>
                <c:formatCode>General</c:formatCode>
                <c:ptCount val="1"/>
                <c:pt idx="0">
                  <c:v>3.7427861990338451</c:v>
                </c:pt>
              </c:numCache>
            </c:numRef>
          </c:yVal>
          <c:smooth val="0"/>
          <c:extLst>
            <c:ext xmlns:c15="http://schemas.microsoft.com/office/drawing/2012/chart" uri="{02D57815-91ED-43cb-92C2-25804820EDAC}">
              <c15:datalabelsRange>
                <c15:f>LineærRegression!$AX$50</c15:f>
                <c15:dlblRangeCache>
                  <c:ptCount val="1"/>
                  <c:pt idx="0">
                    <c:v>3.743</c:v>
                  </c:pt>
                </c15:dlblRangeCache>
              </c15:datalabelsRange>
            </c:ext>
            <c:ext xmlns:c16="http://schemas.microsoft.com/office/drawing/2014/chart" uri="{C3380CC4-5D6E-409C-BE32-E72D297353CC}">
              <c16:uniqueId val="{00000001-7141-461C-B0AD-34C0C2F9AA78}"/>
            </c:ext>
          </c:extLst>
        </c:ser>
        <c:ser>
          <c:idx val="5"/>
          <c:order val="2"/>
          <c:tx>
            <c:strRef>
              <c:f>LineærRegression!$AX$16</c:f>
              <c:strCache>
                <c:ptCount val="1"/>
                <c:pt idx="0">
                  <c:v> Givet at Eksempel 2 (interval) = 1 estimeres nedre grænse for konfidensinterval = -2.825</c:v>
                </c:pt>
              </c:strCache>
            </c:strRef>
          </c:tx>
          <c:spPr>
            <a:ln w="25400" cap="rnd">
              <a:noFill/>
              <a:round/>
            </a:ln>
            <a:effectLst/>
          </c:spPr>
          <c:marker>
            <c:symbol val="x"/>
            <c:size val="15"/>
            <c:spPr>
              <a:noFill/>
              <a:ln w="28575">
                <a:solidFill>
                  <a:schemeClr val="tx1"/>
                </a:solidFill>
              </a:ln>
              <a:effectLst/>
            </c:spPr>
          </c:marker>
          <c:dLbls>
            <c:dLbl>
              <c:idx val="0"/>
              <c:tx>
                <c:rich>
                  <a:bodyPr/>
                  <a:lstStyle/>
                  <a:p>
                    <a:fld id="{8FE9FC20-916B-47C8-B313-DAA45FAE1B99}" type="CELLRANGE">
                      <a:rPr lang="en-US"/>
                      <a:pPr/>
                      <a:t>[CELLRANGE]</a:t>
                    </a:fld>
                    <a:endParaRPr lang="da-DK"/>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7141-461C-B0AD-34C0C2F9AA7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LineærRegression!$C$38</c:f>
              <c:numCache>
                <c:formatCode>General</c:formatCode>
                <c:ptCount val="1"/>
                <c:pt idx="0">
                  <c:v>1</c:v>
                </c:pt>
              </c:numCache>
            </c:numRef>
          </c:xVal>
          <c:yVal>
            <c:numRef>
              <c:f>LineærRegression!$AX$26</c:f>
              <c:numCache>
                <c:formatCode>General</c:formatCode>
                <c:ptCount val="1"/>
                <c:pt idx="0">
                  <c:v>-2.8245036957177403</c:v>
                </c:pt>
              </c:numCache>
            </c:numRef>
          </c:yVal>
          <c:smooth val="0"/>
          <c:extLst>
            <c:ext xmlns:c15="http://schemas.microsoft.com/office/drawing/2012/chart" uri="{02D57815-91ED-43cb-92C2-25804820EDAC}">
              <c15:datalabelsRange>
                <c15:f>LineærRegression!$AX$52</c15:f>
                <c15:dlblRangeCache>
                  <c:ptCount val="1"/>
                  <c:pt idx="0">
                    <c:v>-2.825</c:v>
                  </c:pt>
                </c15:dlblRangeCache>
              </c15:datalabelsRange>
            </c:ext>
            <c:ext xmlns:c16="http://schemas.microsoft.com/office/drawing/2014/chart" uri="{C3380CC4-5D6E-409C-BE32-E72D297353CC}">
              <c16:uniqueId val="{00000003-7141-461C-B0AD-34C0C2F9AA78}"/>
            </c:ext>
          </c:extLst>
        </c:ser>
        <c:dLbls>
          <c:showLegendKey val="0"/>
          <c:showVal val="0"/>
          <c:showCatName val="0"/>
          <c:showSerName val="0"/>
          <c:showPercent val="0"/>
          <c:showBubbleSize val="0"/>
        </c:dLbls>
        <c:axId val="1385891392"/>
        <c:axId val="1328708544"/>
      </c:scatterChart>
      <c:scatterChart>
        <c:scatterStyle val="smoothMarker"/>
        <c:varyColors val="0"/>
        <c:ser>
          <c:idx val="0"/>
          <c:order val="0"/>
          <c:tx>
            <c:strRef>
              <c:f>LineærRegression!$AX$12</c:f>
              <c:strCache>
                <c:ptCount val="1"/>
                <c:pt idx="0">
                  <c:v> Eksempel 1 (interval) = 0.444 * Eksempel 2 (interval) + 0.015</c:v>
                </c:pt>
              </c:strCache>
            </c:strRef>
          </c:tx>
          <c:spPr>
            <a:ln w="31750" cap="rnd">
              <a:solidFill>
                <a:schemeClr val="tx1"/>
              </a:solidFill>
              <a:round/>
            </a:ln>
            <a:effectLst/>
          </c:spPr>
          <c:marker>
            <c:symbol val="none"/>
          </c:marker>
          <c:xVal>
            <c:numRef>
              <c:f>[0]!LsxSimpel</c:f>
              <c:numCache>
                <c:formatCode>General</c:formatCode>
                <c:ptCount val="12"/>
                <c:pt idx="0">
                  <c:v>-3.2725647568992748</c:v>
                </c:pt>
                <c:pt idx="1">
                  <c:v>-2.2379718387660041</c:v>
                </c:pt>
                <c:pt idx="2">
                  <c:v>2</c:v>
                </c:pt>
                <c:pt idx="3">
                  <c:v>2.0228895016109072</c:v>
                </c:pt>
                <c:pt idx="4">
                  <c:v>2.0315172703350726</c:v>
                </c:pt>
                <c:pt idx="5">
                  <c:v>4</c:v>
                </c:pt>
                <c:pt idx="6">
                  <c:v>5</c:v>
                </c:pt>
                <c:pt idx="7">
                  <c:v>5.4220501567463426</c:v>
                </c:pt>
                <c:pt idx="8">
                  <c:v>6.3251059591845431</c:v>
                </c:pt>
                <c:pt idx="9">
                  <c:v>9</c:v>
                </c:pt>
                <c:pt idx="10">
                  <c:v>9.7085240838788316</c:v>
                </c:pt>
                <c:pt idx="11">
                  <c:v>9.7085240838788316</c:v>
                </c:pt>
              </c:numCache>
            </c:numRef>
          </c:xVal>
          <c:yVal>
            <c:numRef>
              <c:f>[0]!Lsy2Simpel</c:f>
              <c:numCache>
                <c:formatCode>General</c:formatCode>
                <c:ptCount val="12"/>
                <c:pt idx="0">
                  <c:v>-1.4374212088539973</c:v>
                </c:pt>
                <c:pt idx="1">
                  <c:v>-0.97817244327948039</c:v>
                </c:pt>
                <c:pt idx="2">
                  <c:v>0.90303445595636256</c:v>
                </c:pt>
                <c:pt idx="3">
                  <c:v>0.91319495017121943</c:v>
                </c:pt>
                <c:pt idx="4">
                  <c:v>0.91702475807613404</c:v>
                </c:pt>
                <c:pt idx="5">
                  <c:v>1.7908208645529828</c:v>
                </c:pt>
                <c:pt idx="6">
                  <c:v>2.234714068851293</c:v>
                </c:pt>
                <c:pt idx="7">
                  <c:v>2.4220592653040312</c:v>
                </c:pt>
                <c:pt idx="8">
                  <c:v>2.8229195991085057</c:v>
                </c:pt>
                <c:pt idx="9">
                  <c:v>4.0102868860445335</c:v>
                </c:pt>
                <c:pt idx="10">
                  <c:v>4.3247959119600328</c:v>
                </c:pt>
                <c:pt idx="11">
                  <c:v>4.3247959119600328</c:v>
                </c:pt>
              </c:numCache>
            </c:numRef>
          </c:yVal>
          <c:smooth val="1"/>
          <c:extLst>
            <c:ext xmlns:c16="http://schemas.microsoft.com/office/drawing/2014/chart" uri="{C3380CC4-5D6E-409C-BE32-E72D297353CC}">
              <c16:uniqueId val="{00000004-7141-461C-B0AD-34C0C2F9AA78}"/>
            </c:ext>
          </c:extLst>
        </c:ser>
        <c:ser>
          <c:idx val="8"/>
          <c:order val="3"/>
          <c:tx>
            <c:strRef>
              <c:f>LineærRegression!$AX$18</c:f>
              <c:strCache>
                <c:ptCount val="1"/>
                <c:pt idx="0">
                  <c:v> Grænser for 95% konfidensinterval</c:v>
                </c:pt>
              </c:strCache>
            </c:strRef>
          </c:tx>
          <c:spPr>
            <a:ln w="19050" cap="rnd">
              <a:solidFill>
                <a:schemeClr val="tx1"/>
              </a:solidFill>
              <a:prstDash val="dash"/>
              <a:round/>
            </a:ln>
            <a:effectLst/>
          </c:spPr>
          <c:marker>
            <c:symbol val="none"/>
          </c:marker>
          <c:xVal>
            <c:numRef>
              <c:f>[0]!LkX</c:f>
              <c:numCache>
                <c:formatCode>General</c:formatCode>
                <c:ptCount val="100"/>
                <c:pt idx="0">
                  <c:v>-3.2725647568992748</c:v>
                </c:pt>
                <c:pt idx="1">
                  <c:v>-3.1414426473964658</c:v>
                </c:pt>
                <c:pt idx="2">
                  <c:v>-3.0103205378936564</c:v>
                </c:pt>
                <c:pt idx="3">
                  <c:v>-2.8791984283908474</c:v>
                </c:pt>
                <c:pt idx="4">
                  <c:v>-2.7480763188880384</c:v>
                </c:pt>
                <c:pt idx="5">
                  <c:v>-2.6169542093852289</c:v>
                </c:pt>
                <c:pt idx="6">
                  <c:v>-2.4858320998824199</c:v>
                </c:pt>
                <c:pt idx="7">
                  <c:v>-2.3547099903796109</c:v>
                </c:pt>
                <c:pt idx="8">
                  <c:v>-2.2235878808768019</c:v>
                </c:pt>
                <c:pt idx="9">
                  <c:v>-2.092465771373992</c:v>
                </c:pt>
                <c:pt idx="10">
                  <c:v>-1.961343661871183</c:v>
                </c:pt>
                <c:pt idx="11">
                  <c:v>-1.8302215523683742</c:v>
                </c:pt>
                <c:pt idx="12">
                  <c:v>-1.699099442865565</c:v>
                </c:pt>
                <c:pt idx="13">
                  <c:v>-1.5679773333627558</c:v>
                </c:pt>
                <c:pt idx="14">
                  <c:v>-1.4368552238599468</c:v>
                </c:pt>
                <c:pt idx="15">
                  <c:v>-1.3057331143571376</c:v>
                </c:pt>
                <c:pt idx="16">
                  <c:v>-1.1746110048543286</c:v>
                </c:pt>
                <c:pt idx="17">
                  <c:v>-1.0434888953515191</c:v>
                </c:pt>
                <c:pt idx="18">
                  <c:v>-0.91236678584870967</c:v>
                </c:pt>
                <c:pt idx="19">
                  <c:v>-0.78124467634590111</c:v>
                </c:pt>
                <c:pt idx="20">
                  <c:v>-0.65012256684309122</c:v>
                </c:pt>
                <c:pt idx="21">
                  <c:v>-0.51900045734028266</c:v>
                </c:pt>
                <c:pt idx="22">
                  <c:v>-0.38787834783747366</c:v>
                </c:pt>
                <c:pt idx="23">
                  <c:v>-0.25675623833466421</c:v>
                </c:pt>
                <c:pt idx="24">
                  <c:v>-0.12563412883185521</c:v>
                </c:pt>
                <c:pt idx="25">
                  <c:v>5.48798067095424E-3</c:v>
                </c:pt>
                <c:pt idx="26">
                  <c:v>0.13661009017376324</c:v>
                </c:pt>
                <c:pt idx="27">
                  <c:v>0.26773219967657269</c:v>
                </c:pt>
                <c:pt idx="28">
                  <c:v>0.39885430917938125</c:v>
                </c:pt>
                <c:pt idx="29">
                  <c:v>0.52997641868219025</c:v>
                </c:pt>
                <c:pt idx="30">
                  <c:v>0.6610985281849997</c:v>
                </c:pt>
                <c:pt idx="31">
                  <c:v>0.7922206376878087</c:v>
                </c:pt>
                <c:pt idx="32">
                  <c:v>0.92334274719061771</c:v>
                </c:pt>
                <c:pt idx="33">
                  <c:v>1.0544648566934276</c:v>
                </c:pt>
                <c:pt idx="34">
                  <c:v>1.1855869661962366</c:v>
                </c:pt>
                <c:pt idx="35">
                  <c:v>1.3167090756990456</c:v>
                </c:pt>
                <c:pt idx="36">
                  <c:v>1.4478311852018555</c:v>
                </c:pt>
                <c:pt idx="37">
                  <c:v>1.5789532947046636</c:v>
                </c:pt>
                <c:pt idx="38">
                  <c:v>1.7100754042074726</c:v>
                </c:pt>
                <c:pt idx="39">
                  <c:v>1.8411975137102825</c:v>
                </c:pt>
                <c:pt idx="40">
                  <c:v>1.9723196232130924</c:v>
                </c:pt>
                <c:pt idx="41">
                  <c:v>2.1034417327159005</c:v>
                </c:pt>
                <c:pt idx="42">
                  <c:v>2.2345638422187095</c:v>
                </c:pt>
                <c:pt idx="43">
                  <c:v>2.3656859517215194</c:v>
                </c:pt>
                <c:pt idx="44">
                  <c:v>2.4968080612243275</c:v>
                </c:pt>
                <c:pt idx="45">
                  <c:v>2.6279301707271374</c:v>
                </c:pt>
                <c:pt idx="46">
                  <c:v>2.7590522802299464</c:v>
                </c:pt>
                <c:pt idx="47">
                  <c:v>2.8901743897327563</c:v>
                </c:pt>
                <c:pt idx="48">
                  <c:v>3.0212964992355644</c:v>
                </c:pt>
                <c:pt idx="49">
                  <c:v>3.1524186087383734</c:v>
                </c:pt>
                <c:pt idx="50">
                  <c:v>3.2835407182411833</c:v>
                </c:pt>
                <c:pt idx="51">
                  <c:v>3.4146628277439914</c:v>
                </c:pt>
                <c:pt idx="52">
                  <c:v>3.5457849372468013</c:v>
                </c:pt>
                <c:pt idx="53">
                  <c:v>3.6769070467496103</c:v>
                </c:pt>
                <c:pt idx="54">
                  <c:v>3.8080291562524202</c:v>
                </c:pt>
                <c:pt idx="55">
                  <c:v>3.9391512657552283</c:v>
                </c:pt>
                <c:pt idx="56">
                  <c:v>4.0702733752580373</c:v>
                </c:pt>
                <c:pt idx="57">
                  <c:v>4.2013954847608472</c:v>
                </c:pt>
                <c:pt idx="58">
                  <c:v>4.3325175942636553</c:v>
                </c:pt>
                <c:pt idx="59">
                  <c:v>4.4636397037664652</c:v>
                </c:pt>
                <c:pt idx="60">
                  <c:v>4.5947618132692742</c:v>
                </c:pt>
                <c:pt idx="61">
                  <c:v>4.7258839227720841</c:v>
                </c:pt>
                <c:pt idx="62">
                  <c:v>4.8570060322748922</c:v>
                </c:pt>
                <c:pt idx="63">
                  <c:v>4.9881281417777021</c:v>
                </c:pt>
                <c:pt idx="64">
                  <c:v>5.1192502512805103</c:v>
                </c:pt>
                <c:pt idx="65">
                  <c:v>5.2503723607833201</c:v>
                </c:pt>
                <c:pt idx="66">
                  <c:v>5.38149447028613</c:v>
                </c:pt>
                <c:pt idx="67">
                  <c:v>5.5126165797889382</c:v>
                </c:pt>
                <c:pt idx="68">
                  <c:v>5.643738689291748</c:v>
                </c:pt>
                <c:pt idx="69">
                  <c:v>5.7748607987945562</c:v>
                </c:pt>
                <c:pt idx="70">
                  <c:v>5.9059829082973661</c:v>
                </c:pt>
                <c:pt idx="71">
                  <c:v>6.0371050178001759</c:v>
                </c:pt>
                <c:pt idx="72">
                  <c:v>6.1682271273029858</c:v>
                </c:pt>
                <c:pt idx="73">
                  <c:v>6.299349236805794</c:v>
                </c:pt>
                <c:pt idx="74">
                  <c:v>6.4304713463086021</c:v>
                </c:pt>
                <c:pt idx="75">
                  <c:v>6.561593455811412</c:v>
                </c:pt>
                <c:pt idx="76">
                  <c:v>6.6927155653142201</c:v>
                </c:pt>
                <c:pt idx="77">
                  <c:v>6.82383767481703</c:v>
                </c:pt>
                <c:pt idx="78">
                  <c:v>6.9549597843198399</c:v>
                </c:pt>
                <c:pt idx="79">
                  <c:v>7.086081893822648</c:v>
                </c:pt>
                <c:pt idx="80">
                  <c:v>7.2172040033254596</c:v>
                </c:pt>
                <c:pt idx="81">
                  <c:v>7.3483261128282678</c:v>
                </c:pt>
                <c:pt idx="82">
                  <c:v>7.4794482223310759</c:v>
                </c:pt>
                <c:pt idx="83">
                  <c:v>7.610570331833884</c:v>
                </c:pt>
                <c:pt idx="84">
                  <c:v>7.7416924413366939</c:v>
                </c:pt>
                <c:pt idx="85">
                  <c:v>7.8728145508395038</c:v>
                </c:pt>
                <c:pt idx="86">
                  <c:v>8.0039366603423137</c:v>
                </c:pt>
                <c:pt idx="87">
                  <c:v>8.1350587698451218</c:v>
                </c:pt>
                <c:pt idx="88">
                  <c:v>8.2661808793479299</c:v>
                </c:pt>
                <c:pt idx="89">
                  <c:v>8.3973029888507398</c:v>
                </c:pt>
                <c:pt idx="90">
                  <c:v>8.5284250983535497</c:v>
                </c:pt>
                <c:pt idx="91">
                  <c:v>8.6595472078563578</c:v>
                </c:pt>
                <c:pt idx="92">
                  <c:v>8.7906693173591677</c:v>
                </c:pt>
                <c:pt idx="93">
                  <c:v>8.9217914268619758</c:v>
                </c:pt>
                <c:pt idx="94">
                  <c:v>9.0529135363647875</c:v>
                </c:pt>
                <c:pt idx="95">
                  <c:v>9.1840356458675956</c:v>
                </c:pt>
                <c:pt idx="96">
                  <c:v>9.3151577553704037</c:v>
                </c:pt>
                <c:pt idx="97">
                  <c:v>9.4462798648732136</c:v>
                </c:pt>
                <c:pt idx="98">
                  <c:v>9.5774019743760217</c:v>
                </c:pt>
                <c:pt idx="99">
                  <c:v>9.7085240838788316</c:v>
                </c:pt>
              </c:numCache>
            </c:numRef>
          </c:xVal>
          <c:yVal>
            <c:numRef>
              <c:f>[0]!LkOevre</c:f>
              <c:numCache>
                <c:formatCode>General</c:formatCode>
                <c:ptCount val="100"/>
                <c:pt idx="0">
                  <c:v>3.9473397635976206</c:v>
                </c:pt>
                <c:pt idx="1">
                  <c:v>3.932790807936239</c:v>
                </c:pt>
                <c:pt idx="2">
                  <c:v>3.9185566305684998</c:v>
                </c:pt>
                <c:pt idx="3">
                  <c:v>3.9046504693713131</c:v>
                </c:pt>
                <c:pt idx="4">
                  <c:v>3.8910862498768983</c:v>
                </c:pt>
                <c:pt idx="5">
                  <c:v>3.8778786253262791</c:v>
                </c:pt>
                <c:pt idx="6">
                  <c:v>3.8650430190456255</c:v>
                </c:pt>
                <c:pt idx="7">
                  <c:v>3.8525956692418513</c:v>
                </c:pt>
                <c:pt idx="8">
                  <c:v>3.8405536763083283</c:v>
                </c:pt>
                <c:pt idx="9">
                  <c:v>3.8289350527234558</c:v>
                </c:pt>
                <c:pt idx="10">
                  <c:v>3.8177587756134965</c:v>
                </c:pt>
                <c:pt idx="11">
                  <c:v>3.8070448420359329</c:v>
                </c:pt>
                <c:pt idx="12">
                  <c:v>3.7968143270199075</c:v>
                </c:pt>
                <c:pt idx="13">
                  <c:v>3.787089444375181</c:v>
                </c:pt>
                <c:pt idx="14">
                  <c:v>3.7778936102494756</c:v>
                </c:pt>
                <c:pt idx="15">
                  <c:v>3.7692515093750201</c:v>
                </c:pt>
                <c:pt idx="16">
                  <c:v>3.7611891638972974</c:v>
                </c:pt>
                <c:pt idx="17">
                  <c:v>3.7537340046209176</c:v>
                </c:pt>
                <c:pt idx="18">
                  <c:v>3.7469149444379388</c:v>
                </c:pt>
                <c:pt idx="19">
                  <c:v>3.7407624536207549</c:v>
                </c:pt>
                <c:pt idx="20">
                  <c:v>3.7353086365635431</c:v>
                </c:pt>
                <c:pt idx="21">
                  <c:v>3.7305873094410016</c:v>
                </c:pt>
                <c:pt idx="22">
                  <c:v>3.7266340781190403</c:v>
                </c:pt>
                <c:pt idx="23">
                  <c:v>3.7234864154973413</c:v>
                </c:pt>
                <c:pt idx="24">
                  <c:v>3.7211837372866006</c:v>
                </c:pt>
                <c:pt idx="25">
                  <c:v>3.7197674750225578</c:v>
                </c:pt>
                <c:pt idx="26">
                  <c:v>3.7192811448936158</c:v>
                </c:pt>
                <c:pt idx="27">
                  <c:v>3.719770410709021</c:v>
                </c:pt>
                <c:pt idx="28">
                  <c:v>3.7212831390610166</c:v>
                </c:pt>
                <c:pt idx="29">
                  <c:v>3.7238694444394724</c:v>
                </c:pt>
                <c:pt idx="30">
                  <c:v>3.727581721745393</c:v>
                </c:pt>
                <c:pt idx="31">
                  <c:v>3.7324746633267907</c:v>
                </c:pt>
                <c:pt idx="32">
                  <c:v>3.7386052573358994</c:v>
                </c:pt>
                <c:pt idx="33">
                  <c:v>3.7460327638932136</c:v>
                </c:pt>
                <c:pt idx="34">
                  <c:v>3.7548186652575861</c:v>
                </c:pt>
                <c:pt idx="35">
                  <c:v>3.7650265859632701</c:v>
                </c:pt>
                <c:pt idx="36">
                  <c:v>3.7767221787192868</c:v>
                </c:pt>
                <c:pt idx="37">
                  <c:v>3.789972971803147</c:v>
                </c:pt>
                <c:pt idx="38">
                  <c:v>3.804848173752954</c:v>
                </c:pt>
                <c:pt idx="39">
                  <c:v>3.8214184314052813</c:v>
                </c:pt>
                <c:pt idx="40">
                  <c:v>3.8397555377779344</c:v>
                </c:pt>
                <c:pt idx="41">
                  <c:v>3.8599320869924476</c:v>
                </c:pt>
                <c:pt idx="42">
                  <c:v>3.8820210744014054</c:v>
                </c:pt>
                <c:pt idx="43">
                  <c:v>3.9060954413519884</c:v>
                </c:pt>
                <c:pt idx="44">
                  <c:v>3.9322275655867651</c:v>
                </c:pt>
                <c:pt idx="45">
                  <c:v>3.960488700143626</c:v>
                </c:pt>
                <c:pt idx="46">
                  <c:v>3.990948365732534</c:v>
                </c:pt>
                <c:pt idx="47">
                  <c:v>4.0236737038727357</c:v>
                </c:pt>
                <c:pt idx="48">
                  <c:v>4.0587288004750208</c:v>
                </c:pt>
                <c:pt idx="49">
                  <c:v>4.0961739919247737</c:v>
                </c:pt>
                <c:pt idx="50">
                  <c:v>4.1360651679126743</c:v>
                </c:pt>
                <c:pt idx="51">
                  <c:v>4.1784530871042111</c:v>
                </c:pt>
                <c:pt idx="52">
                  <c:v>4.223382723065539</c:v>
                </c:pt>
                <c:pt idx="53">
                  <c:v>4.2708926585130067</c:v>
                </c:pt>
                <c:pt idx="54">
                  <c:v>4.3210145457979081</c:v>
                </c:pt>
                <c:pt idx="55">
                  <c:v>4.3737726504959626</c:v>
                </c:pt>
                <c:pt idx="56">
                  <c:v>4.4291834930244667</c:v>
                </c:pt>
                <c:pt idx="57">
                  <c:v>4.4872556004126256</c:v>
                </c:pt>
                <c:pt idx="58">
                  <c:v>4.5479893768298627</c:v>
                </c:pt>
                <c:pt idx="59">
                  <c:v>4.6113770974262263</c:v>
                </c:pt>
                <c:pt idx="60">
                  <c:v>4.6774030257026569</c:v>
                </c:pt>
                <c:pt idx="61">
                  <c:v>4.7460436502788301</c:v>
                </c:pt>
                <c:pt idx="62">
                  <c:v>4.8172680328356998</c:v>
                </c:pt>
                <c:pt idx="63">
                  <c:v>4.8910382554268876</c:v>
                </c:pt>
                <c:pt idx="64">
                  <c:v>4.9673099524770805</c:v>
                </c:pt>
                <c:pt idx="65">
                  <c:v>5.0460329107509612</c:v>
                </c:pt>
                <c:pt idx="66">
                  <c:v>5.1271517194440257</c:v>
                </c:pt>
                <c:pt idx="67">
                  <c:v>5.2106064523057274</c:v>
                </c:pt>
                <c:pt idx="68">
                  <c:v>5.2963333642802759</c:v>
                </c:pt>
                <c:pt idx="69">
                  <c:v>5.3842655864164142</c:v>
                </c:pt>
                <c:pt idx="70">
                  <c:v>5.4743338045980341</c:v>
                </c:pt>
                <c:pt idx="71">
                  <c:v>5.5664669098117674</c:v>
                </c:pt>
                <c:pt idx="72">
                  <c:v>5.6605926100281021</c:v>
                </c:pt>
                <c:pt idx="73">
                  <c:v>5.7566379961765604</c:v>
                </c:pt>
                <c:pt idx="74">
                  <c:v>5.8545300570156638</c:v>
                </c:pt>
                <c:pt idx="75">
                  <c:v>5.9541961398363767</c:v>
                </c:pt>
                <c:pt idx="76">
                  <c:v>6.0555643558260384</c:v>
                </c:pt>
                <c:pt idx="77">
                  <c:v>6.1585639305191515</c:v>
                </c:pt>
                <c:pt idx="78">
                  <c:v>6.2631255010577425</c:v>
                </c:pt>
                <c:pt idx="79">
                  <c:v>6.3691813629829248</c:v>
                </c:pt>
                <c:pt idx="80">
                  <c:v>6.476665670000946</c:v>
                </c:pt>
                <c:pt idx="81">
                  <c:v>6.5855145906414219</c:v>
                </c:pt>
                <c:pt idx="82">
                  <c:v>6.6956664259878798</c:v>
                </c:pt>
                <c:pt idx="83">
                  <c:v>6.8070616927480039</c:v>
                </c:pt>
                <c:pt idx="84">
                  <c:v>6.9196431758796191</c:v>
                </c:pt>
                <c:pt idx="85">
                  <c:v>7.03335595483163</c:v>
                </c:pt>
                <c:pt idx="86">
                  <c:v>7.1481474072268334</c:v>
                </c:pt>
                <c:pt idx="87">
                  <c:v>7.2639671935310748</c:v>
                </c:pt>
                <c:pt idx="88">
                  <c:v>7.3807672259415797</c:v>
                </c:pt>
                <c:pt idx="89">
                  <c:v>7.4985016244032892</c:v>
                </c:pt>
                <c:pt idx="90">
                  <c:v>7.6171266623384755</c:v>
                </c:pt>
                <c:pt idx="91">
                  <c:v>7.7366007043614298</c:v>
                </c:pt>
                <c:pt idx="92">
                  <c:v>7.8568841379531733</c:v>
                </c:pt>
                <c:pt idx="93">
                  <c:v>7.977939300795299</c:v>
                </c:pt>
                <c:pt idx="94">
                  <c:v>8.0997304052098826</c:v>
                </c:pt>
                <c:pt idx="95">
                  <c:v>8.2222234609245604</c:v>
                </c:pt>
                <c:pt idx="96">
                  <c:v>8.3453861971788541</c:v>
                </c:pt>
                <c:pt idx="97">
                  <c:v>8.469187985008336</c:v>
                </c:pt>
                <c:pt idx="98">
                  <c:v>8.5935997603863665</c:v>
                </c:pt>
                <c:pt idx="99">
                  <c:v>8.7185939487671469</c:v>
                </c:pt>
              </c:numCache>
            </c:numRef>
          </c:yVal>
          <c:smooth val="1"/>
          <c:extLst>
            <c:ext xmlns:c16="http://schemas.microsoft.com/office/drawing/2014/chart" uri="{C3380CC4-5D6E-409C-BE32-E72D297353CC}">
              <c16:uniqueId val="{00000005-7141-461C-B0AD-34C0C2F9AA78}"/>
            </c:ext>
          </c:extLst>
        </c:ser>
        <c:ser>
          <c:idx val="9"/>
          <c:order val="4"/>
          <c:tx>
            <c:strRef>
              <c:f>LineærRegression!$AX$18</c:f>
              <c:strCache>
                <c:ptCount val="1"/>
                <c:pt idx="0">
                  <c:v> Grænser for 95% konfidensinterval</c:v>
                </c:pt>
              </c:strCache>
            </c:strRef>
          </c:tx>
          <c:spPr>
            <a:ln w="19050" cap="rnd">
              <a:solidFill>
                <a:schemeClr val="tx1"/>
              </a:solidFill>
              <a:prstDash val="dash"/>
              <a:round/>
            </a:ln>
            <a:effectLst/>
          </c:spPr>
          <c:marker>
            <c:symbol val="none"/>
          </c:marker>
          <c:xVal>
            <c:numRef>
              <c:f>[0]!LkX</c:f>
              <c:numCache>
                <c:formatCode>General</c:formatCode>
                <c:ptCount val="100"/>
                <c:pt idx="0">
                  <c:v>-3.2725647568992748</c:v>
                </c:pt>
                <c:pt idx="1">
                  <c:v>-3.1414426473964658</c:v>
                </c:pt>
                <c:pt idx="2">
                  <c:v>-3.0103205378936564</c:v>
                </c:pt>
                <c:pt idx="3">
                  <c:v>-2.8791984283908474</c:v>
                </c:pt>
                <c:pt idx="4">
                  <c:v>-2.7480763188880384</c:v>
                </c:pt>
                <c:pt idx="5">
                  <c:v>-2.6169542093852289</c:v>
                </c:pt>
                <c:pt idx="6">
                  <c:v>-2.4858320998824199</c:v>
                </c:pt>
                <c:pt idx="7">
                  <c:v>-2.3547099903796109</c:v>
                </c:pt>
                <c:pt idx="8">
                  <c:v>-2.2235878808768019</c:v>
                </c:pt>
                <c:pt idx="9">
                  <c:v>-2.092465771373992</c:v>
                </c:pt>
                <c:pt idx="10">
                  <c:v>-1.961343661871183</c:v>
                </c:pt>
                <c:pt idx="11">
                  <c:v>-1.8302215523683742</c:v>
                </c:pt>
                <c:pt idx="12">
                  <c:v>-1.699099442865565</c:v>
                </c:pt>
                <c:pt idx="13">
                  <c:v>-1.5679773333627558</c:v>
                </c:pt>
                <c:pt idx="14">
                  <c:v>-1.4368552238599468</c:v>
                </c:pt>
                <c:pt idx="15">
                  <c:v>-1.3057331143571376</c:v>
                </c:pt>
                <c:pt idx="16">
                  <c:v>-1.1746110048543286</c:v>
                </c:pt>
                <c:pt idx="17">
                  <c:v>-1.0434888953515191</c:v>
                </c:pt>
                <c:pt idx="18">
                  <c:v>-0.91236678584870967</c:v>
                </c:pt>
                <c:pt idx="19">
                  <c:v>-0.78124467634590111</c:v>
                </c:pt>
                <c:pt idx="20">
                  <c:v>-0.65012256684309122</c:v>
                </c:pt>
                <c:pt idx="21">
                  <c:v>-0.51900045734028266</c:v>
                </c:pt>
                <c:pt idx="22">
                  <c:v>-0.38787834783747366</c:v>
                </c:pt>
                <c:pt idx="23">
                  <c:v>-0.25675623833466421</c:v>
                </c:pt>
                <c:pt idx="24">
                  <c:v>-0.12563412883185521</c:v>
                </c:pt>
                <c:pt idx="25">
                  <c:v>5.48798067095424E-3</c:v>
                </c:pt>
                <c:pt idx="26">
                  <c:v>0.13661009017376324</c:v>
                </c:pt>
                <c:pt idx="27">
                  <c:v>0.26773219967657269</c:v>
                </c:pt>
                <c:pt idx="28">
                  <c:v>0.39885430917938125</c:v>
                </c:pt>
                <c:pt idx="29">
                  <c:v>0.52997641868219025</c:v>
                </c:pt>
                <c:pt idx="30">
                  <c:v>0.6610985281849997</c:v>
                </c:pt>
                <c:pt idx="31">
                  <c:v>0.7922206376878087</c:v>
                </c:pt>
                <c:pt idx="32">
                  <c:v>0.92334274719061771</c:v>
                </c:pt>
                <c:pt idx="33">
                  <c:v>1.0544648566934276</c:v>
                </c:pt>
                <c:pt idx="34">
                  <c:v>1.1855869661962366</c:v>
                </c:pt>
                <c:pt idx="35">
                  <c:v>1.3167090756990456</c:v>
                </c:pt>
                <c:pt idx="36">
                  <c:v>1.4478311852018555</c:v>
                </c:pt>
                <c:pt idx="37">
                  <c:v>1.5789532947046636</c:v>
                </c:pt>
                <c:pt idx="38">
                  <c:v>1.7100754042074726</c:v>
                </c:pt>
                <c:pt idx="39">
                  <c:v>1.8411975137102825</c:v>
                </c:pt>
                <c:pt idx="40">
                  <c:v>1.9723196232130924</c:v>
                </c:pt>
                <c:pt idx="41">
                  <c:v>2.1034417327159005</c:v>
                </c:pt>
                <c:pt idx="42">
                  <c:v>2.2345638422187095</c:v>
                </c:pt>
                <c:pt idx="43">
                  <c:v>2.3656859517215194</c:v>
                </c:pt>
                <c:pt idx="44">
                  <c:v>2.4968080612243275</c:v>
                </c:pt>
                <c:pt idx="45">
                  <c:v>2.6279301707271374</c:v>
                </c:pt>
                <c:pt idx="46">
                  <c:v>2.7590522802299464</c:v>
                </c:pt>
                <c:pt idx="47">
                  <c:v>2.8901743897327563</c:v>
                </c:pt>
                <c:pt idx="48">
                  <c:v>3.0212964992355644</c:v>
                </c:pt>
                <c:pt idx="49">
                  <c:v>3.1524186087383734</c:v>
                </c:pt>
                <c:pt idx="50">
                  <c:v>3.2835407182411833</c:v>
                </c:pt>
                <c:pt idx="51">
                  <c:v>3.4146628277439914</c:v>
                </c:pt>
                <c:pt idx="52">
                  <c:v>3.5457849372468013</c:v>
                </c:pt>
                <c:pt idx="53">
                  <c:v>3.6769070467496103</c:v>
                </c:pt>
                <c:pt idx="54">
                  <c:v>3.8080291562524202</c:v>
                </c:pt>
                <c:pt idx="55">
                  <c:v>3.9391512657552283</c:v>
                </c:pt>
                <c:pt idx="56">
                  <c:v>4.0702733752580373</c:v>
                </c:pt>
                <c:pt idx="57">
                  <c:v>4.2013954847608472</c:v>
                </c:pt>
                <c:pt idx="58">
                  <c:v>4.3325175942636553</c:v>
                </c:pt>
                <c:pt idx="59">
                  <c:v>4.4636397037664652</c:v>
                </c:pt>
                <c:pt idx="60">
                  <c:v>4.5947618132692742</c:v>
                </c:pt>
                <c:pt idx="61">
                  <c:v>4.7258839227720841</c:v>
                </c:pt>
                <c:pt idx="62">
                  <c:v>4.8570060322748922</c:v>
                </c:pt>
                <c:pt idx="63">
                  <c:v>4.9881281417777021</c:v>
                </c:pt>
                <c:pt idx="64">
                  <c:v>5.1192502512805103</c:v>
                </c:pt>
                <c:pt idx="65">
                  <c:v>5.2503723607833201</c:v>
                </c:pt>
                <c:pt idx="66">
                  <c:v>5.38149447028613</c:v>
                </c:pt>
                <c:pt idx="67">
                  <c:v>5.5126165797889382</c:v>
                </c:pt>
                <c:pt idx="68">
                  <c:v>5.643738689291748</c:v>
                </c:pt>
                <c:pt idx="69">
                  <c:v>5.7748607987945562</c:v>
                </c:pt>
                <c:pt idx="70">
                  <c:v>5.9059829082973661</c:v>
                </c:pt>
                <c:pt idx="71">
                  <c:v>6.0371050178001759</c:v>
                </c:pt>
                <c:pt idx="72">
                  <c:v>6.1682271273029858</c:v>
                </c:pt>
                <c:pt idx="73">
                  <c:v>6.299349236805794</c:v>
                </c:pt>
                <c:pt idx="74">
                  <c:v>6.4304713463086021</c:v>
                </c:pt>
                <c:pt idx="75">
                  <c:v>6.561593455811412</c:v>
                </c:pt>
                <c:pt idx="76">
                  <c:v>6.6927155653142201</c:v>
                </c:pt>
                <c:pt idx="77">
                  <c:v>6.82383767481703</c:v>
                </c:pt>
                <c:pt idx="78">
                  <c:v>6.9549597843198399</c:v>
                </c:pt>
                <c:pt idx="79">
                  <c:v>7.086081893822648</c:v>
                </c:pt>
                <c:pt idx="80">
                  <c:v>7.2172040033254596</c:v>
                </c:pt>
                <c:pt idx="81">
                  <c:v>7.3483261128282678</c:v>
                </c:pt>
                <c:pt idx="82">
                  <c:v>7.4794482223310759</c:v>
                </c:pt>
                <c:pt idx="83">
                  <c:v>7.610570331833884</c:v>
                </c:pt>
                <c:pt idx="84">
                  <c:v>7.7416924413366939</c:v>
                </c:pt>
                <c:pt idx="85">
                  <c:v>7.8728145508395038</c:v>
                </c:pt>
                <c:pt idx="86">
                  <c:v>8.0039366603423137</c:v>
                </c:pt>
                <c:pt idx="87">
                  <c:v>8.1350587698451218</c:v>
                </c:pt>
                <c:pt idx="88">
                  <c:v>8.2661808793479299</c:v>
                </c:pt>
                <c:pt idx="89">
                  <c:v>8.3973029888507398</c:v>
                </c:pt>
                <c:pt idx="90">
                  <c:v>8.5284250983535497</c:v>
                </c:pt>
                <c:pt idx="91">
                  <c:v>8.6595472078563578</c:v>
                </c:pt>
                <c:pt idx="92">
                  <c:v>8.7906693173591677</c:v>
                </c:pt>
                <c:pt idx="93">
                  <c:v>8.9217914268619758</c:v>
                </c:pt>
                <c:pt idx="94">
                  <c:v>9.0529135363647875</c:v>
                </c:pt>
                <c:pt idx="95">
                  <c:v>9.1840356458675956</c:v>
                </c:pt>
                <c:pt idx="96">
                  <c:v>9.3151577553704037</c:v>
                </c:pt>
                <c:pt idx="97">
                  <c:v>9.4462798648732136</c:v>
                </c:pt>
                <c:pt idx="98">
                  <c:v>9.5774019743760217</c:v>
                </c:pt>
                <c:pt idx="99">
                  <c:v>9.7085240838788316</c:v>
                </c:pt>
              </c:numCache>
            </c:numRef>
          </c:xVal>
          <c:yVal>
            <c:numRef>
              <c:f>[0]!LkNedre</c:f>
              <c:numCache>
                <c:formatCode>General</c:formatCode>
                <c:ptCount val="100"/>
                <c:pt idx="0">
                  <c:v>-6.8221821813056156</c:v>
                </c:pt>
                <c:pt idx="1">
                  <c:v>-6.6912247989611213</c:v>
                </c:pt>
                <c:pt idx="2">
                  <c:v>-6.5605821949102712</c:v>
                </c:pt>
                <c:pt idx="3">
                  <c:v>-6.4302676070299718</c:v>
                </c:pt>
                <c:pt idx="4">
                  <c:v>-6.3002949608524466</c:v>
                </c:pt>
                <c:pt idx="5">
                  <c:v>-6.1706789096187151</c:v>
                </c:pt>
                <c:pt idx="6">
                  <c:v>-6.0414348766549502</c:v>
                </c:pt>
                <c:pt idx="7">
                  <c:v>-5.9125791001680641</c:v>
                </c:pt>
                <c:pt idx="8">
                  <c:v>-5.7841286805514294</c:v>
                </c:pt>
                <c:pt idx="9">
                  <c:v>-5.6561016302834446</c:v>
                </c:pt>
                <c:pt idx="10">
                  <c:v>-5.528516926490374</c:v>
                </c:pt>
                <c:pt idx="11">
                  <c:v>-5.4013945662296985</c:v>
                </c:pt>
                <c:pt idx="12">
                  <c:v>-5.2747556245305613</c:v>
                </c:pt>
                <c:pt idx="13">
                  <c:v>-5.1486223152027231</c:v>
                </c:pt>
                <c:pt idx="14">
                  <c:v>-5.0230180543939058</c:v>
                </c:pt>
                <c:pt idx="15">
                  <c:v>-4.8979675268363385</c:v>
                </c:pt>
                <c:pt idx="16">
                  <c:v>-4.7734967546755041</c:v>
                </c:pt>
                <c:pt idx="17">
                  <c:v>-4.6496331687160124</c:v>
                </c:pt>
                <c:pt idx="18">
                  <c:v>-4.5264056818499219</c:v>
                </c:pt>
                <c:pt idx="19">
                  <c:v>-4.4038447643496266</c:v>
                </c:pt>
                <c:pt idx="20">
                  <c:v>-4.2819825206093025</c:v>
                </c:pt>
                <c:pt idx="21">
                  <c:v>-4.1608527668036501</c:v>
                </c:pt>
                <c:pt idx="22">
                  <c:v>-4.0404911087985775</c:v>
                </c:pt>
                <c:pt idx="23">
                  <c:v>-3.9209350194937662</c:v>
                </c:pt>
                <c:pt idx="24">
                  <c:v>-3.8022239145999137</c:v>
                </c:pt>
                <c:pt idx="25">
                  <c:v>-3.6843992256527591</c:v>
                </c:pt>
                <c:pt idx="26">
                  <c:v>-3.5675044688407054</c:v>
                </c:pt>
                <c:pt idx="27">
                  <c:v>-3.4515853079729988</c:v>
                </c:pt>
                <c:pt idx="28">
                  <c:v>-3.3366896096418834</c:v>
                </c:pt>
                <c:pt idx="29">
                  <c:v>-3.2228674883372275</c:v>
                </c:pt>
                <c:pt idx="30">
                  <c:v>-3.1101713389600363</c:v>
                </c:pt>
                <c:pt idx="31">
                  <c:v>-2.9986558538583221</c:v>
                </c:pt>
                <c:pt idx="32">
                  <c:v>-2.8883780211843191</c:v>
                </c:pt>
                <c:pt idx="33">
                  <c:v>-2.7793971010585214</c:v>
                </c:pt>
                <c:pt idx="34">
                  <c:v>-2.6717745757397822</c:v>
                </c:pt>
                <c:pt idx="35">
                  <c:v>-2.5655740697623544</c:v>
                </c:pt>
                <c:pt idx="36">
                  <c:v>-2.4608612358352584</c:v>
                </c:pt>
                <c:pt idx="37">
                  <c:v>-2.3577036022360076</c:v>
                </c:pt>
                <c:pt idx="38">
                  <c:v>-2.2561703775027038</c:v>
                </c:pt>
                <c:pt idx="39">
                  <c:v>-2.1563322084719183</c:v>
                </c:pt>
                <c:pt idx="40">
                  <c:v>-2.0582608881614588</c:v>
                </c:pt>
                <c:pt idx="41">
                  <c:v>-1.962029010692862</c:v>
                </c:pt>
                <c:pt idx="42">
                  <c:v>-1.867709571418708</c:v>
                </c:pt>
                <c:pt idx="43">
                  <c:v>-1.7753755116861785</c:v>
                </c:pt>
                <c:pt idx="44">
                  <c:v>-1.6850992092378443</c:v>
                </c:pt>
                <c:pt idx="45">
                  <c:v>-1.5969519171115931</c:v>
                </c:pt>
                <c:pt idx="46">
                  <c:v>-1.5110031560173893</c:v>
                </c:pt>
                <c:pt idx="47">
                  <c:v>-1.427320067474479</c:v>
                </c:pt>
                <c:pt idx="48">
                  <c:v>-1.3459667373936532</c:v>
                </c:pt>
                <c:pt idx="49">
                  <c:v>-1.2670035021602939</c:v>
                </c:pt>
                <c:pt idx="50">
                  <c:v>-1.1904862514650829</c:v>
                </c:pt>
                <c:pt idx="51">
                  <c:v>-1.116465743973508</c:v>
                </c:pt>
                <c:pt idx="52">
                  <c:v>-1.0449869532517237</c:v>
                </c:pt>
                <c:pt idx="53">
                  <c:v>-0.97608846201608035</c:v>
                </c:pt>
                <c:pt idx="54">
                  <c:v>-0.90980192261786863</c:v>
                </c:pt>
                <c:pt idx="55">
                  <c:v>-0.84615160063281292</c:v>
                </c:pt>
                <c:pt idx="56">
                  <c:v>-0.78515401647820515</c:v>
                </c:pt>
                <c:pt idx="57">
                  <c:v>-0.72681769718325206</c:v>
                </c:pt>
                <c:pt idx="58">
                  <c:v>-0.67114304691737825</c:v>
                </c:pt>
                <c:pt idx="59">
                  <c:v>-0.61812234083062934</c:v>
                </c:pt>
                <c:pt idx="60">
                  <c:v>-0.56773984242394793</c:v>
                </c:pt>
                <c:pt idx="61">
                  <c:v>-0.51997204031700983</c:v>
                </c:pt>
                <c:pt idx="62">
                  <c:v>-0.47478799619076906</c:v>
                </c:pt>
                <c:pt idx="63">
                  <c:v>-0.4321497920988433</c:v>
                </c:pt>
                <c:pt idx="64">
                  <c:v>-0.3920130624659266</c:v>
                </c:pt>
                <c:pt idx="65">
                  <c:v>-0.35432759405669545</c:v>
                </c:pt>
                <c:pt idx="66">
                  <c:v>-0.31903797606664597</c:v>
                </c:pt>
                <c:pt idx="67">
                  <c:v>-0.28608428224523719</c:v>
                </c:pt>
                <c:pt idx="68">
                  <c:v>-0.25540276753667301</c:v>
                </c:pt>
                <c:pt idx="69">
                  <c:v>-0.22692656298970082</c:v>
                </c:pt>
                <c:pt idx="70">
                  <c:v>-0.2005863544882085</c:v>
                </c:pt>
                <c:pt idx="71">
                  <c:v>-0.17631103301882911</c:v>
                </c:pt>
                <c:pt idx="72">
                  <c:v>-0.15402830655205157</c:v>
                </c:pt>
                <c:pt idx="73">
                  <c:v>-0.13366526601739981</c:v>
                </c:pt>
                <c:pt idx="74">
                  <c:v>-0.11514890017339097</c:v>
                </c:pt>
                <c:pt idx="75">
                  <c:v>-9.8406556310992155E-2</c:v>
                </c:pt>
                <c:pt idx="76">
                  <c:v>-8.3366345617542414E-2</c:v>
                </c:pt>
                <c:pt idx="77">
                  <c:v>-6.9957493627543776E-2</c:v>
                </c:pt>
                <c:pt idx="78">
                  <c:v>-5.811063748302292E-2</c:v>
                </c:pt>
                <c:pt idx="79">
                  <c:v>-4.775807272509347E-2</c:v>
                </c:pt>
                <c:pt idx="80">
                  <c:v>-3.883395306000148E-2</c:v>
                </c:pt>
                <c:pt idx="81">
                  <c:v>-3.1274447017366924E-2</c:v>
                </c:pt>
                <c:pt idx="82">
                  <c:v>-2.5017855680713019E-2</c:v>
                </c:pt>
                <c:pt idx="83">
                  <c:v>-2.0004695757726676E-2</c:v>
                </c:pt>
                <c:pt idx="84">
                  <c:v>-1.6177752206230522E-2</c:v>
                </c:pt>
                <c:pt idx="85">
                  <c:v>-1.3482104475127876E-2</c:v>
                </c:pt>
                <c:pt idx="86">
                  <c:v>-1.1865130187219464E-2</c:v>
                </c:pt>
                <c:pt idx="87">
                  <c:v>-1.1276489808349499E-2</c:v>
                </c:pt>
                <c:pt idx="88">
                  <c:v>-1.1668095535743994E-2</c:v>
                </c:pt>
                <c:pt idx="89">
                  <c:v>-1.299406731434205E-2</c:v>
                </c:pt>
                <c:pt idx="90">
                  <c:v>-1.5210678566414337E-2</c:v>
                </c:pt>
                <c:pt idx="91">
                  <c:v>-1.8276293906258623E-2</c:v>
                </c:pt>
                <c:pt idx="92">
                  <c:v>-2.2151300814890362E-2</c:v>
                </c:pt>
                <c:pt idx="93">
                  <c:v>-2.679803697390426E-2</c:v>
                </c:pt>
                <c:pt idx="94">
                  <c:v>-3.2180714705374314E-2</c:v>
                </c:pt>
                <c:pt idx="95">
                  <c:v>-3.826534373693935E-2</c:v>
                </c:pt>
                <c:pt idx="96">
                  <c:v>-4.5019653308123964E-2</c:v>
                </c:pt>
                <c:pt idx="97">
                  <c:v>-5.2413014454494089E-2</c:v>
                </c:pt>
                <c:pt idx="98">
                  <c:v>-6.0416363149412788E-2</c:v>
                </c:pt>
                <c:pt idx="99">
                  <c:v>-6.9002124847081348E-2</c:v>
                </c:pt>
              </c:numCache>
            </c:numRef>
          </c:yVal>
          <c:smooth val="1"/>
          <c:extLst>
            <c:ext xmlns:c16="http://schemas.microsoft.com/office/drawing/2014/chart" uri="{C3380CC4-5D6E-409C-BE32-E72D297353CC}">
              <c16:uniqueId val="{00000006-7141-461C-B0AD-34C0C2F9AA78}"/>
            </c:ext>
          </c:extLst>
        </c:ser>
        <c:ser>
          <c:idx val="1"/>
          <c:order val="5"/>
          <c:tx>
            <c:strRef>
              <c:f>LineærRegression!$AX$20</c:f>
              <c:strCache>
                <c:ptCount val="1"/>
                <c:pt idx="0">
                  <c:v>Givet at Eksempel 2 (interval) = 1 estimeres gennemsnit = 0.459</c:v>
                </c:pt>
              </c:strCache>
            </c:strRef>
          </c:tx>
          <c:spPr>
            <a:ln w="25400" cap="rnd">
              <a:noFill/>
              <a:round/>
            </a:ln>
            <a:effectLst/>
          </c:spPr>
          <c:marker>
            <c:symbol val="dash"/>
            <c:size val="15"/>
            <c:spPr>
              <a:solidFill>
                <a:schemeClr val="tx1"/>
              </a:solidFill>
              <a:ln w="28575">
                <a:solidFill>
                  <a:schemeClr val="tx1"/>
                </a:solidFill>
              </a:ln>
              <a:effectLst/>
            </c:spPr>
          </c:marker>
          <c:dLbls>
            <c:dLbl>
              <c:idx val="0"/>
              <c:tx>
                <c:rich>
                  <a:bodyPr/>
                  <a:lstStyle/>
                  <a:p>
                    <a:fld id="{725ECD0E-9D21-4448-ACD2-DDF4479D325A}" type="CELLRANGE">
                      <a:rPr lang="en-US"/>
                      <a:pPr/>
                      <a:t>[CELLRANGE]</a:t>
                    </a:fld>
                    <a:endParaRPr lang="da-DK"/>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7141-461C-B0AD-34C0C2F9AA7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LineærRegression!$C$38</c:f>
              <c:numCache>
                <c:formatCode>General</c:formatCode>
                <c:ptCount val="1"/>
                <c:pt idx="0">
                  <c:v>1</c:v>
                </c:pt>
              </c:numCache>
            </c:numRef>
          </c:xVal>
          <c:yVal>
            <c:numRef>
              <c:f>LineærRegression!$AX$22</c:f>
              <c:numCache>
                <c:formatCode>General</c:formatCode>
                <c:ptCount val="1"/>
                <c:pt idx="0">
                  <c:v>0.45914125165805242</c:v>
                </c:pt>
              </c:numCache>
            </c:numRef>
          </c:yVal>
          <c:smooth val="1"/>
          <c:extLst>
            <c:ext xmlns:c15="http://schemas.microsoft.com/office/drawing/2012/chart" uri="{02D57815-91ED-43cb-92C2-25804820EDAC}">
              <c15:datalabelsRange>
                <c15:f>LineærRegression!$AX$48</c15:f>
                <c15:dlblRangeCache>
                  <c:ptCount val="1"/>
                  <c:pt idx="0">
                    <c:v>0.459</c:v>
                  </c:pt>
                </c15:dlblRangeCache>
              </c15:datalabelsRange>
            </c:ext>
            <c:ext xmlns:c16="http://schemas.microsoft.com/office/drawing/2014/chart" uri="{C3380CC4-5D6E-409C-BE32-E72D297353CC}">
              <c16:uniqueId val="{00000008-7141-461C-B0AD-34C0C2F9AA78}"/>
            </c:ext>
          </c:extLst>
        </c:ser>
        <c:ser>
          <c:idx val="2"/>
          <c:order val="6"/>
          <c:tx>
            <c:strRef>
              <c:f>LineærRegression!$AX$10</c:f>
              <c:strCache>
                <c:ptCount val="1"/>
                <c:pt idx="0">
                  <c:v>Konfidensinterval for simpel lineær regression
Gennemsnittet er med 95% sandsynlighed mellem
øvre og nedre grænse i konfidensintervallet</c:v>
                </c:pt>
              </c:strCache>
            </c:strRef>
          </c:tx>
          <c:spPr>
            <a:ln w="19050" cap="rnd">
              <a:noFill/>
              <a:round/>
            </a:ln>
            <a:effectLst/>
          </c:spPr>
          <c:marker>
            <c:symbol val="none"/>
          </c:marker>
          <c:xVal>
            <c:numRef>
              <c:f>(LineærRegression!$AX$54,LineærRegression!$AX$54)</c:f>
              <c:numCache>
                <c:formatCode>General</c:formatCode>
                <c:ptCount val="2"/>
                <c:pt idx="0">
                  <c:v>3.2179796634897779</c:v>
                </c:pt>
                <c:pt idx="1">
                  <c:v>3.2179796634897779</c:v>
                </c:pt>
              </c:numCache>
            </c:numRef>
          </c:xVal>
          <c:yVal>
            <c:numRef>
              <c:f>(LineærRegression!$AQ$28,LineærRegression!$AQ$30)</c:f>
              <c:numCache>
                <c:formatCode>General</c:formatCode>
                <c:ptCount val="2"/>
                <c:pt idx="0">
                  <c:v>-11.951147136555756</c:v>
                </c:pt>
                <c:pt idx="1">
                  <c:v>14.367118518839385</c:v>
                </c:pt>
              </c:numCache>
            </c:numRef>
          </c:yVal>
          <c:smooth val="1"/>
          <c:extLst>
            <c:ext xmlns:c16="http://schemas.microsoft.com/office/drawing/2014/chart" uri="{C3380CC4-5D6E-409C-BE32-E72D297353CC}">
              <c16:uniqueId val="{00000009-7141-461C-B0AD-34C0C2F9AA78}"/>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LineærRegression!$AR$18</c:f>
              <c:strCache>
                <c:ptCount val="1"/>
                <c:pt idx="0">
                  <c:v>Eksempel 2 (interval)</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LineærRegression!$AQ$10</c:f>
              <c:strCache>
                <c:ptCount val="1"/>
                <c:pt idx="0">
                  <c:v>Eksempel 1 (interval)</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legendEntry>
        <c:idx val="2"/>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LineærRegression!$DW$10</c:f>
          <c:strCache>
            <c:ptCount val="1"/>
            <c:pt idx="0">
              <c:v>Simpel lineær regression
Normalfraktildiagram af residualer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smoothMarker"/>
        <c:varyColors val="0"/>
        <c:ser>
          <c:idx val="0"/>
          <c:order val="1"/>
          <c:tx>
            <c:strRef>
              <c:f>LineærRegression!$DW$12</c:f>
              <c:strCache>
                <c:ptCount val="1"/>
                <c:pt idx="0">
                  <c:v> Normalfordeling for residualer</c:v>
                </c:pt>
              </c:strCache>
            </c:strRef>
          </c:tx>
          <c:spPr>
            <a:ln w="28575" cap="rnd">
              <a:solidFill>
                <a:sysClr val="windowText" lastClr="000000"/>
              </a:solidFill>
              <a:round/>
            </a:ln>
            <a:effectLst/>
          </c:spPr>
          <c:marker>
            <c:symbol val="none"/>
          </c:marker>
          <c:xVal>
            <c:numRef>
              <c:f>[0]!LrS</c:f>
              <c:numCache>
                <c:formatCode>General</c:formatCode>
                <c:ptCount val="12"/>
                <c:pt idx="0">
                  <c:v>-5.2225330326511203</c:v>
                </c:pt>
                <c:pt idx="1">
                  <c:v>-3.4107040159871631</c:v>
                </c:pt>
                <c:pt idx="2">
                  <c:v>-2.3376318932866593</c:v>
                </c:pt>
                <c:pt idx="3">
                  <c:v>-1.4425399451454524</c:v>
                </c:pt>
                <c:pt idx="4">
                  <c:v>-1.3263795682375796</c:v>
                </c:pt>
                <c:pt idx="5">
                  <c:v>-1.2204311061644781</c:v>
                </c:pt>
                <c:pt idx="6">
                  <c:v>-0.50142016125645161</c:v>
                </c:pt>
                <c:pt idx="7">
                  <c:v>2.0254818247615214E-2</c:v>
                </c:pt>
                <c:pt idx="8">
                  <c:v>0.29046156598077322</c:v>
                </c:pt>
                <c:pt idx="9">
                  <c:v>0.3959242933963345</c:v>
                </c:pt>
                <c:pt idx="10">
                  <c:v>5.765285931148707</c:v>
                </c:pt>
                <c:pt idx="11">
                  <c:v>8.9897131139554673</c:v>
                </c:pt>
              </c:numCache>
            </c:numRef>
          </c:xVal>
          <c:yVal>
            <c:numRef>
              <c:f>[0]!LrZ</c:f>
              <c:numCache>
                <c:formatCode>General</c:formatCode>
                <c:ptCount val="12"/>
                <c:pt idx="0">
                  <c:v>-1.3515341605289024</c:v>
                </c:pt>
                <c:pt idx="1">
                  <c:v>-0.88265272047877275</c:v>
                </c:pt>
                <c:pt idx="2">
                  <c:v>-0.60495344668312601</c:v>
                </c:pt>
                <c:pt idx="3">
                  <c:v>-0.37331348631065892</c:v>
                </c:pt>
                <c:pt idx="4">
                  <c:v>-0.34325245720670183</c:v>
                </c:pt>
                <c:pt idx="5">
                  <c:v>-0.3158341594473465</c:v>
                </c:pt>
                <c:pt idx="6">
                  <c:v>-0.12976202782809215</c:v>
                </c:pt>
                <c:pt idx="7">
                  <c:v>5.2417243904074803E-3</c:v>
                </c:pt>
                <c:pt idx="8">
                  <c:v>7.5168261510153558E-2</c:v>
                </c:pt>
                <c:pt idx="9">
                  <c:v>0.10246085647768087</c:v>
                </c:pt>
                <c:pt idx="10">
                  <c:v>1.4919926465661257</c:v>
                </c:pt>
                <c:pt idx="11">
                  <c:v>2.3264389695392311</c:v>
                </c:pt>
              </c:numCache>
            </c:numRef>
          </c:yVal>
          <c:smooth val="1"/>
          <c:extLst>
            <c:ext xmlns:c16="http://schemas.microsoft.com/office/drawing/2014/chart" uri="{C3380CC4-5D6E-409C-BE32-E72D297353CC}">
              <c16:uniqueId val="{00000000-09A9-4F30-A6E2-9A56FA6694DC}"/>
            </c:ext>
          </c:extLst>
        </c:ser>
        <c:dLbls>
          <c:showLegendKey val="0"/>
          <c:showVal val="0"/>
          <c:showCatName val="0"/>
          <c:showSerName val="0"/>
          <c:showPercent val="0"/>
          <c:showBubbleSize val="0"/>
        </c:dLbls>
        <c:axId val="1385891392"/>
        <c:axId val="1328708544"/>
      </c:scatterChart>
      <c:scatterChart>
        <c:scatterStyle val="lineMarker"/>
        <c:varyColors val="0"/>
        <c:ser>
          <c:idx val="1"/>
          <c:order val="0"/>
          <c:tx>
            <c:strRef>
              <c:f>LineærRegression!$DW$14</c:f>
              <c:strCache>
                <c:ptCount val="1"/>
                <c:pt idx="0">
                  <c:v> Residualer</c:v>
                </c:pt>
              </c:strCache>
            </c:strRef>
          </c:tx>
          <c:spPr>
            <a:ln w="25400" cap="rnd">
              <a:noFill/>
              <a:round/>
            </a:ln>
            <a:effectLst/>
          </c:spPr>
          <c:marker>
            <c:symbol val="circle"/>
            <c:size val="7"/>
            <c:spPr>
              <a:noFill/>
              <a:ln w="28575">
                <a:solidFill>
                  <a:schemeClr val="accent1">
                    <a:alpha val="70000"/>
                  </a:schemeClr>
                </a:solidFill>
              </a:ln>
              <a:effectLst/>
            </c:spPr>
          </c:marker>
          <c:xVal>
            <c:numRef>
              <c:f>[0]!LrS</c:f>
              <c:numCache>
                <c:formatCode>General</c:formatCode>
                <c:ptCount val="12"/>
                <c:pt idx="0">
                  <c:v>-5.2225330326511203</c:v>
                </c:pt>
                <c:pt idx="1">
                  <c:v>-3.4107040159871631</c:v>
                </c:pt>
                <c:pt idx="2">
                  <c:v>-2.3376318932866593</c:v>
                </c:pt>
                <c:pt idx="3">
                  <c:v>-1.4425399451454524</c:v>
                </c:pt>
                <c:pt idx="4">
                  <c:v>-1.3263795682375796</c:v>
                </c:pt>
                <c:pt idx="5">
                  <c:v>-1.2204311061644781</c:v>
                </c:pt>
                <c:pt idx="6">
                  <c:v>-0.50142016125645161</c:v>
                </c:pt>
                <c:pt idx="7">
                  <c:v>2.0254818247615214E-2</c:v>
                </c:pt>
                <c:pt idx="8">
                  <c:v>0.29046156598077322</c:v>
                </c:pt>
                <c:pt idx="9">
                  <c:v>0.3959242933963345</c:v>
                </c:pt>
                <c:pt idx="10">
                  <c:v>5.765285931148707</c:v>
                </c:pt>
                <c:pt idx="11">
                  <c:v>8.9897131139554673</c:v>
                </c:pt>
              </c:numCache>
            </c:numRef>
          </c:xVal>
          <c:yVal>
            <c:numRef>
              <c:f>[0]!LrfZ</c:f>
              <c:numCache>
                <c:formatCode>General</c:formatCode>
                <c:ptCount val="12"/>
                <c:pt idx="0">
                  <c:v>-1.7316643961222451</c:v>
                </c:pt>
                <c:pt idx="1">
                  <c:v>-1.1503493803760083</c:v>
                </c:pt>
                <c:pt idx="2">
                  <c:v>-0.81221780149991241</c:v>
                </c:pt>
                <c:pt idx="3">
                  <c:v>-0.54852228269809788</c:v>
                </c:pt>
                <c:pt idx="4">
                  <c:v>-0.3186393639643752</c:v>
                </c:pt>
                <c:pt idx="5">
                  <c:v>-0.10463345561407539</c:v>
                </c:pt>
                <c:pt idx="6">
                  <c:v>0.10463345561407525</c:v>
                </c:pt>
                <c:pt idx="7">
                  <c:v>0.3186393639643752</c:v>
                </c:pt>
                <c:pt idx="8">
                  <c:v>0.54852228269809822</c:v>
                </c:pt>
                <c:pt idx="9">
                  <c:v>0.81221780149991241</c:v>
                </c:pt>
                <c:pt idx="10">
                  <c:v>1.1503493803760083</c:v>
                </c:pt>
                <c:pt idx="11">
                  <c:v>1.7316643961222455</c:v>
                </c:pt>
              </c:numCache>
            </c:numRef>
          </c:yVal>
          <c:smooth val="0"/>
          <c:extLst>
            <c:ext xmlns:c16="http://schemas.microsoft.com/office/drawing/2014/chart" uri="{C3380CC4-5D6E-409C-BE32-E72D297353CC}">
              <c16:uniqueId val="{00000001-09A9-4F30-A6E2-9A56FA6694DC}"/>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LineærRegression!$DW$16</c:f>
              <c:strCache>
                <c:ptCount val="1"/>
                <c:pt idx="0">
                  <c:v>Værdier og forventede værdier for residualer</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LineærRegression!$DW$18</c:f>
              <c:strCache>
                <c:ptCount val="1"/>
                <c:pt idx="0">
                  <c:v>Standardafvigelse i normalfordeling for residualer</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LineærRegression!$EE$10</c:f>
          <c:strCache>
            <c:ptCount val="1"/>
            <c:pt idx="0">
              <c:v> Multipel lineær regression
Normalfraktildiagram af residualer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smoothMarker"/>
        <c:varyColors val="0"/>
        <c:ser>
          <c:idx val="0"/>
          <c:order val="1"/>
          <c:tx>
            <c:strRef>
              <c:f>LineærRegression!$EE$12</c:f>
              <c:strCache>
                <c:ptCount val="1"/>
                <c:pt idx="0">
                  <c:v> Normalfordeling for residualer</c:v>
                </c:pt>
              </c:strCache>
            </c:strRef>
          </c:tx>
          <c:spPr>
            <a:ln w="28575" cap="rnd">
              <a:solidFill>
                <a:sysClr val="windowText" lastClr="000000"/>
              </a:solidFill>
              <a:round/>
            </a:ln>
            <a:effectLst/>
          </c:spPr>
          <c:marker>
            <c:symbol val="none"/>
          </c:marker>
          <c:xVal>
            <c:numRef>
              <c:f>[0]!LrSm</c:f>
              <c:numCache>
                <c:formatCode>General</c:formatCode>
                <c:ptCount val="12"/>
                <c:pt idx="0">
                  <c:v>-4.8829604311562198</c:v>
                </c:pt>
                <c:pt idx="1">
                  <c:v>-3.071131414492263</c:v>
                </c:pt>
                <c:pt idx="2">
                  <c:v>-3.0024923898184595</c:v>
                </c:pt>
                <c:pt idx="3">
                  <c:v>-2.0896260397300743</c:v>
                </c:pt>
                <c:pt idx="4">
                  <c:v>-1.1379097053406018</c:v>
                </c:pt>
                <c:pt idx="5">
                  <c:v>-1.0321310593838429</c:v>
                </c:pt>
                <c:pt idx="6">
                  <c:v>-0.39698454666325711</c:v>
                </c:pt>
                <c:pt idx="7">
                  <c:v>0.24746935580221296</c:v>
                </c:pt>
                <c:pt idx="8">
                  <c:v>0.37453379845632306</c:v>
                </c:pt>
                <c:pt idx="9">
                  <c:v>0.58377381740650058</c:v>
                </c:pt>
                <c:pt idx="10">
                  <c:v>5.092118429548532</c:v>
                </c:pt>
                <c:pt idx="11">
                  <c:v>9.3153401853711433</c:v>
                </c:pt>
              </c:numCache>
            </c:numRef>
          </c:xVal>
          <c:yVal>
            <c:numRef>
              <c:f>[0]!LrZm</c:f>
              <c:numCache>
                <c:formatCode>General</c:formatCode>
                <c:ptCount val="12"/>
                <c:pt idx="0">
                  <c:v>-1.2707415438526144</c:v>
                </c:pt>
                <c:pt idx="1">
                  <c:v>-0.79923118977682861</c:v>
                </c:pt>
                <c:pt idx="2">
                  <c:v>-0.78136857110271551</c:v>
                </c:pt>
                <c:pt idx="3">
                  <c:v>-0.54380424687825335</c:v>
                </c:pt>
                <c:pt idx="4">
                  <c:v>-0.29612960336584154</c:v>
                </c:pt>
                <c:pt idx="5">
                  <c:v>-0.26860177024803294</c:v>
                </c:pt>
                <c:pt idx="6">
                  <c:v>-0.10331125202115289</c:v>
                </c:pt>
                <c:pt idx="7">
                  <c:v>6.4401421162828029E-2</c:v>
                </c:pt>
                <c:pt idx="8">
                  <c:v>9.7468669669861882E-2</c:v>
                </c:pt>
                <c:pt idx="9">
                  <c:v>0.15192128882687186</c:v>
                </c:pt>
                <c:pt idx="10">
                  <c:v>1.3251728179809683</c:v>
                </c:pt>
                <c:pt idx="11">
                  <c:v>2.4242239796049074</c:v>
                </c:pt>
              </c:numCache>
            </c:numRef>
          </c:yVal>
          <c:smooth val="1"/>
          <c:extLst>
            <c:ext xmlns:c16="http://schemas.microsoft.com/office/drawing/2014/chart" uri="{C3380CC4-5D6E-409C-BE32-E72D297353CC}">
              <c16:uniqueId val="{00000000-5508-4FB5-9B9B-4F5A866A2F4B}"/>
            </c:ext>
          </c:extLst>
        </c:ser>
        <c:dLbls>
          <c:showLegendKey val="0"/>
          <c:showVal val="0"/>
          <c:showCatName val="0"/>
          <c:showSerName val="0"/>
          <c:showPercent val="0"/>
          <c:showBubbleSize val="0"/>
        </c:dLbls>
        <c:axId val="1385891392"/>
        <c:axId val="1328708544"/>
      </c:scatterChart>
      <c:scatterChart>
        <c:scatterStyle val="lineMarker"/>
        <c:varyColors val="0"/>
        <c:ser>
          <c:idx val="1"/>
          <c:order val="0"/>
          <c:tx>
            <c:strRef>
              <c:f>LineærRegression!$EE$14</c:f>
              <c:strCache>
                <c:ptCount val="1"/>
                <c:pt idx="0">
                  <c:v> Residualer</c:v>
                </c:pt>
              </c:strCache>
            </c:strRef>
          </c:tx>
          <c:spPr>
            <a:ln w="25400" cap="rnd">
              <a:noFill/>
              <a:round/>
            </a:ln>
            <a:effectLst/>
          </c:spPr>
          <c:marker>
            <c:symbol val="circle"/>
            <c:size val="7"/>
            <c:spPr>
              <a:noFill/>
              <a:ln w="28575">
                <a:solidFill>
                  <a:schemeClr val="accent1">
                    <a:alpha val="70000"/>
                  </a:schemeClr>
                </a:solidFill>
              </a:ln>
              <a:effectLst/>
            </c:spPr>
          </c:marker>
          <c:xVal>
            <c:numRef>
              <c:f>[0]!LrSm</c:f>
              <c:numCache>
                <c:formatCode>General</c:formatCode>
                <c:ptCount val="12"/>
                <c:pt idx="0">
                  <c:v>-4.8829604311562198</c:v>
                </c:pt>
                <c:pt idx="1">
                  <c:v>-3.071131414492263</c:v>
                </c:pt>
                <c:pt idx="2">
                  <c:v>-3.0024923898184595</c:v>
                </c:pt>
                <c:pt idx="3">
                  <c:v>-2.0896260397300743</c:v>
                </c:pt>
                <c:pt idx="4">
                  <c:v>-1.1379097053406018</c:v>
                </c:pt>
                <c:pt idx="5">
                  <c:v>-1.0321310593838429</c:v>
                </c:pt>
                <c:pt idx="6">
                  <c:v>-0.39698454666325711</c:v>
                </c:pt>
                <c:pt idx="7">
                  <c:v>0.24746935580221296</c:v>
                </c:pt>
                <c:pt idx="8">
                  <c:v>0.37453379845632306</c:v>
                </c:pt>
                <c:pt idx="9">
                  <c:v>0.58377381740650058</c:v>
                </c:pt>
                <c:pt idx="10">
                  <c:v>5.092118429548532</c:v>
                </c:pt>
                <c:pt idx="11">
                  <c:v>9.3153401853711433</c:v>
                </c:pt>
              </c:numCache>
            </c:numRef>
          </c:xVal>
          <c:yVal>
            <c:numRef>
              <c:f>[0]!LrfZm</c:f>
              <c:numCache>
                <c:formatCode>General</c:formatCode>
                <c:ptCount val="12"/>
                <c:pt idx="0">
                  <c:v>-1.7316643961222451</c:v>
                </c:pt>
                <c:pt idx="1">
                  <c:v>-1.1503493803760083</c:v>
                </c:pt>
                <c:pt idx="2">
                  <c:v>-0.81221780149991241</c:v>
                </c:pt>
                <c:pt idx="3">
                  <c:v>-0.54852228269809788</c:v>
                </c:pt>
                <c:pt idx="4">
                  <c:v>-0.3186393639643752</c:v>
                </c:pt>
                <c:pt idx="5">
                  <c:v>-0.10463345561407539</c:v>
                </c:pt>
                <c:pt idx="6">
                  <c:v>0.10463345561407525</c:v>
                </c:pt>
                <c:pt idx="7">
                  <c:v>0.3186393639643752</c:v>
                </c:pt>
                <c:pt idx="8">
                  <c:v>0.54852228269809822</c:v>
                </c:pt>
                <c:pt idx="9">
                  <c:v>0.81221780149991241</c:v>
                </c:pt>
                <c:pt idx="10">
                  <c:v>1.1503493803760083</c:v>
                </c:pt>
                <c:pt idx="11">
                  <c:v>1.7316643961222455</c:v>
                </c:pt>
              </c:numCache>
            </c:numRef>
          </c:yVal>
          <c:smooth val="0"/>
          <c:extLst>
            <c:ext xmlns:c16="http://schemas.microsoft.com/office/drawing/2014/chart" uri="{C3380CC4-5D6E-409C-BE32-E72D297353CC}">
              <c16:uniqueId val="{00000001-5508-4FB5-9B9B-4F5A866A2F4B}"/>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LineærRegression!$EE$16</c:f>
              <c:strCache>
                <c:ptCount val="1"/>
                <c:pt idx="0">
                  <c:v>Værdier og forventede værdier for residualer</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LineærRegression!$EE$18</c:f>
              <c:strCache>
                <c:ptCount val="1"/>
                <c:pt idx="0">
                  <c:v>Standardafvigelse i normalfordeling for residualer</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LineærRegression!$BG$10</c:f>
          <c:strCache>
            <c:ptCount val="1"/>
            <c:pt idx="0">
              <c:v>Forudsigelsesinterval for simpel lineær regression
Observationer er med 95% sandsynlighed mellem
øvre og nedre grænse i forudsigelsesintervallet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1"/>
          <c:order val="0"/>
          <c:tx>
            <c:strRef>
              <c:f>LineærRegression!$BG$12</c:f>
              <c:strCache>
                <c:ptCount val="1"/>
                <c:pt idx="0">
                  <c:v> Observationer (n=12)</c:v>
                </c:pt>
              </c:strCache>
            </c:strRef>
          </c:tx>
          <c:spPr>
            <a:ln w="25400" cap="rnd">
              <a:noFill/>
              <a:round/>
            </a:ln>
            <a:effectLst/>
          </c:spPr>
          <c:marker>
            <c:symbol val="circle"/>
            <c:size val="7"/>
            <c:spPr>
              <a:noFill/>
              <a:ln w="28575">
                <a:solidFill>
                  <a:schemeClr val="accent1">
                    <a:alpha val="70000"/>
                  </a:schemeClr>
                </a:solidFill>
              </a:ln>
              <a:effectLst/>
            </c:spPr>
          </c:marker>
          <c:xVal>
            <c:numRef>
              <c:f>[0]!LsxSimpel</c:f>
              <c:numCache>
                <c:formatCode>General</c:formatCode>
                <c:ptCount val="12"/>
                <c:pt idx="0">
                  <c:v>-3.2725647568992748</c:v>
                </c:pt>
                <c:pt idx="1">
                  <c:v>-2.2379718387660041</c:v>
                </c:pt>
                <c:pt idx="2">
                  <c:v>2</c:v>
                </c:pt>
                <c:pt idx="3">
                  <c:v>2.0228895016109072</c:v>
                </c:pt>
                <c:pt idx="4">
                  <c:v>2.0315172703350726</c:v>
                </c:pt>
                <c:pt idx="5">
                  <c:v>4</c:v>
                </c:pt>
                <c:pt idx="6">
                  <c:v>5</c:v>
                </c:pt>
                <c:pt idx="7">
                  <c:v>5.4220501567463426</c:v>
                </c:pt>
                <c:pt idx="8">
                  <c:v>6.3251059591845431</c:v>
                </c:pt>
                <c:pt idx="9">
                  <c:v>9</c:v>
                </c:pt>
                <c:pt idx="10">
                  <c:v>9.7085240838788316</c:v>
                </c:pt>
                <c:pt idx="11">
                  <c:v>9.7085240838788316</c:v>
                </c:pt>
              </c:numCache>
            </c:numRef>
          </c:xVal>
          <c:yVal>
            <c:numRef>
              <c:f>[0]!LsySimpel</c:f>
              <c:numCache>
                <c:formatCode>General</c:formatCode>
                <c:ptCount val="12"/>
                <c:pt idx="0">
                  <c:v>-1.1469596428732241</c:v>
                </c:pt>
                <c:pt idx="1">
                  <c:v>-1.479592604535932</c:v>
                </c:pt>
                <c:pt idx="2">
                  <c:v>1.2989587493526971</c:v>
                </c:pt>
                <c:pt idx="3">
                  <c:v>-0.30723615599325882</c:v>
                </c:pt>
                <c:pt idx="4">
                  <c:v>-0.40935481016144565</c:v>
                </c:pt>
                <c:pt idx="5">
                  <c:v>1.8110756828005981</c:v>
                </c:pt>
                <c:pt idx="6">
                  <c:v>8</c:v>
                </c:pt>
                <c:pt idx="7">
                  <c:v>8.4427372017371785E-2</c:v>
                </c:pt>
                <c:pt idx="8">
                  <c:v>1.3803796539630533</c:v>
                </c:pt>
                <c:pt idx="9">
                  <c:v>13</c:v>
                </c:pt>
                <c:pt idx="10">
                  <c:v>0.91409189597286977</c:v>
                </c:pt>
                <c:pt idx="11">
                  <c:v>-0.89773712069108735</c:v>
                </c:pt>
              </c:numCache>
            </c:numRef>
          </c:yVal>
          <c:smooth val="0"/>
          <c:extLst>
            <c:ext xmlns:c16="http://schemas.microsoft.com/office/drawing/2014/chart" uri="{C3380CC4-5D6E-409C-BE32-E72D297353CC}">
              <c16:uniqueId val="{00000000-CAD5-4133-B01C-EB92EFF5F7B3}"/>
            </c:ext>
          </c:extLst>
        </c:ser>
        <c:ser>
          <c:idx val="2"/>
          <c:order val="1"/>
          <c:tx>
            <c:strRef>
              <c:f>LineærRegression!$BG$14</c:f>
              <c:strCache>
                <c:ptCount val="1"/>
                <c:pt idx="0">
                  <c:v> Givet at Eksempel 2 (interval) = 1 estimeres øvre grænse for fjorudsigelsesinterval = 10.068</c:v>
                </c:pt>
              </c:strCache>
            </c:strRef>
          </c:tx>
          <c:spPr>
            <a:ln w="19050" cap="rnd">
              <a:noFill/>
              <a:prstDash val="sysDash"/>
              <a:round/>
            </a:ln>
            <a:effectLst/>
          </c:spPr>
          <c:marker>
            <c:symbol val="x"/>
            <c:size val="15"/>
            <c:spPr>
              <a:noFill/>
              <a:ln w="28575">
                <a:solidFill>
                  <a:schemeClr val="accent1"/>
                </a:solidFill>
              </a:ln>
              <a:effectLst/>
            </c:spPr>
          </c:marker>
          <c:dLbls>
            <c:dLbl>
              <c:idx val="0"/>
              <c:tx>
                <c:rich>
                  <a:bodyPr/>
                  <a:lstStyle/>
                  <a:p>
                    <a:fld id="{6122D663-453A-47FF-BB3E-3B2D0C11CA0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CAD5-4133-B01C-EB92EFF5F7B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LineærRegression!$D$38</c:f>
              <c:numCache>
                <c:formatCode>General</c:formatCode>
                <c:ptCount val="1"/>
                <c:pt idx="0">
                  <c:v>1</c:v>
                </c:pt>
              </c:numCache>
            </c:numRef>
          </c:xVal>
          <c:yVal>
            <c:numRef>
              <c:f>LineærRegression!$BG$24</c:f>
              <c:numCache>
                <c:formatCode>General</c:formatCode>
                <c:ptCount val="1"/>
                <c:pt idx="0">
                  <c:v>10.067736689744549</c:v>
                </c:pt>
              </c:numCache>
            </c:numRef>
          </c:yVal>
          <c:smooth val="0"/>
          <c:extLst>
            <c:ext xmlns:c15="http://schemas.microsoft.com/office/drawing/2012/chart" uri="{02D57815-91ED-43cb-92C2-25804820EDAC}">
              <c15:datalabelsRange>
                <c15:f>LineærRegression!$BG$44</c15:f>
                <c15:dlblRangeCache>
                  <c:ptCount val="1"/>
                  <c:pt idx="0">
                    <c:v>10.068</c:v>
                  </c:pt>
                </c15:dlblRangeCache>
              </c15:datalabelsRange>
            </c:ext>
            <c:ext xmlns:c16="http://schemas.microsoft.com/office/drawing/2014/chart" uri="{C3380CC4-5D6E-409C-BE32-E72D297353CC}">
              <c16:uniqueId val="{00000002-CAD5-4133-B01C-EB92EFF5F7B3}"/>
            </c:ext>
          </c:extLst>
        </c:ser>
        <c:ser>
          <c:idx val="3"/>
          <c:order val="2"/>
          <c:tx>
            <c:strRef>
              <c:f>LineærRegression!$BG$16</c:f>
              <c:strCache>
                <c:ptCount val="1"/>
                <c:pt idx="0">
                  <c:v> Givet at Eksempel 2 (interval) = 1 estimeres nedre grænse for forudsigelsesinterval = -9.149</c:v>
                </c:pt>
              </c:strCache>
            </c:strRef>
          </c:tx>
          <c:spPr>
            <a:ln w="25400" cap="rnd">
              <a:noFill/>
              <a:round/>
            </a:ln>
            <a:effectLst/>
          </c:spPr>
          <c:marker>
            <c:symbol val="x"/>
            <c:size val="15"/>
            <c:spPr>
              <a:noFill/>
              <a:ln w="28575">
                <a:solidFill>
                  <a:schemeClr val="accent1"/>
                </a:solidFill>
              </a:ln>
              <a:effectLst/>
            </c:spPr>
          </c:marker>
          <c:dLbls>
            <c:dLbl>
              <c:idx val="0"/>
              <c:tx>
                <c:rich>
                  <a:bodyPr/>
                  <a:lstStyle/>
                  <a:p>
                    <a:fld id="{5E3FD586-2149-46DE-9F82-303C08D72EA7}" type="CELLRANGE">
                      <a:rPr lang="en-US"/>
                      <a:pPr/>
                      <a:t>[CELLRANGE]</a:t>
                    </a:fld>
                    <a:endParaRPr lang="da-DK"/>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CAD5-4133-B01C-EB92EFF5F7B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LineærRegression!$D$38</c:f>
              <c:numCache>
                <c:formatCode>General</c:formatCode>
                <c:ptCount val="1"/>
                <c:pt idx="0">
                  <c:v>1</c:v>
                </c:pt>
              </c:numCache>
            </c:numRef>
          </c:xVal>
          <c:yVal>
            <c:numRef>
              <c:f>LineærRegression!$BG$26</c:f>
              <c:numCache>
                <c:formatCode>General</c:formatCode>
                <c:ptCount val="1"/>
                <c:pt idx="0">
                  <c:v>-9.1494541864284464</c:v>
                </c:pt>
              </c:numCache>
            </c:numRef>
          </c:yVal>
          <c:smooth val="0"/>
          <c:extLst>
            <c:ext xmlns:c15="http://schemas.microsoft.com/office/drawing/2012/chart" uri="{02D57815-91ED-43cb-92C2-25804820EDAC}">
              <c15:datalabelsRange>
                <c15:f>LineærRegression!$BG$46</c15:f>
                <c15:dlblRangeCache>
                  <c:ptCount val="1"/>
                  <c:pt idx="0">
                    <c:v>-9.149</c:v>
                  </c:pt>
                </c15:dlblRangeCache>
              </c15:datalabelsRange>
            </c:ext>
            <c:ext xmlns:c16="http://schemas.microsoft.com/office/drawing/2014/chart" uri="{C3380CC4-5D6E-409C-BE32-E72D297353CC}">
              <c16:uniqueId val="{00000004-CAD5-4133-B01C-EB92EFF5F7B3}"/>
            </c:ext>
          </c:extLst>
        </c:ser>
        <c:dLbls>
          <c:showLegendKey val="0"/>
          <c:showVal val="0"/>
          <c:showCatName val="0"/>
          <c:showSerName val="0"/>
          <c:showPercent val="0"/>
          <c:showBubbleSize val="0"/>
        </c:dLbls>
        <c:axId val="1385891392"/>
        <c:axId val="1328708544"/>
      </c:scatterChart>
      <c:scatterChart>
        <c:scatterStyle val="smoothMarker"/>
        <c:varyColors val="0"/>
        <c:ser>
          <c:idx val="6"/>
          <c:order val="3"/>
          <c:tx>
            <c:strRef>
              <c:f>LineærRegression!$BG$18</c:f>
              <c:strCache>
                <c:ptCount val="1"/>
                <c:pt idx="0">
                  <c:v> Grænser for 95% forudsigelsesinterval</c:v>
                </c:pt>
              </c:strCache>
            </c:strRef>
          </c:tx>
          <c:spPr>
            <a:ln w="19050" cap="rnd">
              <a:solidFill>
                <a:schemeClr val="accent1"/>
              </a:solidFill>
              <a:prstDash val="dash"/>
              <a:round/>
            </a:ln>
            <a:effectLst/>
          </c:spPr>
          <c:marker>
            <c:symbol val="none"/>
          </c:marker>
          <c:xVal>
            <c:numRef>
              <c:f>[0]!LfX</c:f>
              <c:numCache>
                <c:formatCode>General</c:formatCode>
                <c:ptCount val="100"/>
                <c:pt idx="0">
                  <c:v>-3.2725647568992748</c:v>
                </c:pt>
                <c:pt idx="1">
                  <c:v>-3.1414426473964658</c:v>
                </c:pt>
                <c:pt idx="2">
                  <c:v>-3.0103205378936564</c:v>
                </c:pt>
                <c:pt idx="3">
                  <c:v>-2.8791984283908474</c:v>
                </c:pt>
                <c:pt idx="4">
                  <c:v>-2.7480763188880384</c:v>
                </c:pt>
                <c:pt idx="5">
                  <c:v>-2.6169542093852289</c:v>
                </c:pt>
                <c:pt idx="6">
                  <c:v>-2.4858320998824199</c:v>
                </c:pt>
                <c:pt idx="7">
                  <c:v>-2.3547099903796109</c:v>
                </c:pt>
                <c:pt idx="8">
                  <c:v>-2.2235878808768019</c:v>
                </c:pt>
                <c:pt idx="9">
                  <c:v>-2.092465771373992</c:v>
                </c:pt>
                <c:pt idx="10">
                  <c:v>-1.961343661871183</c:v>
                </c:pt>
                <c:pt idx="11">
                  <c:v>-1.8302215523683742</c:v>
                </c:pt>
                <c:pt idx="12">
                  <c:v>-1.699099442865565</c:v>
                </c:pt>
                <c:pt idx="13">
                  <c:v>-1.5679773333627558</c:v>
                </c:pt>
                <c:pt idx="14">
                  <c:v>-1.4368552238599468</c:v>
                </c:pt>
                <c:pt idx="15">
                  <c:v>-1.3057331143571376</c:v>
                </c:pt>
                <c:pt idx="16">
                  <c:v>-1.1746110048543286</c:v>
                </c:pt>
                <c:pt idx="17">
                  <c:v>-1.0434888953515191</c:v>
                </c:pt>
                <c:pt idx="18">
                  <c:v>-0.91236678584870967</c:v>
                </c:pt>
                <c:pt idx="19">
                  <c:v>-0.78124467634590111</c:v>
                </c:pt>
                <c:pt idx="20">
                  <c:v>-0.65012256684309122</c:v>
                </c:pt>
                <c:pt idx="21">
                  <c:v>-0.51900045734028266</c:v>
                </c:pt>
                <c:pt idx="22">
                  <c:v>-0.38787834783747366</c:v>
                </c:pt>
                <c:pt idx="23">
                  <c:v>-0.25675623833466421</c:v>
                </c:pt>
                <c:pt idx="24">
                  <c:v>-0.12563412883185521</c:v>
                </c:pt>
                <c:pt idx="25">
                  <c:v>5.48798067095424E-3</c:v>
                </c:pt>
                <c:pt idx="26">
                  <c:v>0.13661009017376324</c:v>
                </c:pt>
                <c:pt idx="27">
                  <c:v>0.26773219967657269</c:v>
                </c:pt>
                <c:pt idx="28">
                  <c:v>0.39885430917938125</c:v>
                </c:pt>
                <c:pt idx="29">
                  <c:v>0.52997641868219025</c:v>
                </c:pt>
                <c:pt idx="30">
                  <c:v>0.6610985281849997</c:v>
                </c:pt>
                <c:pt idx="31">
                  <c:v>0.7922206376878087</c:v>
                </c:pt>
                <c:pt idx="32">
                  <c:v>0.92334274719061771</c:v>
                </c:pt>
                <c:pt idx="33">
                  <c:v>1.0544648566934276</c:v>
                </c:pt>
                <c:pt idx="34">
                  <c:v>1.1855869661962366</c:v>
                </c:pt>
                <c:pt idx="35">
                  <c:v>1.3167090756990456</c:v>
                </c:pt>
                <c:pt idx="36">
                  <c:v>1.4478311852018555</c:v>
                </c:pt>
                <c:pt idx="37">
                  <c:v>1.5789532947046636</c:v>
                </c:pt>
                <c:pt idx="38">
                  <c:v>1.7100754042074726</c:v>
                </c:pt>
                <c:pt idx="39">
                  <c:v>1.8411975137102825</c:v>
                </c:pt>
                <c:pt idx="40">
                  <c:v>1.9723196232130924</c:v>
                </c:pt>
                <c:pt idx="41">
                  <c:v>2.1034417327159005</c:v>
                </c:pt>
                <c:pt idx="42">
                  <c:v>2.2345638422187095</c:v>
                </c:pt>
                <c:pt idx="43">
                  <c:v>2.3656859517215194</c:v>
                </c:pt>
                <c:pt idx="44">
                  <c:v>2.4968080612243275</c:v>
                </c:pt>
                <c:pt idx="45">
                  <c:v>2.6279301707271374</c:v>
                </c:pt>
                <c:pt idx="46">
                  <c:v>2.7590522802299464</c:v>
                </c:pt>
                <c:pt idx="47">
                  <c:v>2.8901743897327563</c:v>
                </c:pt>
                <c:pt idx="48">
                  <c:v>3.0212964992355644</c:v>
                </c:pt>
                <c:pt idx="49">
                  <c:v>3.1524186087383734</c:v>
                </c:pt>
                <c:pt idx="50">
                  <c:v>3.2835407182411833</c:v>
                </c:pt>
                <c:pt idx="51">
                  <c:v>3.4146628277439914</c:v>
                </c:pt>
                <c:pt idx="52">
                  <c:v>3.5457849372468013</c:v>
                </c:pt>
                <c:pt idx="53">
                  <c:v>3.6769070467496103</c:v>
                </c:pt>
                <c:pt idx="54">
                  <c:v>3.8080291562524202</c:v>
                </c:pt>
                <c:pt idx="55">
                  <c:v>3.9391512657552283</c:v>
                </c:pt>
                <c:pt idx="56">
                  <c:v>4.0702733752580373</c:v>
                </c:pt>
                <c:pt idx="57">
                  <c:v>4.2013954847608472</c:v>
                </c:pt>
                <c:pt idx="58">
                  <c:v>4.3325175942636553</c:v>
                </c:pt>
                <c:pt idx="59">
                  <c:v>4.4636397037664652</c:v>
                </c:pt>
                <c:pt idx="60">
                  <c:v>4.5947618132692742</c:v>
                </c:pt>
                <c:pt idx="61">
                  <c:v>4.7258839227720841</c:v>
                </c:pt>
                <c:pt idx="62">
                  <c:v>4.8570060322748922</c:v>
                </c:pt>
                <c:pt idx="63">
                  <c:v>4.9881281417777021</c:v>
                </c:pt>
                <c:pt idx="64">
                  <c:v>5.1192502512805103</c:v>
                </c:pt>
                <c:pt idx="65">
                  <c:v>5.2503723607833201</c:v>
                </c:pt>
                <c:pt idx="66">
                  <c:v>5.38149447028613</c:v>
                </c:pt>
                <c:pt idx="67">
                  <c:v>5.5126165797889382</c:v>
                </c:pt>
                <c:pt idx="68">
                  <c:v>5.643738689291748</c:v>
                </c:pt>
                <c:pt idx="69">
                  <c:v>5.7748607987945562</c:v>
                </c:pt>
                <c:pt idx="70">
                  <c:v>5.9059829082973661</c:v>
                </c:pt>
                <c:pt idx="71">
                  <c:v>6.0371050178001759</c:v>
                </c:pt>
                <c:pt idx="72">
                  <c:v>6.1682271273029858</c:v>
                </c:pt>
                <c:pt idx="73">
                  <c:v>6.299349236805794</c:v>
                </c:pt>
                <c:pt idx="74">
                  <c:v>6.4304713463086021</c:v>
                </c:pt>
                <c:pt idx="75">
                  <c:v>6.561593455811412</c:v>
                </c:pt>
                <c:pt idx="76">
                  <c:v>6.6927155653142201</c:v>
                </c:pt>
                <c:pt idx="77">
                  <c:v>6.82383767481703</c:v>
                </c:pt>
                <c:pt idx="78">
                  <c:v>6.9549597843198399</c:v>
                </c:pt>
                <c:pt idx="79">
                  <c:v>7.086081893822648</c:v>
                </c:pt>
                <c:pt idx="80">
                  <c:v>7.2172040033254596</c:v>
                </c:pt>
                <c:pt idx="81">
                  <c:v>7.3483261128282678</c:v>
                </c:pt>
                <c:pt idx="82">
                  <c:v>7.4794482223310759</c:v>
                </c:pt>
                <c:pt idx="83">
                  <c:v>7.610570331833884</c:v>
                </c:pt>
                <c:pt idx="84">
                  <c:v>7.7416924413366939</c:v>
                </c:pt>
                <c:pt idx="85">
                  <c:v>7.8728145508395038</c:v>
                </c:pt>
                <c:pt idx="86">
                  <c:v>8.0039366603423137</c:v>
                </c:pt>
                <c:pt idx="87">
                  <c:v>8.1350587698451218</c:v>
                </c:pt>
                <c:pt idx="88">
                  <c:v>8.2661808793479299</c:v>
                </c:pt>
                <c:pt idx="89">
                  <c:v>8.3973029888507398</c:v>
                </c:pt>
                <c:pt idx="90">
                  <c:v>8.5284250983535497</c:v>
                </c:pt>
                <c:pt idx="91">
                  <c:v>8.6595472078563578</c:v>
                </c:pt>
                <c:pt idx="92">
                  <c:v>8.7906693173591677</c:v>
                </c:pt>
                <c:pt idx="93">
                  <c:v>8.9217914268619758</c:v>
                </c:pt>
                <c:pt idx="94">
                  <c:v>9.0529135363647875</c:v>
                </c:pt>
                <c:pt idx="95">
                  <c:v>9.1840356458675956</c:v>
                </c:pt>
                <c:pt idx="96">
                  <c:v>9.3151577553704037</c:v>
                </c:pt>
                <c:pt idx="97">
                  <c:v>9.4462798648732136</c:v>
                </c:pt>
                <c:pt idx="98">
                  <c:v>9.5774019743760217</c:v>
                </c:pt>
                <c:pt idx="99">
                  <c:v>9.7085240838788316</c:v>
                </c:pt>
              </c:numCache>
            </c:numRef>
          </c:xVal>
          <c:yVal>
            <c:numRef>
              <c:f>[0]!LfOevre</c:f>
              <c:numCache>
                <c:formatCode>General</c:formatCode>
                <c:ptCount val="100"/>
                <c:pt idx="0">
                  <c:v>9.0763047188477604</c:v>
                </c:pt>
                <c:pt idx="1">
                  <c:v>9.0974336647076335</c:v>
                </c:pt>
                <c:pt idx="2">
                  <c:v>9.119095923360117</c:v>
                </c:pt>
                <c:pt idx="3">
                  <c:v>9.1412971142109782</c:v>
                </c:pt>
                <c:pt idx="4">
                  <c:v>9.1640428512596852</c:v>
                </c:pt>
                <c:pt idx="5">
                  <c:v>9.1873387400621507</c:v>
                </c:pt>
                <c:pt idx="6">
                  <c:v>9.211190374606387</c:v>
                </c:pt>
                <c:pt idx="7">
                  <c:v>9.2356033341027057</c:v>
                </c:pt>
                <c:pt idx="8">
                  <c:v>9.2605831796902613</c:v>
                </c:pt>
                <c:pt idx="9">
                  <c:v>9.286135451062135</c:v>
                </c:pt>
                <c:pt idx="10">
                  <c:v>9.3122656630112886</c:v>
                </c:pt>
                <c:pt idx="11">
                  <c:v>9.3389793019001779</c:v>
                </c:pt>
                <c:pt idx="12">
                  <c:v>9.3662818220569886</c:v>
                </c:pt>
                <c:pt idx="13">
                  <c:v>9.3941786421017781</c:v>
                </c:pt>
                <c:pt idx="14">
                  <c:v>9.4226751412061684</c:v>
                </c:pt>
                <c:pt idx="15">
                  <c:v>9.451776655290498</c:v>
                </c:pt>
                <c:pt idx="16">
                  <c:v>9.481488473162635</c:v>
                </c:pt>
                <c:pt idx="17">
                  <c:v>9.5118158326030038</c:v>
                </c:pt>
                <c:pt idx="18">
                  <c:v>9.5427639164006752</c:v>
                </c:pt>
                <c:pt idx="19">
                  <c:v>9.5743378483456283</c:v>
                </c:pt>
                <c:pt idx="20">
                  <c:v>9.6065426891826835</c:v>
                </c:pt>
                <c:pt idx="21">
                  <c:v>9.6393834325327887</c:v>
                </c:pt>
                <c:pt idx="22">
                  <c:v>9.6728650007877501</c:v>
                </c:pt>
                <c:pt idx="23">
                  <c:v>9.7069922409846612</c:v>
                </c:pt>
                <c:pt idx="24">
                  <c:v>9.7417699206666324</c:v>
                </c:pt>
                <c:pt idx="25">
                  <c:v>9.7772027237366679</c:v>
                </c:pt>
                <c:pt idx="26">
                  <c:v>9.8132952463117125</c:v>
                </c:pt>
                <c:pt idx="27">
                  <c:v>9.8500519925842216</c:v>
                </c:pt>
                <c:pt idx="28">
                  <c:v>9.8874773706987256</c:v>
                </c:pt>
                <c:pt idx="29">
                  <c:v>9.9255756886510902</c:v>
                </c:pt>
                <c:pt idx="30">
                  <c:v>9.9643511502183593</c:v>
                </c:pt>
                <c:pt idx="31">
                  <c:v>10.003807850927142</c:v>
                </c:pt>
                <c:pt idx="32">
                  <c:v>10.043949774068713</c:v>
                </c:pt>
                <c:pt idx="33">
                  <c:v>10.08478078676905</c:v>
                </c:pt>
                <c:pt idx="34">
                  <c:v>10.126304636122065</c:v>
                </c:pt>
                <c:pt idx="35">
                  <c:v>10.168524945394413</c:v>
                </c:pt>
                <c:pt idx="36">
                  <c:v>10.211445210310197</c:v>
                </c:pt>
                <c:pt idx="37">
                  <c:v>10.255068795423895</c:v>
                </c:pt>
                <c:pt idx="38">
                  <c:v>10.299398930589822</c:v>
                </c:pt>
                <c:pt idx="39">
                  <c:v>10.344438707536275</c:v>
                </c:pt>
                <c:pt idx="40">
                  <c:v>10.390191076552485</c:v>
                </c:pt>
                <c:pt idx="41">
                  <c:v>10.436658843296298</c:v>
                </c:pt>
                <c:pt idx="42">
                  <c:v>10.483844665730373</c:v>
                </c:pt>
                <c:pt idx="43">
                  <c:v>10.531751051194391</c:v>
                </c:pt>
                <c:pt idx="44">
                  <c:v>10.580380353620637</c:v>
                </c:pt>
                <c:pt idx="45">
                  <c:v>10.629734770899974</c:v>
                </c:pt>
                <c:pt idx="46">
                  <c:v>10.679816342404907</c:v>
                </c:pt>
                <c:pt idx="47">
                  <c:v>10.730626946676173</c:v>
                </c:pt>
                <c:pt idx="48">
                  <c:v>10.782168299278826</c:v>
                </c:pt>
                <c:pt idx="49">
                  <c:v>10.834441950833515</c:v>
                </c:pt>
                <c:pt idx="50">
                  <c:v>10.88744928522811</c:v>
                </c:pt>
                <c:pt idx="51">
                  <c:v>10.941191518014461</c:v>
                </c:pt>
                <c:pt idx="52">
                  <c:v>10.995669694994625</c:v>
                </c:pt>
                <c:pt idx="53">
                  <c:v>11.050884691000324</c:v>
                </c:pt>
                <c:pt idx="54">
                  <c:v>11.106837208868976</c:v>
                </c:pt>
                <c:pt idx="55">
                  <c:v>11.163527778619086</c:v>
                </c:pt>
                <c:pt idx="56">
                  <c:v>11.220956756827228</c:v>
                </c:pt>
                <c:pt idx="57">
                  <c:v>11.279124326208352</c:v>
                </c:pt>
                <c:pt idx="58">
                  <c:v>11.33803049540056</c:v>
                </c:pt>
                <c:pt idx="59">
                  <c:v>11.397675098954911</c:v>
                </c:pt>
                <c:pt idx="60">
                  <c:v>11.458057797530337</c:v>
                </c:pt>
                <c:pt idx="61">
                  <c:v>11.519178078293093</c:v>
                </c:pt>
                <c:pt idx="62">
                  <c:v>11.581035255519655</c:v>
                </c:pt>
                <c:pt idx="63">
                  <c:v>11.643628471401435</c:v>
                </c:pt>
                <c:pt idx="64">
                  <c:v>11.706956697049065</c:v>
                </c:pt>
                <c:pt idx="65">
                  <c:v>11.771018733693587</c:v>
                </c:pt>
                <c:pt idx="66">
                  <c:v>11.835813214081222</c:v>
                </c:pt>
                <c:pt idx="67">
                  <c:v>11.901338604057976</c:v>
                </c:pt>
                <c:pt idx="68">
                  <c:v>11.967593204339867</c:v>
                </c:pt>
                <c:pt idx="69">
                  <c:v>12.034575152463969</c:v>
                </c:pt>
                <c:pt idx="70">
                  <c:v>12.102282424915206</c:v>
                </c:pt>
                <c:pt idx="71">
                  <c:v>12.17071283942318</c:v>
                </c:pt>
                <c:pt idx="72">
                  <c:v>12.239864057423178</c:v>
                </c:pt>
                <c:pt idx="73">
                  <c:v>12.309733586674902</c:v>
                </c:pt>
                <c:pt idx="74">
                  <c:v>12.380318784032298</c:v>
                </c:pt>
                <c:pt idx="75">
                  <c:v>12.451616858357383</c:v>
                </c:pt>
                <c:pt idx="76">
                  <c:v>12.523624873570963</c:v>
                </c:pt>
                <c:pt idx="77">
                  <c:v>12.596339751832478</c:v>
                </c:pt>
                <c:pt idx="78">
                  <c:v>12.669758276841467</c:v>
                </c:pt>
                <c:pt idx="79">
                  <c:v>12.743877097252565</c:v>
                </c:pt>
                <c:pt idx="80">
                  <c:v>12.81869273019603</c:v>
                </c:pt>
                <c:pt idx="81">
                  <c:v>12.894201564895596</c:v>
                </c:pt>
                <c:pt idx="82">
                  <c:v>12.970399866375399</c:v>
                </c:pt>
                <c:pt idx="83">
                  <c:v>13.047283779247611</c:v>
                </c:pt>
                <c:pt idx="84">
                  <c:v>13.12484933157247</c:v>
                </c:pt>
                <c:pt idx="85">
                  <c:v>13.203092438782356</c:v>
                </c:pt>
                <c:pt idx="86">
                  <c:v>13.282008907661595</c:v>
                </c:pt>
                <c:pt idx="87">
                  <c:v>13.361594440373821</c:v>
                </c:pt>
                <c:pt idx="88">
                  <c:v>13.441844638528645</c:v>
                </c:pt>
                <c:pt idx="89">
                  <c:v>13.522755007279734</c:v>
                </c:pt>
                <c:pt idx="90">
                  <c:v>13.604320959446337</c:v>
                </c:pt>
                <c:pt idx="91">
                  <c:v>13.686537819650562</c:v>
                </c:pt>
                <c:pt idx="92">
                  <c:v>13.76940082846291</c:v>
                </c:pt>
                <c:pt idx="93">
                  <c:v>13.852905146548702</c:v>
                </c:pt>
                <c:pt idx="94">
                  <c:v>13.937045858808354</c:v>
                </c:pt>
                <c:pt idx="95">
                  <c:v>14.021817978504576</c:v>
                </c:pt>
                <c:pt idx="96">
                  <c:v>14.10721645136997</c:v>
                </c:pt>
                <c:pt idx="97">
                  <c:v>14.193236159688645</c:v>
                </c:pt>
                <c:pt idx="98">
                  <c:v>14.279871926345772</c:v>
                </c:pt>
                <c:pt idx="99">
                  <c:v>14.367118518839385</c:v>
                </c:pt>
              </c:numCache>
            </c:numRef>
          </c:yVal>
          <c:smooth val="1"/>
          <c:extLst>
            <c:ext xmlns:c16="http://schemas.microsoft.com/office/drawing/2014/chart" uri="{C3380CC4-5D6E-409C-BE32-E72D297353CC}">
              <c16:uniqueId val="{00000005-CAD5-4133-B01C-EB92EFF5F7B3}"/>
            </c:ext>
          </c:extLst>
        </c:ser>
        <c:ser>
          <c:idx val="7"/>
          <c:order val="4"/>
          <c:tx>
            <c:strRef>
              <c:f>LineærRegression!$BG$18</c:f>
              <c:strCache>
                <c:ptCount val="1"/>
                <c:pt idx="0">
                  <c:v> Grænser for 95% forudsigelsesinterval</c:v>
                </c:pt>
              </c:strCache>
            </c:strRef>
          </c:tx>
          <c:spPr>
            <a:ln w="19050" cap="rnd">
              <a:solidFill>
                <a:schemeClr val="accent1"/>
              </a:solidFill>
              <a:prstDash val="dash"/>
              <a:round/>
            </a:ln>
            <a:effectLst/>
          </c:spPr>
          <c:marker>
            <c:symbol val="none"/>
          </c:marker>
          <c:xVal>
            <c:numRef>
              <c:f>[0]!LfX</c:f>
              <c:numCache>
                <c:formatCode>General</c:formatCode>
                <c:ptCount val="100"/>
                <c:pt idx="0">
                  <c:v>-3.2725647568992748</c:v>
                </c:pt>
                <c:pt idx="1">
                  <c:v>-3.1414426473964658</c:v>
                </c:pt>
                <c:pt idx="2">
                  <c:v>-3.0103205378936564</c:v>
                </c:pt>
                <c:pt idx="3">
                  <c:v>-2.8791984283908474</c:v>
                </c:pt>
                <c:pt idx="4">
                  <c:v>-2.7480763188880384</c:v>
                </c:pt>
                <c:pt idx="5">
                  <c:v>-2.6169542093852289</c:v>
                </c:pt>
                <c:pt idx="6">
                  <c:v>-2.4858320998824199</c:v>
                </c:pt>
                <c:pt idx="7">
                  <c:v>-2.3547099903796109</c:v>
                </c:pt>
                <c:pt idx="8">
                  <c:v>-2.2235878808768019</c:v>
                </c:pt>
                <c:pt idx="9">
                  <c:v>-2.092465771373992</c:v>
                </c:pt>
                <c:pt idx="10">
                  <c:v>-1.961343661871183</c:v>
                </c:pt>
                <c:pt idx="11">
                  <c:v>-1.8302215523683742</c:v>
                </c:pt>
                <c:pt idx="12">
                  <c:v>-1.699099442865565</c:v>
                </c:pt>
                <c:pt idx="13">
                  <c:v>-1.5679773333627558</c:v>
                </c:pt>
                <c:pt idx="14">
                  <c:v>-1.4368552238599468</c:v>
                </c:pt>
                <c:pt idx="15">
                  <c:v>-1.3057331143571376</c:v>
                </c:pt>
                <c:pt idx="16">
                  <c:v>-1.1746110048543286</c:v>
                </c:pt>
                <c:pt idx="17">
                  <c:v>-1.0434888953515191</c:v>
                </c:pt>
                <c:pt idx="18">
                  <c:v>-0.91236678584870967</c:v>
                </c:pt>
                <c:pt idx="19">
                  <c:v>-0.78124467634590111</c:v>
                </c:pt>
                <c:pt idx="20">
                  <c:v>-0.65012256684309122</c:v>
                </c:pt>
                <c:pt idx="21">
                  <c:v>-0.51900045734028266</c:v>
                </c:pt>
                <c:pt idx="22">
                  <c:v>-0.38787834783747366</c:v>
                </c:pt>
                <c:pt idx="23">
                  <c:v>-0.25675623833466421</c:v>
                </c:pt>
                <c:pt idx="24">
                  <c:v>-0.12563412883185521</c:v>
                </c:pt>
                <c:pt idx="25">
                  <c:v>5.48798067095424E-3</c:v>
                </c:pt>
                <c:pt idx="26">
                  <c:v>0.13661009017376324</c:v>
                </c:pt>
                <c:pt idx="27">
                  <c:v>0.26773219967657269</c:v>
                </c:pt>
                <c:pt idx="28">
                  <c:v>0.39885430917938125</c:v>
                </c:pt>
                <c:pt idx="29">
                  <c:v>0.52997641868219025</c:v>
                </c:pt>
                <c:pt idx="30">
                  <c:v>0.6610985281849997</c:v>
                </c:pt>
                <c:pt idx="31">
                  <c:v>0.7922206376878087</c:v>
                </c:pt>
                <c:pt idx="32">
                  <c:v>0.92334274719061771</c:v>
                </c:pt>
                <c:pt idx="33">
                  <c:v>1.0544648566934276</c:v>
                </c:pt>
                <c:pt idx="34">
                  <c:v>1.1855869661962366</c:v>
                </c:pt>
                <c:pt idx="35">
                  <c:v>1.3167090756990456</c:v>
                </c:pt>
                <c:pt idx="36">
                  <c:v>1.4478311852018555</c:v>
                </c:pt>
                <c:pt idx="37">
                  <c:v>1.5789532947046636</c:v>
                </c:pt>
                <c:pt idx="38">
                  <c:v>1.7100754042074726</c:v>
                </c:pt>
                <c:pt idx="39">
                  <c:v>1.8411975137102825</c:v>
                </c:pt>
                <c:pt idx="40">
                  <c:v>1.9723196232130924</c:v>
                </c:pt>
                <c:pt idx="41">
                  <c:v>2.1034417327159005</c:v>
                </c:pt>
                <c:pt idx="42">
                  <c:v>2.2345638422187095</c:v>
                </c:pt>
                <c:pt idx="43">
                  <c:v>2.3656859517215194</c:v>
                </c:pt>
                <c:pt idx="44">
                  <c:v>2.4968080612243275</c:v>
                </c:pt>
                <c:pt idx="45">
                  <c:v>2.6279301707271374</c:v>
                </c:pt>
                <c:pt idx="46">
                  <c:v>2.7590522802299464</c:v>
                </c:pt>
                <c:pt idx="47">
                  <c:v>2.8901743897327563</c:v>
                </c:pt>
                <c:pt idx="48">
                  <c:v>3.0212964992355644</c:v>
                </c:pt>
                <c:pt idx="49">
                  <c:v>3.1524186087383734</c:v>
                </c:pt>
                <c:pt idx="50">
                  <c:v>3.2835407182411833</c:v>
                </c:pt>
                <c:pt idx="51">
                  <c:v>3.4146628277439914</c:v>
                </c:pt>
                <c:pt idx="52">
                  <c:v>3.5457849372468013</c:v>
                </c:pt>
                <c:pt idx="53">
                  <c:v>3.6769070467496103</c:v>
                </c:pt>
                <c:pt idx="54">
                  <c:v>3.8080291562524202</c:v>
                </c:pt>
                <c:pt idx="55">
                  <c:v>3.9391512657552283</c:v>
                </c:pt>
                <c:pt idx="56">
                  <c:v>4.0702733752580373</c:v>
                </c:pt>
                <c:pt idx="57">
                  <c:v>4.2013954847608472</c:v>
                </c:pt>
                <c:pt idx="58">
                  <c:v>4.3325175942636553</c:v>
                </c:pt>
                <c:pt idx="59">
                  <c:v>4.4636397037664652</c:v>
                </c:pt>
                <c:pt idx="60">
                  <c:v>4.5947618132692742</c:v>
                </c:pt>
                <c:pt idx="61">
                  <c:v>4.7258839227720841</c:v>
                </c:pt>
                <c:pt idx="62">
                  <c:v>4.8570060322748922</c:v>
                </c:pt>
                <c:pt idx="63">
                  <c:v>4.9881281417777021</c:v>
                </c:pt>
                <c:pt idx="64">
                  <c:v>5.1192502512805103</c:v>
                </c:pt>
                <c:pt idx="65">
                  <c:v>5.2503723607833201</c:v>
                </c:pt>
                <c:pt idx="66">
                  <c:v>5.38149447028613</c:v>
                </c:pt>
                <c:pt idx="67">
                  <c:v>5.5126165797889382</c:v>
                </c:pt>
                <c:pt idx="68">
                  <c:v>5.643738689291748</c:v>
                </c:pt>
                <c:pt idx="69">
                  <c:v>5.7748607987945562</c:v>
                </c:pt>
                <c:pt idx="70">
                  <c:v>5.9059829082973661</c:v>
                </c:pt>
                <c:pt idx="71">
                  <c:v>6.0371050178001759</c:v>
                </c:pt>
                <c:pt idx="72">
                  <c:v>6.1682271273029858</c:v>
                </c:pt>
                <c:pt idx="73">
                  <c:v>6.299349236805794</c:v>
                </c:pt>
                <c:pt idx="74">
                  <c:v>6.4304713463086021</c:v>
                </c:pt>
                <c:pt idx="75">
                  <c:v>6.561593455811412</c:v>
                </c:pt>
                <c:pt idx="76">
                  <c:v>6.6927155653142201</c:v>
                </c:pt>
                <c:pt idx="77">
                  <c:v>6.82383767481703</c:v>
                </c:pt>
                <c:pt idx="78">
                  <c:v>6.9549597843198399</c:v>
                </c:pt>
                <c:pt idx="79">
                  <c:v>7.086081893822648</c:v>
                </c:pt>
                <c:pt idx="80">
                  <c:v>7.2172040033254596</c:v>
                </c:pt>
                <c:pt idx="81">
                  <c:v>7.3483261128282678</c:v>
                </c:pt>
                <c:pt idx="82">
                  <c:v>7.4794482223310759</c:v>
                </c:pt>
                <c:pt idx="83">
                  <c:v>7.610570331833884</c:v>
                </c:pt>
                <c:pt idx="84">
                  <c:v>7.7416924413366939</c:v>
                </c:pt>
                <c:pt idx="85">
                  <c:v>7.8728145508395038</c:v>
                </c:pt>
                <c:pt idx="86">
                  <c:v>8.0039366603423137</c:v>
                </c:pt>
                <c:pt idx="87">
                  <c:v>8.1350587698451218</c:v>
                </c:pt>
                <c:pt idx="88">
                  <c:v>8.2661808793479299</c:v>
                </c:pt>
                <c:pt idx="89">
                  <c:v>8.3973029888507398</c:v>
                </c:pt>
                <c:pt idx="90">
                  <c:v>8.5284250983535497</c:v>
                </c:pt>
                <c:pt idx="91">
                  <c:v>8.6595472078563578</c:v>
                </c:pt>
                <c:pt idx="92">
                  <c:v>8.7906693173591677</c:v>
                </c:pt>
                <c:pt idx="93">
                  <c:v>8.9217914268619758</c:v>
                </c:pt>
                <c:pt idx="94">
                  <c:v>9.0529135363647875</c:v>
                </c:pt>
                <c:pt idx="95">
                  <c:v>9.1840356458675956</c:v>
                </c:pt>
                <c:pt idx="96">
                  <c:v>9.3151577553704037</c:v>
                </c:pt>
                <c:pt idx="97">
                  <c:v>9.4462798648732136</c:v>
                </c:pt>
                <c:pt idx="98">
                  <c:v>9.5774019743760217</c:v>
                </c:pt>
                <c:pt idx="99">
                  <c:v>9.7085240838788316</c:v>
                </c:pt>
              </c:numCache>
            </c:numRef>
          </c:xVal>
          <c:yVal>
            <c:numRef>
              <c:f>[0]!LfNedre</c:f>
              <c:numCache>
                <c:formatCode>General</c:formatCode>
                <c:ptCount val="100"/>
                <c:pt idx="0">
                  <c:v>-11.951147136555756</c:v>
                </c:pt>
                <c:pt idx="1">
                  <c:v>-11.855867655732517</c:v>
                </c:pt>
                <c:pt idx="2">
                  <c:v>-11.761121487701889</c:v>
                </c:pt>
                <c:pt idx="3">
                  <c:v>-11.666914251869638</c:v>
                </c:pt>
                <c:pt idx="4">
                  <c:v>-11.573251562235233</c:v>
                </c:pt>
                <c:pt idx="5">
                  <c:v>-11.480139024354587</c:v>
                </c:pt>
                <c:pt idx="6">
                  <c:v>-11.387582232215712</c:v>
                </c:pt>
                <c:pt idx="7">
                  <c:v>-11.295586765028919</c:v>
                </c:pt>
                <c:pt idx="8">
                  <c:v>-11.204158183933362</c:v>
                </c:pt>
                <c:pt idx="9">
                  <c:v>-11.113302028622124</c:v>
                </c:pt>
                <c:pt idx="10">
                  <c:v>-11.023023813888166</c:v>
                </c:pt>
                <c:pt idx="11">
                  <c:v>-10.933329026093944</c:v>
                </c:pt>
                <c:pt idx="12">
                  <c:v>-10.844223119567642</c:v>
                </c:pt>
                <c:pt idx="13">
                  <c:v>-10.75571151292932</c:v>
                </c:pt>
                <c:pt idx="14">
                  <c:v>-10.667799585350599</c:v>
                </c:pt>
                <c:pt idx="15">
                  <c:v>-10.580492672751816</c:v>
                </c:pt>
                <c:pt idx="16">
                  <c:v>-10.493796063940842</c:v>
                </c:pt>
                <c:pt idx="17">
                  <c:v>-10.407714996698099</c:v>
                </c:pt>
                <c:pt idx="18">
                  <c:v>-10.322254653812658</c:v>
                </c:pt>
                <c:pt idx="19">
                  <c:v>-10.2374201590745</c:v>
                </c:pt>
                <c:pt idx="20">
                  <c:v>-10.153216573228443</c:v>
                </c:pt>
                <c:pt idx="21">
                  <c:v>-10.069648889895436</c:v>
                </c:pt>
                <c:pt idx="22">
                  <c:v>-9.986722031467286</c:v>
                </c:pt>
                <c:pt idx="23">
                  <c:v>-9.9044408449810852</c:v>
                </c:pt>
                <c:pt idx="24">
                  <c:v>-9.8228100979799446</c:v>
                </c:pt>
                <c:pt idx="25">
                  <c:v>-9.7418344743668683</c:v>
                </c:pt>
                <c:pt idx="26">
                  <c:v>-9.6615185702588011</c:v>
                </c:pt>
                <c:pt idx="27">
                  <c:v>-9.5818668898481985</c:v>
                </c:pt>
                <c:pt idx="28">
                  <c:v>-9.5028838412795906</c:v>
                </c:pt>
                <c:pt idx="29">
                  <c:v>-9.4245737325488435</c:v>
                </c:pt>
                <c:pt idx="30">
                  <c:v>-9.3469407674330007</c:v>
                </c:pt>
                <c:pt idx="31">
                  <c:v>-9.2699890414586719</c:v>
                </c:pt>
                <c:pt idx="32">
                  <c:v>-9.1937225379171341</c:v>
                </c:pt>
                <c:pt idx="33">
                  <c:v>-9.1181451239343563</c:v>
                </c:pt>
                <c:pt idx="34">
                  <c:v>-9.0432605466042588</c:v>
                </c:pt>
                <c:pt idx="35">
                  <c:v>-8.9690724291934991</c:v>
                </c:pt>
                <c:pt idx="36">
                  <c:v>-8.8955842674261678</c:v>
                </c:pt>
                <c:pt idx="37">
                  <c:v>-8.8227994258567577</c:v>
                </c:pt>
                <c:pt idx="38">
                  <c:v>-8.7507211343395728</c:v>
                </c:pt>
                <c:pt idx="39">
                  <c:v>-8.679352484602914</c:v>
                </c:pt>
                <c:pt idx="40">
                  <c:v>-8.6086964269360085</c:v>
                </c:pt>
                <c:pt idx="41">
                  <c:v>-8.5387557669967133</c:v>
                </c:pt>
                <c:pt idx="42">
                  <c:v>-8.4695331627476769</c:v>
                </c:pt>
                <c:pt idx="43">
                  <c:v>-8.4010311215285824</c:v>
                </c:pt>
                <c:pt idx="44">
                  <c:v>-8.3332519972717165</c:v>
                </c:pt>
                <c:pt idx="45">
                  <c:v>-8.2661979878679421</c:v>
                </c:pt>
                <c:pt idx="46">
                  <c:v>-8.1998711326897631</c:v>
                </c:pt>
                <c:pt idx="47">
                  <c:v>-8.1342733102779174</c:v>
                </c:pt>
                <c:pt idx="48">
                  <c:v>-8.0694062361974588</c:v>
                </c:pt>
                <c:pt idx="49">
                  <c:v>-8.0052714610690359</c:v>
                </c:pt>
                <c:pt idx="50">
                  <c:v>-7.9418703687805188</c:v>
                </c:pt>
                <c:pt idx="51">
                  <c:v>-7.8792041748837587</c:v>
                </c:pt>
                <c:pt idx="52">
                  <c:v>-7.8172739251808103</c:v>
                </c:pt>
                <c:pt idx="53">
                  <c:v>-7.7560804945033972</c:v>
                </c:pt>
                <c:pt idx="54">
                  <c:v>-7.6956245856889378</c:v>
                </c:pt>
                <c:pt idx="55">
                  <c:v>-7.6359067287559359</c:v>
                </c:pt>
                <c:pt idx="56">
                  <c:v>-7.576927280280966</c:v>
                </c:pt>
                <c:pt idx="57">
                  <c:v>-7.5186864229789787</c:v>
                </c:pt>
                <c:pt idx="58">
                  <c:v>-7.4611841654880742</c:v>
                </c:pt>
                <c:pt idx="59">
                  <c:v>-7.4044203423593142</c:v>
                </c:pt>
                <c:pt idx="60">
                  <c:v>-7.3483946142516281</c:v>
                </c:pt>
                <c:pt idx="61">
                  <c:v>-7.2931064683312723</c:v>
                </c:pt>
                <c:pt idx="62">
                  <c:v>-7.2385552188747253</c:v>
                </c:pt>
                <c:pt idx="63">
                  <c:v>-7.1847400080733905</c:v>
                </c:pt>
                <c:pt idx="64">
                  <c:v>-7.1316598070379102</c:v>
                </c:pt>
                <c:pt idx="65">
                  <c:v>-7.0793134169993222</c:v>
                </c:pt>
                <c:pt idx="66">
                  <c:v>-7.0276994707038423</c:v>
                </c:pt>
                <c:pt idx="67">
                  <c:v>-6.9768164339974854</c:v>
                </c:pt>
                <c:pt idx="68">
                  <c:v>-6.9266626075962634</c:v>
                </c:pt>
                <c:pt idx="69">
                  <c:v>-6.8772361290372563</c:v>
                </c:pt>
                <c:pt idx="70">
                  <c:v>-6.8285349748053816</c:v>
                </c:pt>
                <c:pt idx="71">
                  <c:v>-6.7805569626302411</c:v>
                </c:pt>
                <c:pt idx="72">
                  <c:v>-6.7332997539471275</c:v>
                </c:pt>
                <c:pt idx="73">
                  <c:v>-6.6867608565157424</c:v>
                </c:pt>
                <c:pt idx="74">
                  <c:v>-6.6409376271900245</c:v>
                </c:pt>
                <c:pt idx="75">
                  <c:v>-6.5958272748319997</c:v>
                </c:pt>
                <c:pt idx="76">
                  <c:v>-6.5514268633624662</c:v>
                </c:pt>
                <c:pt idx="77">
                  <c:v>-6.5077333149408707</c:v>
                </c:pt>
                <c:pt idx="78">
                  <c:v>-6.4647434132667465</c:v>
                </c:pt>
                <c:pt idx="79">
                  <c:v>-6.4224538069947341</c:v>
                </c:pt>
                <c:pt idx="80">
                  <c:v>-6.3808610132550854</c:v>
                </c:pt>
                <c:pt idx="81">
                  <c:v>-6.3399614212715418</c:v>
                </c:pt>
                <c:pt idx="82">
                  <c:v>-6.2997512960682327</c:v>
                </c:pt>
                <c:pt idx="83">
                  <c:v>-6.2602267822573339</c:v>
                </c:pt>
                <c:pt idx="84">
                  <c:v>-6.2213839078990816</c:v>
                </c:pt>
                <c:pt idx="85">
                  <c:v>-6.183218588425853</c:v>
                </c:pt>
                <c:pt idx="86">
                  <c:v>-6.145726630621982</c:v>
                </c:pt>
                <c:pt idx="87">
                  <c:v>-6.1089037366510945</c:v>
                </c:pt>
                <c:pt idx="88">
                  <c:v>-6.072745508122809</c:v>
                </c:pt>
                <c:pt idx="89">
                  <c:v>-6.0372474501907867</c:v>
                </c:pt>
                <c:pt idx="90">
                  <c:v>-6.0024049756742768</c:v>
                </c:pt>
                <c:pt idx="91">
                  <c:v>-5.9682134091953909</c:v>
                </c:pt>
                <c:pt idx="92">
                  <c:v>-5.934667991324627</c:v>
                </c:pt>
                <c:pt idx="93">
                  <c:v>-5.9017638827273071</c:v>
                </c:pt>
                <c:pt idx="94">
                  <c:v>-5.8694961683038462</c:v>
                </c:pt>
                <c:pt idx="95">
                  <c:v>-5.8378598613169546</c:v>
                </c:pt>
                <c:pt idx="96">
                  <c:v>-5.8068499074992399</c:v>
                </c:pt>
                <c:pt idx="97">
                  <c:v>-5.7764611891348032</c:v>
                </c:pt>
                <c:pt idx="98">
                  <c:v>-5.7466885291088179</c:v>
                </c:pt>
                <c:pt idx="99">
                  <c:v>-5.7175266949193198</c:v>
                </c:pt>
              </c:numCache>
            </c:numRef>
          </c:yVal>
          <c:smooth val="1"/>
          <c:extLst>
            <c:ext xmlns:c16="http://schemas.microsoft.com/office/drawing/2014/chart" uri="{C3380CC4-5D6E-409C-BE32-E72D297353CC}">
              <c16:uniqueId val="{00000006-CAD5-4133-B01C-EB92EFF5F7B3}"/>
            </c:ext>
          </c:extLst>
        </c:ser>
        <c:ser>
          <c:idx val="0"/>
          <c:order val="5"/>
          <c:tx>
            <c:strRef>
              <c:f>LineærRegression!$BG$20</c:f>
              <c:strCache>
                <c:ptCount val="1"/>
                <c:pt idx="0">
                  <c:v>Givet at Eksempel 2 (interval) = 1 estimeres gennemsnit = 0.459</c:v>
                </c:pt>
              </c:strCache>
            </c:strRef>
          </c:tx>
          <c:spPr>
            <a:ln w="19050" cap="rnd">
              <a:noFill/>
              <a:round/>
            </a:ln>
            <a:effectLst/>
          </c:spPr>
          <c:marker>
            <c:symbol val="dash"/>
            <c:size val="15"/>
            <c:spPr>
              <a:solidFill>
                <a:schemeClr val="tx1"/>
              </a:solidFill>
              <a:ln w="28575">
                <a:solidFill>
                  <a:schemeClr val="tx1"/>
                </a:solidFill>
              </a:ln>
              <a:effectLst/>
            </c:spPr>
          </c:marker>
          <c:dLbls>
            <c:dLbl>
              <c:idx val="0"/>
              <c:tx>
                <c:rich>
                  <a:bodyPr/>
                  <a:lstStyle/>
                  <a:p>
                    <a:fld id="{FC0D517F-2AF7-4657-AC11-1370AE4EFBC9}" type="CELLRANGE">
                      <a:rPr lang="en-US"/>
                      <a:pPr/>
                      <a:t>[CELLRANGE]</a:t>
                    </a:fld>
                    <a:endParaRPr lang="da-DK"/>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CAD5-4133-B01C-EB92EFF5F7B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LineærRegression!$D$38</c:f>
              <c:numCache>
                <c:formatCode>General</c:formatCode>
                <c:ptCount val="1"/>
                <c:pt idx="0">
                  <c:v>1</c:v>
                </c:pt>
              </c:numCache>
            </c:numRef>
          </c:xVal>
          <c:yVal>
            <c:numRef>
              <c:f>LineærRegression!$BG$22</c:f>
              <c:numCache>
                <c:formatCode>General</c:formatCode>
                <c:ptCount val="1"/>
                <c:pt idx="0">
                  <c:v>0.45914125165805242</c:v>
                </c:pt>
              </c:numCache>
            </c:numRef>
          </c:yVal>
          <c:smooth val="1"/>
          <c:extLst>
            <c:ext xmlns:c15="http://schemas.microsoft.com/office/drawing/2012/chart" uri="{02D57815-91ED-43cb-92C2-25804820EDAC}">
              <c15:datalabelsRange>
                <c15:f>LineærRegression!$BG$42</c15:f>
                <c15:dlblRangeCache>
                  <c:ptCount val="1"/>
                  <c:pt idx="0">
                    <c:v>0.459</c:v>
                  </c:pt>
                </c15:dlblRangeCache>
              </c15:datalabelsRange>
            </c:ext>
            <c:ext xmlns:c16="http://schemas.microsoft.com/office/drawing/2014/chart" uri="{C3380CC4-5D6E-409C-BE32-E72D297353CC}">
              <c16:uniqueId val="{00000008-CAD5-4133-B01C-EB92EFF5F7B3}"/>
            </c:ext>
          </c:extLst>
        </c:ser>
        <c:ser>
          <c:idx val="4"/>
          <c:order val="6"/>
          <c:tx>
            <c:strRef>
              <c:f>LineærRegression!$BG$10</c:f>
              <c:strCache>
                <c:ptCount val="1"/>
                <c:pt idx="0">
                  <c:v>Forudsigelsesinterval for simpel lineær regression
Observationer er med 95% sandsynlighed mellem
øvre og nedre grænse i forudsigelsesintervallet</c:v>
                </c:pt>
              </c:strCache>
            </c:strRef>
          </c:tx>
          <c:spPr>
            <a:ln w="19050" cap="rnd">
              <a:noFill/>
              <a:round/>
            </a:ln>
            <a:effectLst/>
          </c:spPr>
          <c:marker>
            <c:symbol val="none"/>
          </c:marker>
          <c:xVal>
            <c:numRef>
              <c:f>(LineærRegression!$BG$48,LineærRegression!$BG$48)</c:f>
              <c:numCache>
                <c:formatCode>General</c:formatCode>
                <c:ptCount val="2"/>
                <c:pt idx="0">
                  <c:v>3.2179796634897779</c:v>
                </c:pt>
                <c:pt idx="1">
                  <c:v>3.2179796634897779</c:v>
                </c:pt>
              </c:numCache>
            </c:numRef>
          </c:xVal>
          <c:yVal>
            <c:numRef>
              <c:f>(LineærRegression!$AQ$28,LineærRegression!$AQ$30)</c:f>
              <c:numCache>
                <c:formatCode>General</c:formatCode>
                <c:ptCount val="2"/>
                <c:pt idx="0">
                  <c:v>-11.951147136555756</c:v>
                </c:pt>
                <c:pt idx="1">
                  <c:v>14.367118518839385</c:v>
                </c:pt>
              </c:numCache>
            </c:numRef>
          </c:yVal>
          <c:smooth val="1"/>
          <c:extLst>
            <c:ext xmlns:c16="http://schemas.microsoft.com/office/drawing/2014/chart" uri="{C3380CC4-5D6E-409C-BE32-E72D297353CC}">
              <c16:uniqueId val="{00000009-CAD5-4133-B01C-EB92EFF5F7B3}"/>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LineærRegression!$AR$18</c:f>
              <c:strCache>
                <c:ptCount val="1"/>
                <c:pt idx="0">
                  <c:v>Eksempel 2 (interval)</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LineærRegression!$AQ$10</c:f>
              <c:strCache>
                <c:ptCount val="1"/>
                <c:pt idx="0">
                  <c:v>Eksempel 1 (interval)</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LineærRegression!$CP$10</c:f>
          <c:strCache>
            <c:ptCount val="1"/>
            <c:pt idx="0">
              <c:v>0 par af uafhængige variable er stærkt korrelede
Den stærkeste korrelation er mellem Eksempel 2 (interval) og Eksempel 3 (nominal)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2423922239415965"/>
          <c:y val="0.12630804743032872"/>
          <c:w val="0.84870719770771985"/>
          <c:h val="0.85826614631304154"/>
        </c:manualLayout>
      </c:layout>
      <c:scatterChart>
        <c:scatterStyle val="lineMarker"/>
        <c:varyColors val="0"/>
        <c:ser>
          <c:idx val="0"/>
          <c:order val="0"/>
          <c:tx>
            <c:strRef>
              <c:f>LineærRegression!$CP$12</c:f>
              <c:strCache>
                <c:ptCount val="1"/>
                <c:pt idx="0">
                  <c:v>Parallelle koordinater</c:v>
                </c:pt>
              </c:strCache>
            </c:strRef>
          </c:tx>
          <c:spPr>
            <a:ln w="12700" cap="rnd">
              <a:solidFill>
                <a:schemeClr val="tx1"/>
              </a:solidFill>
              <a:round/>
            </a:ln>
            <a:effectLst/>
          </c:spPr>
          <c:marker>
            <c:symbol val="circle"/>
            <c:size val="5"/>
            <c:spPr>
              <a:noFill/>
              <a:ln w="9525">
                <a:solidFill>
                  <a:schemeClr val="accent1"/>
                </a:solidFill>
              </a:ln>
              <a:effectLst/>
            </c:spPr>
          </c:marker>
          <c:xVal>
            <c:numRef>
              <c:f>[0]!LpX</c:f>
              <c:numCache>
                <c:formatCode>General</c:formatCode>
                <c:ptCount val="36"/>
                <c:pt idx="0">
                  <c:v>1</c:v>
                </c:pt>
                <c:pt idx="1">
                  <c:v>2</c:v>
                </c:pt>
                <c:pt idx="2">
                  <c:v>#N/A</c:v>
                </c:pt>
                <c:pt idx="3">
                  <c:v>1</c:v>
                </c:pt>
                <c:pt idx="4">
                  <c:v>2</c:v>
                </c:pt>
                <c:pt idx="5">
                  <c:v>#N/A</c:v>
                </c:pt>
                <c:pt idx="6">
                  <c:v>1</c:v>
                </c:pt>
                <c:pt idx="7">
                  <c:v>2</c:v>
                </c:pt>
                <c:pt idx="8">
                  <c:v>#N/A</c:v>
                </c:pt>
                <c:pt idx="9">
                  <c:v>1</c:v>
                </c:pt>
                <c:pt idx="10">
                  <c:v>2</c:v>
                </c:pt>
                <c:pt idx="11">
                  <c:v>#N/A</c:v>
                </c:pt>
                <c:pt idx="12">
                  <c:v>1</c:v>
                </c:pt>
                <c:pt idx="13">
                  <c:v>2</c:v>
                </c:pt>
                <c:pt idx="14">
                  <c:v>#N/A</c:v>
                </c:pt>
                <c:pt idx="15">
                  <c:v>1</c:v>
                </c:pt>
                <c:pt idx="16">
                  <c:v>2</c:v>
                </c:pt>
                <c:pt idx="17">
                  <c:v>#N/A</c:v>
                </c:pt>
                <c:pt idx="18">
                  <c:v>1</c:v>
                </c:pt>
                <c:pt idx="19">
                  <c:v>2</c:v>
                </c:pt>
                <c:pt idx="20">
                  <c:v>#N/A</c:v>
                </c:pt>
                <c:pt idx="21">
                  <c:v>1</c:v>
                </c:pt>
                <c:pt idx="22">
                  <c:v>2</c:v>
                </c:pt>
                <c:pt idx="23">
                  <c:v>#N/A</c:v>
                </c:pt>
                <c:pt idx="24">
                  <c:v>1</c:v>
                </c:pt>
                <c:pt idx="25">
                  <c:v>2</c:v>
                </c:pt>
                <c:pt idx="26">
                  <c:v>#N/A</c:v>
                </c:pt>
                <c:pt idx="27">
                  <c:v>1</c:v>
                </c:pt>
                <c:pt idx="28">
                  <c:v>2</c:v>
                </c:pt>
                <c:pt idx="29">
                  <c:v>#N/A</c:v>
                </c:pt>
                <c:pt idx="30">
                  <c:v>1</c:v>
                </c:pt>
                <c:pt idx="31">
                  <c:v>2</c:v>
                </c:pt>
                <c:pt idx="32">
                  <c:v>#N/A</c:v>
                </c:pt>
                <c:pt idx="33">
                  <c:v>1</c:v>
                </c:pt>
                <c:pt idx="34">
                  <c:v>2</c:v>
                </c:pt>
                <c:pt idx="35">
                  <c:v>#N/A</c:v>
                </c:pt>
              </c:numCache>
            </c:numRef>
          </c:xVal>
          <c:yVal>
            <c:numRef>
              <c:f>[0]!LpY</c:f>
              <c:numCache>
                <c:formatCode>General</c:formatCode>
                <c:ptCount val="36"/>
                <c:pt idx="0">
                  <c:v>-2.5</c:v>
                </c:pt>
                <c:pt idx="1">
                  <c:v>-2.0938272342504645</c:v>
                </c:pt>
                <c:pt idx="2">
                  <c:v>#N/A</c:v>
                </c:pt>
                <c:pt idx="3">
                  <c:v>-2.5</c:v>
                </c:pt>
                <c:pt idx="4">
                  <c:v>-2.5</c:v>
                </c:pt>
                <c:pt idx="5">
                  <c:v>#N/A</c:v>
                </c:pt>
                <c:pt idx="6">
                  <c:v>-2.5</c:v>
                </c:pt>
                <c:pt idx="7">
                  <c:v>-2.0913992969085626</c:v>
                </c:pt>
                <c:pt idx="8">
                  <c:v>#N/A</c:v>
                </c:pt>
                <c:pt idx="9">
                  <c:v>-2.5</c:v>
                </c:pt>
                <c:pt idx="10">
                  <c:v>-2.4202999894058768</c:v>
                </c:pt>
                <c:pt idx="11">
                  <c:v>#N/A</c:v>
                </c:pt>
                <c:pt idx="12">
                  <c:v>-2.5</c:v>
                </c:pt>
                <c:pt idx="13">
                  <c:v>-1.9397569536652717</c:v>
                </c:pt>
                <c:pt idx="14">
                  <c:v>#N/A</c:v>
                </c:pt>
                <c:pt idx="15">
                  <c:v>-1.5</c:v>
                </c:pt>
                <c:pt idx="16">
                  <c:v>-1.8627218133726751</c:v>
                </c:pt>
                <c:pt idx="17">
                  <c:v>#N/A</c:v>
                </c:pt>
                <c:pt idx="18">
                  <c:v>-2.5</c:v>
                </c:pt>
                <c:pt idx="19">
                  <c:v>-2.0920639382826405</c:v>
                </c:pt>
                <c:pt idx="20">
                  <c:v>#N/A</c:v>
                </c:pt>
                <c:pt idx="21">
                  <c:v>-2.5</c:v>
                </c:pt>
                <c:pt idx="22">
                  <c:v>-1.554581252202289</c:v>
                </c:pt>
                <c:pt idx="23">
                  <c:v>#N/A</c:v>
                </c:pt>
                <c:pt idx="24">
                  <c:v>-1.5</c:v>
                </c:pt>
                <c:pt idx="25">
                  <c:v>-1.760642089904338</c:v>
                </c:pt>
                <c:pt idx="26">
                  <c:v>#N/A</c:v>
                </c:pt>
                <c:pt idx="27">
                  <c:v>-1.5</c:v>
                </c:pt>
                <c:pt idx="28">
                  <c:v>-1.8302091203372082</c:v>
                </c:pt>
                <c:pt idx="29">
                  <c:v>#N/A</c:v>
                </c:pt>
                <c:pt idx="30">
                  <c:v>-2.5</c:v>
                </c:pt>
                <c:pt idx="31">
                  <c:v>-1.5</c:v>
                </c:pt>
                <c:pt idx="32">
                  <c:v>#N/A</c:v>
                </c:pt>
                <c:pt idx="33">
                  <c:v>-2.5</c:v>
                </c:pt>
                <c:pt idx="34">
                  <c:v>-1.5</c:v>
                </c:pt>
                <c:pt idx="35">
                  <c:v>#N/A</c:v>
                </c:pt>
              </c:numCache>
            </c:numRef>
          </c:yVal>
          <c:smooth val="0"/>
          <c:extLst>
            <c:ext xmlns:c16="http://schemas.microsoft.com/office/drawing/2014/chart" uri="{C3380CC4-5D6E-409C-BE32-E72D297353CC}">
              <c16:uniqueId val="{00000000-CDBA-4620-AD22-7A04BADC9AF9}"/>
            </c:ext>
          </c:extLst>
        </c:ser>
        <c:ser>
          <c:idx val="1"/>
          <c:order val="1"/>
          <c:tx>
            <c:strRef>
              <c:f>LineærRegression!$CP$14</c:f>
              <c:strCache>
                <c:ptCount val="1"/>
                <c:pt idx="0">
                  <c:v>Korrelationskoefficienter</c:v>
                </c:pt>
              </c:strCache>
            </c:strRef>
          </c:tx>
          <c:spPr>
            <a:ln w="19050" cap="rnd">
              <a:noFill/>
              <a:round/>
            </a:ln>
            <a:effectLst/>
          </c:spPr>
          <c:marker>
            <c:symbol val="none"/>
          </c:marker>
          <c:dLbls>
            <c:dLbl>
              <c:idx val="0"/>
              <c:tx>
                <c:rich>
                  <a:bodyPr/>
                  <a:lstStyle/>
                  <a:p>
                    <a:fld id="{E75C976E-079B-4CCE-A9B7-946F140C663E}" type="CELLRANGE">
                      <a:rPr lang="en-US"/>
                      <a:pPr/>
                      <a:t>[CELLRANGE]</a:t>
                    </a:fld>
                    <a:endParaRPr lang="da-DK"/>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CDBA-4620-AD22-7A04BADC9AF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[0]!LpRx</c:f>
              <c:numCache>
                <c:formatCode>General</c:formatCode>
                <c:ptCount val="1"/>
                <c:pt idx="0">
                  <c:v>2</c:v>
                </c:pt>
              </c:numCache>
            </c:numRef>
          </c:xVal>
          <c:yVal>
            <c:numRef>
              <c:f>[0]!LpRy</c:f>
              <c:numCache>
                <c:formatCode>General</c:formatCode>
                <c:ptCount val="1"/>
                <c:pt idx="0">
                  <c:v>-2</c:v>
                </c:pt>
              </c:numCache>
            </c:numRef>
          </c:yVal>
          <c:smooth val="0"/>
          <c:extLst>
            <c:ext xmlns:c15="http://schemas.microsoft.com/office/drawing/2012/chart" uri="{02D57815-91ED-43cb-92C2-25804820EDAC}">
              <c15:datalabelsRange>
                <c15:f>Beregningsark!$B$3:$B$1700</c15:f>
                <c15:dlblRangeCache>
                  <c:ptCount val="1698"/>
                  <c:pt idx="0">
                    <c:v>0.2</c:v>
                  </c:pt>
                </c15:dlblRangeCache>
              </c15:datalabelsRange>
            </c:ext>
            <c:ext xmlns:c16="http://schemas.microsoft.com/office/drawing/2014/chart" uri="{C3380CC4-5D6E-409C-BE32-E72D297353CC}">
              <c16:uniqueId val="{00000025-CDBA-4620-AD22-7A04BADC9AF9}"/>
            </c:ext>
          </c:extLst>
        </c:ser>
        <c:ser>
          <c:idx val="2"/>
          <c:order val="2"/>
          <c:tx>
            <c:strRef>
              <c:f>LineærRegression!$CP$18</c:f>
              <c:strCache>
                <c:ptCount val="1"/>
                <c:pt idx="0">
                  <c:v>Venstre side uafhængige variabel</c:v>
                </c:pt>
              </c:strCache>
            </c:strRef>
          </c:tx>
          <c:spPr>
            <a:ln w="19050" cap="rnd">
              <a:noFill/>
              <a:round/>
            </a:ln>
            <a:effectLst/>
          </c:spPr>
          <c:marker>
            <c:symbol val="none"/>
          </c:marker>
          <c:dLbls>
            <c:dLbl>
              <c:idx val="0"/>
              <c:tx>
                <c:rich>
                  <a:bodyPr/>
                  <a:lstStyle/>
                  <a:p>
                    <a:fld id="{729134DB-8C81-48C3-A4EC-E409B9B5C6DE}" type="CELLRANGE">
                      <a:rPr lang="en-US"/>
                      <a:pPr/>
                      <a:t>[CELLRANGE]</a:t>
                    </a:fld>
                    <a:endParaRPr lang="da-DK"/>
                  </a:p>
                </c:rich>
              </c:tx>
              <c:dLblPos val="l"/>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6-CDBA-4620-AD22-7A04BADC9AF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l"/>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[0]!LpYlx</c:f>
              <c:numCache>
                <c:formatCode>General</c:formatCode>
                <c:ptCount val="1"/>
                <c:pt idx="0">
                  <c:v>1</c:v>
                </c:pt>
              </c:numCache>
            </c:numRef>
          </c:xVal>
          <c:yVal>
            <c:numRef>
              <c:f>[0]!LpYly</c:f>
              <c:numCache>
                <c:formatCode>General</c:formatCode>
                <c:ptCount val="1"/>
                <c:pt idx="0">
                  <c:v>-2</c:v>
                </c:pt>
              </c:numCache>
            </c:numRef>
          </c:yVal>
          <c:smooth val="0"/>
          <c:extLst>
            <c:ext xmlns:c15="http://schemas.microsoft.com/office/drawing/2012/chart" uri="{02D57815-91ED-43cb-92C2-25804820EDAC}">
              <c15:datalabelsRange>
                <c15:f>Beregningsark!$C$3:$C$1700</c15:f>
                <c15:dlblRangeCache>
                  <c:ptCount val="1698"/>
                  <c:pt idx="0">
                    <c:v>Eksempel 3 (nominal)</c:v>
                  </c:pt>
                </c15:dlblRangeCache>
              </c15:datalabelsRange>
            </c:ext>
            <c:ext xmlns:c16="http://schemas.microsoft.com/office/drawing/2014/chart" uri="{C3380CC4-5D6E-409C-BE32-E72D297353CC}">
              <c16:uniqueId val="{0000002E-CDBA-4620-AD22-7A04BADC9AF9}"/>
            </c:ext>
          </c:extLst>
        </c:ser>
        <c:ser>
          <c:idx val="3"/>
          <c:order val="3"/>
          <c:tx>
            <c:strRef>
              <c:f>LineærRegression!$CP$16</c:f>
              <c:strCache>
                <c:ptCount val="1"/>
                <c:pt idx="0">
                  <c:v>Højre side uafhængige variabel</c:v>
                </c:pt>
              </c:strCache>
            </c:strRef>
          </c:tx>
          <c:spPr>
            <a:ln w="19050" cap="rnd">
              <a:noFill/>
              <a:round/>
            </a:ln>
            <a:effectLst/>
          </c:spPr>
          <c:marker>
            <c:symbol val="none"/>
          </c:marker>
          <c:dLbls>
            <c:dLbl>
              <c:idx val="0"/>
              <c:tx>
                <c:rich>
                  <a:bodyPr/>
                  <a:lstStyle/>
                  <a:p>
                    <a:fld id="{FA4D30DC-8950-48CF-AF1B-5881929AFBA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F-CDBA-4620-AD22-7A04BADC9AF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[0]!LpXlx</c:f>
              <c:numCache>
                <c:formatCode>General</c:formatCode>
                <c:ptCount val="1"/>
                <c:pt idx="0">
                  <c:v>2</c:v>
                </c:pt>
              </c:numCache>
            </c:numRef>
          </c:xVal>
          <c:yVal>
            <c:numRef>
              <c:f>[0]!LpXly</c:f>
              <c:numCache>
                <c:formatCode>General</c:formatCode>
                <c:ptCount val="1"/>
                <c:pt idx="0">
                  <c:v>-1.5</c:v>
                </c:pt>
              </c:numCache>
            </c:numRef>
          </c:yVal>
          <c:smooth val="0"/>
          <c:extLst>
            <c:ext xmlns:c15="http://schemas.microsoft.com/office/drawing/2012/chart" uri="{02D57815-91ED-43cb-92C2-25804820EDAC}">
              <c15:datalabelsRange>
                <c15:f>Beregningsark!$D$3:$D$1700</c15:f>
                <c15:dlblRangeCache>
                  <c:ptCount val="1698"/>
                  <c:pt idx="0">
                    <c:v>Eksempel 2 (interval)</c:v>
                  </c:pt>
                </c15:dlblRangeCache>
              </c15:datalabelsRange>
            </c:ext>
            <c:ext xmlns:c16="http://schemas.microsoft.com/office/drawing/2014/chart" uri="{C3380CC4-5D6E-409C-BE32-E72D297353CC}">
              <c16:uniqueId val="{00000037-CDBA-4620-AD22-7A04BADC9AF9}"/>
            </c:ext>
          </c:extLst>
        </c:ser>
        <c:dLbls>
          <c:showLegendKey val="0"/>
          <c:showVal val="0"/>
          <c:showCatName val="0"/>
          <c:showSerName val="0"/>
          <c:showPercent val="0"/>
          <c:showBubbleSize val="0"/>
        </c:dLbls>
        <c:axId val="1002634608"/>
        <c:axId val="1002633776"/>
      </c:scatterChart>
      <c:valAx>
        <c:axId val="1002634608"/>
        <c:scaling>
          <c:orientation val="minMax"/>
        </c:scaling>
        <c:delete val="1"/>
        <c:axPos val="b"/>
        <c:numFmt formatCode="General" sourceLinked="1"/>
        <c:majorTickMark val="out"/>
        <c:minorTickMark val="none"/>
        <c:tickLblPos val="nextTo"/>
        <c:crossAx val="1002633776"/>
        <c:crosses val="autoZero"/>
        <c:crossBetween val="midCat"/>
        <c:majorUnit val="2"/>
      </c:valAx>
      <c:valAx>
        <c:axId val="1002633776"/>
        <c:scaling>
          <c:orientation val="minMax"/>
        </c:scaling>
        <c:delete val="1"/>
        <c:axPos val="l"/>
        <c:numFmt formatCode="General" sourceLinked="1"/>
        <c:majorTickMark val="out"/>
        <c:minorTickMark val="none"/>
        <c:tickLblPos val="nextTo"/>
        <c:crossAx val="1002634608"/>
        <c:crosses val="autoZero"/>
        <c:crossBetween val="midCat"/>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7.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6.png"/><Relationship Id="rId2" Type="http://schemas.openxmlformats.org/officeDocument/2006/relationships/image" Target="../media/image2.png"/><Relationship Id="rId16" Type="http://schemas.openxmlformats.org/officeDocument/2006/relationships/image" Target="../media/image15.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hyperlink" Target="http://creativecommons.org/licenses/by-sa/4.0/" TargetMode="External"/><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image" Target="../media/image18.emf"/><Relationship Id="rId4" Type="http://schemas.openxmlformats.org/officeDocument/2006/relationships/chart" Target="../charts/chart4.xml"/><Relationship Id="rId9" Type="http://schemas.openxmlformats.org/officeDocument/2006/relationships/chart" Target="../charts/chart9.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9.emf"/></Relationships>
</file>

<file path=xl/drawings/drawing1.xml><?xml version="1.0" encoding="utf-8"?>
<xdr:wsDr xmlns:xdr="http://schemas.openxmlformats.org/drawingml/2006/spreadsheetDrawing" xmlns:a="http://schemas.openxmlformats.org/drawingml/2006/main">
  <xdr:twoCellAnchor editAs="oneCell">
    <xdr:from>
      <xdr:col>4</xdr:col>
      <xdr:colOff>929640</xdr:colOff>
      <xdr:row>78</xdr:row>
      <xdr:rowOff>114300</xdr:rowOff>
    </xdr:from>
    <xdr:to>
      <xdr:col>16</xdr:col>
      <xdr:colOff>248419</xdr:colOff>
      <xdr:row>88</xdr:row>
      <xdr:rowOff>39332</xdr:rowOff>
    </xdr:to>
    <xdr:grpSp>
      <xdr:nvGrpSpPr>
        <xdr:cNvPr id="122" name="Group 121">
          <a:extLst>
            <a:ext uri="{FF2B5EF4-FFF2-40B4-BE49-F238E27FC236}">
              <a16:creationId xmlns:a16="http://schemas.microsoft.com/office/drawing/2014/main" id="{00000000-0008-0000-0000-00007A000000}"/>
            </a:ext>
          </a:extLst>
        </xdr:cNvPr>
        <xdr:cNvGrpSpPr/>
      </xdr:nvGrpSpPr>
      <xdr:grpSpPr>
        <a:xfrm>
          <a:off x="12321540" y="14516100"/>
          <a:ext cx="9310504" cy="1734782"/>
          <a:chOff x="12321540" y="47548800"/>
          <a:chExt cx="9089524" cy="1639532"/>
        </a:xfrm>
      </xdr:grpSpPr>
      <xdr:pic>
        <xdr:nvPicPr>
          <xdr:cNvPr id="118" name="Picture 117">
            <a:extLst>
              <a:ext uri="{FF2B5EF4-FFF2-40B4-BE49-F238E27FC236}">
                <a16:creationId xmlns:a16="http://schemas.microsoft.com/office/drawing/2014/main" id="{00000000-0008-0000-0000-000076000000}"/>
              </a:ext>
            </a:extLst>
          </xdr:cNvPr>
          <xdr:cNvPicPr>
            <a:picLocks noChangeAspect="1"/>
          </xdr:cNvPicPr>
        </xdr:nvPicPr>
        <xdr:blipFill>
          <a:blip xmlns:r="http://schemas.openxmlformats.org/officeDocument/2006/relationships" r:embed="rId1"/>
          <a:stretch>
            <a:fillRect/>
          </a:stretch>
        </xdr:blipFill>
        <xdr:spPr>
          <a:xfrm>
            <a:off x="12321540" y="47548800"/>
            <a:ext cx="9089524" cy="1409524"/>
          </a:xfrm>
          <a:prstGeom prst="rect">
            <a:avLst/>
          </a:prstGeom>
        </xdr:spPr>
      </xdr:pic>
      <xdr:sp macro="" textlink="">
        <xdr:nvSpPr>
          <xdr:cNvPr id="56" name="TextBox 55">
            <a:extLst>
              <a:ext uri="{FF2B5EF4-FFF2-40B4-BE49-F238E27FC236}">
                <a16:creationId xmlns:a16="http://schemas.microsoft.com/office/drawing/2014/main" id="{00000000-0008-0000-0000-000038000000}"/>
              </a:ext>
            </a:extLst>
          </xdr:cNvPr>
          <xdr:cNvSpPr txBox="1"/>
        </xdr:nvSpPr>
        <xdr:spPr>
          <a:xfrm>
            <a:off x="12325713" y="48941247"/>
            <a:ext cx="9059593" cy="2470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18: Valg omkring afhængige og uafhængige variable kontrolleres automatisk og problemer markeres med rødt</a:t>
            </a:r>
          </a:p>
        </xdr:txBody>
      </xdr:sp>
    </xdr:grpSp>
    <xdr:clientData/>
  </xdr:twoCellAnchor>
  <xdr:twoCellAnchor editAs="oneCell">
    <xdr:from>
      <xdr:col>0</xdr:col>
      <xdr:colOff>0</xdr:colOff>
      <xdr:row>192</xdr:row>
      <xdr:rowOff>91440</xdr:rowOff>
    </xdr:from>
    <xdr:to>
      <xdr:col>0</xdr:col>
      <xdr:colOff>4514084</xdr:colOff>
      <xdr:row>209</xdr:row>
      <xdr:rowOff>152386</xdr:rowOff>
    </xdr:to>
    <xdr:grpSp>
      <xdr:nvGrpSpPr>
        <xdr:cNvPr id="145" name="Group 144">
          <a:extLst>
            <a:ext uri="{FF2B5EF4-FFF2-40B4-BE49-F238E27FC236}">
              <a16:creationId xmlns:a16="http://schemas.microsoft.com/office/drawing/2014/main" id="{00000000-0008-0000-0000-000091000000}"/>
            </a:ext>
          </a:extLst>
        </xdr:cNvPr>
        <xdr:cNvGrpSpPr/>
      </xdr:nvGrpSpPr>
      <xdr:grpSpPr>
        <a:xfrm>
          <a:off x="0" y="35124390"/>
          <a:ext cx="4514084" cy="3137521"/>
          <a:chOff x="0" y="69923297"/>
          <a:chExt cx="4514084" cy="3068125"/>
        </a:xfrm>
      </xdr:grpSpPr>
      <xdr:pic>
        <xdr:nvPicPr>
          <xdr:cNvPr id="135" name="Picture 134">
            <a:extLst>
              <a:ext uri="{FF2B5EF4-FFF2-40B4-BE49-F238E27FC236}">
                <a16:creationId xmlns:a16="http://schemas.microsoft.com/office/drawing/2014/main" id="{00000000-0008-0000-0000-000087000000}"/>
              </a:ext>
            </a:extLst>
          </xdr:cNvPr>
          <xdr:cNvPicPr>
            <a:picLocks noChangeAspect="1"/>
          </xdr:cNvPicPr>
        </xdr:nvPicPr>
        <xdr:blipFill>
          <a:blip xmlns:r="http://schemas.openxmlformats.org/officeDocument/2006/relationships" r:embed="rId2"/>
          <a:stretch>
            <a:fillRect/>
          </a:stretch>
        </xdr:blipFill>
        <xdr:spPr>
          <a:xfrm>
            <a:off x="0" y="69923297"/>
            <a:ext cx="4514084" cy="2830286"/>
          </a:xfrm>
          <a:prstGeom prst="rect">
            <a:avLst/>
          </a:prstGeom>
        </xdr:spPr>
      </xdr:pic>
      <xdr:sp macro="" textlink="">
        <xdr:nvSpPr>
          <xdr:cNvPr id="51" name="TextBox 50">
            <a:extLst>
              <a:ext uri="{FF2B5EF4-FFF2-40B4-BE49-F238E27FC236}">
                <a16:creationId xmlns:a16="http://schemas.microsoft.com/office/drawing/2014/main" id="{00000000-0008-0000-0000-000033000000}"/>
              </a:ext>
            </a:extLst>
          </xdr:cNvPr>
          <xdr:cNvSpPr txBox="1"/>
        </xdr:nvSpPr>
        <xdr:spPr>
          <a:xfrm>
            <a:off x="1" y="72721850"/>
            <a:ext cx="4512944" cy="2695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26: Eksempel 4 forklarer Eksempel 1</a:t>
            </a:r>
          </a:p>
        </xdr:txBody>
      </xdr:sp>
    </xdr:grpSp>
    <xdr:clientData/>
  </xdr:twoCellAnchor>
  <xdr:twoCellAnchor editAs="oneCell">
    <xdr:from>
      <xdr:col>0</xdr:col>
      <xdr:colOff>0</xdr:colOff>
      <xdr:row>248</xdr:row>
      <xdr:rowOff>173355</xdr:rowOff>
    </xdr:from>
    <xdr:to>
      <xdr:col>0</xdr:col>
      <xdr:colOff>4587240</xdr:colOff>
      <xdr:row>277</xdr:row>
      <xdr:rowOff>1192</xdr:rowOff>
    </xdr:to>
    <xdr:grpSp>
      <xdr:nvGrpSpPr>
        <xdr:cNvPr id="142" name="Group 141">
          <a:extLst>
            <a:ext uri="{FF2B5EF4-FFF2-40B4-BE49-F238E27FC236}">
              <a16:creationId xmlns:a16="http://schemas.microsoft.com/office/drawing/2014/main" id="{00000000-0008-0000-0000-00008E000000}"/>
            </a:ext>
          </a:extLst>
        </xdr:cNvPr>
        <xdr:cNvGrpSpPr/>
      </xdr:nvGrpSpPr>
      <xdr:grpSpPr>
        <a:xfrm>
          <a:off x="0" y="45340905"/>
          <a:ext cx="4587240" cy="5076112"/>
          <a:chOff x="0" y="79911212"/>
          <a:chExt cx="4587240" cy="4957730"/>
        </a:xfrm>
      </xdr:grpSpPr>
      <xdr:pic>
        <xdr:nvPicPr>
          <xdr:cNvPr id="138" name="Picture 137">
            <a:extLst>
              <a:ext uri="{FF2B5EF4-FFF2-40B4-BE49-F238E27FC236}">
                <a16:creationId xmlns:a16="http://schemas.microsoft.com/office/drawing/2014/main" id="{00000000-0008-0000-0000-00008A000000}"/>
              </a:ext>
            </a:extLst>
          </xdr:cNvPr>
          <xdr:cNvPicPr>
            <a:picLocks noChangeAspect="1"/>
          </xdr:cNvPicPr>
        </xdr:nvPicPr>
        <xdr:blipFill>
          <a:blip xmlns:r="http://schemas.openxmlformats.org/officeDocument/2006/relationships" r:embed="rId3"/>
          <a:stretch>
            <a:fillRect/>
          </a:stretch>
        </xdr:blipFill>
        <xdr:spPr>
          <a:xfrm>
            <a:off x="0" y="79911212"/>
            <a:ext cx="4587240" cy="4420870"/>
          </a:xfrm>
          <a:prstGeom prst="rect">
            <a:avLst/>
          </a:prstGeom>
        </xdr:spPr>
      </xdr:pic>
      <xdr:sp macro="" textlink="">
        <xdr:nvSpPr>
          <xdr:cNvPr id="53" name="TextBox 52">
            <a:extLst>
              <a:ext uri="{FF2B5EF4-FFF2-40B4-BE49-F238E27FC236}">
                <a16:creationId xmlns:a16="http://schemas.microsoft.com/office/drawing/2014/main" id="{00000000-0008-0000-0000-000035000000}"/>
              </a:ext>
            </a:extLst>
          </xdr:cNvPr>
          <xdr:cNvSpPr txBox="1"/>
        </xdr:nvSpPr>
        <xdr:spPr>
          <a:xfrm>
            <a:off x="0" y="84296387"/>
            <a:ext cx="4552124" cy="57255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29: I multipel lineær regression vises hver variabels effekt isoleret.</a:t>
            </a:r>
          </a:p>
          <a:p>
            <a:r>
              <a:rPr lang="da-DK" sz="1100" baseline="0"/>
              <a:t>Eksempel 5 (grøn) og Eksempel 6 (orange) har næsten ingen effekt i modellen.</a:t>
            </a:r>
          </a:p>
        </xdr:txBody>
      </xdr:sp>
    </xdr:grpSp>
    <xdr:clientData/>
  </xdr:twoCellAnchor>
  <xdr:twoCellAnchor editAs="oneCell">
    <xdr:from>
      <xdr:col>0</xdr:col>
      <xdr:colOff>0</xdr:colOff>
      <xdr:row>211</xdr:row>
      <xdr:rowOff>0</xdr:rowOff>
    </xdr:from>
    <xdr:to>
      <xdr:col>0</xdr:col>
      <xdr:colOff>4511040</xdr:colOff>
      <xdr:row>228</xdr:row>
      <xdr:rowOff>22175</xdr:rowOff>
    </xdr:to>
    <xdr:grpSp>
      <xdr:nvGrpSpPr>
        <xdr:cNvPr id="144" name="Group 143">
          <a:extLst>
            <a:ext uri="{FF2B5EF4-FFF2-40B4-BE49-F238E27FC236}">
              <a16:creationId xmlns:a16="http://schemas.microsoft.com/office/drawing/2014/main" id="{00000000-0008-0000-0000-000090000000}"/>
            </a:ext>
          </a:extLst>
        </xdr:cNvPr>
        <xdr:cNvGrpSpPr/>
      </xdr:nvGrpSpPr>
      <xdr:grpSpPr>
        <a:xfrm>
          <a:off x="0" y="38471475"/>
          <a:ext cx="4511040" cy="3098750"/>
          <a:chOff x="0" y="73192821"/>
          <a:chExt cx="4511040" cy="3029354"/>
        </a:xfrm>
      </xdr:grpSpPr>
      <xdr:pic>
        <xdr:nvPicPr>
          <xdr:cNvPr id="136" name="Picture 135">
            <a:extLst>
              <a:ext uri="{FF2B5EF4-FFF2-40B4-BE49-F238E27FC236}">
                <a16:creationId xmlns:a16="http://schemas.microsoft.com/office/drawing/2014/main" id="{00000000-0008-0000-0000-000088000000}"/>
              </a:ext>
            </a:extLst>
          </xdr:cNvPr>
          <xdr:cNvPicPr>
            <a:picLocks noChangeAspect="1"/>
          </xdr:cNvPicPr>
        </xdr:nvPicPr>
        <xdr:blipFill>
          <a:blip xmlns:r="http://schemas.openxmlformats.org/officeDocument/2006/relationships" r:embed="rId4"/>
          <a:stretch>
            <a:fillRect/>
          </a:stretch>
        </xdr:blipFill>
        <xdr:spPr>
          <a:xfrm>
            <a:off x="0" y="73192821"/>
            <a:ext cx="4511040" cy="2763891"/>
          </a:xfrm>
          <a:prstGeom prst="rect">
            <a:avLst/>
          </a:prstGeom>
        </xdr:spPr>
      </xdr:pic>
      <xdr:sp macro="" textlink="">
        <xdr:nvSpPr>
          <xdr:cNvPr id="81" name="TextBox 80">
            <a:extLst>
              <a:ext uri="{FF2B5EF4-FFF2-40B4-BE49-F238E27FC236}">
                <a16:creationId xmlns:a16="http://schemas.microsoft.com/office/drawing/2014/main" id="{00000000-0008-0000-0000-000051000000}"/>
              </a:ext>
            </a:extLst>
          </xdr:cNvPr>
          <xdr:cNvSpPr txBox="1"/>
        </xdr:nvSpPr>
        <xdr:spPr>
          <a:xfrm>
            <a:off x="0" y="75952876"/>
            <a:ext cx="4478734" cy="269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27: Konfidensintervallet for gennemsnit ligger omkring regressionslinjen</a:t>
            </a:r>
          </a:p>
        </xdr:txBody>
      </xdr:sp>
    </xdr:grpSp>
    <xdr:clientData/>
  </xdr:twoCellAnchor>
  <xdr:twoCellAnchor editAs="oneCell">
    <xdr:from>
      <xdr:col>0</xdr:col>
      <xdr:colOff>0</xdr:colOff>
      <xdr:row>229</xdr:row>
      <xdr:rowOff>43543</xdr:rowOff>
    </xdr:from>
    <xdr:to>
      <xdr:col>0</xdr:col>
      <xdr:colOff>4511040</xdr:colOff>
      <xdr:row>247</xdr:row>
      <xdr:rowOff>77833</xdr:rowOff>
    </xdr:to>
    <xdr:grpSp>
      <xdr:nvGrpSpPr>
        <xdr:cNvPr id="143" name="Group 142">
          <a:extLst>
            <a:ext uri="{FF2B5EF4-FFF2-40B4-BE49-F238E27FC236}">
              <a16:creationId xmlns:a16="http://schemas.microsoft.com/office/drawing/2014/main" id="{00000000-0008-0000-0000-00008F000000}"/>
            </a:ext>
          </a:extLst>
        </xdr:cNvPr>
        <xdr:cNvGrpSpPr/>
      </xdr:nvGrpSpPr>
      <xdr:grpSpPr>
        <a:xfrm>
          <a:off x="0" y="41772568"/>
          <a:ext cx="4511040" cy="3291840"/>
          <a:chOff x="0" y="76253340"/>
          <a:chExt cx="4514850" cy="3225981"/>
        </a:xfrm>
      </xdr:grpSpPr>
      <xdr:pic>
        <xdr:nvPicPr>
          <xdr:cNvPr id="137" name="Picture 136">
            <a:extLst>
              <a:ext uri="{FF2B5EF4-FFF2-40B4-BE49-F238E27FC236}">
                <a16:creationId xmlns:a16="http://schemas.microsoft.com/office/drawing/2014/main" id="{00000000-0008-0000-0000-000089000000}"/>
              </a:ext>
            </a:extLst>
          </xdr:cNvPr>
          <xdr:cNvPicPr>
            <a:picLocks noChangeAspect="1"/>
          </xdr:cNvPicPr>
        </xdr:nvPicPr>
        <xdr:blipFill>
          <a:blip xmlns:r="http://schemas.openxmlformats.org/officeDocument/2006/relationships" r:embed="rId5"/>
          <a:stretch>
            <a:fillRect/>
          </a:stretch>
        </xdr:blipFill>
        <xdr:spPr>
          <a:xfrm>
            <a:off x="0" y="76253340"/>
            <a:ext cx="4511040" cy="2815397"/>
          </a:xfrm>
          <a:prstGeom prst="rect">
            <a:avLst/>
          </a:prstGeom>
        </xdr:spPr>
      </xdr:pic>
      <xdr:sp macro="" textlink="">
        <xdr:nvSpPr>
          <xdr:cNvPr id="83" name="TextBox 82">
            <a:extLst>
              <a:ext uri="{FF2B5EF4-FFF2-40B4-BE49-F238E27FC236}">
                <a16:creationId xmlns:a16="http://schemas.microsoft.com/office/drawing/2014/main" id="{00000000-0008-0000-0000-000053000000}"/>
              </a:ext>
            </a:extLst>
          </xdr:cNvPr>
          <xdr:cNvSpPr txBox="1"/>
        </xdr:nvSpPr>
        <xdr:spPr>
          <a:xfrm>
            <a:off x="0" y="79052853"/>
            <a:ext cx="4514850" cy="4264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28: Forudsigelsesintervallet for observationer viser spredningen af observationer omkring regressionslinjen</a:t>
            </a:r>
          </a:p>
        </xdr:txBody>
      </xdr:sp>
    </xdr:grpSp>
    <xdr:clientData/>
  </xdr:twoCellAnchor>
  <xdr:twoCellAnchor editAs="oneCell">
    <xdr:from>
      <xdr:col>4</xdr:col>
      <xdr:colOff>925830</xdr:colOff>
      <xdr:row>88</xdr:row>
      <xdr:rowOff>161925</xdr:rowOff>
    </xdr:from>
    <xdr:to>
      <xdr:col>16</xdr:col>
      <xdr:colOff>207421</xdr:colOff>
      <xdr:row>98</xdr:row>
      <xdr:rowOff>77430</xdr:rowOff>
    </xdr:to>
    <xdr:grpSp>
      <xdr:nvGrpSpPr>
        <xdr:cNvPr id="121" name="Group 120">
          <a:extLst>
            <a:ext uri="{FF2B5EF4-FFF2-40B4-BE49-F238E27FC236}">
              <a16:creationId xmlns:a16="http://schemas.microsoft.com/office/drawing/2014/main" id="{00000000-0008-0000-0000-000079000000}"/>
            </a:ext>
          </a:extLst>
        </xdr:cNvPr>
        <xdr:cNvGrpSpPr/>
      </xdr:nvGrpSpPr>
      <xdr:grpSpPr>
        <a:xfrm>
          <a:off x="12317730" y="16373475"/>
          <a:ext cx="9273316" cy="1725255"/>
          <a:chOff x="12317730" y="49310925"/>
          <a:chExt cx="9063766" cy="1630007"/>
        </a:xfrm>
      </xdr:grpSpPr>
      <xdr:pic>
        <xdr:nvPicPr>
          <xdr:cNvPr id="119" name="Picture 118">
            <a:extLst>
              <a:ext uri="{FF2B5EF4-FFF2-40B4-BE49-F238E27FC236}">
                <a16:creationId xmlns:a16="http://schemas.microsoft.com/office/drawing/2014/main" id="{00000000-0008-0000-0000-000077000000}"/>
              </a:ext>
            </a:extLst>
          </xdr:cNvPr>
          <xdr:cNvPicPr>
            <a:picLocks noChangeAspect="1"/>
          </xdr:cNvPicPr>
        </xdr:nvPicPr>
        <xdr:blipFill>
          <a:blip xmlns:r="http://schemas.openxmlformats.org/officeDocument/2006/relationships" r:embed="rId6"/>
          <a:stretch>
            <a:fillRect/>
          </a:stretch>
        </xdr:blipFill>
        <xdr:spPr>
          <a:xfrm>
            <a:off x="12317730" y="49310925"/>
            <a:ext cx="9062857" cy="1403809"/>
          </a:xfrm>
          <a:prstGeom prst="rect">
            <a:avLst/>
          </a:prstGeom>
        </xdr:spPr>
      </xdr:pic>
      <xdr:sp macro="" textlink="">
        <xdr:nvSpPr>
          <xdr:cNvPr id="120" name="TextBox 119">
            <a:extLst>
              <a:ext uri="{FF2B5EF4-FFF2-40B4-BE49-F238E27FC236}">
                <a16:creationId xmlns:a16="http://schemas.microsoft.com/office/drawing/2014/main" id="{00000000-0008-0000-0000-000078000000}"/>
              </a:ext>
            </a:extLst>
          </xdr:cNvPr>
          <xdr:cNvSpPr txBox="1"/>
        </xdr:nvSpPr>
        <xdr:spPr>
          <a:xfrm>
            <a:off x="12321903" y="50693847"/>
            <a:ext cx="9059593" cy="2470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19: x5test3 er udeladt fra modellen og derfor er det ikke længere et problem, at variablen ikke kan inkluderes</a:t>
            </a:r>
          </a:p>
        </xdr:txBody>
      </xdr:sp>
    </xdr:grpSp>
    <xdr:clientData/>
  </xdr:twoCellAnchor>
  <xdr:twoCellAnchor editAs="oneCell">
    <xdr:from>
      <xdr:col>4</xdr:col>
      <xdr:colOff>893445</xdr:colOff>
      <xdr:row>101</xdr:row>
      <xdr:rowOff>9525</xdr:rowOff>
    </xdr:from>
    <xdr:to>
      <xdr:col>10</xdr:col>
      <xdr:colOff>591772</xdr:colOff>
      <xdr:row>103</xdr:row>
      <xdr:rowOff>92081</xdr:rowOff>
    </xdr:to>
    <xdr:grpSp>
      <xdr:nvGrpSpPr>
        <xdr:cNvPr id="124" name="Group 123">
          <a:extLst>
            <a:ext uri="{FF2B5EF4-FFF2-40B4-BE49-F238E27FC236}">
              <a16:creationId xmlns:a16="http://schemas.microsoft.com/office/drawing/2014/main" id="{00000000-0008-0000-0000-00007C000000}"/>
            </a:ext>
          </a:extLst>
        </xdr:cNvPr>
        <xdr:cNvGrpSpPr/>
      </xdr:nvGrpSpPr>
      <xdr:grpSpPr>
        <a:xfrm>
          <a:off x="12285345" y="18573750"/>
          <a:ext cx="5575252" cy="444506"/>
          <a:chOff x="12289155" y="51328320"/>
          <a:chExt cx="5472382" cy="427362"/>
        </a:xfrm>
      </xdr:grpSpPr>
      <xdr:sp macro="" textlink="">
        <xdr:nvSpPr>
          <xdr:cNvPr id="65" name="TextBox 64">
            <a:extLst>
              <a:ext uri="{FF2B5EF4-FFF2-40B4-BE49-F238E27FC236}">
                <a16:creationId xmlns:a16="http://schemas.microsoft.com/office/drawing/2014/main" id="{00000000-0008-0000-0000-000041000000}"/>
              </a:ext>
            </a:extLst>
          </xdr:cNvPr>
          <xdr:cNvSpPr txBox="1"/>
        </xdr:nvSpPr>
        <xdr:spPr>
          <a:xfrm>
            <a:off x="12289904" y="51521095"/>
            <a:ext cx="5466600" cy="23458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20: Vælg et konfidensniveau</a:t>
            </a:r>
          </a:p>
        </xdr:txBody>
      </xdr:sp>
      <xdr:pic>
        <xdr:nvPicPr>
          <xdr:cNvPr id="123" name="Picture 122">
            <a:extLst>
              <a:ext uri="{FF2B5EF4-FFF2-40B4-BE49-F238E27FC236}">
                <a16:creationId xmlns:a16="http://schemas.microsoft.com/office/drawing/2014/main" id="{00000000-0008-0000-0000-00007B000000}"/>
              </a:ext>
            </a:extLst>
          </xdr:cNvPr>
          <xdr:cNvPicPr>
            <a:picLocks noChangeAspect="1"/>
          </xdr:cNvPicPr>
        </xdr:nvPicPr>
        <xdr:blipFill>
          <a:blip xmlns:r="http://schemas.openxmlformats.org/officeDocument/2006/relationships" r:embed="rId7"/>
          <a:stretch>
            <a:fillRect/>
          </a:stretch>
        </xdr:blipFill>
        <xdr:spPr>
          <a:xfrm>
            <a:off x="12289155" y="51328320"/>
            <a:ext cx="5472382" cy="203809"/>
          </a:xfrm>
          <a:prstGeom prst="rect">
            <a:avLst/>
          </a:prstGeom>
        </xdr:spPr>
      </xdr:pic>
    </xdr:grpSp>
    <xdr:clientData/>
  </xdr:twoCellAnchor>
  <xdr:twoCellAnchor editAs="oneCell">
    <xdr:from>
      <xdr:col>4</xdr:col>
      <xdr:colOff>897255</xdr:colOff>
      <xdr:row>107</xdr:row>
      <xdr:rowOff>20955</xdr:rowOff>
    </xdr:from>
    <xdr:to>
      <xdr:col>16</xdr:col>
      <xdr:colOff>210319</xdr:colOff>
      <xdr:row>116</xdr:row>
      <xdr:rowOff>94397</xdr:rowOff>
    </xdr:to>
    <xdr:grpSp>
      <xdr:nvGrpSpPr>
        <xdr:cNvPr id="128" name="Group 127">
          <a:extLst>
            <a:ext uri="{FF2B5EF4-FFF2-40B4-BE49-F238E27FC236}">
              <a16:creationId xmlns:a16="http://schemas.microsoft.com/office/drawing/2014/main" id="{00000000-0008-0000-0000-000080000000}"/>
            </a:ext>
          </a:extLst>
        </xdr:cNvPr>
        <xdr:cNvGrpSpPr/>
      </xdr:nvGrpSpPr>
      <xdr:grpSpPr>
        <a:xfrm>
          <a:off x="12289155" y="19671030"/>
          <a:ext cx="9304789" cy="1702217"/>
          <a:chOff x="12289155" y="52427505"/>
          <a:chExt cx="9095239" cy="1624111"/>
        </a:xfrm>
      </xdr:grpSpPr>
      <xdr:pic>
        <xdr:nvPicPr>
          <xdr:cNvPr id="125" name="Picture 124">
            <a:extLst>
              <a:ext uri="{FF2B5EF4-FFF2-40B4-BE49-F238E27FC236}">
                <a16:creationId xmlns:a16="http://schemas.microsoft.com/office/drawing/2014/main" id="{00000000-0008-0000-0000-00007D000000}"/>
              </a:ext>
            </a:extLst>
          </xdr:cNvPr>
          <xdr:cNvPicPr>
            <a:picLocks noChangeAspect="1"/>
          </xdr:cNvPicPr>
        </xdr:nvPicPr>
        <xdr:blipFill>
          <a:blip xmlns:r="http://schemas.openxmlformats.org/officeDocument/2006/relationships" r:embed="rId8"/>
          <a:stretch>
            <a:fillRect/>
          </a:stretch>
        </xdr:blipFill>
        <xdr:spPr>
          <a:xfrm>
            <a:off x="12289155" y="52427505"/>
            <a:ext cx="9095239" cy="1401905"/>
          </a:xfrm>
          <a:prstGeom prst="rect">
            <a:avLst/>
          </a:prstGeom>
        </xdr:spPr>
      </xdr:pic>
      <xdr:sp macro="" textlink="">
        <xdr:nvSpPr>
          <xdr:cNvPr id="126" name="TextBox 125">
            <a:extLst>
              <a:ext uri="{FF2B5EF4-FFF2-40B4-BE49-F238E27FC236}">
                <a16:creationId xmlns:a16="http://schemas.microsoft.com/office/drawing/2014/main" id="{00000000-0008-0000-0000-00007E000000}"/>
              </a:ext>
            </a:extLst>
          </xdr:cNvPr>
          <xdr:cNvSpPr txBox="1"/>
        </xdr:nvSpPr>
        <xdr:spPr>
          <a:xfrm>
            <a:off x="12294870" y="53804820"/>
            <a:ext cx="9059593" cy="24679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21: Eksempel 4 og konstanten er inkluderet i modellen, resten er udeladt, fordi koefficienterne ikke var signifikante</a:t>
            </a:r>
          </a:p>
        </xdr:txBody>
      </xdr:sp>
    </xdr:grpSp>
    <xdr:clientData/>
  </xdr:twoCellAnchor>
  <xdr:twoCellAnchor editAs="oneCell">
    <xdr:from>
      <xdr:col>4</xdr:col>
      <xdr:colOff>876300</xdr:colOff>
      <xdr:row>117</xdr:row>
      <xdr:rowOff>121920</xdr:rowOff>
    </xdr:from>
    <xdr:to>
      <xdr:col>9</xdr:col>
      <xdr:colOff>285750</xdr:colOff>
      <xdr:row>136</xdr:row>
      <xdr:rowOff>38100</xdr:rowOff>
    </xdr:to>
    <xdr:grpSp>
      <xdr:nvGrpSpPr>
        <xdr:cNvPr id="129" name="Group 128">
          <a:extLst>
            <a:ext uri="{FF2B5EF4-FFF2-40B4-BE49-F238E27FC236}">
              <a16:creationId xmlns:a16="http://schemas.microsoft.com/office/drawing/2014/main" id="{00000000-0008-0000-0000-000081000000}"/>
            </a:ext>
          </a:extLst>
        </xdr:cNvPr>
        <xdr:cNvGrpSpPr/>
      </xdr:nvGrpSpPr>
      <xdr:grpSpPr>
        <a:xfrm>
          <a:off x="12268200" y="21581745"/>
          <a:ext cx="4600575" cy="3354705"/>
          <a:chOff x="12268200" y="54242970"/>
          <a:chExt cx="4524375" cy="3173731"/>
        </a:xfrm>
      </xdr:grpSpPr>
      <xdr:sp macro="" textlink="">
        <xdr:nvSpPr>
          <xdr:cNvPr id="75" name="TextBox 74">
            <a:extLst>
              <a:ext uri="{FF2B5EF4-FFF2-40B4-BE49-F238E27FC236}">
                <a16:creationId xmlns:a16="http://schemas.microsoft.com/office/drawing/2014/main" id="{00000000-0008-0000-0000-00004B000000}"/>
              </a:ext>
            </a:extLst>
          </xdr:cNvPr>
          <xdr:cNvSpPr txBox="1"/>
        </xdr:nvSpPr>
        <xdr:spPr>
          <a:xfrm>
            <a:off x="12283721" y="56962035"/>
            <a:ext cx="4472788" cy="4546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22: Eksempel 4 og konstantens koefficienter er signifikante og modellen har en justeret forklaringsgrad på 0,37</a:t>
            </a:r>
          </a:p>
        </xdr:txBody>
      </xdr:sp>
      <xdr:pic>
        <xdr:nvPicPr>
          <xdr:cNvPr id="127" name="Picture 126">
            <a:extLst>
              <a:ext uri="{FF2B5EF4-FFF2-40B4-BE49-F238E27FC236}">
                <a16:creationId xmlns:a16="http://schemas.microsoft.com/office/drawing/2014/main" id="{00000000-0008-0000-0000-00007F000000}"/>
              </a:ext>
            </a:extLst>
          </xdr:cNvPr>
          <xdr:cNvPicPr>
            <a:picLocks noChangeAspect="1"/>
          </xdr:cNvPicPr>
        </xdr:nvPicPr>
        <xdr:blipFill>
          <a:blip xmlns:r="http://schemas.openxmlformats.org/officeDocument/2006/relationships" r:embed="rId9"/>
          <a:stretch>
            <a:fillRect/>
          </a:stretch>
        </xdr:blipFill>
        <xdr:spPr>
          <a:xfrm>
            <a:off x="12268200" y="54242970"/>
            <a:ext cx="4524375" cy="2738471"/>
          </a:xfrm>
          <a:prstGeom prst="rect">
            <a:avLst/>
          </a:prstGeom>
        </xdr:spPr>
      </xdr:pic>
    </xdr:grpSp>
    <xdr:clientData/>
  </xdr:twoCellAnchor>
  <xdr:twoCellAnchor editAs="oneCell">
    <xdr:from>
      <xdr:col>0</xdr:col>
      <xdr:colOff>1638300</xdr:colOff>
      <xdr:row>107</xdr:row>
      <xdr:rowOff>5715</xdr:rowOff>
    </xdr:from>
    <xdr:to>
      <xdr:col>0</xdr:col>
      <xdr:colOff>2072925</xdr:colOff>
      <xdr:row>108</xdr:row>
      <xdr:rowOff>19050</xdr:rowOff>
    </xdr:to>
    <xdr:pic>
      <xdr:nvPicPr>
        <xdr:cNvPr id="130" name="Picture 129">
          <a:extLst>
            <a:ext uri="{FF2B5EF4-FFF2-40B4-BE49-F238E27FC236}">
              <a16:creationId xmlns:a16="http://schemas.microsoft.com/office/drawing/2014/main" id="{00000000-0008-0000-0000-000082000000}"/>
            </a:ext>
          </a:extLst>
        </xdr:cNvPr>
        <xdr:cNvPicPr>
          <a:picLocks noChangeAspect="1"/>
        </xdr:cNvPicPr>
      </xdr:nvPicPr>
      <xdr:blipFill rotWithShape="1">
        <a:blip xmlns:r="http://schemas.openxmlformats.org/officeDocument/2006/relationships" r:embed="rId10"/>
        <a:srcRect t="18296" b="33582"/>
        <a:stretch/>
      </xdr:blipFill>
      <xdr:spPr>
        <a:xfrm>
          <a:off x="1638300" y="53225972"/>
          <a:ext cx="434625" cy="172267"/>
        </a:xfrm>
        <a:prstGeom prst="rect">
          <a:avLst/>
        </a:prstGeom>
      </xdr:spPr>
    </xdr:pic>
    <xdr:clientData/>
  </xdr:twoCellAnchor>
  <xdr:twoCellAnchor editAs="oneCell">
    <xdr:from>
      <xdr:col>4</xdr:col>
      <xdr:colOff>857578</xdr:colOff>
      <xdr:row>139</xdr:row>
      <xdr:rowOff>29807</xdr:rowOff>
    </xdr:from>
    <xdr:to>
      <xdr:col>13</xdr:col>
      <xdr:colOff>153750</xdr:colOff>
      <xdr:row>141</xdr:row>
      <xdr:rowOff>112059</xdr:rowOff>
    </xdr:to>
    <xdr:grpSp>
      <xdr:nvGrpSpPr>
        <xdr:cNvPr id="147" name="Group 146">
          <a:extLst>
            <a:ext uri="{FF2B5EF4-FFF2-40B4-BE49-F238E27FC236}">
              <a16:creationId xmlns:a16="http://schemas.microsoft.com/office/drawing/2014/main" id="{00000000-0008-0000-0000-000093000000}"/>
            </a:ext>
          </a:extLst>
        </xdr:cNvPr>
        <xdr:cNvGrpSpPr/>
      </xdr:nvGrpSpPr>
      <xdr:grpSpPr>
        <a:xfrm>
          <a:off x="12249478" y="25471082"/>
          <a:ext cx="7230497" cy="444202"/>
          <a:chOff x="12233149" y="60486343"/>
          <a:chExt cx="7079458" cy="436037"/>
        </a:xfrm>
      </xdr:grpSpPr>
      <xdr:sp macro="" textlink="">
        <xdr:nvSpPr>
          <xdr:cNvPr id="76" name="TextBox 75">
            <a:extLst>
              <a:ext uri="{FF2B5EF4-FFF2-40B4-BE49-F238E27FC236}">
                <a16:creationId xmlns:a16="http://schemas.microsoft.com/office/drawing/2014/main" id="{00000000-0008-0000-0000-00004C000000}"/>
              </a:ext>
            </a:extLst>
          </xdr:cNvPr>
          <xdr:cNvSpPr txBox="1"/>
        </xdr:nvSpPr>
        <xdr:spPr>
          <a:xfrm>
            <a:off x="12233149" y="60691072"/>
            <a:ext cx="7056368" cy="2313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23: Analyse med angivne værdier for uafhængige variable er inkluderet</a:t>
            </a:r>
          </a:p>
        </xdr:txBody>
      </xdr:sp>
      <xdr:pic>
        <xdr:nvPicPr>
          <xdr:cNvPr id="131" name="Picture 130">
            <a:extLst>
              <a:ext uri="{FF2B5EF4-FFF2-40B4-BE49-F238E27FC236}">
                <a16:creationId xmlns:a16="http://schemas.microsoft.com/office/drawing/2014/main" id="{00000000-0008-0000-0000-000083000000}"/>
              </a:ext>
            </a:extLst>
          </xdr:cNvPr>
          <xdr:cNvPicPr>
            <a:picLocks noChangeAspect="1"/>
          </xdr:cNvPicPr>
        </xdr:nvPicPr>
        <xdr:blipFill>
          <a:blip xmlns:r="http://schemas.openxmlformats.org/officeDocument/2006/relationships" r:embed="rId11"/>
          <a:stretch>
            <a:fillRect/>
          </a:stretch>
        </xdr:blipFill>
        <xdr:spPr>
          <a:xfrm>
            <a:off x="12234838" y="60486343"/>
            <a:ext cx="7077769" cy="220233"/>
          </a:xfrm>
          <a:prstGeom prst="rect">
            <a:avLst/>
          </a:prstGeom>
        </xdr:spPr>
      </xdr:pic>
    </xdr:grpSp>
    <xdr:clientData/>
  </xdr:twoCellAnchor>
  <xdr:twoCellAnchor editAs="oneCell">
    <xdr:from>
      <xdr:col>4</xdr:col>
      <xdr:colOff>855457</xdr:colOff>
      <xdr:row>145</xdr:row>
      <xdr:rowOff>74630</xdr:rowOff>
    </xdr:from>
    <xdr:to>
      <xdr:col>18</xdr:col>
      <xdr:colOff>363415</xdr:colOff>
      <xdr:row>156</xdr:row>
      <xdr:rowOff>22413</xdr:rowOff>
    </xdr:to>
    <xdr:grpSp>
      <xdr:nvGrpSpPr>
        <xdr:cNvPr id="146" name="Group 145">
          <a:extLst>
            <a:ext uri="{FF2B5EF4-FFF2-40B4-BE49-F238E27FC236}">
              <a16:creationId xmlns:a16="http://schemas.microsoft.com/office/drawing/2014/main" id="{00000000-0008-0000-0000-000092000000}"/>
            </a:ext>
          </a:extLst>
        </xdr:cNvPr>
        <xdr:cNvGrpSpPr/>
      </xdr:nvGrpSpPr>
      <xdr:grpSpPr>
        <a:xfrm>
          <a:off x="12247357" y="26601755"/>
          <a:ext cx="10871283" cy="1938508"/>
          <a:chOff x="12231028" y="61592523"/>
          <a:chExt cx="10624994" cy="1893604"/>
        </a:xfrm>
      </xdr:grpSpPr>
      <xdr:sp macro="" textlink="">
        <xdr:nvSpPr>
          <xdr:cNvPr id="79" name="TextBox 78">
            <a:extLst>
              <a:ext uri="{FF2B5EF4-FFF2-40B4-BE49-F238E27FC236}">
                <a16:creationId xmlns:a16="http://schemas.microsoft.com/office/drawing/2014/main" id="{00000000-0008-0000-0000-00004F000000}"/>
              </a:ext>
            </a:extLst>
          </xdr:cNvPr>
          <xdr:cNvSpPr txBox="1"/>
        </xdr:nvSpPr>
        <xdr:spPr>
          <a:xfrm>
            <a:off x="12235419" y="63170310"/>
            <a:ext cx="10580029" cy="3158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24: Når der er angivet værdier for alle inkluderede uafhængige variable kan der beregnes en y værdi. Her forventes Eksempel 1 at blive -0,032, når Eksempel 4 er 60.</a:t>
            </a:r>
          </a:p>
        </xdr:txBody>
      </xdr:sp>
      <xdr:pic>
        <xdr:nvPicPr>
          <xdr:cNvPr id="132" name="Picture 131">
            <a:extLst>
              <a:ext uri="{FF2B5EF4-FFF2-40B4-BE49-F238E27FC236}">
                <a16:creationId xmlns:a16="http://schemas.microsoft.com/office/drawing/2014/main" id="{00000000-0008-0000-0000-000084000000}"/>
              </a:ext>
            </a:extLst>
          </xdr:cNvPr>
          <xdr:cNvPicPr>
            <a:picLocks noChangeAspect="1"/>
          </xdr:cNvPicPr>
        </xdr:nvPicPr>
        <xdr:blipFill>
          <a:blip xmlns:r="http://schemas.openxmlformats.org/officeDocument/2006/relationships" r:embed="rId12"/>
          <a:stretch>
            <a:fillRect/>
          </a:stretch>
        </xdr:blipFill>
        <xdr:spPr>
          <a:xfrm>
            <a:off x="12231028" y="61592523"/>
            <a:ext cx="10624994" cy="1555433"/>
          </a:xfrm>
          <a:prstGeom prst="rect">
            <a:avLst/>
          </a:prstGeom>
        </xdr:spPr>
      </xdr:pic>
    </xdr:grpSp>
    <xdr:clientData/>
  </xdr:twoCellAnchor>
  <xdr:twoCellAnchor editAs="oneCell">
    <xdr:from>
      <xdr:col>0</xdr:col>
      <xdr:colOff>0</xdr:colOff>
      <xdr:row>159</xdr:row>
      <xdr:rowOff>78441</xdr:rowOff>
    </xdr:from>
    <xdr:to>
      <xdr:col>0</xdr:col>
      <xdr:colOff>3906604</xdr:colOff>
      <xdr:row>190</xdr:row>
      <xdr:rowOff>77687</xdr:rowOff>
    </xdr:to>
    <xdr:grpSp>
      <xdr:nvGrpSpPr>
        <xdr:cNvPr id="134" name="Group 133">
          <a:extLst>
            <a:ext uri="{FF2B5EF4-FFF2-40B4-BE49-F238E27FC236}">
              <a16:creationId xmlns:a16="http://schemas.microsoft.com/office/drawing/2014/main" id="{00000000-0008-0000-0000-000086000000}"/>
            </a:ext>
          </a:extLst>
        </xdr:cNvPr>
        <xdr:cNvGrpSpPr/>
      </xdr:nvGrpSpPr>
      <xdr:grpSpPr>
        <a:xfrm>
          <a:off x="0" y="29139216"/>
          <a:ext cx="3906604" cy="5609471"/>
          <a:chOff x="0" y="60198000"/>
          <a:chExt cx="3897079" cy="5209981"/>
        </a:xfrm>
      </xdr:grpSpPr>
      <xdr:sp macro="" textlink="">
        <xdr:nvSpPr>
          <xdr:cNvPr id="80" name="TextBox 79">
            <a:extLst>
              <a:ext uri="{FF2B5EF4-FFF2-40B4-BE49-F238E27FC236}">
                <a16:creationId xmlns:a16="http://schemas.microsoft.com/office/drawing/2014/main" id="{00000000-0008-0000-0000-000050000000}"/>
              </a:ext>
            </a:extLst>
          </xdr:cNvPr>
          <xdr:cNvSpPr txBox="1"/>
        </xdr:nvSpPr>
        <xdr:spPr>
          <a:xfrm>
            <a:off x="0" y="64844937"/>
            <a:ext cx="3875330" cy="56304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25: Konstanten og Eksempel 4 trækker i hver sin retning, så den samlede beregnede værdi af Eksempel 1 bliver tæt på 0, når eksempel 4 er 60.</a:t>
            </a:r>
          </a:p>
        </xdr:txBody>
      </xdr:sp>
      <xdr:pic>
        <xdr:nvPicPr>
          <xdr:cNvPr id="133" name="Picture 132">
            <a:extLst>
              <a:ext uri="{FF2B5EF4-FFF2-40B4-BE49-F238E27FC236}">
                <a16:creationId xmlns:a16="http://schemas.microsoft.com/office/drawing/2014/main" id="{00000000-0008-0000-0000-000085000000}"/>
              </a:ext>
            </a:extLst>
          </xdr:cNvPr>
          <xdr:cNvPicPr>
            <a:picLocks noChangeAspect="1"/>
          </xdr:cNvPicPr>
        </xdr:nvPicPr>
        <xdr:blipFill>
          <a:blip xmlns:r="http://schemas.openxmlformats.org/officeDocument/2006/relationships" r:embed="rId13"/>
          <a:stretch>
            <a:fillRect/>
          </a:stretch>
        </xdr:blipFill>
        <xdr:spPr>
          <a:xfrm>
            <a:off x="20506" y="60198000"/>
            <a:ext cx="3876573" cy="4646631"/>
          </a:xfrm>
          <a:prstGeom prst="rect">
            <a:avLst/>
          </a:prstGeom>
        </xdr:spPr>
      </xdr:pic>
    </xdr:grpSp>
    <xdr:clientData/>
  </xdr:twoCellAnchor>
  <xdr:twoCellAnchor editAs="oneCell">
    <xdr:from>
      <xdr:col>0</xdr:col>
      <xdr:colOff>0</xdr:colOff>
      <xdr:row>278</xdr:row>
      <xdr:rowOff>1</xdr:rowOff>
    </xdr:from>
    <xdr:to>
      <xdr:col>0</xdr:col>
      <xdr:colOff>4552124</xdr:colOff>
      <xdr:row>284</xdr:row>
      <xdr:rowOff>167641</xdr:rowOff>
    </xdr:to>
    <xdr:grpSp>
      <xdr:nvGrpSpPr>
        <xdr:cNvPr id="141" name="Group 140">
          <a:extLst>
            <a:ext uri="{FF2B5EF4-FFF2-40B4-BE49-F238E27FC236}">
              <a16:creationId xmlns:a16="http://schemas.microsoft.com/office/drawing/2014/main" id="{00000000-0008-0000-0000-00008D000000}"/>
            </a:ext>
          </a:extLst>
        </xdr:cNvPr>
        <xdr:cNvGrpSpPr/>
      </xdr:nvGrpSpPr>
      <xdr:grpSpPr>
        <a:xfrm>
          <a:off x="0" y="50596801"/>
          <a:ext cx="4552124" cy="1253490"/>
          <a:chOff x="0" y="85044644"/>
          <a:chExt cx="4552124" cy="1228997"/>
        </a:xfrm>
      </xdr:grpSpPr>
      <xdr:pic>
        <xdr:nvPicPr>
          <xdr:cNvPr id="139" name="Picture 138">
            <a:extLst>
              <a:ext uri="{FF2B5EF4-FFF2-40B4-BE49-F238E27FC236}">
                <a16:creationId xmlns:a16="http://schemas.microsoft.com/office/drawing/2014/main" id="{00000000-0008-0000-0000-00008B000000}"/>
              </a:ext>
            </a:extLst>
          </xdr:cNvPr>
          <xdr:cNvPicPr>
            <a:picLocks noChangeAspect="1"/>
          </xdr:cNvPicPr>
        </xdr:nvPicPr>
        <xdr:blipFill>
          <a:blip xmlns:r="http://schemas.openxmlformats.org/officeDocument/2006/relationships" r:embed="rId14"/>
          <a:stretch>
            <a:fillRect/>
          </a:stretch>
        </xdr:blipFill>
        <xdr:spPr>
          <a:xfrm>
            <a:off x="0" y="85044644"/>
            <a:ext cx="4551045" cy="942214"/>
          </a:xfrm>
          <a:prstGeom prst="rect">
            <a:avLst/>
          </a:prstGeom>
        </xdr:spPr>
      </xdr:pic>
      <xdr:sp macro="" textlink="">
        <xdr:nvSpPr>
          <xdr:cNvPr id="140" name="TextBox 139">
            <a:extLst>
              <a:ext uri="{FF2B5EF4-FFF2-40B4-BE49-F238E27FC236}">
                <a16:creationId xmlns:a16="http://schemas.microsoft.com/office/drawing/2014/main" id="{00000000-0008-0000-0000-00008C000000}"/>
              </a:ext>
            </a:extLst>
          </xdr:cNvPr>
          <xdr:cNvSpPr txBox="1"/>
        </xdr:nvSpPr>
        <xdr:spPr>
          <a:xfrm>
            <a:off x="0" y="85988163"/>
            <a:ext cx="4552124" cy="28547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30: Den matematiske formel modellen vises under diagrammerne</a:t>
            </a:r>
          </a:p>
        </xdr:txBody>
      </xdr:sp>
    </xdr:grpSp>
    <xdr:clientData/>
  </xdr:twoCellAnchor>
  <xdr:twoCellAnchor editAs="oneCell">
    <xdr:from>
      <xdr:col>0</xdr:col>
      <xdr:colOff>0</xdr:colOff>
      <xdr:row>22</xdr:row>
      <xdr:rowOff>9525</xdr:rowOff>
    </xdr:from>
    <xdr:to>
      <xdr:col>0</xdr:col>
      <xdr:colOff>1000430</xdr:colOff>
      <xdr:row>24</xdr:row>
      <xdr:rowOff>0</xdr:rowOff>
    </xdr:to>
    <xdr:pic>
      <xdr:nvPicPr>
        <xdr:cNvPr id="11" name="Picture 10">
          <a:hlinkClick xmlns:r="http://schemas.openxmlformats.org/officeDocument/2006/relationships" r:id="rId15"/>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0" y="4048125"/>
          <a:ext cx="1000430" cy="352425"/>
        </a:xfrm>
        <a:prstGeom prst="rect">
          <a:avLst/>
        </a:prstGeom>
      </xdr:spPr>
    </xdr:pic>
    <xdr:clientData/>
  </xdr:twoCellAnchor>
  <xdr:twoCellAnchor editAs="oneCell">
    <xdr:from>
      <xdr:col>0</xdr:col>
      <xdr:colOff>0</xdr:colOff>
      <xdr:row>37</xdr:row>
      <xdr:rowOff>0</xdr:rowOff>
    </xdr:from>
    <xdr:to>
      <xdr:col>0</xdr:col>
      <xdr:colOff>3014171</xdr:colOff>
      <xdr:row>54</xdr:row>
      <xdr:rowOff>154984</xdr:rowOff>
    </xdr:to>
    <xdr:grpSp>
      <xdr:nvGrpSpPr>
        <xdr:cNvPr id="101" name="Group 100">
          <a:extLst>
            <a:ext uri="{FF2B5EF4-FFF2-40B4-BE49-F238E27FC236}">
              <a16:creationId xmlns:a16="http://schemas.microsoft.com/office/drawing/2014/main" id="{00000000-0008-0000-0000-000065000000}"/>
            </a:ext>
          </a:extLst>
        </xdr:cNvPr>
        <xdr:cNvGrpSpPr/>
      </xdr:nvGrpSpPr>
      <xdr:grpSpPr>
        <a:xfrm>
          <a:off x="0" y="6867525"/>
          <a:ext cx="3014171" cy="3231559"/>
          <a:chOff x="704022" y="4116457"/>
          <a:chExt cx="3563811" cy="3402910"/>
        </a:xfrm>
      </xdr:grpSpPr>
      <xdr:pic>
        <xdr:nvPicPr>
          <xdr:cNvPr id="102" name="Picture 101" descr="Den sikreste måde at indsætte data på i tabellen.">
            <a:extLst>
              <a:ext uri="{FF2B5EF4-FFF2-40B4-BE49-F238E27FC236}">
                <a16:creationId xmlns:a16="http://schemas.microsoft.com/office/drawing/2014/main" id="{00000000-0008-0000-0000-000066000000}"/>
              </a:ext>
            </a:extLst>
          </xdr:cNvPr>
          <xdr:cNvPicPr>
            <a:picLocks noChangeAspect="1"/>
          </xdr:cNvPicPr>
        </xdr:nvPicPr>
        <xdr:blipFill>
          <a:blip xmlns:r="http://schemas.openxmlformats.org/officeDocument/2006/relationships" r:embed="rId17"/>
          <a:stretch>
            <a:fillRect/>
          </a:stretch>
        </xdr:blipFill>
        <xdr:spPr>
          <a:xfrm>
            <a:off x="704022" y="4116457"/>
            <a:ext cx="3563811" cy="3184323"/>
          </a:xfrm>
          <a:prstGeom prst="rect">
            <a:avLst/>
          </a:prstGeom>
          <a:ln w="9525">
            <a:solidFill>
              <a:schemeClr val="tx1">
                <a:lumMod val="75000"/>
                <a:lumOff val="25000"/>
              </a:schemeClr>
            </a:solidFill>
          </a:ln>
        </xdr:spPr>
      </xdr:pic>
      <xdr:sp macro="" textlink="">
        <xdr:nvSpPr>
          <xdr:cNvPr id="103" name="TextBox 102">
            <a:extLst>
              <a:ext uri="{FF2B5EF4-FFF2-40B4-BE49-F238E27FC236}">
                <a16:creationId xmlns:a16="http://schemas.microsoft.com/office/drawing/2014/main" id="{00000000-0008-0000-0000-000067000000}"/>
              </a:ext>
            </a:extLst>
          </xdr:cNvPr>
          <xdr:cNvSpPr txBox="1"/>
        </xdr:nvSpPr>
        <xdr:spPr>
          <a:xfrm>
            <a:off x="704600" y="7303356"/>
            <a:ext cx="3554296" cy="21601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 Den sikreste måde at indsætte data på</a:t>
            </a:r>
            <a:endParaRPr lang="da-DK" sz="1100"/>
          </a:p>
        </xdr:txBody>
      </xdr:sp>
    </xdr:grpSp>
    <xdr:clientData/>
  </xdr:twoCellAnchor>
  <xdr:twoCellAnchor>
    <xdr:from>
      <xdr:col>0</xdr:col>
      <xdr:colOff>0</xdr:colOff>
      <xdr:row>58</xdr:row>
      <xdr:rowOff>47625</xdr:rowOff>
    </xdr:from>
    <xdr:to>
      <xdr:col>0</xdr:col>
      <xdr:colOff>4852394</xdr:colOff>
      <xdr:row>60</xdr:row>
      <xdr:rowOff>19613</xdr:rowOff>
    </xdr:to>
    <xdr:grpSp>
      <xdr:nvGrpSpPr>
        <xdr:cNvPr id="23" name="Group 22">
          <a:extLst>
            <a:ext uri="{FF2B5EF4-FFF2-40B4-BE49-F238E27FC236}">
              <a16:creationId xmlns:a16="http://schemas.microsoft.com/office/drawing/2014/main" id="{00000000-0008-0000-0000-000017000000}"/>
            </a:ext>
          </a:extLst>
        </xdr:cNvPr>
        <xdr:cNvGrpSpPr/>
      </xdr:nvGrpSpPr>
      <xdr:grpSpPr>
        <a:xfrm>
          <a:off x="0" y="10715625"/>
          <a:ext cx="4852394" cy="333938"/>
          <a:chOff x="5734049" y="9201150"/>
          <a:chExt cx="7897328" cy="543488"/>
        </a:xfrm>
      </xdr:grpSpPr>
      <xdr:sp macro="" textlink="">
        <xdr:nvSpPr>
          <xdr:cNvPr id="16" name="TextBox 15">
            <a:extLst>
              <a:ext uri="{FF2B5EF4-FFF2-40B4-BE49-F238E27FC236}">
                <a16:creationId xmlns:a16="http://schemas.microsoft.com/office/drawing/2014/main" id="{00000000-0008-0000-0000-000010000000}"/>
              </a:ext>
            </a:extLst>
          </xdr:cNvPr>
          <xdr:cNvSpPr txBox="1"/>
        </xdr:nvSpPr>
        <xdr:spPr>
          <a:xfrm>
            <a:off x="5734049" y="9458326"/>
            <a:ext cx="7896225" cy="286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 Navigation findes i menuen under arket</a:t>
            </a:r>
            <a:endParaRPr lang="da-DK" sz="1100"/>
          </a:p>
        </xdr:txBody>
      </xdr:sp>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8"/>
          <a:stretch>
            <a:fillRect/>
          </a:stretch>
        </xdr:blipFill>
        <xdr:spPr>
          <a:xfrm>
            <a:off x="5734050" y="9201150"/>
            <a:ext cx="7897327" cy="285790"/>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absoluteAnchor>
    <xdr:pos x="18011775" y="5038725"/>
    <xdr:ext cx="6141354" cy="4032000"/>
    <xdr:graphicFrame macro="">
      <xdr:nvGraphicFramePr>
        <xdr:cNvPr id="55" name="Simpel lineær regression" descr="Simpel lineær regression&#10;Linjetilpasning">
          <a:extLst>
            <a:ext uri="{FF2B5EF4-FFF2-40B4-BE49-F238E27FC236}">
              <a16:creationId xmlns:a16="http://schemas.microsoft.com/office/drawing/2014/main" id="{00000000-0008-0000-0800-00003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twoCellAnchor>
    <xdr:from>
      <xdr:col>4</xdr:col>
      <xdr:colOff>57150</xdr:colOff>
      <xdr:row>4</xdr:row>
      <xdr:rowOff>28575</xdr:rowOff>
    </xdr:from>
    <xdr:to>
      <xdr:col>5</xdr:col>
      <xdr:colOff>57150</xdr:colOff>
      <xdr:row>8</xdr:row>
      <xdr:rowOff>0</xdr:rowOff>
    </xdr:to>
    <xdr:cxnSp macro="">
      <xdr:nvCxnSpPr>
        <xdr:cNvPr id="59" name="Straight Connector 58">
          <a:extLst>
            <a:ext uri="{FF2B5EF4-FFF2-40B4-BE49-F238E27FC236}">
              <a16:creationId xmlns:a16="http://schemas.microsoft.com/office/drawing/2014/main" id="{00000000-0008-0000-0800-00003B000000}"/>
            </a:ext>
          </a:extLst>
        </xdr:cNvPr>
        <xdr:cNvCxnSpPr/>
      </xdr:nvCxnSpPr>
      <xdr:spPr>
        <a:xfrm flipV="1">
          <a:off x="11287125" y="819150"/>
          <a:ext cx="314325" cy="695325"/>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absoluteAnchor>
    <xdr:pos x="11616418" y="789214"/>
    <xdr:ext cx="6142441" cy="4032000"/>
    <xdr:graphicFrame macro="">
      <xdr:nvGraphicFramePr>
        <xdr:cNvPr id="36" name="Simpel lineær regression" descr="Simpel lineær regression&#10;Linjetilpasning">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twoCellAnchor editAs="absolute">
    <xdr:from>
      <xdr:col>10</xdr:col>
      <xdr:colOff>81643</xdr:colOff>
      <xdr:row>4</xdr:row>
      <xdr:rowOff>0</xdr:rowOff>
    </xdr:from>
    <xdr:to>
      <xdr:col>14</xdr:col>
      <xdr:colOff>1115121</xdr:colOff>
      <xdr:row>26</xdr:row>
      <xdr:rowOff>50550</xdr:rowOff>
    </xdr:to>
    <xdr:graphicFrame macro="">
      <xdr:nvGraphicFramePr>
        <xdr:cNvPr id="39" name="Chart 38">
          <a:extLst>
            <a:ext uri="{FF2B5EF4-FFF2-40B4-BE49-F238E27FC236}">
              <a16:creationId xmlns:a16="http://schemas.microsoft.com/office/drawing/2014/main" id="{00000000-0008-0000-08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absoluteAnchor>
    <xdr:pos x="24407132" y="789214"/>
    <xdr:ext cx="6141600" cy="4032000"/>
    <xdr:graphicFrame macro="">
      <xdr:nvGraphicFramePr>
        <xdr:cNvPr id="43" name="Observeret og beregnet værdi" descr="Simpel lineær regression&#10;Linjetilpasning">
          <a:extLst>
            <a:ext uri="{FF2B5EF4-FFF2-40B4-BE49-F238E27FC236}">
              <a16:creationId xmlns:a16="http://schemas.microsoft.com/office/drawing/2014/main" id="{00000000-0008-0000-08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absoluteAnchor>
  <xdr:absoluteAnchor>
    <xdr:pos x="11616418" y="5034643"/>
    <xdr:ext cx="6142441" cy="4032000"/>
    <xdr:graphicFrame macro="">
      <xdr:nvGraphicFramePr>
        <xdr:cNvPr id="44" name="Konfidensinterval" descr="Simpel lineær regression&#10;Konfidensinterval">
          <a:extLst>
            <a:ext uri="{FF2B5EF4-FFF2-40B4-BE49-F238E27FC236}">
              <a16:creationId xmlns:a16="http://schemas.microsoft.com/office/drawing/2014/main" id="{00000000-0008-0000-08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absoluteAnchor>
  <xdr:absoluteAnchor>
    <xdr:pos x="24407132" y="5034643"/>
    <xdr:ext cx="6141600" cy="4032000"/>
    <xdr:graphicFrame macro="">
      <xdr:nvGraphicFramePr>
        <xdr:cNvPr id="46" name="Normalfraktildiagram" descr="Simpel lineær regression&#10;Linjetilpasning">
          <a:extLst>
            <a:ext uri="{FF2B5EF4-FFF2-40B4-BE49-F238E27FC236}">
              <a16:creationId xmlns:a16="http://schemas.microsoft.com/office/drawing/2014/main" id="{00000000-0008-0000-08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absoluteAnchor>
  <xdr:absoluteAnchor>
    <xdr:pos x="24407132" y="9280071"/>
    <xdr:ext cx="6141600" cy="4032000"/>
    <xdr:graphicFrame macro="">
      <xdr:nvGraphicFramePr>
        <xdr:cNvPr id="47" name="Normalfraktildiagram" descr="Simpel lineær regression&#10;Linjetilpasning">
          <a:extLst>
            <a:ext uri="{FF2B5EF4-FFF2-40B4-BE49-F238E27FC236}">
              <a16:creationId xmlns:a16="http://schemas.microsoft.com/office/drawing/2014/main" id="{00000000-0008-0000-08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absoluteAnchor>
  <xdr:absoluteAnchor>
    <xdr:pos x="11616418" y="9280071"/>
    <xdr:ext cx="6142441" cy="4032000"/>
    <xdr:graphicFrame macro="">
      <xdr:nvGraphicFramePr>
        <xdr:cNvPr id="49" name="Forudsigelsesinterval" descr="Simpel lineær regression&#10;Forudsigelsesinterval">
          <a:extLst>
            <a:ext uri="{FF2B5EF4-FFF2-40B4-BE49-F238E27FC236}">
              <a16:creationId xmlns:a16="http://schemas.microsoft.com/office/drawing/2014/main" id="{00000000-0008-0000-0800-00003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absoluteAnchor>
  <xdr:twoCellAnchor editAs="absolute">
    <xdr:from>
      <xdr:col>10</xdr:col>
      <xdr:colOff>81643</xdr:colOff>
      <xdr:row>51</xdr:row>
      <xdr:rowOff>0</xdr:rowOff>
    </xdr:from>
    <xdr:to>
      <xdr:col>14</xdr:col>
      <xdr:colOff>1115121</xdr:colOff>
      <xdr:row>73</xdr:row>
      <xdr:rowOff>50550</xdr:rowOff>
    </xdr:to>
    <xdr:graphicFrame macro="">
      <xdr:nvGraphicFramePr>
        <xdr:cNvPr id="51" name="Chart 50">
          <a:extLst>
            <a:ext uri="{FF2B5EF4-FFF2-40B4-BE49-F238E27FC236}">
              <a16:creationId xmlns:a16="http://schemas.microsoft.com/office/drawing/2014/main" id="{00000000-0008-0000-08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xdr:col>
      <xdr:colOff>38100</xdr:colOff>
      <xdr:row>27</xdr:row>
      <xdr:rowOff>38100</xdr:rowOff>
    </xdr:from>
    <xdr:to>
      <xdr:col>5</xdr:col>
      <xdr:colOff>76200</xdr:colOff>
      <xdr:row>73</xdr:row>
      <xdr:rowOff>57150</xdr:rowOff>
    </xdr:to>
    <xdr:cxnSp macro="">
      <xdr:nvCxnSpPr>
        <xdr:cNvPr id="29" name="Straight Connector 28">
          <a:extLst>
            <a:ext uri="{FF2B5EF4-FFF2-40B4-BE49-F238E27FC236}">
              <a16:creationId xmlns:a16="http://schemas.microsoft.com/office/drawing/2014/main" id="{00000000-0008-0000-0800-00001D000000}"/>
            </a:ext>
          </a:extLst>
        </xdr:cNvPr>
        <xdr:cNvCxnSpPr/>
      </xdr:nvCxnSpPr>
      <xdr:spPr>
        <a:xfrm>
          <a:off x="11268075" y="4991100"/>
          <a:ext cx="352425" cy="8343900"/>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absolute">
        <xdr:from>
          <xdr:col>2</xdr:col>
          <xdr:colOff>171450</xdr:colOff>
          <xdr:row>8</xdr:row>
          <xdr:rowOff>0</xdr:rowOff>
        </xdr:from>
        <xdr:to>
          <xdr:col>4</xdr:col>
          <xdr:colOff>56119</xdr:colOff>
          <xdr:row>27</xdr:row>
          <xdr:rowOff>86060</xdr:rowOff>
        </xdr:to>
        <xdr:pic>
          <xdr:nvPicPr>
            <xdr:cNvPr id="53" name="Picture 52">
              <a:extLst>
                <a:ext uri="{FF2B5EF4-FFF2-40B4-BE49-F238E27FC236}">
                  <a16:creationId xmlns:a16="http://schemas.microsoft.com/office/drawing/2014/main" id="{00000000-0008-0000-0800-000035000000}"/>
                </a:ext>
              </a:extLst>
            </xdr:cNvPr>
            <xdr:cNvPicPr>
              <a:picLocks noChangeAspect="1" noChangeArrowheads="1"/>
              <a:extLst>
                <a:ext uri="{84589F7E-364E-4C9E-8A38-B11213B215E9}">
                  <a14:cameraTool cellRange="$F$5:$T$74" spid="_x0000_s21637"/>
                </a:ext>
              </a:extLst>
            </xdr:cNvPicPr>
          </xdr:nvPicPr>
          <xdr:blipFill>
            <a:blip xmlns:r="http://schemas.openxmlformats.org/officeDocument/2006/relationships" r:embed="rId10"/>
            <a:srcRect/>
            <a:stretch>
              <a:fillRect/>
            </a:stretch>
          </xdr:blipFill>
          <xdr:spPr bwMode="auto">
            <a:xfrm>
              <a:off x="5991225" y="1514475"/>
              <a:ext cx="5294869" cy="3524585"/>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absolute">
    <xdr:from>
      <xdr:col>0</xdr:col>
      <xdr:colOff>0</xdr:colOff>
      <xdr:row>7</xdr:row>
      <xdr:rowOff>180974</xdr:rowOff>
    </xdr:from>
    <xdr:to>
      <xdr:col>0</xdr:col>
      <xdr:colOff>2725200</xdr:colOff>
      <xdr:row>27</xdr:row>
      <xdr:rowOff>9525</xdr:rowOff>
    </xdr:to>
    <mc:AlternateContent xmlns:mc="http://schemas.openxmlformats.org/markup-compatibility/2006" xmlns:sle15="http://schemas.microsoft.com/office/drawing/2012/slicer">
      <mc:Choice Requires="sle15">
        <xdr:graphicFrame macro="">
          <xdr:nvGraphicFramePr>
            <xdr:cNvPr id="16" name="Afhængig variabel 1">
              <a:extLst>
                <a:ext uri="{FF2B5EF4-FFF2-40B4-BE49-F238E27FC236}">
                  <a16:creationId xmlns:a16="http://schemas.microsoft.com/office/drawing/2014/main" id="{00000000-0008-0000-0800-000010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Afhængig variabel 1"/>
            </a:graphicData>
          </a:graphic>
        </xdr:graphicFrame>
      </mc:Choice>
      <mc:Fallback xmlns="">
        <xdr:sp macro="" textlink="">
          <xdr:nvSpPr>
            <xdr:cNvPr id="0" name=""/>
            <xdr:cNvSpPr>
              <a:spLocks noTextEdit="1"/>
            </xdr:cNvSpPr>
          </xdr:nvSpPr>
          <xdr:spPr>
            <a:xfrm>
              <a:off x="0" y="1514474"/>
              <a:ext cx="2725200" cy="3448051"/>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3105150</xdr:colOff>
      <xdr:row>7</xdr:row>
      <xdr:rowOff>180974</xdr:rowOff>
    </xdr:from>
    <xdr:to>
      <xdr:col>2</xdr:col>
      <xdr:colOff>7854</xdr:colOff>
      <xdr:row>27</xdr:row>
      <xdr:rowOff>9525</xdr:rowOff>
    </xdr:to>
    <mc:AlternateContent xmlns:mc="http://schemas.openxmlformats.org/markup-compatibility/2006" xmlns:sle15="http://schemas.microsoft.com/office/drawing/2012/slicer">
      <mc:Choice Requires="sle15">
        <xdr:graphicFrame macro="">
          <xdr:nvGraphicFramePr>
            <xdr:cNvPr id="17" name="Uafhængige variable 1">
              <a:extLst>
                <a:ext uri="{FF2B5EF4-FFF2-40B4-BE49-F238E27FC236}">
                  <a16:creationId xmlns:a16="http://schemas.microsoft.com/office/drawing/2014/main" id="{00000000-0008-0000-0800-000011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Uafhængige variable 1"/>
            </a:graphicData>
          </a:graphic>
        </xdr:graphicFrame>
      </mc:Choice>
      <mc:Fallback xmlns="">
        <xdr:sp macro="" textlink="">
          <xdr:nvSpPr>
            <xdr:cNvPr id="0" name=""/>
            <xdr:cNvSpPr>
              <a:spLocks noTextEdit="1"/>
            </xdr:cNvSpPr>
          </xdr:nvSpPr>
          <xdr:spPr>
            <a:xfrm>
              <a:off x="3105150" y="1514474"/>
              <a:ext cx="2722479" cy="3448051"/>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fhængig_variabel1" xr10:uid="{E4E72B5F-4DCE-4C64-AA16-E63AAE3FBF54}" sourceName="Afhængig variabel">
  <extLst>
    <x:ext xmlns:x15="http://schemas.microsoft.com/office/spreadsheetml/2010/11/main" uri="{2F2917AC-EB37-4324-AD4E-5DD8C200BD13}">
      <x15:tableSlicerCache tableId="8" column="6"/>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afhængige_variable1" xr10:uid="{F7C2A680-E859-4825-9BFD-9F1F9DABBCA5}" sourceName="Uafhængige variable">
  <extLst>
    <x:ext xmlns:x15="http://schemas.microsoft.com/office/spreadsheetml/2010/11/main" uri="{2F2917AC-EB37-4324-AD4E-5DD8C200BD13}">
      <x15:tableSlicerCache tableId="8" column="7" crossFilter="show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fhængig variabel 1" xr10:uid="{5D9D9218-9B79-4F31-8E53-12D5E2E1A98A}" cache="Slicer_Afhængig_variabel1" caption="Afhængig variabel" lockedPosition="1" rowHeight="241300"/>
  <slicer name="Uafhængige variable 1" xr10:uid="{419A9B15-54A6-4EF7-B3C9-7BB0970E2D33}" cache="Slicer_Uafhængige_variable1" caption="Uafhængige variable" style="SlicerStyleLight3" lockedPosition="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B3E3183-11F2-41D6-9435-716C8B0F30AC}" name="LineærRegression_Valg" displayName="LineærRegression_Valg" ref="A10:H2510" totalsRowShown="0">
  <autoFilter ref="A10:H2510" xr:uid="{6110E3A0-52BE-4649-9539-49133ABDB0F1}">
    <filterColumn colId="5">
      <filters>
        <filter val="Eksempel 1 (interval)"/>
      </filters>
    </filterColumn>
    <filterColumn colId="6">
      <filters>
        <filter val="Eksempel 2 (interval)"/>
        <filter val="Eksempel 3 (nominal)"/>
      </filters>
    </filterColumn>
  </autoFilter>
  <tableColumns count="8">
    <tableColumn id="1" xr3:uid="{65105B97-5315-4442-B573-9FC1617FB748}" name="Tabel ID">
      <calculatedColumnFormula>ROW(LineærRegression_Valg[[#This Row],[Tabel ID]])-ROW(LineærRegression_Valg[[#Headers],[Tabel ID]])</calculatedColumnFormula>
    </tableColumn>
    <tableColumn id="2" xr3:uid="{F1E00A39-6A5C-49FE-96E2-7EF3759A5EE9}" name="Afhængig variabel ID" dataDxfId="8">
      <calculatedColumnFormula>ROUNDDOWN((LineærRegression_Valg[[#This Row],[Tabel ID]]-1)/$B$5,0)+1</calculatedColumnFormula>
    </tableColumn>
    <tableColumn id="3" xr3:uid="{5334416F-3FA7-4648-B661-02913084F45A}" name="Uafhængig variabel ID" dataDxfId="7">
      <calculatedColumnFormula>MOD(A11-1,$B$5)+1</calculatedColumnFormula>
    </tableColumn>
    <tableColumn id="4" xr3:uid="{5DEFBCE8-C512-4D2A-8D94-386D1E6995E1}" name="Intet overlap" dataDxfId="6">
      <calculatedColumnFormula>LineærRegression_Valg[[#This Row],[Afhængig variabel ID]]&lt;&gt;LineærRegression_Valg[[#This Row],[Uafhængig variabel ID]]</calculatedColumnFormula>
    </tableColumn>
    <tableColumn id="5" xr3:uid="{F78E5E6D-6CF8-4BB7-894C-9A2C4C777579}" name="Indenfor range" dataDxfId="5">
      <calculatedColumnFormula>LineærRegression_Valg[[#This Row],[Afhængig variabel ID]]&lt;=$B$5</calculatedColumnFormula>
    </tableColumn>
    <tableColumn id="6" xr3:uid="{ADD3E8B2-E62E-49AE-808F-A8B6A0EDEBFF}" name="Afhængig variabel" dataDxfId="4">
      <calculatedColumnFormula array="1">IF(LineærRegression_Valg[[#This Row],[Indenfor range]],INDEX(DataTitel_liste,LineærRegression_Valg[[#This Row],[Afhængig variabel ID]]),INDEX(DataTitel_liste,1))</calculatedColumnFormula>
    </tableColumn>
    <tableColumn id="7" xr3:uid="{71728D19-557A-4A50-A20E-E60415C548F3}" name="Uafhængige variable" dataDxfId="3">
      <calculatedColumnFormula array="1">IF(LineærRegression_Valg[[#This Row],[Indenfor range]],IF(LineærRegression_Valg[[#This Row],[Intet overlap]],INDEX(DataTitel_liste,LineærRegression_Valg[[#This Row],[Uafhængig variabel ID]]),INDEX(DataTitel_liste,IF(LineærRegression_Valg[[#This Row],[Afhængig variabel ID]]=1,2,1))),$B$7)</calculatedColumnFormula>
    </tableColumn>
    <tableColumn id="8" xr3:uid="{7782036C-3D4E-49D4-A430-125A7444BDDF}" name="Synlig" dataDxfId="2">
      <calculatedColumnFormula>_xlfn.AGGREGATE(2,5,LineærRegression_Valg[[#This Row],[Tabel ID]])</calculatedColumnFormula>
    </tableColumn>
  </tableColumns>
  <tableStyleInfo name="Table 1" showFirstColumn="0" showLastColumn="0" showRowStripes="1" showColumnStripes="0"/>
</table>
</file>

<file path=xl/theme/theme1.xml><?xml version="1.0" encoding="utf-8"?>
<a:theme xmlns:a="http://schemas.openxmlformats.org/drawingml/2006/main" name="Business Academy Aarhus, 2017, Danish">
  <a:themeElements>
    <a:clrScheme name="Custom 1">
      <a:dk1>
        <a:sysClr val="windowText" lastClr="000000"/>
      </a:dk1>
      <a:lt1>
        <a:sysClr val="window" lastClr="FFFFFF"/>
      </a:lt1>
      <a:dk2>
        <a:srgbClr val="1F497D"/>
      </a:dk2>
      <a:lt2>
        <a:srgbClr val="EEECE1"/>
      </a:lt2>
      <a:accent1>
        <a:srgbClr val="62B2C4"/>
      </a:accent1>
      <a:accent2>
        <a:srgbClr val="FF7000"/>
      </a:accent2>
      <a:accent3>
        <a:srgbClr val="79B57F"/>
      </a:accent3>
      <a:accent4>
        <a:srgbClr val="B52933"/>
      </a:accent4>
      <a:accent5>
        <a:srgbClr val="613C8D"/>
      </a:accent5>
      <a:accent6>
        <a:srgbClr val="FDD100"/>
      </a:accent6>
      <a:hlink>
        <a:srgbClr val="1F497D"/>
      </a:hlink>
      <a:folHlink>
        <a:srgbClr val="7030A0"/>
      </a:folHlink>
    </a:clrScheme>
    <a:fontScheme name="Tw Cen MT">
      <a:majorFont>
        <a:latin typeface="Tw Cen MT"/>
        <a:ea typeface=""/>
        <a:cs typeface=""/>
      </a:majorFont>
      <a:minorFont>
        <a:latin typeface="Tw Cen MT"/>
        <a:ea typeface=""/>
        <a:cs typeface=""/>
      </a:minorFont>
    </a:fontScheme>
    <a:fmtScheme name="Kont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extLst>
    <a:ext uri="{05A4C25C-085E-4340-85A3-A5531E510DB2}">
      <thm15:themeFamily xmlns:thm15="http://schemas.microsoft.com/office/thememl/2012/main" name="Business Academy Aarhus, 2017, Danish" id="{554348F3-738D-4A8D-BE87-7A68E9448968}" vid="{932C7983-0D3C-4E06-B35C-E8232403A98B}"/>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creativecommons.org/licenses/by-sa/4.0/"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C4993A-409D-44F9-8542-1665387421B3}">
  <sheetPr codeName="Sheet2">
    <tabColor theme="0"/>
  </sheetPr>
  <dimension ref="A1:D287"/>
  <sheetViews>
    <sheetView showGridLines="0" tabSelected="1" zoomScaleNormal="100" workbookViewId="0"/>
  </sheetViews>
  <sheetFormatPr defaultRowHeight="14.25" x14ac:dyDescent="0.2"/>
  <cols>
    <col min="1" max="1" width="64.5" customWidth="1"/>
    <col min="2" max="2" width="2.75" customWidth="1"/>
    <col min="3" max="4" width="41.125" customWidth="1"/>
    <col min="5" max="5" width="32.125" customWidth="1"/>
  </cols>
  <sheetData>
    <row r="1" spans="1:4" s="1" customFormat="1" ht="18.75" x14ac:dyDescent="0.2">
      <c r="A1" s="1" t="s">
        <v>29</v>
      </c>
      <c r="C1" s="1" t="s">
        <v>454</v>
      </c>
    </row>
    <row r="2" spans="1:4" x14ac:dyDescent="0.2">
      <c r="A2" s="4" t="s">
        <v>30</v>
      </c>
      <c r="B2" s="4"/>
    </row>
    <row r="3" spans="1:4" x14ac:dyDescent="0.2">
      <c r="A3" s="4" t="s">
        <v>3</v>
      </c>
      <c r="B3" s="4"/>
    </row>
    <row r="4" spans="1:4" x14ac:dyDescent="0.2">
      <c r="A4" s="4"/>
      <c r="B4" s="4"/>
    </row>
    <row r="5" spans="1:4" x14ac:dyDescent="0.2">
      <c r="B5" s="4"/>
    </row>
    <row r="6" spans="1:4" x14ac:dyDescent="0.2">
      <c r="B6" s="4"/>
    </row>
    <row r="7" spans="1:4" x14ac:dyDescent="0.2">
      <c r="B7" s="4"/>
    </row>
    <row r="8" spans="1:4" x14ac:dyDescent="0.2">
      <c r="B8" s="4"/>
    </row>
    <row r="9" spans="1:4" x14ac:dyDescent="0.2">
      <c r="A9" s="3" t="s">
        <v>6</v>
      </c>
      <c r="B9" s="4"/>
    </row>
    <row r="10" spans="1:4" x14ac:dyDescent="0.2">
      <c r="A10" t="s">
        <v>24</v>
      </c>
      <c r="B10" s="4"/>
      <c r="C10" s="8" t="s">
        <v>26</v>
      </c>
      <c r="D10" s="6" t="s">
        <v>25</v>
      </c>
    </row>
    <row r="11" spans="1:4" x14ac:dyDescent="0.2">
      <c r="A11" t="s">
        <v>455</v>
      </c>
      <c r="B11" s="4"/>
      <c r="C11" s="9" t="s">
        <v>28</v>
      </c>
      <c r="D11" s="7" t="s">
        <v>27</v>
      </c>
    </row>
    <row r="21" spans="1:2" x14ac:dyDescent="0.2">
      <c r="B21" s="4"/>
    </row>
    <row r="22" spans="1:2" x14ac:dyDescent="0.2">
      <c r="B22" s="4"/>
    </row>
    <row r="23" spans="1:2" x14ac:dyDescent="0.2">
      <c r="B23" s="4"/>
    </row>
    <row r="24" spans="1:2" x14ac:dyDescent="0.2">
      <c r="B24" s="4"/>
    </row>
    <row r="25" spans="1:2" x14ac:dyDescent="0.2">
      <c r="A25" s="17" t="s">
        <v>122</v>
      </c>
      <c r="B25" s="4"/>
    </row>
    <row r="26" spans="1:2" x14ac:dyDescent="0.2">
      <c r="B26" s="4"/>
    </row>
    <row r="27" spans="1:2" s="16" customFormat="1" ht="18.75" x14ac:dyDescent="0.2">
      <c r="A27" s="10" t="s">
        <v>7</v>
      </c>
    </row>
    <row r="28" spans="1:2" x14ac:dyDescent="0.2">
      <c r="A28" s="4" t="s">
        <v>85</v>
      </c>
      <c r="B28" s="4"/>
    </row>
    <row r="29" spans="1:2" x14ac:dyDescent="0.2">
      <c r="B29" s="4"/>
    </row>
    <row r="30" spans="1:2" ht="18.75" x14ac:dyDescent="0.2">
      <c r="A30" s="13" t="s">
        <v>26</v>
      </c>
      <c r="B30" s="4"/>
    </row>
    <row r="31" spans="1:2" x14ac:dyDescent="0.2">
      <c r="A31" s="4"/>
      <c r="B31" s="4"/>
    </row>
    <row r="32" spans="1:2" x14ac:dyDescent="0.2">
      <c r="A32" s="3" t="s">
        <v>447</v>
      </c>
      <c r="B32" s="4"/>
    </row>
    <row r="33" spans="1:3" x14ac:dyDescent="0.2">
      <c r="A33" s="2" t="s">
        <v>4</v>
      </c>
      <c r="B33" s="4"/>
      <c r="C33" s="5" t="s">
        <v>446</v>
      </c>
    </row>
    <row r="34" spans="1:3" x14ac:dyDescent="0.2">
      <c r="B34" s="4"/>
      <c r="C34" s="4" t="s">
        <v>84</v>
      </c>
    </row>
    <row r="35" spans="1:3" x14ac:dyDescent="0.2">
      <c r="B35" s="4"/>
      <c r="C35" s="4" t="s">
        <v>83</v>
      </c>
    </row>
    <row r="36" spans="1:3" x14ac:dyDescent="0.2">
      <c r="B36" s="4"/>
    </row>
    <row r="37" spans="1:3" x14ac:dyDescent="0.2">
      <c r="A37" s="3" t="s">
        <v>448</v>
      </c>
      <c r="B37" s="4"/>
    </row>
    <row r="38" spans="1:3" x14ac:dyDescent="0.2">
      <c r="B38" s="4"/>
      <c r="C38" s="4" t="s">
        <v>449</v>
      </c>
    </row>
    <row r="39" spans="1:3" x14ac:dyDescent="0.2">
      <c r="B39" s="4"/>
      <c r="C39" s="4" t="s">
        <v>450</v>
      </c>
    </row>
    <row r="40" spans="1:3" x14ac:dyDescent="0.2">
      <c r="B40" s="4"/>
    </row>
    <row r="41" spans="1:3" x14ac:dyDescent="0.2">
      <c r="B41" s="4"/>
    </row>
    <row r="42" spans="1:3" x14ac:dyDescent="0.2">
      <c r="B42" s="4"/>
    </row>
    <row r="43" spans="1:3" x14ac:dyDescent="0.2">
      <c r="B43" s="4"/>
    </row>
    <row r="44" spans="1:3" x14ac:dyDescent="0.2">
      <c r="B44" s="4"/>
    </row>
    <row r="45" spans="1:3" x14ac:dyDescent="0.2">
      <c r="B45" s="4"/>
    </row>
    <row r="46" spans="1:3" x14ac:dyDescent="0.2">
      <c r="B46" s="4"/>
    </row>
    <row r="47" spans="1:3" x14ac:dyDescent="0.2">
      <c r="B47" s="4"/>
    </row>
    <row r="48" spans="1:3" x14ac:dyDescent="0.2">
      <c r="B48" s="4"/>
    </row>
    <row r="49" spans="1:3" x14ac:dyDescent="0.2">
      <c r="B49" s="4"/>
    </row>
    <row r="50" spans="1:3" x14ac:dyDescent="0.2">
      <c r="B50" s="4"/>
    </row>
    <row r="51" spans="1:3" x14ac:dyDescent="0.2">
      <c r="B51" s="4"/>
    </row>
    <row r="52" spans="1:3" x14ac:dyDescent="0.2">
      <c r="B52" s="4"/>
    </row>
    <row r="53" spans="1:3" x14ac:dyDescent="0.2">
      <c r="B53" s="4"/>
    </row>
    <row r="54" spans="1:3" x14ac:dyDescent="0.2">
      <c r="B54" s="4"/>
    </row>
    <row r="55" spans="1:3" x14ac:dyDescent="0.2">
      <c r="B55" s="4"/>
    </row>
    <row r="56" spans="1:3" x14ac:dyDescent="0.2">
      <c r="B56" s="4"/>
    </row>
    <row r="57" spans="1:3" x14ac:dyDescent="0.2">
      <c r="A57" s="3" t="s">
        <v>453</v>
      </c>
      <c r="B57" s="4"/>
    </row>
    <row r="58" spans="1:3" x14ac:dyDescent="0.2">
      <c r="B58" s="4"/>
      <c r="C58" s="4" t="s">
        <v>82</v>
      </c>
    </row>
    <row r="59" spans="1:3" x14ac:dyDescent="0.2">
      <c r="B59" s="4"/>
      <c r="C59" s="11" t="s">
        <v>81</v>
      </c>
    </row>
    <row r="64" spans="1:3" s="33" customFormat="1" x14ac:dyDescent="0.2"/>
    <row r="71" spans="1:3" x14ac:dyDescent="0.2">
      <c r="B71" s="4"/>
    </row>
    <row r="72" spans="1:3" x14ac:dyDescent="0.2">
      <c r="B72" s="4"/>
    </row>
    <row r="73" spans="1:3" x14ac:dyDescent="0.2">
      <c r="B73" s="4"/>
    </row>
    <row r="74" spans="1:3" s="15" customFormat="1" ht="18.75" x14ac:dyDescent="0.2">
      <c r="A74" s="12" t="s">
        <v>8</v>
      </c>
    </row>
    <row r="75" spans="1:3" x14ac:dyDescent="0.2">
      <c r="A75" s="4" t="s">
        <v>86</v>
      </c>
      <c r="B75" s="4"/>
    </row>
    <row r="77" spans="1:3" ht="18.75" x14ac:dyDescent="0.2">
      <c r="A77" s="14" t="s">
        <v>28</v>
      </c>
    </row>
    <row r="79" spans="1:3" x14ac:dyDescent="0.2">
      <c r="A79" s="3" t="s">
        <v>31</v>
      </c>
    </row>
    <row r="80" spans="1:3" x14ac:dyDescent="0.2">
      <c r="A80" s="2" t="s">
        <v>5</v>
      </c>
      <c r="C80" s="4" t="s">
        <v>32</v>
      </c>
    </row>
    <row r="81" spans="1:3" x14ac:dyDescent="0.2">
      <c r="C81" s="4" t="s">
        <v>87</v>
      </c>
    </row>
    <row r="85" spans="1:3" x14ac:dyDescent="0.2">
      <c r="A85" s="3" t="s">
        <v>33</v>
      </c>
    </row>
    <row r="86" spans="1:3" x14ac:dyDescent="0.2">
      <c r="A86" s="2" t="s">
        <v>5</v>
      </c>
      <c r="C86" s="4" t="s">
        <v>32</v>
      </c>
    </row>
    <row r="87" spans="1:3" x14ac:dyDescent="0.2">
      <c r="C87" s="4" t="s">
        <v>91</v>
      </c>
    </row>
    <row r="88" spans="1:3" x14ac:dyDescent="0.2">
      <c r="C88" s="4" t="s">
        <v>88</v>
      </c>
    </row>
    <row r="89" spans="1:3" x14ac:dyDescent="0.2">
      <c r="C89" s="11" t="s">
        <v>89</v>
      </c>
    </row>
    <row r="101" spans="1:3" x14ac:dyDescent="0.2">
      <c r="A101" s="3" t="s">
        <v>34</v>
      </c>
    </row>
    <row r="102" spans="1:3" x14ac:dyDescent="0.2">
      <c r="A102" s="2" t="s">
        <v>5</v>
      </c>
      <c r="C102" s="4" t="s">
        <v>90</v>
      </c>
    </row>
    <row r="103" spans="1:3" x14ac:dyDescent="0.2">
      <c r="C103" s="4" t="s">
        <v>35</v>
      </c>
    </row>
    <row r="104" spans="1:3" x14ac:dyDescent="0.2">
      <c r="B104" s="4"/>
    </row>
    <row r="105" spans="1:3" x14ac:dyDescent="0.2">
      <c r="B105" s="4"/>
    </row>
    <row r="107" spans="1:3" x14ac:dyDescent="0.2">
      <c r="A107" s="3" t="s">
        <v>92</v>
      </c>
    </row>
    <row r="108" spans="1:3" x14ac:dyDescent="0.2">
      <c r="A108" s="2" t="s">
        <v>95</v>
      </c>
      <c r="C108" s="4" t="s">
        <v>93</v>
      </c>
    </row>
    <row r="109" spans="1:3" x14ac:dyDescent="0.2">
      <c r="C109" s="4" t="s">
        <v>37</v>
      </c>
    </row>
    <row r="110" spans="1:3" x14ac:dyDescent="0.2">
      <c r="C110" s="11" t="s">
        <v>36</v>
      </c>
    </row>
    <row r="111" spans="1:3" x14ac:dyDescent="0.2">
      <c r="C111" s="11" t="s">
        <v>94</v>
      </c>
    </row>
    <row r="112" spans="1:3" x14ac:dyDescent="0.2">
      <c r="C112" s="4" t="s">
        <v>38</v>
      </c>
    </row>
    <row r="113" spans="2:3" x14ac:dyDescent="0.2">
      <c r="C113" s="4" t="s">
        <v>39</v>
      </c>
    </row>
    <row r="114" spans="2:3" x14ac:dyDescent="0.2">
      <c r="C114" s="4" t="s">
        <v>40</v>
      </c>
    </row>
    <row r="116" spans="2:3" x14ac:dyDescent="0.2">
      <c r="B116" s="4"/>
    </row>
    <row r="117" spans="2:3" x14ac:dyDescent="0.2">
      <c r="B117" s="4"/>
    </row>
    <row r="118" spans="2:3" x14ac:dyDescent="0.2">
      <c r="B118" s="4"/>
    </row>
    <row r="139" spans="1:3" x14ac:dyDescent="0.2">
      <c r="A139" s="3" t="s">
        <v>96</v>
      </c>
    </row>
    <row r="140" spans="1:3" x14ac:dyDescent="0.2">
      <c r="A140" s="2" t="s">
        <v>5</v>
      </c>
      <c r="C140" s="4" t="s">
        <v>97</v>
      </c>
    </row>
    <row r="146" spans="1:3" x14ac:dyDescent="0.2">
      <c r="C146" s="4" t="s">
        <v>54</v>
      </c>
    </row>
    <row r="147" spans="1:3" x14ac:dyDescent="0.2">
      <c r="C147" s="4" t="s">
        <v>98</v>
      </c>
    </row>
    <row r="148" spans="1:3" x14ac:dyDescent="0.2">
      <c r="C148" s="4" t="s">
        <v>111</v>
      </c>
    </row>
    <row r="159" spans="1:3" x14ac:dyDescent="0.2">
      <c r="A159" s="3" t="s">
        <v>99</v>
      </c>
      <c r="C159" s="4"/>
    </row>
    <row r="160" spans="1:3" x14ac:dyDescent="0.2">
      <c r="C160" s="4" t="s">
        <v>100</v>
      </c>
    </row>
    <row r="161" spans="3:3" x14ac:dyDescent="0.2">
      <c r="C161" s="4" t="s">
        <v>51</v>
      </c>
    </row>
    <row r="162" spans="3:3" x14ac:dyDescent="0.2">
      <c r="C162" s="4" t="s">
        <v>101</v>
      </c>
    </row>
    <row r="163" spans="3:3" x14ac:dyDescent="0.2">
      <c r="C163" s="4" t="s">
        <v>102</v>
      </c>
    </row>
    <row r="164" spans="3:3" x14ac:dyDescent="0.2">
      <c r="C164" s="4" t="s">
        <v>103</v>
      </c>
    </row>
    <row r="165" spans="3:3" x14ac:dyDescent="0.2">
      <c r="C165" s="4" t="s">
        <v>104</v>
      </c>
    </row>
    <row r="166" spans="3:3" x14ac:dyDescent="0.2">
      <c r="C166" s="4" t="s">
        <v>105</v>
      </c>
    </row>
    <row r="167" spans="3:3" x14ac:dyDescent="0.2">
      <c r="C167" s="4" t="s">
        <v>52</v>
      </c>
    </row>
    <row r="192" spans="1:1" x14ac:dyDescent="0.2">
      <c r="A192" s="3"/>
    </row>
    <row r="193" spans="3:3" x14ac:dyDescent="0.2">
      <c r="C193" s="4" t="s">
        <v>106</v>
      </c>
    </row>
    <row r="194" spans="3:3" x14ac:dyDescent="0.2">
      <c r="C194" s="4" t="s">
        <v>41</v>
      </c>
    </row>
    <row r="195" spans="3:3" x14ac:dyDescent="0.2">
      <c r="C195" s="4" t="s">
        <v>45</v>
      </c>
    </row>
    <row r="196" spans="3:3" x14ac:dyDescent="0.2">
      <c r="C196" s="4" t="s">
        <v>44</v>
      </c>
    </row>
    <row r="197" spans="3:3" x14ac:dyDescent="0.2">
      <c r="C197" s="4" t="s">
        <v>43</v>
      </c>
    </row>
    <row r="198" spans="3:3" x14ac:dyDescent="0.2">
      <c r="C198" s="4" t="s">
        <v>42</v>
      </c>
    </row>
    <row r="212" spans="3:3" x14ac:dyDescent="0.2">
      <c r="C212" s="4" t="s">
        <v>107</v>
      </c>
    </row>
    <row r="213" spans="3:3" x14ac:dyDescent="0.2">
      <c r="C213" s="4" t="s">
        <v>55</v>
      </c>
    </row>
    <row r="214" spans="3:3" x14ac:dyDescent="0.2">
      <c r="C214" s="4" t="s">
        <v>58</v>
      </c>
    </row>
    <row r="230" spans="3:3" x14ac:dyDescent="0.2">
      <c r="C230" s="4" t="s">
        <v>108</v>
      </c>
    </row>
    <row r="231" spans="3:3" x14ac:dyDescent="0.2">
      <c r="C231" s="4" t="s">
        <v>56</v>
      </c>
    </row>
    <row r="232" spans="3:3" x14ac:dyDescent="0.2">
      <c r="C232" s="4" t="s">
        <v>57</v>
      </c>
    </row>
    <row r="250" spans="3:3" x14ac:dyDescent="0.2">
      <c r="C250" s="4" t="s">
        <v>46</v>
      </c>
    </row>
    <row r="251" spans="3:3" x14ac:dyDescent="0.2">
      <c r="C251" s="4" t="s">
        <v>47</v>
      </c>
    </row>
    <row r="252" spans="3:3" x14ac:dyDescent="0.2">
      <c r="C252" s="4" t="s">
        <v>50</v>
      </c>
    </row>
    <row r="253" spans="3:3" x14ac:dyDescent="0.2">
      <c r="C253" s="4" t="s">
        <v>109</v>
      </c>
    </row>
    <row r="254" spans="3:3" x14ac:dyDescent="0.2">
      <c r="C254" s="4" t="s">
        <v>48</v>
      </c>
    </row>
    <row r="255" spans="3:3" x14ac:dyDescent="0.2">
      <c r="C255" s="4" t="s">
        <v>49</v>
      </c>
    </row>
    <row r="256" spans="3:3" x14ac:dyDescent="0.2">
      <c r="C256" s="4" t="s">
        <v>59</v>
      </c>
    </row>
    <row r="257" spans="3:3" x14ac:dyDescent="0.2">
      <c r="C257" s="4" t="s">
        <v>61</v>
      </c>
    </row>
    <row r="258" spans="3:3" x14ac:dyDescent="0.2">
      <c r="C258" s="4" t="s">
        <v>60</v>
      </c>
    </row>
    <row r="279" spans="3:3" x14ac:dyDescent="0.2">
      <c r="C279" s="4" t="s">
        <v>110</v>
      </c>
    </row>
    <row r="287" spans="3:3" s="34" customFormat="1" x14ac:dyDescent="0.2"/>
  </sheetData>
  <phoneticPr fontId="15" type="noConversion"/>
  <hyperlinks>
    <hyperlink ref="C10" location="Data!A1" display="Gå til Data                                                                                             " xr:uid="{9B8CED4D-F14C-41F1-803E-2B7A27A06F63}"/>
    <hyperlink ref="C13:C14" location="Data!A1" display="Gå til data ark" xr:uid="{E0B972A5-199D-47C4-AEC3-9E26695A7482}"/>
    <hyperlink ref="C11" location="'Lineær Regression'!A1" display="Gå til Lineær Regression                                                                     " xr:uid="{7BF6397E-5C54-45D2-8862-EA5196F4B560}"/>
    <hyperlink ref="D10" location="V_Manual_Data" display="Gå til Manual i brug af Data arket                                          " xr:uid="{A7144529-0FD3-42E4-A567-5FBAD4D70DA0}"/>
    <hyperlink ref="D11" location="V_Manual_Lineær_Regression" display="Gå til Manual i brug af Lineær Regression arket                                      " xr:uid="{885DC549-1ACB-46CA-B071-7D2BD6657BCE}"/>
    <hyperlink ref="A30" location="Data!A1" display="Gå til Data                                                                                             " xr:uid="{C05C224F-FFE7-4D48-BA4F-5EDD23C44E5C}"/>
    <hyperlink ref="A77" location="'Lineær Regression'!A1" display="Gå til Lineær Regression                                                                     " xr:uid="{85022601-DA64-4F6A-A8C3-A075F9C38BF1}"/>
    <hyperlink ref="A25" r:id="rId1" xr:uid="{CE916863-CD22-4D14-AD70-B2D06A131314}"/>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25ABF-FC12-4AD0-97F4-64A873F0B28D}">
  <sheetPr codeName="Sheet4">
    <tabColor theme="4"/>
  </sheetPr>
  <dimension ref="A1:CV13"/>
  <sheetViews>
    <sheetView workbookViewId="0"/>
  </sheetViews>
  <sheetFormatPr defaultRowHeight="14.25" x14ac:dyDescent="0.2"/>
  <cols>
    <col min="1" max="100" width="19.125" customWidth="1"/>
  </cols>
  <sheetData>
    <row r="1" spans="1:100" s="3" customFormat="1" x14ac:dyDescent="0.2">
      <c r="A1" s="60" t="s">
        <v>9</v>
      </c>
      <c r="B1" s="60" t="s">
        <v>113</v>
      </c>
      <c r="C1" s="60" t="s">
        <v>112</v>
      </c>
      <c r="D1" s="60" t="s">
        <v>115</v>
      </c>
      <c r="E1" s="60"/>
      <c r="F1" s="60"/>
      <c r="G1" s="60"/>
      <c r="H1" s="60"/>
      <c r="I1" s="60"/>
      <c r="J1" s="60"/>
      <c r="K1" s="60"/>
      <c r="L1" s="60"/>
      <c r="M1" s="60"/>
      <c r="N1" s="60"/>
      <c r="O1" s="60"/>
      <c r="P1" s="60"/>
      <c r="Q1" s="60"/>
      <c r="R1" s="60"/>
      <c r="S1" s="60"/>
      <c r="T1" s="60"/>
      <c r="U1" s="60"/>
      <c r="V1" s="60"/>
      <c r="W1" s="60"/>
      <c r="X1" s="60"/>
      <c r="Y1" s="60"/>
      <c r="Z1" s="60"/>
      <c r="AA1" s="60"/>
      <c r="AB1" s="60"/>
      <c r="AC1" s="60"/>
      <c r="AD1" s="60"/>
      <c r="AE1" s="60"/>
      <c r="AF1" s="60"/>
      <c r="AG1" s="60"/>
      <c r="AH1" s="60"/>
      <c r="AI1" s="60"/>
      <c r="AJ1" s="60"/>
      <c r="AK1" s="60"/>
      <c r="AL1" s="60"/>
      <c r="AM1" s="60"/>
      <c r="AN1" s="60"/>
      <c r="AO1" s="60"/>
      <c r="AP1" s="60"/>
      <c r="AQ1" s="60"/>
      <c r="AR1" s="60"/>
      <c r="AS1" s="60"/>
      <c r="AT1" s="60"/>
      <c r="AU1" s="60"/>
      <c r="AV1" s="60"/>
      <c r="AW1" s="60"/>
      <c r="AX1" s="60"/>
      <c r="AY1" s="60"/>
      <c r="AZ1" s="60"/>
      <c r="BA1" s="60"/>
      <c r="BB1" s="60"/>
      <c r="BC1" s="60"/>
      <c r="BD1" s="60"/>
      <c r="BE1" s="60"/>
      <c r="BF1" s="60"/>
      <c r="BG1" s="60"/>
      <c r="BH1" s="60"/>
      <c r="BI1" s="60"/>
      <c r="BJ1" s="60"/>
      <c r="BK1" s="60"/>
      <c r="BL1" s="60"/>
      <c r="BM1" s="60"/>
      <c r="BN1" s="60"/>
      <c r="BO1" s="60"/>
      <c r="BP1" s="60"/>
      <c r="BQ1" s="60"/>
      <c r="BR1" s="60"/>
      <c r="BS1" s="60"/>
      <c r="BT1" s="60"/>
      <c r="BU1" s="60"/>
      <c r="BV1" s="60"/>
      <c r="BW1" s="60"/>
      <c r="BX1" s="60"/>
      <c r="BY1" s="60"/>
      <c r="BZ1" s="60"/>
      <c r="CA1" s="60"/>
      <c r="CB1" s="60"/>
      <c r="CC1" s="60"/>
      <c r="CD1" s="60"/>
      <c r="CE1" s="60"/>
      <c r="CF1" s="60"/>
      <c r="CG1" s="60"/>
      <c r="CH1" s="60"/>
      <c r="CI1" s="60"/>
      <c r="CJ1" s="60"/>
      <c r="CK1" s="60"/>
      <c r="CL1" s="60"/>
      <c r="CM1" s="60"/>
      <c r="CN1" s="60"/>
      <c r="CO1" s="60"/>
      <c r="CP1" s="60"/>
      <c r="CQ1" s="60"/>
      <c r="CR1" s="60"/>
      <c r="CS1" s="60"/>
      <c r="CT1" s="60"/>
      <c r="CU1" s="60"/>
      <c r="CV1" s="60"/>
    </row>
    <row r="2" spans="1:100" x14ac:dyDescent="0.2">
      <c r="A2">
        <v>1.2989587493526971</v>
      </c>
      <c r="B2">
        <v>2</v>
      </c>
      <c r="C2" t="b">
        <v>0</v>
      </c>
      <c r="D2" t="b">
        <v>0</v>
      </c>
    </row>
    <row r="3" spans="1:100" x14ac:dyDescent="0.2">
      <c r="A3">
        <v>-1.1469596428732241</v>
      </c>
      <c r="B3">
        <v>-3.2725647568992748</v>
      </c>
      <c r="C3" t="b">
        <v>0</v>
      </c>
      <c r="D3" t="b">
        <v>1</v>
      </c>
    </row>
    <row r="4" spans="1:100" x14ac:dyDescent="0.2">
      <c r="A4">
        <v>-0.40935481016144565</v>
      </c>
      <c r="B4">
        <v>2.0315172703350726</v>
      </c>
      <c r="C4" t="b">
        <v>0</v>
      </c>
      <c r="D4" t="b">
        <v>0</v>
      </c>
    </row>
    <row r="5" spans="1:100" x14ac:dyDescent="0.2">
      <c r="A5">
        <v>-1.479592604535932</v>
      </c>
      <c r="B5">
        <v>-2.2379718387660041</v>
      </c>
      <c r="C5" t="b">
        <v>0</v>
      </c>
      <c r="D5" t="b">
        <v>0</v>
      </c>
    </row>
    <row r="6" spans="1:100" x14ac:dyDescent="0.2">
      <c r="A6">
        <v>1.8110756828005981</v>
      </c>
      <c r="B6">
        <v>4</v>
      </c>
      <c r="C6" t="b">
        <v>0</v>
      </c>
      <c r="D6" t="b">
        <v>0</v>
      </c>
    </row>
    <row r="7" spans="1:100" x14ac:dyDescent="0.2">
      <c r="A7">
        <v>8</v>
      </c>
      <c r="B7">
        <v>5</v>
      </c>
      <c r="C7" t="b">
        <v>1</v>
      </c>
      <c r="D7" t="b">
        <v>1</v>
      </c>
    </row>
    <row r="8" spans="1:100" x14ac:dyDescent="0.2">
      <c r="A8">
        <v>-0.30723615599325882</v>
      </c>
      <c r="B8">
        <v>2.0228895016109072</v>
      </c>
      <c r="C8" t="b">
        <v>0</v>
      </c>
      <c r="D8" t="b">
        <v>0</v>
      </c>
    </row>
    <row r="9" spans="1:100" x14ac:dyDescent="0.2">
      <c r="A9">
        <v>13</v>
      </c>
      <c r="B9">
        <v>9</v>
      </c>
      <c r="C9" t="b">
        <v>0</v>
      </c>
      <c r="D9" t="b">
        <v>1</v>
      </c>
    </row>
    <row r="10" spans="1:100" x14ac:dyDescent="0.2">
      <c r="A10">
        <v>1.3803796539630533</v>
      </c>
      <c r="B10">
        <v>6.3251059591845431</v>
      </c>
      <c r="C10" t="b">
        <v>1</v>
      </c>
      <c r="D10" t="b">
        <v>1</v>
      </c>
    </row>
    <row r="11" spans="1:100" x14ac:dyDescent="0.2">
      <c r="A11">
        <v>8.4427372017371785E-2</v>
      </c>
      <c r="B11">
        <v>5.4220501567463426</v>
      </c>
      <c r="C11" t="b">
        <v>1</v>
      </c>
      <c r="D11" t="b">
        <v>1</v>
      </c>
    </row>
    <row r="12" spans="1:100" x14ac:dyDescent="0.2">
      <c r="A12">
        <v>0.91409189597286977</v>
      </c>
      <c r="B12">
        <v>9.7085240838788316</v>
      </c>
      <c r="C12" t="b">
        <v>0</v>
      </c>
      <c r="D12" t="b">
        <v>0</v>
      </c>
    </row>
    <row r="13" spans="1:100" x14ac:dyDescent="0.2">
      <c r="A13">
        <v>-0.89773712069108735</v>
      </c>
      <c r="B13">
        <v>9.7085240838788316</v>
      </c>
      <c r="C13" t="b">
        <v>0</v>
      </c>
      <c r="D13" t="b">
        <v>0</v>
      </c>
    </row>
  </sheetData>
  <phoneticPr fontId="15" type="noConversion"/>
  <dataValidations xWindow="103" yWindow="250" count="2">
    <dataValidation allowBlank="1" showInputMessage="1" showErrorMessage="1" promptTitle="Eksempel overskrift" prompt="Overskriften til hvert observationssæt skal være unik." sqref="A1" xr:uid="{08870AA2-D5D3-4885-A05F-5AF496214B3F}"/>
    <dataValidation allowBlank="1" showInputMessage="1" showErrorMessage="1" promptTitle="Eksempel data" prompt="Data må ikke indeholde blanke celler._x000a_Data skal enten være tal eller Sand/Falsk." sqref="A2:A13" xr:uid="{C3CBEA53-4036-4D82-B754-5A683357DBA4}"/>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61A48-E0ED-449C-85DB-8AD2A6266EE9}">
  <sheetPr codeName="Sheet5"/>
  <dimension ref="A1:CW6"/>
  <sheetViews>
    <sheetView showGridLines="0" workbookViewId="0"/>
  </sheetViews>
  <sheetFormatPr defaultRowHeight="14.25" x14ac:dyDescent="0.2"/>
  <cols>
    <col min="1" max="1" width="19.125" customWidth="1"/>
  </cols>
  <sheetData>
    <row r="1" spans="1:101" x14ac:dyDescent="0.2">
      <c r="A1" t="s">
        <v>114</v>
      </c>
      <c r="B1" cm="1">
        <f t="array" ref="B1">SUM(--_xlfn.ANCHORARRAY(B4))</f>
        <v>4</v>
      </c>
    </row>
    <row r="2" spans="1:101" x14ac:dyDescent="0.2">
      <c r="A2" t="s">
        <v>440</v>
      </c>
      <c r="B2">
        <f>MAX(B5:CW5)</f>
        <v>12</v>
      </c>
    </row>
    <row r="3" spans="1:101" x14ac:dyDescent="0.2">
      <c r="A3" t="s">
        <v>442</v>
      </c>
      <c r="B3">
        <f>_xlfn.XMATCH(TRUE,_xlfn.ANCHORARRAY(B4),0,-1)</f>
        <v>4</v>
      </c>
    </row>
    <row r="4" spans="1:101" x14ac:dyDescent="0.2">
      <c r="A4" t="s">
        <v>441</v>
      </c>
      <c r="B4" t="b" cm="1">
        <f t="array" ref="B4:CW4">NOT(ISBLANK(Data!A1:CV1))</f>
        <v>1</v>
      </c>
      <c r="C4" t="b">
        <v>1</v>
      </c>
      <c r="D4" t="b">
        <v>1</v>
      </c>
      <c r="E4" t="b">
        <v>1</v>
      </c>
      <c r="F4" t="b">
        <v>0</v>
      </c>
      <c r="G4" t="b">
        <v>0</v>
      </c>
      <c r="H4" t="b">
        <v>0</v>
      </c>
      <c r="I4" t="b">
        <v>0</v>
      </c>
      <c r="J4" t="b">
        <v>0</v>
      </c>
      <c r="K4" t="b">
        <v>0</v>
      </c>
      <c r="L4" t="b">
        <v>0</v>
      </c>
      <c r="M4" t="b">
        <v>0</v>
      </c>
      <c r="N4" t="b">
        <v>0</v>
      </c>
      <c r="O4" t="b">
        <v>0</v>
      </c>
      <c r="P4" t="b">
        <v>0</v>
      </c>
      <c r="Q4" t="b">
        <v>0</v>
      </c>
      <c r="R4" t="b">
        <v>0</v>
      </c>
      <c r="S4" t="b">
        <v>0</v>
      </c>
      <c r="T4" t="b">
        <v>0</v>
      </c>
      <c r="U4" t="b">
        <v>0</v>
      </c>
      <c r="V4" t="b">
        <v>0</v>
      </c>
      <c r="W4" t="b">
        <v>0</v>
      </c>
      <c r="X4" t="b">
        <v>0</v>
      </c>
      <c r="Y4" t="b">
        <v>0</v>
      </c>
      <c r="Z4" t="b">
        <v>0</v>
      </c>
      <c r="AA4" t="b">
        <v>0</v>
      </c>
      <c r="AB4" t="b">
        <v>0</v>
      </c>
      <c r="AC4" t="b">
        <v>0</v>
      </c>
      <c r="AD4" t="b">
        <v>0</v>
      </c>
      <c r="AE4" t="b">
        <v>0</v>
      </c>
      <c r="AF4" t="b">
        <v>0</v>
      </c>
      <c r="AG4" t="b">
        <v>0</v>
      </c>
      <c r="AH4" t="b">
        <v>0</v>
      </c>
      <c r="AI4" t="b">
        <v>0</v>
      </c>
      <c r="AJ4" t="b">
        <v>0</v>
      </c>
      <c r="AK4" t="b">
        <v>0</v>
      </c>
      <c r="AL4" t="b">
        <v>0</v>
      </c>
      <c r="AM4" t="b">
        <v>0</v>
      </c>
      <c r="AN4" t="b">
        <v>0</v>
      </c>
      <c r="AO4" t="b">
        <v>0</v>
      </c>
      <c r="AP4" t="b">
        <v>0</v>
      </c>
      <c r="AQ4" t="b">
        <v>0</v>
      </c>
      <c r="AR4" t="b">
        <v>0</v>
      </c>
      <c r="AS4" t="b">
        <v>0</v>
      </c>
      <c r="AT4" t="b">
        <v>0</v>
      </c>
      <c r="AU4" t="b">
        <v>0</v>
      </c>
      <c r="AV4" t="b">
        <v>0</v>
      </c>
      <c r="AW4" t="b">
        <v>0</v>
      </c>
      <c r="AX4" t="b">
        <v>0</v>
      </c>
      <c r="AY4" t="b">
        <v>0</v>
      </c>
      <c r="AZ4" t="b">
        <v>0</v>
      </c>
      <c r="BA4" t="b">
        <v>0</v>
      </c>
      <c r="BB4" t="b">
        <v>0</v>
      </c>
      <c r="BC4" t="b">
        <v>0</v>
      </c>
      <c r="BD4" t="b">
        <v>0</v>
      </c>
      <c r="BE4" t="b">
        <v>0</v>
      </c>
      <c r="BF4" t="b">
        <v>0</v>
      </c>
      <c r="BG4" t="b">
        <v>0</v>
      </c>
      <c r="BH4" t="b">
        <v>0</v>
      </c>
      <c r="BI4" t="b">
        <v>0</v>
      </c>
      <c r="BJ4" t="b">
        <v>0</v>
      </c>
      <c r="BK4" t="b">
        <v>0</v>
      </c>
      <c r="BL4" t="b">
        <v>0</v>
      </c>
      <c r="BM4" t="b">
        <v>0</v>
      </c>
      <c r="BN4" t="b">
        <v>0</v>
      </c>
      <c r="BO4" t="b">
        <v>0</v>
      </c>
      <c r="BP4" t="b">
        <v>0</v>
      </c>
      <c r="BQ4" t="b">
        <v>0</v>
      </c>
      <c r="BR4" t="b">
        <v>0</v>
      </c>
      <c r="BS4" t="b">
        <v>0</v>
      </c>
      <c r="BT4" t="b">
        <v>0</v>
      </c>
      <c r="BU4" t="b">
        <v>0</v>
      </c>
      <c r="BV4" t="b">
        <v>0</v>
      </c>
      <c r="BW4" t="b">
        <v>0</v>
      </c>
      <c r="BX4" t="b">
        <v>0</v>
      </c>
      <c r="BY4" t="b">
        <v>0</v>
      </c>
      <c r="BZ4" t="b">
        <v>0</v>
      </c>
      <c r="CA4" t="b">
        <v>0</v>
      </c>
      <c r="CB4" t="b">
        <v>0</v>
      </c>
      <c r="CC4" t="b">
        <v>0</v>
      </c>
      <c r="CD4" t="b">
        <v>0</v>
      </c>
      <c r="CE4" t="b">
        <v>0</v>
      </c>
      <c r="CF4" t="b">
        <v>0</v>
      </c>
      <c r="CG4" t="b">
        <v>0</v>
      </c>
      <c r="CH4" t="b">
        <v>0</v>
      </c>
      <c r="CI4" t="b">
        <v>0</v>
      </c>
      <c r="CJ4" t="b">
        <v>0</v>
      </c>
      <c r="CK4" t="b">
        <v>0</v>
      </c>
      <c r="CL4" t="b">
        <v>0</v>
      </c>
      <c r="CM4" t="b">
        <v>0</v>
      </c>
      <c r="CN4" t="b">
        <v>0</v>
      </c>
      <c r="CO4" t="b">
        <v>0</v>
      </c>
      <c r="CP4" t="b">
        <v>0</v>
      </c>
      <c r="CQ4" t="b">
        <v>0</v>
      </c>
      <c r="CR4" t="b">
        <v>0</v>
      </c>
      <c r="CS4" t="b">
        <v>0</v>
      </c>
      <c r="CT4" t="b">
        <v>0</v>
      </c>
      <c r="CU4" t="b">
        <v>0</v>
      </c>
      <c r="CV4" t="b">
        <v>0</v>
      </c>
      <c r="CW4" t="b">
        <v>0</v>
      </c>
    </row>
    <row r="5" spans="1:101" x14ac:dyDescent="0.2">
      <c r="A5" t="s">
        <v>10</v>
      </c>
      <c r="B5">
        <f>IF(B4,COUNTA(INDEX(Data!$A:$CV,,B6))-1,0)</f>
        <v>12</v>
      </c>
      <c r="C5">
        <f>IF(C4,COUNTA(INDEX(Data!$A:$CV,,C6))-1,0)</f>
        <v>12</v>
      </c>
      <c r="D5">
        <f>IF(D4,COUNTA(INDEX(Data!$A:$CV,,D6))-1,0)</f>
        <v>12</v>
      </c>
      <c r="E5">
        <f>IF(E4,COUNTA(INDEX(Data!$A:$CV,,E6))-1,0)</f>
        <v>12</v>
      </c>
      <c r="F5">
        <f>IF(F4,COUNTA(INDEX(Data!$A:$CV,,F6))-1,0)</f>
        <v>0</v>
      </c>
      <c r="G5">
        <f>IF(G4,COUNTA(INDEX(Data!$A:$CV,,G6))-1,0)</f>
        <v>0</v>
      </c>
      <c r="H5">
        <f>IF(H4,COUNTA(INDEX(Data!$A:$CV,,H6))-1,0)</f>
        <v>0</v>
      </c>
      <c r="I5">
        <f>IF(I4,COUNTA(INDEX(Data!$A:$CV,,I6))-1,0)</f>
        <v>0</v>
      </c>
      <c r="J5">
        <f>IF(J4,COUNTA(INDEX(Data!$A:$CV,,J6))-1,0)</f>
        <v>0</v>
      </c>
      <c r="K5">
        <f>IF(K4,COUNTA(INDEX(Data!$A:$CV,,K6))-1,0)</f>
        <v>0</v>
      </c>
      <c r="L5">
        <f>IF(L4,COUNTA(INDEX(Data!$A:$CV,,L6))-1,0)</f>
        <v>0</v>
      </c>
      <c r="M5">
        <f>IF(M4,COUNTA(INDEX(Data!$A:$CV,,M6))-1,0)</f>
        <v>0</v>
      </c>
      <c r="N5">
        <f>IF(N4,COUNTA(INDEX(Data!$A:$CV,,N6))-1,0)</f>
        <v>0</v>
      </c>
      <c r="O5">
        <f>IF(O4,COUNTA(INDEX(Data!$A:$CV,,O6))-1,0)</f>
        <v>0</v>
      </c>
      <c r="P5">
        <f>IF(P4,COUNTA(INDEX(Data!$A:$CV,,P6))-1,0)</f>
        <v>0</v>
      </c>
      <c r="Q5">
        <f>IF(Q4,COUNTA(INDEX(Data!$A:$CV,,Q6))-1,0)</f>
        <v>0</v>
      </c>
      <c r="R5">
        <f>IF(R4,COUNTA(INDEX(Data!$A:$CV,,R6))-1,0)</f>
        <v>0</v>
      </c>
      <c r="S5">
        <f>IF(S4,COUNTA(INDEX(Data!$A:$CV,,S6))-1,0)</f>
        <v>0</v>
      </c>
      <c r="T5">
        <f>IF(T4,COUNTA(INDEX(Data!$A:$CV,,T6))-1,0)</f>
        <v>0</v>
      </c>
      <c r="U5">
        <f>IF(U4,COUNTA(INDEX(Data!$A:$CV,,U6))-1,0)</f>
        <v>0</v>
      </c>
      <c r="V5">
        <f>IF(V4,COUNTA(INDEX(Data!$A:$CV,,V6))-1,0)</f>
        <v>0</v>
      </c>
      <c r="W5">
        <f>IF(W4,COUNTA(INDEX(Data!$A:$CV,,W6))-1,0)</f>
        <v>0</v>
      </c>
      <c r="X5">
        <f>IF(X4,COUNTA(INDEX(Data!$A:$CV,,X6))-1,0)</f>
        <v>0</v>
      </c>
      <c r="Y5">
        <f>IF(Y4,COUNTA(INDEX(Data!$A:$CV,,Y6))-1,0)</f>
        <v>0</v>
      </c>
      <c r="Z5">
        <f>IF(Z4,COUNTA(INDEX(Data!$A:$CV,,Z6))-1,0)</f>
        <v>0</v>
      </c>
      <c r="AA5">
        <f>IF(AA4,COUNTA(INDEX(Data!$A:$CV,,AA6))-1,0)</f>
        <v>0</v>
      </c>
      <c r="AB5">
        <f>IF(AB4,COUNTA(INDEX(Data!$A:$CV,,AB6))-1,0)</f>
        <v>0</v>
      </c>
      <c r="AC5">
        <f>IF(AC4,COUNTA(INDEX(Data!$A:$CV,,AC6))-1,0)</f>
        <v>0</v>
      </c>
      <c r="AD5">
        <f>IF(AD4,COUNTA(INDEX(Data!$A:$CV,,AD6))-1,0)</f>
        <v>0</v>
      </c>
      <c r="AE5">
        <f>IF(AE4,COUNTA(INDEX(Data!$A:$CV,,AE6))-1,0)</f>
        <v>0</v>
      </c>
      <c r="AF5">
        <f>IF(AF4,COUNTA(INDEX(Data!$A:$CV,,AF6))-1,0)</f>
        <v>0</v>
      </c>
      <c r="AG5">
        <f>IF(AG4,COUNTA(INDEX(Data!$A:$CV,,AG6))-1,0)</f>
        <v>0</v>
      </c>
      <c r="AH5">
        <f>IF(AH4,COUNTA(INDEX(Data!$A:$CV,,AH6))-1,0)</f>
        <v>0</v>
      </c>
      <c r="AI5">
        <f>IF(AI4,COUNTA(INDEX(Data!$A:$CV,,AI6))-1,0)</f>
        <v>0</v>
      </c>
      <c r="AJ5">
        <f>IF(AJ4,COUNTA(INDEX(Data!$A:$CV,,AJ6))-1,0)</f>
        <v>0</v>
      </c>
      <c r="AK5">
        <f>IF(AK4,COUNTA(INDEX(Data!$A:$CV,,AK6))-1,0)</f>
        <v>0</v>
      </c>
      <c r="AL5">
        <f>IF(AL4,COUNTA(INDEX(Data!$A:$CV,,AL6))-1,0)</f>
        <v>0</v>
      </c>
      <c r="AM5">
        <f>IF(AM4,COUNTA(INDEX(Data!$A:$CV,,AM6))-1,0)</f>
        <v>0</v>
      </c>
      <c r="AN5">
        <f>IF(AN4,COUNTA(INDEX(Data!$A:$CV,,AN6))-1,0)</f>
        <v>0</v>
      </c>
      <c r="AO5">
        <f>IF(AO4,COUNTA(INDEX(Data!$A:$CV,,AO6))-1,0)</f>
        <v>0</v>
      </c>
      <c r="AP5">
        <f>IF(AP4,COUNTA(INDEX(Data!$A:$CV,,AP6))-1,0)</f>
        <v>0</v>
      </c>
      <c r="AQ5">
        <f>IF(AQ4,COUNTA(INDEX(Data!$A:$CV,,AQ6))-1,0)</f>
        <v>0</v>
      </c>
      <c r="AR5">
        <f>IF(AR4,COUNTA(INDEX(Data!$A:$CV,,AR6))-1,0)</f>
        <v>0</v>
      </c>
      <c r="AS5">
        <f>IF(AS4,COUNTA(INDEX(Data!$A:$CV,,AS6))-1,0)</f>
        <v>0</v>
      </c>
      <c r="AT5">
        <f>IF(AT4,COUNTA(INDEX(Data!$A:$CV,,AT6))-1,0)</f>
        <v>0</v>
      </c>
      <c r="AU5">
        <f>IF(AU4,COUNTA(INDEX(Data!$A:$CV,,AU6))-1,0)</f>
        <v>0</v>
      </c>
      <c r="AV5">
        <f>IF(AV4,COUNTA(INDEX(Data!$A:$CV,,AV6))-1,0)</f>
        <v>0</v>
      </c>
      <c r="AW5">
        <f>IF(AW4,COUNTA(INDEX(Data!$A:$CV,,AW6))-1,0)</f>
        <v>0</v>
      </c>
      <c r="AX5">
        <f>IF(AX4,COUNTA(INDEX(Data!$A:$CV,,AX6))-1,0)</f>
        <v>0</v>
      </c>
      <c r="AY5">
        <f>IF(AY4,COUNTA(INDEX(Data!$A:$CV,,AY6))-1,0)</f>
        <v>0</v>
      </c>
      <c r="AZ5">
        <f>IF(AZ4,COUNTA(INDEX(Data!$A:$CV,,AZ6))-1,0)</f>
        <v>0</v>
      </c>
      <c r="BA5">
        <f>IF(BA4,COUNTA(INDEX(Data!$A:$CV,,BA6))-1,0)</f>
        <v>0</v>
      </c>
      <c r="BB5">
        <f>IF(BB4,COUNTA(INDEX(Data!$A:$CV,,BB6))-1,0)</f>
        <v>0</v>
      </c>
      <c r="BC5">
        <f>IF(BC4,COUNTA(INDEX(Data!$A:$CV,,BC6))-1,0)</f>
        <v>0</v>
      </c>
      <c r="BD5">
        <f>IF(BD4,COUNTA(INDEX(Data!$A:$CV,,BD6))-1,0)</f>
        <v>0</v>
      </c>
      <c r="BE5">
        <f>IF(BE4,COUNTA(INDEX(Data!$A:$CV,,BE6))-1,0)</f>
        <v>0</v>
      </c>
      <c r="BF5">
        <f>IF(BF4,COUNTA(INDEX(Data!$A:$CV,,BF6))-1,0)</f>
        <v>0</v>
      </c>
      <c r="BG5">
        <f>IF(BG4,COUNTA(INDEX(Data!$A:$CV,,BG6))-1,0)</f>
        <v>0</v>
      </c>
      <c r="BH5">
        <f>IF(BH4,COUNTA(INDEX(Data!$A:$CV,,BH6))-1,0)</f>
        <v>0</v>
      </c>
      <c r="BI5">
        <f>IF(BI4,COUNTA(INDEX(Data!$A:$CV,,BI6))-1,0)</f>
        <v>0</v>
      </c>
      <c r="BJ5">
        <f>IF(BJ4,COUNTA(INDEX(Data!$A:$CV,,BJ6))-1,0)</f>
        <v>0</v>
      </c>
      <c r="BK5">
        <f>IF(BK4,COUNTA(INDEX(Data!$A:$CV,,BK6))-1,0)</f>
        <v>0</v>
      </c>
      <c r="BL5">
        <f>IF(BL4,COUNTA(INDEX(Data!$A:$CV,,BL6))-1,0)</f>
        <v>0</v>
      </c>
      <c r="BM5">
        <f>IF(BM4,COUNTA(INDEX(Data!$A:$CV,,BM6))-1,0)</f>
        <v>0</v>
      </c>
      <c r="BN5">
        <f>IF(BN4,COUNTA(INDEX(Data!$A:$CV,,BN6))-1,0)</f>
        <v>0</v>
      </c>
      <c r="BO5">
        <f>IF(BO4,COUNTA(INDEX(Data!$A:$CV,,BO6))-1,0)</f>
        <v>0</v>
      </c>
      <c r="BP5">
        <f>IF(BP4,COUNTA(INDEX(Data!$A:$CV,,BP6))-1,0)</f>
        <v>0</v>
      </c>
      <c r="BQ5">
        <f>IF(BQ4,COUNTA(INDEX(Data!$A:$CV,,BQ6))-1,0)</f>
        <v>0</v>
      </c>
      <c r="BR5">
        <f>IF(BR4,COUNTA(INDEX(Data!$A:$CV,,BR6))-1,0)</f>
        <v>0</v>
      </c>
      <c r="BS5">
        <f>IF(BS4,COUNTA(INDEX(Data!$A:$CV,,BS6))-1,0)</f>
        <v>0</v>
      </c>
      <c r="BT5">
        <f>IF(BT4,COUNTA(INDEX(Data!$A:$CV,,BT6))-1,0)</f>
        <v>0</v>
      </c>
      <c r="BU5">
        <f>IF(BU4,COUNTA(INDEX(Data!$A:$CV,,BU6))-1,0)</f>
        <v>0</v>
      </c>
      <c r="BV5">
        <f>IF(BV4,COUNTA(INDEX(Data!$A:$CV,,BV6))-1,0)</f>
        <v>0</v>
      </c>
      <c r="BW5">
        <f>IF(BW4,COUNTA(INDEX(Data!$A:$CV,,BW6))-1,0)</f>
        <v>0</v>
      </c>
      <c r="BX5">
        <f>IF(BX4,COUNTA(INDEX(Data!$A:$CV,,BX6))-1,0)</f>
        <v>0</v>
      </c>
      <c r="BY5">
        <f>IF(BY4,COUNTA(INDEX(Data!$A:$CV,,BY6))-1,0)</f>
        <v>0</v>
      </c>
      <c r="BZ5">
        <f>IF(BZ4,COUNTA(INDEX(Data!$A:$CV,,BZ6))-1,0)</f>
        <v>0</v>
      </c>
      <c r="CA5">
        <f>IF(CA4,COUNTA(INDEX(Data!$A:$CV,,CA6))-1,0)</f>
        <v>0</v>
      </c>
      <c r="CB5">
        <f>IF(CB4,COUNTA(INDEX(Data!$A:$CV,,CB6))-1,0)</f>
        <v>0</v>
      </c>
      <c r="CC5">
        <f>IF(CC4,COUNTA(INDEX(Data!$A:$CV,,CC6))-1,0)</f>
        <v>0</v>
      </c>
      <c r="CD5">
        <f>IF(CD4,COUNTA(INDEX(Data!$A:$CV,,CD6))-1,0)</f>
        <v>0</v>
      </c>
      <c r="CE5">
        <f>IF(CE4,COUNTA(INDEX(Data!$A:$CV,,CE6))-1,0)</f>
        <v>0</v>
      </c>
      <c r="CF5">
        <f>IF(CF4,COUNTA(INDEX(Data!$A:$CV,,CF6))-1,0)</f>
        <v>0</v>
      </c>
      <c r="CG5">
        <f>IF(CG4,COUNTA(INDEX(Data!$A:$CV,,CG6))-1,0)</f>
        <v>0</v>
      </c>
      <c r="CH5">
        <f>IF(CH4,COUNTA(INDEX(Data!$A:$CV,,CH6))-1,0)</f>
        <v>0</v>
      </c>
      <c r="CI5">
        <f>IF(CI4,COUNTA(INDEX(Data!$A:$CV,,CI6))-1,0)</f>
        <v>0</v>
      </c>
      <c r="CJ5">
        <f>IF(CJ4,COUNTA(INDEX(Data!$A:$CV,,CJ6))-1,0)</f>
        <v>0</v>
      </c>
      <c r="CK5">
        <f>IF(CK4,COUNTA(INDEX(Data!$A:$CV,,CK6))-1,0)</f>
        <v>0</v>
      </c>
      <c r="CL5">
        <f>IF(CL4,COUNTA(INDEX(Data!$A:$CV,,CL6))-1,0)</f>
        <v>0</v>
      </c>
      <c r="CM5">
        <f>IF(CM4,COUNTA(INDEX(Data!$A:$CV,,CM6))-1,0)</f>
        <v>0</v>
      </c>
      <c r="CN5">
        <f>IF(CN4,COUNTA(INDEX(Data!$A:$CV,,CN6))-1,0)</f>
        <v>0</v>
      </c>
      <c r="CO5">
        <f>IF(CO4,COUNTA(INDEX(Data!$A:$CV,,CO6))-1,0)</f>
        <v>0</v>
      </c>
      <c r="CP5">
        <f>IF(CP4,COUNTA(INDEX(Data!$A:$CV,,CP6))-1,0)</f>
        <v>0</v>
      </c>
      <c r="CQ5">
        <f>IF(CQ4,COUNTA(INDEX(Data!$A:$CV,,CQ6))-1,0)</f>
        <v>0</v>
      </c>
      <c r="CR5">
        <f>IF(CR4,COUNTA(INDEX(Data!$A:$CV,,CR6))-1,0)</f>
        <v>0</v>
      </c>
      <c r="CS5">
        <f>IF(CS4,COUNTA(INDEX(Data!$A:$CV,,CS6))-1,0)</f>
        <v>0</v>
      </c>
      <c r="CT5">
        <f>IF(CT4,COUNTA(INDEX(Data!$A:$CV,,CT6))-1,0)</f>
        <v>0</v>
      </c>
      <c r="CU5">
        <f>IF(CU4,COUNTA(INDEX(Data!$A:$CV,,CU6))-1,0)</f>
        <v>0</v>
      </c>
      <c r="CV5">
        <f>IF(CV4,COUNTA(INDEX(Data!$A:$CV,,CV6))-1,0)</f>
        <v>0</v>
      </c>
      <c r="CW5">
        <f>IF(CW4,COUNTA(INDEX(Data!$A:$CV,,CW6))-1,0)</f>
        <v>0</v>
      </c>
    </row>
    <row r="6" spans="1:101" x14ac:dyDescent="0.2">
      <c r="A6" t="s">
        <v>125</v>
      </c>
      <c r="B6" cm="1">
        <f t="array" ref="B6:E6">_xlfn.SEQUENCE(,B3)</f>
        <v>1</v>
      </c>
      <c r="C6">
        <v>2</v>
      </c>
      <c r="D6">
        <v>3</v>
      </c>
      <c r="E6">
        <v>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A3E4A4-CE0E-4196-B177-1BC5375F3726}">
  <sheetPr codeName="Sheet16"/>
  <dimension ref="A1:G10"/>
  <sheetViews>
    <sheetView showGridLines="0" workbookViewId="0"/>
  </sheetViews>
  <sheetFormatPr defaultRowHeight="14.25" x14ac:dyDescent="0.2"/>
  <cols>
    <col min="1" max="3" width="33" customWidth="1"/>
    <col min="4" max="4" width="20" bestFit="1" customWidth="1"/>
    <col min="5" max="5" width="17.375" bestFit="1" customWidth="1"/>
    <col min="6" max="6" width="26.5" bestFit="1" customWidth="1"/>
    <col min="7" max="7" width="38.25" bestFit="1" customWidth="1"/>
    <col min="8" max="8" width="21.25" customWidth="1"/>
  </cols>
  <sheetData>
    <row r="1" spans="1:7" ht="18.75" x14ac:dyDescent="0.2">
      <c r="A1" s="1" t="s">
        <v>357</v>
      </c>
      <c r="B1" s="1" t="s">
        <v>369</v>
      </c>
      <c r="C1" s="1" t="s">
        <v>445</v>
      </c>
      <c r="D1" s="1" t="s">
        <v>436</v>
      </c>
      <c r="E1" s="1" t="s">
        <v>437</v>
      </c>
      <c r="F1" s="1" t="s">
        <v>438</v>
      </c>
      <c r="G1" s="1" t="s">
        <v>439</v>
      </c>
    </row>
    <row r="2" spans="1:7" x14ac:dyDescent="0.2">
      <c r="A2" t="s">
        <v>358</v>
      </c>
      <c r="B2" t="b">
        <f>TRUE()</f>
        <v>1</v>
      </c>
      <c r="C2" t="str" cm="1">
        <f t="array" ref="C2:C5">TRANSPOSE(_xlfn._xlws.FILTER(Data!A1:CV1,NOT(ISBLANK(Data!A1:CV1))))</f>
        <v>Eksempel 1 (interval)</v>
      </c>
      <c r="D2" s="27" t="s">
        <v>16</v>
      </c>
      <c r="E2" s="27" t="s">
        <v>63</v>
      </c>
      <c r="F2" t="s">
        <v>16</v>
      </c>
      <c r="G2" t="s">
        <v>63</v>
      </c>
    </row>
    <row r="3" spans="1:7" x14ac:dyDescent="0.2">
      <c r="A3" t="s">
        <v>359</v>
      </c>
      <c r="B3" t="b">
        <f>FALSE()</f>
        <v>0</v>
      </c>
      <c r="C3" t="str">
        <v>Eksempel 2 (interval)</v>
      </c>
      <c r="D3" s="27" t="s">
        <v>119</v>
      </c>
      <c r="E3" s="27" t="s">
        <v>64</v>
      </c>
      <c r="F3" t="s">
        <v>66</v>
      </c>
      <c r="G3" t="s">
        <v>64</v>
      </c>
    </row>
    <row r="4" spans="1:7" x14ac:dyDescent="0.2">
      <c r="C4" t="str">
        <v>Eksempel 3 (nominal)</v>
      </c>
      <c r="D4" s="27" t="s">
        <v>120</v>
      </c>
      <c r="E4" s="27" t="s">
        <v>75</v>
      </c>
      <c r="F4" t="s">
        <v>67</v>
      </c>
      <c r="G4" t="s">
        <v>72</v>
      </c>
    </row>
    <row r="5" spans="1:7" x14ac:dyDescent="0.2">
      <c r="C5" t="str">
        <v>Eksempel 4 (nominal)</v>
      </c>
      <c r="D5" s="27" t="s">
        <v>62</v>
      </c>
      <c r="E5" s="27" t="s">
        <v>76</v>
      </c>
      <c r="F5" t="s">
        <v>68</v>
      </c>
      <c r="G5" t="s">
        <v>74</v>
      </c>
    </row>
    <row r="6" spans="1:7" x14ac:dyDescent="0.2">
      <c r="F6" t="s">
        <v>69</v>
      </c>
      <c r="G6" t="s">
        <v>75</v>
      </c>
    </row>
    <row r="7" spans="1:7" x14ac:dyDescent="0.2">
      <c r="F7" t="s">
        <v>70</v>
      </c>
      <c r="G7" t="s">
        <v>76</v>
      </c>
    </row>
    <row r="8" spans="1:7" x14ac:dyDescent="0.2">
      <c r="F8" t="s">
        <v>71</v>
      </c>
      <c r="G8" t="s">
        <v>77</v>
      </c>
    </row>
    <row r="9" spans="1:7" x14ac:dyDescent="0.2">
      <c r="G9" t="s">
        <v>65</v>
      </c>
    </row>
    <row r="10" spans="1:7" x14ac:dyDescent="0.2">
      <c r="G10" t="s">
        <v>73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F414A-3251-410F-BD87-57012D87B543}">
  <sheetPr codeName="Sheet7">
    <tabColor theme="8"/>
  </sheetPr>
  <dimension ref="A1:FA109"/>
  <sheetViews>
    <sheetView showGridLines="0" zoomScaleNormal="100" workbookViewId="0"/>
  </sheetViews>
  <sheetFormatPr defaultColWidth="8.75" defaultRowHeight="14.25" x14ac:dyDescent="0.2"/>
  <cols>
    <col min="1" max="1" width="40.875" style="19" customWidth="1"/>
    <col min="2" max="4" width="35.5" style="19" customWidth="1"/>
    <col min="5" max="5" width="4.125" style="19" customWidth="1"/>
    <col min="6" max="18" width="16.75" style="19" customWidth="1"/>
    <col min="19" max="42" width="15.75" style="19" customWidth="1"/>
    <col min="43" max="43" width="21.5" style="19" bestFit="1" customWidth="1"/>
    <col min="44" max="44" width="88.125" style="19" customWidth="1"/>
    <col min="45" max="45" width="14.375" style="19" customWidth="1"/>
    <col min="46" max="46" width="21.375" style="19" customWidth="1"/>
    <col min="47" max="47" width="28.375" style="19" customWidth="1"/>
    <col min="48" max="48" width="30" style="19" customWidth="1"/>
    <col min="49" max="49" width="23.75" style="19" customWidth="1"/>
    <col min="50" max="50" width="109.25" style="19" customWidth="1"/>
    <col min="51" max="51" width="16" style="19" customWidth="1"/>
    <col min="52" max="52" width="12.5" style="19" customWidth="1"/>
    <col min="53" max="53" width="15" style="19" customWidth="1"/>
    <col min="54" max="54" width="44.875" style="19" customWidth="1"/>
    <col min="55" max="55" width="30.375" style="19" customWidth="1"/>
    <col min="56" max="56" width="11.875" style="19" customWidth="1"/>
    <col min="57" max="57" width="26.25" style="19" customWidth="1"/>
    <col min="58" max="58" width="27" style="19" customWidth="1"/>
    <col min="59" max="59" width="114.625" style="19" customWidth="1"/>
    <col min="60" max="60" width="32.875" style="19" customWidth="1"/>
    <col min="61" max="61" width="11.875" style="19" customWidth="1"/>
    <col min="62" max="62" width="28.5" style="19" customWidth="1"/>
    <col min="63" max="63" width="29.25" style="19" customWidth="1"/>
    <col min="64" max="64" width="66.625" style="19" customWidth="1"/>
    <col min="65" max="65" width="19.25" style="19" customWidth="1"/>
    <col min="66" max="66" width="31" style="19" customWidth="1"/>
    <col min="67" max="67" width="35" style="19" customWidth="1"/>
    <col min="68" max="68" width="28.75" style="19" customWidth="1"/>
    <col min="69" max="69" width="70" style="19" customWidth="1"/>
    <col min="70" max="70" width="8.625" style="19" customWidth="1"/>
    <col min="71" max="71" width="3.875" style="19" customWidth="1"/>
    <col min="72" max="72" width="6" style="19" customWidth="1"/>
    <col min="73" max="74" width="12.625" style="19" customWidth="1"/>
    <col min="75" max="75" width="9.125" style="19" customWidth="1"/>
    <col min="76" max="77" width="11.875" style="19" customWidth="1"/>
    <col min="78" max="79" width="12.5" style="19" customWidth="1"/>
    <col min="80" max="80" width="9.375" style="19" customWidth="1"/>
    <col min="81" max="81" width="21.75" style="19" bestFit="1" customWidth="1"/>
    <col min="82" max="82" width="20.875" style="19" bestFit="1" customWidth="1"/>
    <col min="83" max="83" width="14" style="19" customWidth="1"/>
    <col min="84" max="84" width="4.75" style="19" customWidth="1"/>
    <col min="85" max="85" width="6.125" style="19" customWidth="1"/>
    <col min="86" max="87" width="18.375" style="19" customWidth="1"/>
    <col min="88" max="88" width="22.875" style="19" customWidth="1"/>
    <col min="89" max="90" width="11.875" style="19" customWidth="1"/>
    <col min="91" max="91" width="28.25" style="19" bestFit="1" customWidth="1"/>
    <col min="92" max="92" width="28.875" style="19" bestFit="1" customWidth="1"/>
    <col min="93" max="93" width="19.625" style="19" bestFit="1" customWidth="1"/>
    <col min="94" max="94" width="152.125" style="19" customWidth="1"/>
    <col min="95" max="95" width="4" style="19" customWidth="1"/>
    <col min="96" max="96" width="12.5" style="19" customWidth="1"/>
    <col min="97" max="97" width="18.25" style="19" customWidth="1"/>
    <col min="98" max="98" width="28" style="19" customWidth="1"/>
    <col min="99" max="99" width="12.125" style="19" customWidth="1"/>
    <col min="100" max="100" width="5.625" style="19" customWidth="1"/>
    <col min="101" max="101" width="12.125" style="19" customWidth="1"/>
    <col min="102" max="102" width="14.875" style="19" customWidth="1"/>
    <col min="103" max="103" width="16.25" style="19" customWidth="1"/>
    <col min="104" max="104" width="12.25" style="19" customWidth="1"/>
    <col min="105" max="105" width="7" style="19" customWidth="1"/>
    <col min="106" max="106" width="11.875" style="19" customWidth="1"/>
    <col min="107" max="108" width="22.875" style="19" customWidth="1"/>
    <col min="109" max="109" width="12.25" style="19" customWidth="1"/>
    <col min="110" max="110" width="10" style="19" customWidth="1"/>
    <col min="111" max="111" width="11.25" style="19" customWidth="1"/>
    <col min="112" max="113" width="28.75" style="19" customWidth="1"/>
    <col min="114" max="114" width="12.25" style="19" customWidth="1"/>
    <col min="115" max="115" width="12.5" style="19" customWidth="1"/>
    <col min="116" max="117" width="16.75" style="19" customWidth="1"/>
    <col min="118" max="118" width="24" style="19" customWidth="1"/>
    <col min="119" max="119" width="16.75" style="19" customWidth="1"/>
    <col min="120" max="121" width="16.5" style="19" customWidth="1"/>
    <col min="122" max="122" width="16.75" style="19" customWidth="1"/>
    <col min="123" max="124" width="17.875" style="19" customWidth="1"/>
    <col min="125" max="125" width="15.25" style="19" customWidth="1"/>
    <col min="126" max="126" width="19.125" style="19" customWidth="1"/>
    <col min="127" max="127" width="55.5" style="19" customWidth="1"/>
    <col min="128" max="128" width="9.125" style="19" customWidth="1"/>
    <col min="129" max="129" width="21.25" style="19" customWidth="1"/>
    <col min="130" max="130" width="21.5" style="19" customWidth="1"/>
    <col min="131" max="131" width="12.5" style="19" customWidth="1"/>
    <col min="132" max="132" width="17.125" style="19" customWidth="1"/>
    <col min="133" max="133" width="12.5" style="19" customWidth="1"/>
    <col min="134" max="134" width="18.625" style="19" customWidth="1"/>
    <col min="135" max="135" width="56.5" style="19" customWidth="1"/>
    <col min="136" max="136" width="9.125" style="19" customWidth="1"/>
    <col min="137" max="137" width="14.25" style="19" customWidth="1"/>
    <col min="138" max="138" width="13.5" style="19" customWidth="1"/>
    <col min="139" max="139" width="12.5" style="19" customWidth="1"/>
    <col min="140" max="140" width="18.25" style="19" customWidth="1"/>
    <col min="141" max="141" width="12.5" style="19" customWidth="1"/>
    <col min="142" max="142" width="19.875" style="19" customWidth="1"/>
    <col min="143" max="143" width="96.125" style="19" customWidth="1"/>
    <col min="144" max="144" width="17.875" style="19" customWidth="1"/>
    <col min="145" max="145" width="17.625" style="19" customWidth="1"/>
    <col min="146" max="146" width="19.375" style="19" customWidth="1"/>
    <col min="147" max="147" width="24.5" style="19" customWidth="1"/>
    <col min="148" max="148" width="6.75" style="19" customWidth="1"/>
    <col min="149" max="149" width="62.875" style="19" bestFit="1" customWidth="1"/>
    <col min="150" max="151" width="16.75" style="19" bestFit="1" customWidth="1"/>
    <col min="152" max="155" width="12.5" bestFit="1" customWidth="1"/>
    <col min="158" max="16384" width="8.75" style="19"/>
  </cols>
  <sheetData>
    <row r="1" spans="1:155" s="20" customFormat="1" ht="18.75" x14ac:dyDescent="0.2">
      <c r="A1" s="31" t="s">
        <v>11</v>
      </c>
      <c r="B1" s="62" t="s">
        <v>27</v>
      </c>
      <c r="C1" s="62"/>
    </row>
    <row r="2" spans="1:155" x14ac:dyDescent="0.2">
      <c r="A2" s="32" t="s">
        <v>12</v>
      </c>
    </row>
    <row r="3" spans="1:155" ht="15" x14ac:dyDescent="0.2">
      <c r="C3" s="22"/>
    </row>
    <row r="4" spans="1:155" x14ac:dyDescent="0.2">
      <c r="A4" s="23" t="s">
        <v>366</v>
      </c>
    </row>
    <row r="5" spans="1:155" x14ac:dyDescent="0.2">
      <c r="A5" s="28" t="s">
        <v>2</v>
      </c>
      <c r="B5" s="24">
        <v>0.95</v>
      </c>
    </row>
    <row r="6" spans="1:155" x14ac:dyDescent="0.2">
      <c r="A6" s="28" t="s">
        <v>132</v>
      </c>
      <c r="B6" s="18" t="b">
        <v>1</v>
      </c>
      <c r="AN6"/>
      <c r="AO6"/>
    </row>
    <row r="7" spans="1:155" x14ac:dyDescent="0.2">
      <c r="AM7"/>
    </row>
    <row r="8" spans="1:155" x14ac:dyDescent="0.2">
      <c r="A8" s="21" t="s">
        <v>367</v>
      </c>
      <c r="B8" s="21" t="s">
        <v>443</v>
      </c>
      <c r="C8" s="3" t="s">
        <v>444</v>
      </c>
      <c r="D8" s="61"/>
      <c r="DF8" s="26"/>
      <c r="ES8" s="21" t="s">
        <v>379</v>
      </c>
    </row>
    <row r="9" spans="1:155" x14ac:dyDescent="0.2">
      <c r="AQ9" s="41" t="s">
        <v>20</v>
      </c>
      <c r="AR9" s="41" t="s">
        <v>154</v>
      </c>
      <c r="AS9" s="41" t="s">
        <v>150</v>
      </c>
      <c r="AT9" s="41" t="s">
        <v>151</v>
      </c>
      <c r="AU9" s="41" t="s">
        <v>153</v>
      </c>
      <c r="AV9" s="41" t="s">
        <v>152</v>
      </c>
      <c r="AW9" s="41" t="s">
        <v>181</v>
      </c>
      <c r="AX9" s="41" t="s">
        <v>167</v>
      </c>
      <c r="AY9" s="41" t="s">
        <v>165</v>
      </c>
      <c r="AZ9" s="41" t="s">
        <v>121</v>
      </c>
      <c r="BA9" s="41" t="s">
        <v>18</v>
      </c>
      <c r="BB9" s="41" t="s">
        <v>175</v>
      </c>
      <c r="BC9" s="41" t="s">
        <v>177</v>
      </c>
      <c r="BD9" s="41" t="s">
        <v>189</v>
      </c>
      <c r="BE9" s="41" t="s">
        <v>188</v>
      </c>
      <c r="BF9" s="41" t="s">
        <v>187</v>
      </c>
      <c r="BG9" s="41" t="s">
        <v>167</v>
      </c>
      <c r="BH9" s="41" t="s">
        <v>193</v>
      </c>
      <c r="BI9" s="41" t="s">
        <v>194</v>
      </c>
      <c r="BJ9" s="41" t="s">
        <v>195</v>
      </c>
      <c r="BK9" s="41" t="s">
        <v>196</v>
      </c>
      <c r="BL9" s="41" t="s">
        <v>209</v>
      </c>
      <c r="BM9" s="41" t="s">
        <v>135</v>
      </c>
      <c r="BN9" s="41" t="s">
        <v>213</v>
      </c>
      <c r="BO9" s="41" t="s">
        <v>214</v>
      </c>
      <c r="BP9" s="41" t="s">
        <v>215</v>
      </c>
      <c r="BQ9" s="41" t="s">
        <v>219</v>
      </c>
      <c r="BR9" s="41" t="s">
        <v>131</v>
      </c>
      <c r="BS9" s="41" t="s">
        <v>221</v>
      </c>
      <c r="BT9" s="41" t="s">
        <v>222</v>
      </c>
      <c r="BU9" s="41" t="s">
        <v>224</v>
      </c>
      <c r="BV9" s="41" t="s">
        <v>223</v>
      </c>
      <c r="BW9" s="41" t="s">
        <v>227</v>
      </c>
      <c r="BX9" s="41" t="s">
        <v>228</v>
      </c>
      <c r="BY9" s="41" t="s">
        <v>230</v>
      </c>
      <c r="BZ9" s="41" t="s">
        <v>229</v>
      </c>
      <c r="CA9" s="41" t="s">
        <v>231</v>
      </c>
      <c r="CB9" s="41" t="s">
        <v>244</v>
      </c>
      <c r="CC9" s="41" t="s">
        <v>246</v>
      </c>
      <c r="CD9" s="41" t="s">
        <v>420</v>
      </c>
      <c r="CE9" s="41" t="s">
        <v>232</v>
      </c>
      <c r="CF9" s="41" t="s">
        <v>233</v>
      </c>
      <c r="CG9" s="41" t="s">
        <v>234</v>
      </c>
      <c r="CH9" s="41" t="s">
        <v>235</v>
      </c>
      <c r="CI9" s="41" t="s">
        <v>236</v>
      </c>
      <c r="CJ9" s="41" t="s">
        <v>238</v>
      </c>
      <c r="CK9" s="41" t="s">
        <v>240</v>
      </c>
      <c r="CL9" s="41" t="s">
        <v>421</v>
      </c>
      <c r="CM9" s="41" t="s">
        <v>424</v>
      </c>
      <c r="CN9" s="41" t="s">
        <v>423</v>
      </c>
      <c r="CO9" s="41" t="s">
        <v>425</v>
      </c>
      <c r="CP9" s="41" t="s">
        <v>256</v>
      </c>
      <c r="CQ9" s="41" t="s">
        <v>255</v>
      </c>
      <c r="CR9" s="41" t="s">
        <v>250</v>
      </c>
      <c r="CS9" s="41" t="s">
        <v>261</v>
      </c>
      <c r="CT9" s="41" t="s">
        <v>262</v>
      </c>
      <c r="CU9" s="41" t="s">
        <v>264</v>
      </c>
      <c r="CV9" s="41" t="s">
        <v>266</v>
      </c>
      <c r="CW9" s="41" t="s">
        <v>269</v>
      </c>
      <c r="CX9" s="41" t="s">
        <v>267</v>
      </c>
      <c r="CY9" s="41" t="s">
        <v>268</v>
      </c>
      <c r="CZ9" s="41" t="s">
        <v>270</v>
      </c>
      <c r="DA9" s="41" t="s">
        <v>263</v>
      </c>
      <c r="DB9" s="41" t="s">
        <v>116</v>
      </c>
      <c r="DC9" s="41" t="s">
        <v>286</v>
      </c>
      <c r="DD9" s="41" t="s">
        <v>287</v>
      </c>
      <c r="DE9" s="41" t="s">
        <v>271</v>
      </c>
      <c r="DF9" s="41" t="s">
        <v>274</v>
      </c>
      <c r="DG9" s="41" t="s">
        <v>275</v>
      </c>
      <c r="DH9" s="41" t="s">
        <v>288</v>
      </c>
      <c r="DI9" s="41" t="s">
        <v>289</v>
      </c>
      <c r="DJ9" s="41" t="s">
        <v>270</v>
      </c>
      <c r="DK9" s="41" t="s">
        <v>118</v>
      </c>
      <c r="DL9" s="41" t="s">
        <v>276</v>
      </c>
      <c r="DM9" s="41" t="s">
        <v>277</v>
      </c>
      <c r="DN9" s="41" t="s">
        <v>279</v>
      </c>
      <c r="DO9" s="41" t="s">
        <v>276</v>
      </c>
      <c r="DP9" s="41" t="s">
        <v>290</v>
      </c>
      <c r="DQ9" s="41" t="s">
        <v>291</v>
      </c>
      <c r="DR9" s="41" t="s">
        <v>277</v>
      </c>
      <c r="DS9" s="41" t="s">
        <v>292</v>
      </c>
      <c r="DT9" s="41" t="s">
        <v>293</v>
      </c>
      <c r="DU9" s="41" t="s">
        <v>296</v>
      </c>
      <c r="DV9" s="41" t="s">
        <v>300</v>
      </c>
      <c r="DW9" s="41" t="s">
        <v>305</v>
      </c>
      <c r="DX9" s="41" t="s">
        <v>314</v>
      </c>
      <c r="DY9" s="41" t="s">
        <v>326</v>
      </c>
      <c r="DZ9" s="41" t="s">
        <v>316</v>
      </c>
      <c r="EA9" s="41" t="s">
        <v>17</v>
      </c>
      <c r="EB9" s="41" t="s">
        <v>317</v>
      </c>
      <c r="EC9" s="41" t="s">
        <v>318</v>
      </c>
      <c r="ED9" s="41" t="s">
        <v>319</v>
      </c>
      <c r="EE9" s="41" t="s">
        <v>321</v>
      </c>
      <c r="EF9" s="41" t="s">
        <v>314</v>
      </c>
      <c r="EG9" s="41" t="s">
        <v>315</v>
      </c>
      <c r="EH9" s="41" t="s">
        <v>327</v>
      </c>
      <c r="EI9" s="41" t="s">
        <v>17</v>
      </c>
      <c r="EJ9" s="41" t="s">
        <v>328</v>
      </c>
      <c r="EK9" s="41" t="s">
        <v>329</v>
      </c>
      <c r="EL9" s="41" t="s">
        <v>330</v>
      </c>
      <c r="EM9" s="41" t="s">
        <v>331</v>
      </c>
      <c r="EN9" s="41" t="s">
        <v>353</v>
      </c>
      <c r="EO9" s="41" t="s">
        <v>352</v>
      </c>
      <c r="EP9" s="41" t="s">
        <v>351</v>
      </c>
      <c r="EQ9" s="41" t="s">
        <v>350</v>
      </c>
      <c r="ES9" s="35" t="s">
        <v>137</v>
      </c>
      <c r="ET9" cm="1">
        <f t="array" ref="ET9:EU9">_xlfn.XMATCH(_xlfn.ANCHORARRAY(ET11),DataHeaders,0)</f>
        <v>2</v>
      </c>
      <c r="EU9" s="19">
        <v>3</v>
      </c>
      <c r="EV9" s="19"/>
      <c r="EW9" s="19"/>
      <c r="EX9" s="19"/>
      <c r="EY9" s="19"/>
    </row>
    <row r="10" spans="1:155" x14ac:dyDescent="0.2">
      <c r="AQ10" s="39" t="str" cm="1">
        <f t="array" ref="AQ10">_xlfn.UNIQUE(INDEX(_xlfn.LET(_xlpm.a,_xlfn.UNIQUE(LineærRegression_Valg[[Afhængig variabel]:[Synlig]]),_xlfn._xlws.FILTER(_xlpm.a,INDEX(_xlpm.a,,3)=1)),,1))</f>
        <v>Eksempel 1 (interval)</v>
      </c>
      <c r="AR10" s="37" t="str">
        <f>"Linjetilpasningsplot for simpel lineær regression
"&amp;AR18&amp;" forklarer "&amp;AR20&amp;"
af variationen i "&amp;AQ10</f>
        <v>Linjetilpasningsplot for simpel lineær regression
Eksempel 2 (interval) forklarer 19.5%
af variationen i Eksempel 1 (interval)</v>
      </c>
      <c r="AS10" s="19" cm="1">
        <f t="array" ref="AS10:AS21">_xlfn.SEQUENCE(AQ14)</f>
        <v>1</v>
      </c>
      <c r="AT10" cm="1">
        <f t="array" ref="AT10:AT21">INDEX(_xlfn.ANCHORARRAY(EU75),1,AR44):INDEX(_xlfn.ANCHORARRAY(EU75),AQ14,AR44)</f>
        <v>2</v>
      </c>
      <c r="AU10" s="19" cm="1">
        <f t="array" ref="AU10:AU21">_xlfn.SORTBY(_xlfn.ANCHORARRAY(ET75),_xlfn.ANCHORARRAY(AT10),1)</f>
        <v>-1.1469596428732241</v>
      </c>
      <c r="AV10" s="19" cm="1">
        <f t="array" ref="AV10:AV21">_xlfn.SORTBY(_xlfn.ANCHORARRAY(AT10),_xlfn.ANCHORARRAY(AT10),1)</f>
        <v>-3.2725647568992748</v>
      </c>
      <c r="AW10" s="19" cm="1">
        <f t="array" ref="AW10:AW21">ET34*_xlfn.ANCHORARRAY(AV10)+EU34</f>
        <v>-1.4374212088539973</v>
      </c>
      <c r="AX10" s="37" t="str">
        <f>"Konfidensinterval for simpel lineær regression
Gennemsnittet er med "&amp;B5*100&amp;"% sandsynlighed mellem
øvre og nedre grænse i konfidensintervallet"</f>
        <v>Konfidensinterval for simpel lineær regression
Gennemsnittet er med 95% sandsynlighed mellem
øvre og nedre grænse i konfidensintervallet</v>
      </c>
      <c r="AY10" s="19" cm="1">
        <f t="array" ref="AY10:AY21">_xlfn.SEQUENCE(AQ14)</f>
        <v>1</v>
      </c>
      <c r="AZ10" s="19" cm="1">
        <f t="array" ref="AZ10:AZ21">_xlfn.ANCHORARRAY(AU10)-_xlfn.ANCHORARRAY(AW10)</f>
        <v>0.29046156598077322</v>
      </c>
      <c r="BA10" s="19" cm="1">
        <f t="array" ref="BA10:BA21">_xlfn.ANCHORARRAY(AZ10)^2</f>
        <v>8.4367921312003075E-2</v>
      </c>
      <c r="BB10" s="19" cm="1">
        <f t="array" ref="BB10:BB21">(_xlfn.ANCHORARRAY(AV10)-AX30)^2</f>
        <v>54.98080570742097</v>
      </c>
      <c r="BC10" s="19" cm="1">
        <f t="array" ref="BC10:BC109">_xlfn.SEQUENCE(AX34,,0)</f>
        <v>0</v>
      </c>
      <c r="BD10" s="19" cm="1">
        <f t="array" ref="BD10:BD109">AX36+AX40*_xlfn.ANCHORARRAY(BC10)/(AX34-1)</f>
        <v>-3.2725647568992748</v>
      </c>
      <c r="BE10" s="19" cm="1">
        <f t="array" ref="BE10:BE109">EU34+ET34*_xlfn.ANCHORARRAY(BD10)+_xlfn.T.INV.2T(1-B5,EU37)*SQRT(AX28/EU37)*SQRT(1/AQ14+(_xlfn.ANCHORARRAY(BD10)-AX30)^2/AX32)</f>
        <v>3.9473397635976206</v>
      </c>
      <c r="BF10" s="19" cm="1">
        <f t="array" ref="BF10:BF109">EU34+ET34*_xlfn.ANCHORARRAY(BD10)-_xlfn.T.INV.2T(1-B5,EU37)*SQRT(AX28/EU37)*SQRT(1/AQ14+(_xlfn.ANCHORARRAY(BD10)-AX30)^2/AX32)</f>
        <v>-6.8221821813056156</v>
      </c>
      <c r="BG10" s="37" t="str">
        <f>"Forudsigelsesinterval for simpel lineær regression
Observationer er med "&amp;B5*100&amp;"% sandsynlighed mellem
øvre og nedre grænse i forudsigelsesintervallet"</f>
        <v>Forudsigelsesinterval for simpel lineær regression
Observationer er med 95% sandsynlighed mellem
øvre og nedre grænse i forudsigelsesintervallet</v>
      </c>
      <c r="BH10" s="19" cm="1">
        <f t="array" ref="BH10:BH109">_xlfn.SEQUENCE(BG28,,0)</f>
        <v>0</v>
      </c>
      <c r="BI10" s="19" cm="1">
        <f t="array" ref="BI10:BI109">BG30+BG34*_xlfn.ANCHORARRAY(BH10)/(BG28-1)</f>
        <v>-3.2725647568992748</v>
      </c>
      <c r="BJ10" s="19" cm="1">
        <f t="array" ref="BJ10:BJ109">EU34+ET34*_xlfn.ANCHORARRAY(BI10)+_xlfn.T.INV.2T(1-B5,EU37)*SQRT(AX28/EU37)*SQRT(1+(1/AQ14)+(_xlfn.ANCHORARRAY(BI10)-AX30)^2/AX32)</f>
        <v>9.0763047188477604</v>
      </c>
      <c r="BK10" s="19" cm="1">
        <f t="array" ref="BK10:BK109">EU34+ET34*_xlfn.ANCHORARRAY(BI10)-_xlfn.T.INV.2T(1-B5,EU37)*SQRT(AX28/EU37)*SQRT(1+(1/AQ14)+(_xlfn.ANCHORARRAY(BI10)-AX30)^2/AX32)</f>
        <v>-11.951147136555756</v>
      </c>
      <c r="BL10" s="37" t="str">
        <f>"Ud af "&amp;AQ16&amp;" inkluderede uafhængige variable
er "&amp;BL18&amp;" signifikante ved "&amp;B5*100&amp;"% konfidensniveau"</f>
        <v>Ud af 2 inkluderede uafhængige variable
er 0 signifikante ved 95% konfidensniveau</v>
      </c>
      <c r="BM10" s="19" cm="1">
        <f t="array" ref="BM10:BM11">_xlfn.SEQUENCE(AQ16)</f>
        <v>1</v>
      </c>
      <c r="BN10" s="19" t="e" cm="1">
        <f t="array" ref="BN10:BN11">TRANSPOSE(IF(_xlfn.ANCHORARRAY(ET13),_xlfn.ANCHORARRAY(ET12),NA()))</f>
        <v>#N/A</v>
      </c>
      <c r="BO10" s="19" cm="1">
        <f t="array" ref="BO10:BO11">TRANSPOSE(IF(NOT(_xlfn.ANCHORARRAY(ET13)),_xlfn.ANCHORARRAY(ET12),NA()))</f>
        <v>0.19806158153598377</v>
      </c>
      <c r="BP10" s="19" t="str" cm="1">
        <f t="array" ref="BP10:BP11">TRANSPOSE(_xlfn.ANCHORARRAY(ET11))&amp;REPT(" ",5)</f>
        <v xml:space="preserve">Eksempel 2 (interval)     </v>
      </c>
      <c r="BQ10" s="37" t="str">
        <f>"Koefficienteffekt i multipel lineær regression
Ændringer i "&amp;BQ30&amp;" har størst effekt"&amp;IF(BQ28&gt;1,"
Ændringer i "&amp;BQ31&amp;" har næststørst effekt","")
&amp;IF(BQ28&gt;2,"
Ændringer i "&amp;BQ32&amp;" har tredjestørst effekt","")</f>
        <v>Koefficienteffekt i multipel lineær regression
Ændringer i Eksempel 2 (interval) har størst effekt</v>
      </c>
      <c r="BR10" s="19" cm="1">
        <f t="array" ref="BR10:BR33">_xlfn.SEQUENCE(AQ14*AQ16)</f>
        <v>1</v>
      </c>
      <c r="BS10" s="19" cm="1">
        <f t="array" ref="BS10:BS33">MOD((_xlfn.ANCHORARRAY(BR10)-1),AQ14)+1</f>
        <v>1</v>
      </c>
      <c r="BT10" s="19" cm="1">
        <f t="array" ref="BT10:BT33">ROUNDDOWN((_xlfn.ANCHORARRAY(BR10)-1)/(AQ14),0)+1</f>
        <v>1</v>
      </c>
      <c r="BU10" s="19" cm="1">
        <f t="array" ref="BU10:BU33">INDEX((_xlfn.ANCHORARRAY(EU75)-_xlfn.ANCHORARRAY(ET18))/_xlfn.ANCHORARRAY(ET24),_xlfn.ANCHORARRAY(BS10),_xlfn.ANCHORARRAY(BT10))</f>
        <v>-0.52222925620854133</v>
      </c>
      <c r="BV10" s="19" cm="1">
        <f t="array" ref="BV10:BV33">INDEX(_xlfn.ANCHORARRAY(ET25)*_xlfn.ANCHORARRAY(EU75),_xlfn.ANCHORARRAY(BS10),_xlfn.ANCHORARRAY(BT10))</f>
        <v>0.84842139505218872</v>
      </c>
      <c r="BW10" s="19" cm="1">
        <f t="array" ref="BW10:BW11">_xlfn.SEQUENCE(AQ16)</f>
        <v>1</v>
      </c>
      <c r="BX10" s="19" cm="1">
        <f t="array" ref="BX10:BX11">_xlfn.MAXIFS(_xlfn.ANCHORARRAY(BU10),_xlfn.ANCHORARRAY(BT10),_xlfn.ANCHORARRAY(BW10))</f>
        <v>1.3568458048465697</v>
      </c>
      <c r="BY10" s="19" cm="1">
        <f t="array" ref="BY10:BY11">_xlfn.MAXIFS(_xlfn.ANCHORARRAY(BV10),_xlfn.ANCHORARRAY(BT10),_xlfn.ANCHORARRAY(BW10))</f>
        <v>4.118459773571125</v>
      </c>
      <c r="BZ10" s="19" cm="1">
        <f t="array" ref="BZ10:BZ11">_xlfn.MINIFS(_xlfn.ANCHORARRAY(BU10),_xlfn.ANCHORARRAY(BT10),_xlfn.ANCHORARRAY(BW10))</f>
        <v>-1.807500578536976</v>
      </c>
      <c r="CA10" s="19" cm="1">
        <f t="array" ref="CA10:CA11">_xlfn.MINIFS(_xlfn.ANCHORARRAY(BV10),_xlfn.ANCHORARRAY(BT10),_xlfn.ANCHORARRAY(BW10))</f>
        <v>-1.3882569782235548</v>
      </c>
      <c r="CB10" s="19" t="b" cm="1">
        <f t="array" ref="CB10:CB11">TRANSPOSE(MMULT((_xlfn.SEQUENCE(,BQ20,1,0)),(_xlfn.ANCHORARRAY(BU10)=TRANSPOSE(_xlfn.ANCHORARRAY(BX10)))*(_xlfn.ANCHORARRAY(BV10)=TRANSPOSE(_xlfn.ANCHORARRAY(BY10)))))&gt;=1</f>
        <v>1</v>
      </c>
      <c r="CC10" s="19" cm="1">
        <f t="array" ref="CC10:CC11">IF(_xlfn.ANCHORARRAY(CB10),_xlfn.ANCHORARRAY(BY10),_xlfn.ANCHORARRAY(CA10))</f>
        <v>4.118459773571125</v>
      </c>
      <c r="CD10" s="19" cm="1">
        <f t="array" ref="CD10:CD11">IF(_xlfn.ANCHORARRAY(CB10),_xlfn.ANCHORARRAY(CA10),_xlfn.ANCHORARRAY(BY10))</f>
        <v>-1.3882569782235548</v>
      </c>
      <c r="CE10" s="19" cm="1">
        <f t="array" ref="CE10:CE15">_xlfn.SEQUENCE(AQ16*3)</f>
        <v>1</v>
      </c>
      <c r="CF10" s="19" cm="1">
        <f t="array" ref="CF10:CF15">MOD(_xlfn.ANCHORARRAY(CE10)-1,3)+1</f>
        <v>1</v>
      </c>
      <c r="CG10" s="19" cm="1">
        <f t="array" ref="CG10:CG15">ROUNDDOWN((_xlfn.ANCHORARRAY(CE10)-1)/3,0)+1</f>
        <v>1</v>
      </c>
      <c r="CH10" s="19" cm="1">
        <f t="array" ref="CH10:CH15">CHOOSE(_xlfn.ANCHORARRAY(CF10),INDEX(_xlfn.ANCHORARRAY(BX10),_xlfn.ANCHORARRAY(CG10)),INDEX(_xlfn.ANCHORARRAY(BZ10),_xlfn.ANCHORARRAY(CG10)),NA())</f>
        <v>1.3568458048465697</v>
      </c>
      <c r="CI10" s="19" cm="1">
        <f t="array" ref="CI10:CI15">CHOOSE(_xlfn.ANCHORARRAY(CF10),INDEX(_xlfn.ANCHORARRAY(CC10),_xlfn.ANCHORARRAY(CG10)),INDEX(_xlfn.ANCHORARRAY(CD10),_xlfn.ANCHORARRAY(CG10)),NA())</f>
        <v>4.118459773571125</v>
      </c>
      <c r="CJ10" s="19" cm="1">
        <f t="array" ref="CJ10:CJ11">ABS((_xlfn.ANCHORARRAY(CC10)-_xlfn.ANCHORARRAY(CD10))/(_xlfn.ANCHORARRAY(BX10)-_xlfn.ANCHORARRAY(BZ10)))</f>
        <v>1.7402382939842713</v>
      </c>
      <c r="CK10" s="19" cm="1">
        <f t="array" ref="CK10:CK11">_xlfn.ANCHORARRAY(CJ10)/SUM(_xlfn.ANCHORARRAY(CJ10))*COUNT(_xlfn.ANCHORARRAY(CJ10))</f>
        <v>1.6274267564812548</v>
      </c>
      <c r="CL10" s="19" cm="1">
        <f t="array" ref="CL10:CL11">(_xlfn.ANCHORARRAY(CC10)-_xlfn.ANCHORARRAY(CD10))/(_xlfn.ANCHORARRAY(BX10)-_xlfn.ANCHORARRAY(BZ10))</f>
        <v>1.7402382939842713</v>
      </c>
      <c r="CM10" s="19" cm="1">
        <f t="array" ref="CM10:CM11">TRANSPOSE(_xlfn.ANCHORARRAY(ET30))</f>
        <v>-0.76599512378686307</v>
      </c>
      <c r="CN10" s="19" cm="1">
        <f t="array" ref="CN10:CN11">_xlfn.ANCHORARRAY(CM10)-_xlfn.ANCHORARRAY(BX10)</f>
        <v>-2.1228409286334329</v>
      </c>
      <c r="CO10" s="19" cm="1">
        <f t="array" ref="CO10:CO11">_xlfn.ANCHORARRAY(CN10)*_xlfn.ANCHORARRAY(CL10)+_xlfn.ANCHORARRAY(CC10)</f>
        <v>0.42421069752609331</v>
      </c>
      <c r="CP10" s="37" t="str">
        <f>CP30&amp;" par af uafhængige variable er stærkt korrelede"&amp;
IF(CP39&gt;0,"
"&amp;CP48,"")</f>
        <v>0 par af uafhængige variable er stærkt korrelede
Den stærkeste korrelation er mellem Eksempel 2 (interval) og Eksempel 3 (nominal)</v>
      </c>
      <c r="CQ10" s="19" cm="1">
        <f t="array" ref="CQ10:CQ33">ROUNDDOWN(_xlfn.SEQUENCE(AQ14*AQ16,,0)/AQ14+1,0)</f>
        <v>1</v>
      </c>
      <c r="CR10" s="19" cm="1">
        <f t="array" ref="CR10:CR33">INDEX(_xlfn.ANCHORARRAY(EU75),MOD(_xlfn.SEQUENCE(AQ14*AQ16,,0),AQ14)+1,ROUNDDOWN(_xlfn.SEQUENCE(AQ14*AQ16,,0)/AQ14+1,0))</f>
        <v>2</v>
      </c>
      <c r="CS10" s="19" cm="1">
        <f t="array" ref="CS10:CS11">_xlfn.SEQUENCE(AQ16)</f>
        <v>1</v>
      </c>
      <c r="CT10" s="19" cm="1">
        <f t="array" ref="CT10:CT33">(_xlfn.ANCHORARRAY(CR10)-INDEX(_xlfn.ANCHORARRAY(ET16),,_xlfn.ANCHORARRAY(CQ10)))/(INDEX(_xlfn.ANCHORARRAY(ET15),,_xlfn.ANCHORARRAY(CQ10))-INDEX(_xlfn.ANCHORARRAY(ET16),,_xlfn.ANCHORARRAY(CQ10)))</f>
        <v>0.40617276574953548</v>
      </c>
      <c r="CU10" s="19" cm="1">
        <f t="array" ref="CU10:CU45">_xlfn.SEQUENCE(CP24*AQ14*3,,0)</f>
        <v>0</v>
      </c>
      <c r="CV10" s="19" cm="1">
        <f t="array" ref="CV10:CV45">ROUNDDOWN(_xlfn.ANCHORARRAY(CU10)/(AQ14*3),0)</f>
        <v>0</v>
      </c>
      <c r="CW10" s="19" cm="1">
        <f t="array" ref="CW10:CW11">_xlfn.ANCHORARRAY(CS10)*(_xlfn.ANCHORARRAY(CS10)-1)/2</f>
        <v>0</v>
      </c>
      <c r="CX10" s="19" cm="1">
        <f t="array" ref="CX10:CX45">MATCH(_xlfn.ANCHORARRAY(CV10),_xlfn.ANCHORARRAY(CW10),1)</f>
        <v>1</v>
      </c>
      <c r="CY10" s="19" cm="1">
        <f t="array" ref="CY10:CY45">_xlfn.ANCHORARRAY(CV10)-INDEX(_xlfn.ANCHORARRAY(CW10),_xlfn.ANCHORARRAY(CX10))+1</f>
        <v>1</v>
      </c>
      <c r="CZ10" s="19" cm="1">
        <f t="array" ref="CZ10:CZ45">MOD(ROUNDDOWN(_xlfn.ANCHORARRAY(CU10)/3,0),AQ14)+1</f>
        <v>1</v>
      </c>
      <c r="DA10" s="19" cm="1">
        <f t="array" ref="DA10:DA45">MOD(_xlfn.ANCHORARRAY(CU10),3)+1</f>
        <v>1</v>
      </c>
      <c r="DB10" s="19" cm="1">
        <f t="array" ref="DB10:DB45">CHOOSE(_xlfn.ANCHORARRAY(DA10),INDEX(_xlfn.ANCHORARRAY(CT10),_xlfn.ANCHORARRAY(CX10)*AQ14+_xlfn.ANCHORARRAY(CZ10)),INDEX(_xlfn.ANCHORARRAY(CT10),(_xlfn.ANCHORARRAY(CY10)-1)*AQ14+_xlfn.ANCHORARRAY(CZ10)),NA())</f>
        <v>0</v>
      </c>
      <c r="DC10" s="19" cm="1">
        <f t="array" ref="DC10:DC45">IF(_xlfn.ANCHORARRAY(DA10)=3,NA(),_xlfn.ANCHORARRAY(DA10)-1+_xlfn.ANCHORARRAY(CY10)*CP20-1)</f>
        <v>1</v>
      </c>
      <c r="DD10" s="19" cm="1">
        <f t="array" ref="DD10:DD45">IF(_xlfn.ANCHORARRAY(DB10)=3,NA(),_xlfn.ANCHORARRAY(DB10)+_xlfn.ANCHORARRAY(CX10)*CP22-1)</f>
        <v>-2.5</v>
      </c>
      <c r="DE10" s="19" cm="1">
        <f t="array" ref="DE10">_xlfn.SEQUENCE(CP24,,0)</f>
        <v>0</v>
      </c>
      <c r="DF10" s="19" cm="1">
        <f t="array" ref="DF10">MATCH(_xlfn.ANCHORARRAY(DE10),_xlfn.ANCHORARRAY(CW10),1)</f>
        <v>1</v>
      </c>
      <c r="DG10" s="19" cm="1">
        <f t="array" ref="DG10">_xlfn.ANCHORARRAY(DE10)-INDEX(_xlfn.ANCHORARRAY(CW10),_xlfn.ANCHORARRAY(DF10))+1</f>
        <v>1</v>
      </c>
      <c r="DH10" s="19" cm="1">
        <f t="array" ref="DH10">_xlfn.ANCHORARRAY(DF10)*CP22-0.5</f>
        <v>-2</v>
      </c>
      <c r="DI10" s="19" cm="1">
        <f t="array" ref="DI10">_xlfn.ANCHORARRAY(DG10)*CP20</f>
        <v>2</v>
      </c>
      <c r="DJ10" s="19" cm="1">
        <f t="array" ref="DJ10:DJ21">_xlfn.SEQUENCE(AQ14)</f>
        <v>1</v>
      </c>
      <c r="DK10" s="49" cm="1">
        <f t="array" ref="DK10">TRANSPOSE(MMULT(_xlfn.SEQUENCE(,AQ14,1,0),INDEX((_xlfn.ANCHORARRAY(EU75)-_xlfn.ANCHORARRAY(ET18)),_xlfn.ANCHORARRAY(DJ10),TRANSPOSE(_xlfn.ANCHORARRAY(DF10)+1))*INDEX((_xlfn.ANCHORARRAY(EU75)-_xlfn.ANCHORARRAY(ET18)),_xlfn.ANCHORARRAY(DJ10),TRANSPOSE(_xlfn.ANCHORARRAY(DG10))))/SQRT(TRANSPOSE(INDEX(_xlfn.ANCHORARRAY(ET20),_xlfn.ANCHORARRAY(DF10)+1))*TRANSPOSE(INDEX(_xlfn.ANCHORARRAY(ET20),_xlfn.ANCHORARRAY(DG10)))))</f>
        <v>0.20266958709140057</v>
      </c>
      <c r="DL10" s="49" t="str" cm="1">
        <f t="array" ref="DL10">INDEX(_xlfn.ANCHORARRAY(ET11),_xlfn.ANCHORARRAY(DF10)+1)</f>
        <v>Eksempel 3 (nominal)</v>
      </c>
      <c r="DM10" s="49" t="str" cm="1">
        <f t="array" ref="DM10">INDEX(_xlfn.ANCHORARRAY(ET11),_xlfn.ANCHORARRAY(DG10))</f>
        <v>Eksempel 2 (interval)</v>
      </c>
      <c r="DN10" s="19" cm="1">
        <f t="array" ref="DN10">_xlfn.SEQUENCE(AQ16-1)</f>
        <v>1</v>
      </c>
      <c r="DO10" s="19" t="str" cm="1">
        <f t="array" ref="DO10">INDEX(_xlfn.ANCHORARRAY(ET11),_xlfn.ANCHORARRAY(DN10)+1)</f>
        <v>Eksempel 3 (nominal)</v>
      </c>
      <c r="DP10" s="19" cm="1">
        <f t="array" ref="DP10">_xlfn.ANCHORARRAY(DN10)*0+1</f>
        <v>1</v>
      </c>
      <c r="DQ10" s="19" cm="1">
        <f t="array" ref="DQ10">_xlfn.ANCHORARRAY(DN10)*CP22-0.5</f>
        <v>-2</v>
      </c>
      <c r="DR10" s="19" t="str" cm="1">
        <f t="array" ref="DR10">INDEX(_xlfn.ANCHORARRAY(ET11),_xlfn.ANCHORARRAY(DN10))</f>
        <v>Eksempel 2 (interval)</v>
      </c>
      <c r="DS10" s="19" cm="1">
        <f t="array" ref="DS10">_xlfn.ANCHORARRAY(DN10)*CP20</f>
        <v>2</v>
      </c>
      <c r="DT10" s="19" cm="1">
        <f t="array" ref="DT10">_xlfn.ANCHORARRAY(DN10)*0-1.5</f>
        <v>-1.5</v>
      </c>
      <c r="DU10" s="19" cm="1">
        <f t="array" ref="DU10">ABS(_xlfn.ANCHORARRAY(DK10))</f>
        <v>0.20266958709140057</v>
      </c>
      <c r="DV10" s="19" cm="1">
        <f t="array" ref="DV10">LARGE(_xlfn.ANCHORARRAY(DU10),_xlfn.SEQUENCE(CP34))</f>
        <v>0.20266958709140057</v>
      </c>
      <c r="DW10" s="37" t="s">
        <v>320</v>
      </c>
      <c r="DX10" s="19" cm="1">
        <f t="array" ref="DX10:DX21">_xlfn.SEQUENCE(AQ14)</f>
        <v>1</v>
      </c>
      <c r="DY10" s="19" cm="1">
        <f t="array" ref="DY10:DY21">_xlfn.ANCHORARRAY(AW10)</f>
        <v>-1.4374212088539973</v>
      </c>
      <c r="DZ10" s="19" cm="1">
        <f t="array" ref="DZ10:DZ21">_xlfn.ANCHORARRAY(AU10)</f>
        <v>-1.1469596428732241</v>
      </c>
      <c r="EA10" s="19" cm="1">
        <f t="array" ref="EA10:EA21">_xlfn.ANCHORARRAY(DZ10)-_xlfn.ANCHORARRAY(DY10)</f>
        <v>0.29046156598077322</v>
      </c>
      <c r="EB10" s="19" cm="1">
        <f t="array" ref="EB10:EB21">_xlfn._xlws.SORT(_xlfn.ANCHORARRAY(EA10))</f>
        <v>-5.2225330326511203</v>
      </c>
      <c r="EC10" s="19" cm="1">
        <f t="array" ref="EC10:EC21">(_xlfn.ANCHORARRAY(EB10)-DW20)/DW22</f>
        <v>-1.3515341605289024</v>
      </c>
      <c r="ED10" s="19" cm="1">
        <f t="array" ref="ED10:ED21">_xlfn.NORM.INV((_xlfn.ANCHORARRAY(DX10)-0.5)/AQ14,0,1)</f>
        <v>-1.7316643961222451</v>
      </c>
      <c r="EE10" s="37" t="str">
        <f>" Multipel lineær regression
Normalfraktildiagram af residualer"</f>
        <v xml:space="preserve"> Multipel lineær regression
Normalfraktildiagram af residualer</v>
      </c>
      <c r="EF10" s="19" cm="1">
        <f t="array" ref="EF10:EF21">_xlfn.SEQUENCE(AQ14)</f>
        <v>1</v>
      </c>
      <c r="EG10" s="19" cm="1">
        <f t="array" ref="EG10:EG21">MMULT(_xlfn.ANCHORARRAY(ET25)*_xlfn.ANCHORARRAY(EU75),_xlfn.SEQUENCE(AQ16,,1,0))+ET48</f>
        <v>0.71518493194619648</v>
      </c>
      <c r="EH10" s="19" cm="1">
        <f t="array" ref="EH10:EH21">_xlfn.ANCHORARRAY(ET75)</f>
        <v>1.2989587493526971</v>
      </c>
      <c r="EI10" s="19" cm="1">
        <f t="array" ref="EI10:EI21">_xlfn.ANCHORARRAY(EH10)-_xlfn.ANCHORARRAY(EG10)</f>
        <v>0.58377381740650058</v>
      </c>
      <c r="EJ10" s="19" cm="1">
        <f t="array" ref="EJ10:EJ21">_xlfn._xlws.SORT(_xlfn.ANCHORARRAY(EI10))</f>
        <v>-4.8829604311562198</v>
      </c>
      <c r="EK10" s="19" cm="1">
        <f t="array" ref="EK10:EK21">(_xlfn.ANCHORARRAY(EJ10)-EE20)/EE22</f>
        <v>-1.2707415438526144</v>
      </c>
      <c r="EL10" s="19" cm="1">
        <f t="array" ref="EL10:EL21">_xlfn.NORM.INV((_xlfn.ANCHORARRAY(EF10)-0.5)/AQ14,0,1)</f>
        <v>-1.7316643961222451</v>
      </c>
      <c r="EM10" s="37" t="str">
        <f>"Forklaringsgrad i simpel regression:   "&amp;EM32&amp;" (justeret "&amp;EM36&amp;")"&amp;IF(AQ16&gt;1,"
Forklaringsgrad i multipel regression: "&amp;EM34&amp;" (justeret "&amp;EM38&amp;")","")</f>
        <v>Forklaringsgrad i simpel regression:   19.5% (justeret 11.5%)
Forklaringsgrad i multipel regression: 20.4% (justeret 2.7%)</v>
      </c>
      <c r="EN10" s="19" cm="1">
        <f t="array" ref="EN10:EN21">_xlfn.ANCHORARRAY(ET75)</f>
        <v>1.2989587493526971</v>
      </c>
      <c r="EO10" s="19" cm="1">
        <f t="array" ref="EO10:EO21">ET34*_xlfn.ANCHORARRAY(AT10)+EU34</f>
        <v>0.90303445595636256</v>
      </c>
      <c r="EP10" s="19" cm="1">
        <f t="array" ref="EP10:EP21">MMULT(_xlfn.ANCHORARRAY(ET25)*_xlfn.ANCHORARRAY(EU75),_xlfn.SEQUENCE(AQ16,,1,0))+ET48</f>
        <v>0.71518493194619648</v>
      </c>
      <c r="EQ10" s="19" cm="1">
        <f t="array" ref="EQ10:EQ21">_xlfn._xlws.SORT(_xlfn.ANCHORARRAY(EN10))</f>
        <v>-1.479592604535932</v>
      </c>
      <c r="ES10" s="41" t="s">
        <v>138</v>
      </c>
      <c r="ET10" cm="1">
        <f t="array" ref="ET10:EU10">_xlfn.SEQUENCE(,AQ16)</f>
        <v>1</v>
      </c>
      <c r="EU10">
        <v>2</v>
      </c>
      <c r="EW10" s="19"/>
      <c r="EX10" s="19"/>
      <c r="EY10" s="19"/>
    </row>
    <row r="11" spans="1:155" x14ac:dyDescent="0.2">
      <c r="AQ11" s="44" t="s">
        <v>124</v>
      </c>
      <c r="AR11" s="41" t="s">
        <v>155</v>
      </c>
      <c r="AS11" s="19">
        <v>2</v>
      </c>
      <c r="AT11" s="19">
        <v>-3.2725647568992748</v>
      </c>
      <c r="AU11" s="19">
        <v>-1.479592604535932</v>
      </c>
      <c r="AV11" s="19">
        <v>-2.2379718387660041</v>
      </c>
      <c r="AW11" s="19">
        <v>-0.97817244327948039</v>
      </c>
      <c r="AX11" s="41" t="s">
        <v>166</v>
      </c>
      <c r="AY11" s="19">
        <v>2</v>
      </c>
      <c r="AZ11" s="19">
        <v>-0.50142016125645161</v>
      </c>
      <c r="BA11" s="19">
        <v>0.25142217811444595</v>
      </c>
      <c r="BB11" s="19">
        <v>40.708373268710531</v>
      </c>
      <c r="BC11" s="19">
        <v>1</v>
      </c>
      <c r="BD11" s="19">
        <v>-3.1414426473964658</v>
      </c>
      <c r="BE11" s="19">
        <v>3.932790807936239</v>
      </c>
      <c r="BF11" s="19">
        <v>-6.6912247989611213</v>
      </c>
      <c r="BG11" s="41" t="s">
        <v>166</v>
      </c>
      <c r="BH11" s="19">
        <v>1</v>
      </c>
      <c r="BI11" s="19">
        <v>-3.1414426473964658</v>
      </c>
      <c r="BJ11" s="19">
        <v>9.0974336647076335</v>
      </c>
      <c r="BK11" s="19">
        <v>-11.855867655732517</v>
      </c>
      <c r="BL11" s="41" t="s">
        <v>210</v>
      </c>
      <c r="BM11" s="19">
        <v>2</v>
      </c>
      <c r="BN11" s="19" t="e">
        <v>#N/A</v>
      </c>
      <c r="BO11" s="19">
        <v>0.7576462468032521</v>
      </c>
      <c r="BP11" s="19" t="str">
        <v xml:space="preserve">Eksempel 3 (nominal)     </v>
      </c>
      <c r="BQ11" s="41" t="s">
        <v>426</v>
      </c>
      <c r="BR11" s="19">
        <v>2</v>
      </c>
      <c r="BS11" s="19">
        <v>2</v>
      </c>
      <c r="BT11" s="19">
        <v>1</v>
      </c>
      <c r="BU11" s="19">
        <v>-1.807500578536976</v>
      </c>
      <c r="BV11" s="19">
        <v>-1.3882569782235548</v>
      </c>
      <c r="BW11" s="19">
        <v>2</v>
      </c>
      <c r="BX11" s="19">
        <v>1.7320508075688774</v>
      </c>
      <c r="BY11" s="19">
        <v>0.92006454592698861</v>
      </c>
      <c r="BZ11" s="19">
        <v>-0.57735026918962584</v>
      </c>
      <c r="CA11" s="19">
        <v>0</v>
      </c>
      <c r="CB11" s="19" t="b">
        <v>1</v>
      </c>
      <c r="CC11" s="19">
        <v>0.92006454592698861</v>
      </c>
      <c r="CD11" s="19">
        <v>0</v>
      </c>
      <c r="CE11" s="19">
        <v>2</v>
      </c>
      <c r="CF11" s="19">
        <v>2</v>
      </c>
      <c r="CG11" s="19">
        <v>1</v>
      </c>
      <c r="CH11" s="19">
        <v>-1.807500578536976</v>
      </c>
      <c r="CI11" s="19">
        <v>-1.3882569782235548</v>
      </c>
      <c r="CJ11" s="19">
        <v>0.39839963494708319</v>
      </c>
      <c r="CK11" s="19">
        <v>0.37257324351874516</v>
      </c>
      <c r="CL11" s="19">
        <v>0.39839963494708319</v>
      </c>
      <c r="CM11" s="19">
        <v>1.7320508075688774</v>
      </c>
      <c r="CN11" s="19">
        <v>0</v>
      </c>
      <c r="CO11" s="19">
        <v>0.92006454592698861</v>
      </c>
      <c r="CP11" s="41" t="s">
        <v>257</v>
      </c>
      <c r="CQ11" s="19">
        <v>1</v>
      </c>
      <c r="CR11" s="19">
        <v>-3.2725647568992748</v>
      </c>
      <c r="CS11" s="19">
        <v>2</v>
      </c>
      <c r="CT11" s="19">
        <v>0</v>
      </c>
      <c r="CU11" s="19">
        <v>1</v>
      </c>
      <c r="CV11" s="19">
        <v>0</v>
      </c>
      <c r="CW11" s="19">
        <v>1</v>
      </c>
      <c r="CX11" s="19">
        <v>1</v>
      </c>
      <c r="CY11" s="19">
        <v>1</v>
      </c>
      <c r="CZ11" s="19">
        <v>1</v>
      </c>
      <c r="DA11" s="19">
        <v>2</v>
      </c>
      <c r="DB11" s="19">
        <v>0.40617276574953548</v>
      </c>
      <c r="DC11" s="19">
        <v>2</v>
      </c>
      <c r="DD11" s="19">
        <v>-2.0938272342504645</v>
      </c>
      <c r="DJ11" s="19">
        <v>2</v>
      </c>
      <c r="DK11" s="49"/>
      <c r="DL11" s="49"/>
      <c r="DM11" s="49"/>
      <c r="DW11" s="41" t="s">
        <v>306</v>
      </c>
      <c r="DX11" s="19">
        <v>2</v>
      </c>
      <c r="DY11" s="19">
        <v>-0.97817244327948039</v>
      </c>
      <c r="DZ11" s="19">
        <v>-1.479592604535932</v>
      </c>
      <c r="EA11" s="19">
        <v>-0.50142016125645161</v>
      </c>
      <c r="EB11" s="19">
        <v>-3.4107040159871631</v>
      </c>
      <c r="EC11" s="19">
        <v>-0.88265272047877275</v>
      </c>
      <c r="ED11" s="19">
        <v>-1.1503493803760083</v>
      </c>
      <c r="EE11" s="41" t="s">
        <v>322</v>
      </c>
      <c r="EF11" s="19">
        <v>2</v>
      </c>
      <c r="EG11" s="19">
        <v>-1.5214934413295471</v>
      </c>
      <c r="EH11" s="19">
        <v>-1.1469596428732241</v>
      </c>
      <c r="EI11" s="19">
        <v>0.37453379845632306</v>
      </c>
      <c r="EJ11" s="19">
        <v>-3.071131414492263</v>
      </c>
      <c r="EK11" s="19">
        <v>-0.79923118977682861</v>
      </c>
      <c r="EL11" s="19">
        <v>-1.1503493803760083</v>
      </c>
      <c r="EM11" s="41" t="s">
        <v>332</v>
      </c>
      <c r="EN11" s="19">
        <v>-1.1469596428732241</v>
      </c>
      <c r="EO11" s="19">
        <v>-1.4374212088539973</v>
      </c>
      <c r="EP11" s="19">
        <v>-1.5214934413295471</v>
      </c>
      <c r="EQ11" s="19">
        <v>-1.1469596428732241</v>
      </c>
      <c r="ES11" s="41" t="s">
        <v>197</v>
      </c>
      <c r="ET11" s="19" t="str" cm="1">
        <f t="array" ref="ET11:EU11">TRANSPOSE(_xlfn.UNIQUE(INDEX(_xlfn.LET(_xlpm.a,_xlfn.UNIQUE(LineærRegression_Valg[[Afhængig variabel]:[Synlig]]),_xlfn._xlws.FILTER(_xlpm.a,INDEX(_xlpm.a,,3)=1)),,2)))</f>
        <v>Eksempel 2 (interval)</v>
      </c>
      <c r="EU11" s="19" t="str">
        <v>Eksempel 3 (nominal)</v>
      </c>
      <c r="EV11" s="19"/>
      <c r="EW11" s="19"/>
      <c r="EX11" s="19"/>
      <c r="EY11" s="19"/>
    </row>
    <row r="12" spans="1:155" x14ac:dyDescent="0.2">
      <c r="AQ12" s="37">
        <f>_xlfn.XMATCH(AQ10,DataHeaders,0)</f>
        <v>1</v>
      </c>
      <c r="AR12" s="37" t="str">
        <f>" Observationer (n="&amp;AQ14&amp;")"</f>
        <v xml:space="preserve"> Observationer (n=12)</v>
      </c>
      <c r="AS12" s="19">
        <v>3</v>
      </c>
      <c r="AT12" s="19">
        <v>2.0315172703350726</v>
      </c>
      <c r="AU12" s="19">
        <v>1.2989587493526971</v>
      </c>
      <c r="AV12" s="19">
        <v>2</v>
      </c>
      <c r="AW12" s="19">
        <v>0.90303445595636256</v>
      </c>
      <c r="AX12" s="37" t="str">
        <f>" "&amp;AQ10&amp;" = "&amp;AR22&amp;" * "&amp;AR18&amp;AR28</f>
        <v xml:space="preserve"> Eksempel 1 (interval) = 0.444 * Eksempel 2 (interval) + 0.015</v>
      </c>
      <c r="AY12" s="19">
        <v>3</v>
      </c>
      <c r="AZ12" s="19">
        <v>0.3959242933963345</v>
      </c>
      <c r="BA12" s="19">
        <v>0.15675604610138677</v>
      </c>
      <c r="BB12" s="19">
        <v>4.5896186974952968</v>
      </c>
      <c r="BC12" s="19">
        <v>2</v>
      </c>
      <c r="BD12" s="19">
        <v>-3.0103205378936564</v>
      </c>
      <c r="BE12" s="19">
        <v>3.9185566305684998</v>
      </c>
      <c r="BF12" s="19">
        <v>-6.5605821949102712</v>
      </c>
      <c r="BG12" s="37" t="str">
        <f>" Observationer (n="&amp;AQ14&amp;")"</f>
        <v xml:space="preserve"> Observationer (n=12)</v>
      </c>
      <c r="BH12" s="19">
        <v>2</v>
      </c>
      <c r="BI12" s="19">
        <v>-3.0103205378936564</v>
      </c>
      <c r="BJ12" s="19">
        <v>9.119095923360117</v>
      </c>
      <c r="BK12" s="19">
        <v>-11.761121487701889</v>
      </c>
      <c r="BL12" s="37" t="s">
        <v>21</v>
      </c>
      <c r="BQ12" s="37" t="s">
        <v>371</v>
      </c>
      <c r="BR12" s="19">
        <v>3</v>
      </c>
      <c r="BS12" s="19">
        <v>3</v>
      </c>
      <c r="BT12" s="19">
        <v>1</v>
      </c>
      <c r="BU12" s="19">
        <v>-0.51454642146161189</v>
      </c>
      <c r="BV12" s="19">
        <v>0.8617913582851483</v>
      </c>
      <c r="CE12" s="19">
        <v>3</v>
      </c>
      <c r="CF12" s="19">
        <v>3</v>
      </c>
      <c r="CG12" s="19">
        <v>1</v>
      </c>
      <c r="CH12" s="19" t="e">
        <v>#N/A</v>
      </c>
      <c r="CI12" s="19" t="e">
        <v>#N/A</v>
      </c>
      <c r="CP12" s="37" t="s">
        <v>285</v>
      </c>
      <c r="CQ12" s="19">
        <v>1</v>
      </c>
      <c r="CR12" s="19">
        <v>2.0315172703350726</v>
      </c>
      <c r="CT12" s="19">
        <v>0.40860070309143748</v>
      </c>
      <c r="CU12" s="19">
        <v>2</v>
      </c>
      <c r="CV12" s="19">
        <v>0</v>
      </c>
      <c r="CX12" s="19">
        <v>1</v>
      </c>
      <c r="CY12" s="19">
        <v>1</v>
      </c>
      <c r="CZ12" s="19">
        <v>1</v>
      </c>
      <c r="DA12" s="19">
        <v>3</v>
      </c>
      <c r="DB12" s="19" t="e">
        <v>#N/A</v>
      </c>
      <c r="DC12" s="19" t="e">
        <v>#N/A</v>
      </c>
      <c r="DD12" s="19" t="e">
        <v>#N/A</v>
      </c>
      <c r="DJ12" s="19">
        <v>3</v>
      </c>
      <c r="DK12" s="49"/>
      <c r="DL12" s="49"/>
      <c r="DM12" s="49"/>
      <c r="DW12" s="37" t="s">
        <v>313</v>
      </c>
      <c r="DX12" s="19">
        <v>3</v>
      </c>
      <c r="DY12" s="19">
        <v>0.90303445595636256</v>
      </c>
      <c r="DZ12" s="19">
        <v>1.2989587493526971</v>
      </c>
      <c r="EA12" s="19">
        <v>0.3959242933963345</v>
      </c>
      <c r="EB12" s="19">
        <v>-2.3376318932866593</v>
      </c>
      <c r="EC12" s="19">
        <v>-0.60495344668312601</v>
      </c>
      <c r="ED12" s="19">
        <v>-0.81221780149991241</v>
      </c>
      <c r="EE12" s="37" t="s">
        <v>313</v>
      </c>
      <c r="EF12" s="19">
        <v>3</v>
      </c>
      <c r="EG12" s="19">
        <v>0.72855489517915606</v>
      </c>
      <c r="EH12" s="19">
        <v>-0.40935481016144565</v>
      </c>
      <c r="EI12" s="19">
        <v>-1.1379097053406018</v>
      </c>
      <c r="EJ12" s="19">
        <v>-3.0024923898184595</v>
      </c>
      <c r="EK12" s="19">
        <v>-0.78136857110271551</v>
      </c>
      <c r="EL12" s="19">
        <v>-0.81221780149991241</v>
      </c>
      <c r="EM12" s="37" t="s">
        <v>337</v>
      </c>
      <c r="EN12" s="19">
        <v>-0.40935481016144565</v>
      </c>
      <c r="EO12" s="19">
        <v>0.91702475807613404</v>
      </c>
      <c r="EP12" s="19">
        <v>0.72855489517915606</v>
      </c>
      <c r="EQ12" s="19">
        <v>-0.89773712069108735</v>
      </c>
      <c r="ES12" s="41" t="s">
        <v>145</v>
      </c>
      <c r="ET12" s="19" cm="1">
        <f t="array" ref="ET12:EU12">INDEX(_xlfn.ANCHORARRAY(ET50),,2):INDEX(_xlfn.ANCHORARRAY(ET50),,AQ16+1)</f>
        <v>0.19806158153598377</v>
      </c>
      <c r="EU12" s="19">
        <v>0.7576462468032521</v>
      </c>
      <c r="EV12" s="19"/>
      <c r="EW12" s="19"/>
      <c r="EX12" s="19"/>
      <c r="EY12" s="19"/>
    </row>
    <row r="13" spans="1:155" x14ac:dyDescent="0.2">
      <c r="AQ13" s="44" t="s">
        <v>10</v>
      </c>
      <c r="AR13" s="41" t="s">
        <v>156</v>
      </c>
      <c r="AS13" s="19">
        <v>4</v>
      </c>
      <c r="AT13" s="19">
        <v>-2.2379718387660041</v>
      </c>
      <c r="AU13" s="19">
        <v>-0.30723615599325882</v>
      </c>
      <c r="AV13" s="19">
        <v>2.0228895016109072</v>
      </c>
      <c r="AW13" s="19">
        <v>0.91319495017121943</v>
      </c>
      <c r="AX13" s="41" t="s">
        <v>168</v>
      </c>
      <c r="AY13" s="19">
        <v>4</v>
      </c>
      <c r="AZ13" s="19">
        <v>-1.2204311061644781</v>
      </c>
      <c r="BA13" s="19">
        <v>1.4894520848938517</v>
      </c>
      <c r="BB13" s="19">
        <v>4.4920684581518273</v>
      </c>
      <c r="BC13" s="19">
        <v>3</v>
      </c>
      <c r="BD13" s="19">
        <v>-2.8791984283908474</v>
      </c>
      <c r="BE13" s="19">
        <v>3.9046504693713131</v>
      </c>
      <c r="BF13" s="19">
        <v>-6.4302676070299718</v>
      </c>
      <c r="BG13" s="41" t="s">
        <v>168</v>
      </c>
      <c r="BH13" s="19">
        <v>3</v>
      </c>
      <c r="BI13" s="19">
        <v>-2.8791984283908474</v>
      </c>
      <c r="BJ13" s="19">
        <v>9.1412971142109782</v>
      </c>
      <c r="BK13" s="19">
        <v>-11.666914251869638</v>
      </c>
      <c r="BL13" s="41" t="s">
        <v>211</v>
      </c>
      <c r="BQ13" s="41" t="s">
        <v>427</v>
      </c>
      <c r="BR13" s="19">
        <v>4</v>
      </c>
      <c r="BS13" s="19">
        <v>4</v>
      </c>
      <c r="BT13" s="19">
        <v>1</v>
      </c>
      <c r="BU13" s="19">
        <v>-1.5553021382578316</v>
      </c>
      <c r="BV13" s="19">
        <v>-0.94937159476668265</v>
      </c>
      <c r="CE13" s="19">
        <v>4</v>
      </c>
      <c r="CF13" s="19">
        <v>1</v>
      </c>
      <c r="CG13" s="19">
        <v>2</v>
      </c>
      <c r="CH13" s="19">
        <v>1.7320508075688774</v>
      </c>
      <c r="CI13" s="19">
        <v>0.92006454592698861</v>
      </c>
      <c r="CP13" s="41" t="s">
        <v>258</v>
      </c>
      <c r="CQ13" s="19">
        <v>1</v>
      </c>
      <c r="CR13" s="19">
        <v>-2.2379718387660041</v>
      </c>
      <c r="CT13" s="19">
        <v>7.9700010594123294E-2</v>
      </c>
      <c r="CU13" s="19">
        <v>3</v>
      </c>
      <c r="CV13" s="19">
        <v>0</v>
      </c>
      <c r="CX13" s="19">
        <v>1</v>
      </c>
      <c r="CY13" s="19">
        <v>1</v>
      </c>
      <c r="CZ13" s="19">
        <v>2</v>
      </c>
      <c r="DA13" s="19">
        <v>1</v>
      </c>
      <c r="DB13" s="19">
        <v>0</v>
      </c>
      <c r="DC13" s="19">
        <v>1</v>
      </c>
      <c r="DD13" s="19">
        <v>-2.5</v>
      </c>
      <c r="DJ13" s="19">
        <v>4</v>
      </c>
      <c r="DK13" s="49"/>
      <c r="DL13" s="49"/>
      <c r="DM13" s="49"/>
      <c r="DW13" s="41" t="s">
        <v>307</v>
      </c>
      <c r="DX13" s="19">
        <v>4</v>
      </c>
      <c r="DY13" s="19">
        <v>0.91319495017121943</v>
      </c>
      <c r="DZ13" s="19">
        <v>-0.30723615599325882</v>
      </c>
      <c r="EA13" s="19">
        <v>-1.2204311061644781</v>
      </c>
      <c r="EB13" s="19">
        <v>-1.4425399451454524</v>
      </c>
      <c r="EC13" s="19">
        <v>-0.37331348631065892</v>
      </c>
      <c r="ED13" s="19">
        <v>-0.54852228269809788</v>
      </c>
      <c r="EE13" s="41" t="s">
        <v>323</v>
      </c>
      <c r="EF13" s="19">
        <v>4</v>
      </c>
      <c r="EG13" s="19">
        <v>-1.0826080578726749</v>
      </c>
      <c r="EH13" s="19">
        <v>-1.479592604535932</v>
      </c>
      <c r="EI13" s="19">
        <v>-0.39698454666325711</v>
      </c>
      <c r="EJ13" s="19">
        <v>-2.0896260397300743</v>
      </c>
      <c r="EK13" s="19">
        <v>-0.54380424687825335</v>
      </c>
      <c r="EL13" s="19">
        <v>-0.54852228269809788</v>
      </c>
      <c r="EM13" s="41" t="s">
        <v>333</v>
      </c>
      <c r="EN13" s="19">
        <v>-1.479592604535932</v>
      </c>
      <c r="EO13" s="19">
        <v>-0.97817244327948039</v>
      </c>
      <c r="EP13" s="19">
        <v>-1.0826080578726749</v>
      </c>
      <c r="EQ13" s="19">
        <v>-0.40935481016144565</v>
      </c>
      <c r="ES13" s="41" t="s">
        <v>21</v>
      </c>
      <c r="ET13" t="b" cm="1">
        <f t="array" ref="ET13:EU13">INDEX(_xlfn.ANCHORARRAY(ET51),,2):INDEX(_xlfn.ANCHORARRAY(ET51),,AQ16+1)</f>
        <v>0</v>
      </c>
      <c r="EU13" t="b">
        <v>0</v>
      </c>
    </row>
    <row r="14" spans="1:155" x14ac:dyDescent="0.2">
      <c r="AQ14" s="37">
        <f>COUNTA(INDEX(Data,,AQ12))</f>
        <v>12</v>
      </c>
      <c r="AR14" s="37" t="str">
        <f>" "&amp;AQ10&amp;" = "&amp;AR22&amp;" * "&amp;AR18&amp;AR28</f>
        <v xml:space="preserve"> Eksempel 1 (interval) = 0.444 * Eksempel 2 (interval) + 0.015</v>
      </c>
      <c r="AS14" s="19">
        <v>5</v>
      </c>
      <c r="AT14" s="19">
        <v>4</v>
      </c>
      <c r="AU14" s="19">
        <v>-0.40935481016144565</v>
      </c>
      <c r="AV14" s="19">
        <v>2.0315172703350726</v>
      </c>
      <c r="AW14" s="19">
        <v>0.91702475807613404</v>
      </c>
      <c r="AX14" s="37" t="str">
        <f>" Givet at "&amp;AR18&amp;" = "&amp;C38&amp;" estimeres øvre grænse for konfidensinterval = "&amp;AX50</f>
        <v xml:space="preserve"> Givet at Eksempel 2 (interval) = 1 estimeres øvre grænse for konfidensinterval = 3.743</v>
      </c>
      <c r="AY14" s="19">
        <v>5</v>
      </c>
      <c r="AZ14" s="19">
        <v>-1.3263795682375796</v>
      </c>
      <c r="BA14" s="19">
        <v>1.7592827590381082</v>
      </c>
      <c r="BB14" s="19">
        <v>4.4555706470664997</v>
      </c>
      <c r="BC14" s="19">
        <v>4</v>
      </c>
      <c r="BD14" s="19">
        <v>-2.7480763188880384</v>
      </c>
      <c r="BE14" s="19">
        <v>3.8910862498768983</v>
      </c>
      <c r="BF14" s="19">
        <v>-6.3002949608524466</v>
      </c>
      <c r="BG14" s="37" t="str">
        <f>" Givet at "&amp;AR18&amp;" = "&amp;D38&amp;" estimeres øvre grænse for fjorudsigelsesinterval = "&amp;BG44</f>
        <v xml:space="preserve"> Givet at Eksempel 2 (interval) = 1 estimeres øvre grænse for fjorudsigelsesinterval = 10.068</v>
      </c>
      <c r="BH14" s="19">
        <v>4</v>
      </c>
      <c r="BI14" s="19">
        <v>-2.7480763188880384</v>
      </c>
      <c r="BJ14" s="19">
        <v>9.1640428512596852</v>
      </c>
      <c r="BK14" s="19">
        <v>-11.573251562235233</v>
      </c>
      <c r="BL14" s="37" t="s">
        <v>218</v>
      </c>
      <c r="BQ14" s="37" t="s">
        <v>430</v>
      </c>
      <c r="BR14" s="19">
        <v>5</v>
      </c>
      <c r="BS14" s="19">
        <v>5</v>
      </c>
      <c r="BT14" s="19">
        <v>1</v>
      </c>
      <c r="BU14" s="19">
        <v>-3.4697521051897919E-2</v>
      </c>
      <c r="BV14" s="19">
        <v>1.6968427901043774</v>
      </c>
      <c r="CE14" s="19">
        <v>5</v>
      </c>
      <c r="CF14" s="19">
        <v>2</v>
      </c>
      <c r="CG14" s="19">
        <v>2</v>
      </c>
      <c r="CH14" s="19">
        <v>-0.57735026918962584</v>
      </c>
      <c r="CI14" s="19">
        <v>0</v>
      </c>
      <c r="CP14" s="37" t="s">
        <v>282</v>
      </c>
      <c r="CQ14" s="19">
        <v>1</v>
      </c>
      <c r="CR14" s="19">
        <v>4</v>
      </c>
      <c r="CT14" s="19">
        <v>0.56024304633472843</v>
      </c>
      <c r="CU14" s="19">
        <v>4</v>
      </c>
      <c r="CV14" s="19">
        <v>0</v>
      </c>
      <c r="CX14" s="19">
        <v>1</v>
      </c>
      <c r="CY14" s="19">
        <v>1</v>
      </c>
      <c r="CZ14" s="19">
        <v>2</v>
      </c>
      <c r="DA14" s="19">
        <v>2</v>
      </c>
      <c r="DB14" s="19">
        <v>0</v>
      </c>
      <c r="DC14" s="19">
        <v>2</v>
      </c>
      <c r="DD14" s="19">
        <v>-2.5</v>
      </c>
      <c r="DJ14" s="19">
        <v>5</v>
      </c>
      <c r="DK14" s="49"/>
      <c r="DL14" s="49"/>
      <c r="DM14" s="49"/>
      <c r="DW14" s="37" t="s">
        <v>312</v>
      </c>
      <c r="DX14" s="19">
        <v>5</v>
      </c>
      <c r="DY14" s="19">
        <v>0.91702475807613404</v>
      </c>
      <c r="DZ14" s="19">
        <v>-0.40935481016144565</v>
      </c>
      <c r="EA14" s="19">
        <v>-1.3263795682375796</v>
      </c>
      <c r="EB14" s="19">
        <v>-1.3263795682375796</v>
      </c>
      <c r="EC14" s="19">
        <v>-0.34325245720670183</v>
      </c>
      <c r="ED14" s="19">
        <v>-0.3186393639643752</v>
      </c>
      <c r="EE14" s="37" t="s">
        <v>312</v>
      </c>
      <c r="EF14" s="19">
        <v>5</v>
      </c>
      <c r="EG14" s="19">
        <v>1.5636063269983851</v>
      </c>
      <c r="EH14" s="19">
        <v>1.8110756828005981</v>
      </c>
      <c r="EI14" s="19">
        <v>0.24746935580221296</v>
      </c>
      <c r="EJ14" s="19">
        <v>-1.1379097053406018</v>
      </c>
      <c r="EK14" s="19">
        <v>-0.29612960336584154</v>
      </c>
      <c r="EL14" s="19">
        <v>-0.3186393639643752</v>
      </c>
      <c r="EM14" s="37" t="s">
        <v>339</v>
      </c>
      <c r="EN14" s="19">
        <v>1.8110756828005981</v>
      </c>
      <c r="EO14" s="19">
        <v>1.7908208645529828</v>
      </c>
      <c r="EP14" s="19">
        <v>1.5636063269983851</v>
      </c>
      <c r="EQ14" s="19">
        <v>-0.30723615599325882</v>
      </c>
      <c r="ES14" s="41" t="s">
        <v>198</v>
      </c>
      <c r="ET14" s="19" t="str" cm="1">
        <f t="array" ref="ET14:EU14">"x"&amp;_xlfn.ANCHORARRAY(ET10)</f>
        <v>x1</v>
      </c>
      <c r="EU14" s="19" t="str">
        <v>x2</v>
      </c>
      <c r="EV14" s="19"/>
      <c r="EW14" s="19"/>
      <c r="EX14" s="19"/>
      <c r="EY14" s="19"/>
    </row>
    <row r="15" spans="1:155" x14ac:dyDescent="0.2">
      <c r="AQ15" s="41" t="s">
        <v>22</v>
      </c>
      <c r="AR15" s="41" t="s">
        <v>162</v>
      </c>
      <c r="AS15" s="19">
        <v>6</v>
      </c>
      <c r="AT15" s="19">
        <v>5</v>
      </c>
      <c r="AU15" s="19">
        <v>1.8110756828005981</v>
      </c>
      <c r="AV15" s="19">
        <v>4</v>
      </c>
      <c r="AW15" s="19">
        <v>1.7908208645529828</v>
      </c>
      <c r="AX15" s="41" t="s">
        <v>169</v>
      </c>
      <c r="AY15" s="19">
        <v>6</v>
      </c>
      <c r="AZ15" s="19">
        <v>2.0254818247615214E-2</v>
      </c>
      <c r="BA15" s="19">
        <v>4.1025766224392623E-4</v>
      </c>
      <c r="BB15" s="19">
        <v>2.0260544172216729E-2</v>
      </c>
      <c r="BC15" s="19">
        <v>5</v>
      </c>
      <c r="BD15" s="19">
        <v>-2.6169542093852289</v>
      </c>
      <c r="BE15" s="19">
        <v>3.8778786253262791</v>
      </c>
      <c r="BF15" s="19">
        <v>-6.1706789096187151</v>
      </c>
      <c r="BG15" s="41" t="s">
        <v>169</v>
      </c>
      <c r="BH15" s="19">
        <v>5</v>
      </c>
      <c r="BI15" s="19">
        <v>-2.6169542093852289</v>
      </c>
      <c r="BJ15" s="19">
        <v>9.1873387400621507</v>
      </c>
      <c r="BK15" s="19">
        <v>-11.480139024354587</v>
      </c>
      <c r="BL15" s="41" t="s">
        <v>217</v>
      </c>
      <c r="BQ15" s="41" t="s">
        <v>428</v>
      </c>
      <c r="BR15" s="19">
        <v>6</v>
      </c>
      <c r="BS15" s="19">
        <v>6</v>
      </c>
      <c r="BT15" s="19">
        <v>1</v>
      </c>
      <c r="BU15" s="19">
        <v>0.20906834652642378</v>
      </c>
      <c r="BV15" s="19">
        <v>2.1210534876304719</v>
      </c>
      <c r="CE15" s="19">
        <v>6</v>
      </c>
      <c r="CF15" s="19">
        <v>3</v>
      </c>
      <c r="CG15" s="19">
        <v>2</v>
      </c>
      <c r="CH15" s="19" t="e">
        <v>#N/A</v>
      </c>
      <c r="CI15" s="19" t="e">
        <v>#N/A</v>
      </c>
      <c r="CP15" s="41" t="s">
        <v>259</v>
      </c>
      <c r="CQ15" s="19">
        <v>1</v>
      </c>
      <c r="CR15" s="19">
        <v>5</v>
      </c>
      <c r="CT15" s="19">
        <v>0.63727818662732494</v>
      </c>
      <c r="CU15" s="19">
        <v>5</v>
      </c>
      <c r="CV15" s="19">
        <v>0</v>
      </c>
      <c r="CX15" s="19">
        <v>1</v>
      </c>
      <c r="CY15" s="19">
        <v>1</v>
      </c>
      <c r="CZ15" s="19">
        <v>2</v>
      </c>
      <c r="DA15" s="19">
        <v>3</v>
      </c>
      <c r="DB15" s="19" t="e">
        <v>#N/A</v>
      </c>
      <c r="DC15" s="19" t="e">
        <v>#N/A</v>
      </c>
      <c r="DD15" s="19" t="e">
        <v>#N/A</v>
      </c>
      <c r="DJ15" s="19">
        <v>6</v>
      </c>
      <c r="DK15" s="49"/>
      <c r="DL15" s="49"/>
      <c r="DM15" s="49"/>
      <c r="DW15" s="41" t="s">
        <v>308</v>
      </c>
      <c r="DX15" s="19">
        <v>6</v>
      </c>
      <c r="DY15" s="19">
        <v>1.7908208645529828</v>
      </c>
      <c r="DZ15" s="19">
        <v>1.8110756828005981</v>
      </c>
      <c r="EA15" s="19">
        <v>2.0254818247615214E-2</v>
      </c>
      <c r="EB15" s="19">
        <v>-1.2204311061644781</v>
      </c>
      <c r="EC15" s="19">
        <v>-0.3158341594473465</v>
      </c>
      <c r="ED15" s="19">
        <v>-0.10463345561407539</v>
      </c>
      <c r="EE15" s="41" t="s">
        <v>324</v>
      </c>
      <c r="EF15" s="19">
        <v>6</v>
      </c>
      <c r="EG15" s="19">
        <v>2.907881570451468</v>
      </c>
      <c r="EH15" s="19">
        <v>8</v>
      </c>
      <c r="EI15" s="19">
        <v>5.092118429548532</v>
      </c>
      <c r="EJ15" s="19">
        <v>-1.0321310593838429</v>
      </c>
      <c r="EK15" s="19">
        <v>-0.26860177024803294</v>
      </c>
      <c r="EL15" s="19">
        <v>-0.10463345561407539</v>
      </c>
      <c r="EM15" s="41" t="s">
        <v>338</v>
      </c>
      <c r="EN15" s="19">
        <v>8</v>
      </c>
      <c r="EO15" s="19">
        <v>2.234714068851293</v>
      </c>
      <c r="EP15" s="19">
        <v>2.907881570451468</v>
      </c>
      <c r="EQ15" s="19">
        <v>8.4427372017371785E-2</v>
      </c>
      <c r="ES15" s="41" t="s">
        <v>253</v>
      </c>
      <c r="ET15" s="19" cm="1">
        <f t="array" ref="ET15:EU15">TRANSPOSE(_xlfn.MAXIFS(_xlfn.ANCHORARRAY(CR10),_xlfn.ANCHORARRAY(CQ10),_xlfn.ANCHORARRAY(CS10)))</f>
        <v>9.7085240838788316</v>
      </c>
      <c r="EU15" s="19">
        <v>1</v>
      </c>
      <c r="EV15" s="19"/>
      <c r="EW15" s="19"/>
      <c r="EX15" s="19"/>
      <c r="EY15" s="19"/>
    </row>
    <row r="16" spans="1:155" x14ac:dyDescent="0.2">
      <c r="AQ16" s="37">
        <f>COUNTA(_xlfn.ANCHORARRAY(ET11))</f>
        <v>2</v>
      </c>
      <c r="AR16" s="37" t="str">
        <f>" Givet at "&amp;AR18&amp;" = "&amp;B38&amp;" estimeres "&amp;AQ10&amp;" = "&amp;AR40</f>
        <v xml:space="preserve"> Givet at Eksempel 2 (interval) = 1 estimeres Eksempel 1 (interval) = 0.459</v>
      </c>
      <c r="AS16" s="19">
        <v>7</v>
      </c>
      <c r="AT16" s="19">
        <v>2.0228895016109072</v>
      </c>
      <c r="AU16" s="19">
        <v>8</v>
      </c>
      <c r="AV16" s="19">
        <v>5</v>
      </c>
      <c r="AW16" s="19">
        <v>2.234714068851293</v>
      </c>
      <c r="AX16" s="37" t="str">
        <f>" Givet at "&amp;AR18&amp;" = "&amp;C38&amp;" estimeres nedre grænse for konfidensinterval = "&amp;AX52</f>
        <v xml:space="preserve"> Givet at Eksempel 2 (interval) = 1 estimeres nedre grænse for konfidensinterval = -2.825</v>
      </c>
      <c r="AY16" s="19">
        <v>7</v>
      </c>
      <c r="AZ16" s="19">
        <v>5.765285931148707</v>
      </c>
      <c r="BA16" s="19">
        <v>33.238521867901213</v>
      </c>
      <c r="BB16" s="19">
        <v>0.73558146751067677</v>
      </c>
      <c r="BC16" s="19">
        <v>6</v>
      </c>
      <c r="BD16" s="19">
        <v>-2.4858320998824199</v>
      </c>
      <c r="BE16" s="19">
        <v>3.8650430190456255</v>
      </c>
      <c r="BF16" s="19">
        <v>-6.0414348766549502</v>
      </c>
      <c r="BG16" s="37" t="str">
        <f>" Givet at "&amp;AR18&amp;" = "&amp;D38&amp;" estimeres nedre grænse for forudsigelsesinterval = "&amp;BG46</f>
        <v xml:space="preserve"> Givet at Eksempel 2 (interval) = 1 estimeres nedre grænse for forudsigelsesinterval = -9.149</v>
      </c>
      <c r="BH16" s="19">
        <v>6</v>
      </c>
      <c r="BI16" s="19">
        <v>-2.4858320998824199</v>
      </c>
      <c r="BJ16" s="19">
        <v>9.211190374606387</v>
      </c>
      <c r="BK16" s="19">
        <v>-11.387582232215712</v>
      </c>
      <c r="BL16" s="37" t="str">
        <f>"Grænse for signifikans = "&amp;BL24*100&amp;"%"</f>
        <v>Grænse for signifikans = 5%</v>
      </c>
      <c r="BQ16" s="37" t="s">
        <v>225</v>
      </c>
      <c r="BR16" s="19">
        <v>7</v>
      </c>
      <c r="BS16" s="19">
        <v>7</v>
      </c>
      <c r="BT16" s="19">
        <v>1</v>
      </c>
      <c r="BU16" s="19">
        <v>-0.5166495769899232</v>
      </c>
      <c r="BV16" s="19">
        <v>0.85813136649657629</v>
      </c>
      <c r="CP16" s="37" t="s">
        <v>283</v>
      </c>
      <c r="CQ16" s="19">
        <v>1</v>
      </c>
      <c r="CR16" s="19">
        <v>2.0228895016109072</v>
      </c>
      <c r="CT16" s="19">
        <v>0.4079360617173593</v>
      </c>
      <c r="CU16" s="19">
        <v>6</v>
      </c>
      <c r="CV16" s="19">
        <v>0</v>
      </c>
      <c r="CX16" s="19">
        <v>1</v>
      </c>
      <c r="CY16" s="19">
        <v>1</v>
      </c>
      <c r="CZ16" s="19">
        <v>3</v>
      </c>
      <c r="DA16" s="19">
        <v>1</v>
      </c>
      <c r="DB16" s="19">
        <v>0</v>
      </c>
      <c r="DC16" s="19">
        <v>1</v>
      </c>
      <c r="DD16" s="19">
        <v>-2.5</v>
      </c>
      <c r="DJ16" s="19">
        <v>7</v>
      </c>
      <c r="DK16" s="49"/>
      <c r="DL16" s="49"/>
      <c r="DM16" s="49"/>
      <c r="DW16" s="37" t="s">
        <v>310</v>
      </c>
      <c r="DX16" s="19">
        <v>7</v>
      </c>
      <c r="DY16" s="19">
        <v>2.234714068851293</v>
      </c>
      <c r="DZ16" s="19">
        <v>8</v>
      </c>
      <c r="EA16" s="19">
        <v>5.765285931148707</v>
      </c>
      <c r="EB16" s="19">
        <v>-0.50142016125645161</v>
      </c>
      <c r="EC16" s="19">
        <v>-0.12976202782809215</v>
      </c>
      <c r="ED16" s="19">
        <v>0.10463345561407525</v>
      </c>
      <c r="EE16" s="37" t="s">
        <v>310</v>
      </c>
      <c r="EF16" s="19">
        <v>7</v>
      </c>
      <c r="EG16" s="19">
        <v>0.72489490339058404</v>
      </c>
      <c r="EH16" s="19">
        <v>-0.30723615599325882</v>
      </c>
      <c r="EI16" s="19">
        <v>-1.0321310593838429</v>
      </c>
      <c r="EJ16" s="19">
        <v>-0.39698454666325711</v>
      </c>
      <c r="EK16" s="19">
        <v>-0.10331125202115289</v>
      </c>
      <c r="EL16" s="19">
        <v>0.10463345561407525</v>
      </c>
      <c r="EM16" s="37" t="s">
        <v>340</v>
      </c>
      <c r="EN16" s="19">
        <v>-0.30723615599325882</v>
      </c>
      <c r="EO16" s="19">
        <v>0.91319495017121943</v>
      </c>
      <c r="EP16" s="19">
        <v>0.72489490339058404</v>
      </c>
      <c r="EQ16" s="19">
        <v>0.91409189597286977</v>
      </c>
      <c r="ES16" s="41" t="s">
        <v>254</v>
      </c>
      <c r="ET16" s="19" cm="1">
        <f t="array" ref="ET16:EU16">TRANSPOSE(_xlfn.MINIFS(_xlfn.ANCHORARRAY(CR10),_xlfn.ANCHORARRAY(CQ10),_xlfn.ANCHORARRAY(CS10)))</f>
        <v>-3.2725647568992748</v>
      </c>
      <c r="EU16" s="19">
        <v>0</v>
      </c>
      <c r="EV16" s="19"/>
      <c r="EW16" s="19"/>
      <c r="EX16" s="19"/>
      <c r="EY16" s="19"/>
    </row>
    <row r="17" spans="1:155" x14ac:dyDescent="0.2">
      <c r="AQ17" s="41" t="s">
        <v>133</v>
      </c>
      <c r="AR17" s="41" t="s">
        <v>149</v>
      </c>
      <c r="AS17" s="19">
        <v>8</v>
      </c>
      <c r="AT17" s="19">
        <v>9</v>
      </c>
      <c r="AU17" s="19">
        <v>8.4427372017371785E-2</v>
      </c>
      <c r="AV17" s="19">
        <v>5.4220501567463426</v>
      </c>
      <c r="AW17" s="19">
        <v>2.4220592653040312</v>
      </c>
      <c r="AX17" s="41" t="s">
        <v>170</v>
      </c>
      <c r="AY17" s="19">
        <v>8</v>
      </c>
      <c r="AZ17" s="19">
        <v>-2.3376318932866593</v>
      </c>
      <c r="BA17" s="19">
        <v>5.4645228685109712</v>
      </c>
      <c r="BB17" s="19">
        <v>1.6376592668855674</v>
      </c>
      <c r="BC17" s="19">
        <v>7</v>
      </c>
      <c r="BD17" s="19">
        <v>-2.3547099903796109</v>
      </c>
      <c r="BE17" s="19">
        <v>3.8525956692418513</v>
      </c>
      <c r="BF17" s="19">
        <v>-5.9125791001680641</v>
      </c>
      <c r="BG17" s="41" t="s">
        <v>170</v>
      </c>
      <c r="BH17" s="19">
        <v>7</v>
      </c>
      <c r="BI17" s="19">
        <v>-2.3547099903796109</v>
      </c>
      <c r="BJ17" s="19">
        <v>9.2356033341027057</v>
      </c>
      <c r="BK17" s="19">
        <v>-11.295586765028919</v>
      </c>
      <c r="BL17" s="41" t="s">
        <v>212</v>
      </c>
      <c r="BQ17" s="41" t="s">
        <v>429</v>
      </c>
      <c r="BR17" s="19">
        <v>8</v>
      </c>
      <c r="BS17" s="19">
        <v>8</v>
      </c>
      <c r="BT17" s="19">
        <v>1</v>
      </c>
      <c r="BU17" s="19">
        <v>1.1841318168397106</v>
      </c>
      <c r="BV17" s="19">
        <v>3.8178962777348491</v>
      </c>
      <c r="CP17" s="41" t="s">
        <v>260</v>
      </c>
      <c r="CQ17" s="19">
        <v>1</v>
      </c>
      <c r="CR17" s="19">
        <v>9</v>
      </c>
      <c r="CT17" s="19">
        <v>0.94541874779771085</v>
      </c>
      <c r="CU17" s="19">
        <v>7</v>
      </c>
      <c r="CV17" s="19">
        <v>0</v>
      </c>
      <c r="CX17" s="19">
        <v>1</v>
      </c>
      <c r="CY17" s="19">
        <v>1</v>
      </c>
      <c r="CZ17" s="19">
        <v>3</v>
      </c>
      <c r="DA17" s="19">
        <v>2</v>
      </c>
      <c r="DB17" s="19">
        <v>0.40860070309143748</v>
      </c>
      <c r="DC17" s="19">
        <v>2</v>
      </c>
      <c r="DD17" s="19">
        <v>-2.0913992969085626</v>
      </c>
      <c r="DJ17" s="19">
        <v>8</v>
      </c>
      <c r="DK17" s="49"/>
      <c r="DL17" s="49"/>
      <c r="DM17" s="49"/>
      <c r="DW17" s="41" t="s">
        <v>309</v>
      </c>
      <c r="DX17" s="19">
        <v>8</v>
      </c>
      <c r="DY17" s="19">
        <v>2.4220592653040312</v>
      </c>
      <c r="DZ17" s="19">
        <v>8.4427372017371785E-2</v>
      </c>
      <c r="EA17" s="19">
        <v>-2.3376318932866593</v>
      </c>
      <c r="EB17" s="19">
        <v>2.0254818247615214E-2</v>
      </c>
      <c r="EC17" s="19">
        <v>5.2417243904074803E-3</v>
      </c>
      <c r="ED17" s="19">
        <v>0.3186393639643752</v>
      </c>
      <c r="EE17" s="41" t="s">
        <v>325</v>
      </c>
      <c r="EF17" s="19">
        <v>8</v>
      </c>
      <c r="EG17" s="19">
        <v>3.6846598146288567</v>
      </c>
      <c r="EH17" s="19">
        <v>13</v>
      </c>
      <c r="EI17" s="19">
        <v>9.3153401853711433</v>
      </c>
      <c r="EJ17" s="19">
        <v>0.24746935580221296</v>
      </c>
      <c r="EK17" s="19">
        <v>6.4401421162828029E-2</v>
      </c>
      <c r="EL17" s="19">
        <v>0.3186393639643752</v>
      </c>
      <c r="EM17" s="41" t="s">
        <v>334</v>
      </c>
      <c r="EN17" s="19">
        <v>13</v>
      </c>
      <c r="EO17" s="19">
        <v>4.0102868860445335</v>
      </c>
      <c r="EP17" s="19">
        <v>3.6846598146288567</v>
      </c>
      <c r="EQ17" s="19">
        <v>1.2989587493526971</v>
      </c>
      <c r="ES17" s="41" t="s">
        <v>207</v>
      </c>
      <c r="ET17" s="19" cm="1">
        <f t="array" ref="ET17:EU17">MMULT(_xlfn.SEQUENCE(,AQ14,1,0),_xlfn.ANCHORARRAY(EU75)*_xlfn.SEQUENCE(,AQ16,1,0))</f>
        <v>49.708074459969239</v>
      </c>
      <c r="EU17" s="19">
        <v>3</v>
      </c>
      <c r="EV17" s="19"/>
      <c r="EW17" s="19"/>
      <c r="EX17" s="19"/>
      <c r="EY17" s="19"/>
    </row>
    <row r="18" spans="1:155" x14ac:dyDescent="0.2">
      <c r="K18" s="25"/>
      <c r="AQ18" s="37" t="b">
        <f>B6</f>
        <v>1</v>
      </c>
      <c r="AR18" s="37" t="str" cm="1">
        <f t="array" ref="AR18">INDEX(_xlfn.ANCHORARRAY(ET11),,AR44)</f>
        <v>Eksempel 2 (interval)</v>
      </c>
      <c r="AS18" s="19">
        <v>9</v>
      </c>
      <c r="AT18" s="19">
        <v>6.3251059591845431</v>
      </c>
      <c r="AU18" s="19">
        <v>1.3803796539630533</v>
      </c>
      <c r="AV18" s="19">
        <v>6.3251059591845431</v>
      </c>
      <c r="AW18" s="19">
        <v>2.8229195991085057</v>
      </c>
      <c r="AX18" s="37" t="str">
        <f>" Grænser for "&amp;B5*100&amp;"% konfidensinterval"</f>
        <v xml:space="preserve"> Grænser for 95% konfidensinterval</v>
      </c>
      <c r="AY18" s="19">
        <v>9</v>
      </c>
      <c r="AZ18" s="19">
        <v>-1.4425399451454524</v>
      </c>
      <c r="BA18" s="19">
        <v>2.0809214933402447</v>
      </c>
      <c r="BB18" s="19">
        <v>4.7644692480067912</v>
      </c>
      <c r="BC18" s="19">
        <v>8</v>
      </c>
      <c r="BD18" s="19">
        <v>-2.2235878808768019</v>
      </c>
      <c r="BE18" s="19">
        <v>3.8405536763083283</v>
      </c>
      <c r="BF18" s="19">
        <v>-5.7841286805514294</v>
      </c>
      <c r="BG18" s="37" t="str">
        <f>" Grænser for "&amp;B5*100&amp;"% forudsigelsesinterval"</f>
        <v xml:space="preserve"> Grænser for 95% forudsigelsesinterval</v>
      </c>
      <c r="BH18" s="19">
        <v>8</v>
      </c>
      <c r="BI18" s="19">
        <v>-2.2235878808768019</v>
      </c>
      <c r="BJ18" s="19">
        <v>9.2605831796902613</v>
      </c>
      <c r="BK18" s="19">
        <v>-11.204158183933362</v>
      </c>
      <c r="BL18" s="37" cm="1">
        <f t="array" ref="BL18">SUM(--_xlfn.ANCHORARRAY(ET13))</f>
        <v>0</v>
      </c>
      <c r="BQ18" s="37" t="s">
        <v>226</v>
      </c>
      <c r="BR18" s="19">
        <v>9</v>
      </c>
      <c r="BS18" s="19">
        <v>9</v>
      </c>
      <c r="BT18" s="19">
        <v>1</v>
      </c>
      <c r="BU18" s="19">
        <v>0.53208395030024813</v>
      </c>
      <c r="BV18" s="19">
        <v>2.6831776108721312</v>
      </c>
      <c r="CP18" s="37" t="s">
        <v>284</v>
      </c>
      <c r="CQ18" s="19">
        <v>1</v>
      </c>
      <c r="CR18" s="19">
        <v>6.3251059591845431</v>
      </c>
      <c r="CT18" s="19">
        <v>0.73935791009566187</v>
      </c>
      <c r="CU18" s="19">
        <v>8</v>
      </c>
      <c r="CV18" s="19">
        <v>0</v>
      </c>
      <c r="CX18" s="19">
        <v>1</v>
      </c>
      <c r="CY18" s="19">
        <v>1</v>
      </c>
      <c r="CZ18" s="19">
        <v>3</v>
      </c>
      <c r="DA18" s="19">
        <v>3</v>
      </c>
      <c r="DB18" s="19" t="e">
        <v>#N/A</v>
      </c>
      <c r="DC18" s="19" t="e">
        <v>#N/A</v>
      </c>
      <c r="DD18" s="19" t="e">
        <v>#N/A</v>
      </c>
      <c r="DJ18" s="19">
        <v>9</v>
      </c>
      <c r="DK18" s="49"/>
      <c r="DL18" s="49"/>
      <c r="DM18" s="49"/>
      <c r="DW18" s="37" t="s">
        <v>311</v>
      </c>
      <c r="DX18" s="19">
        <v>9</v>
      </c>
      <c r="DY18" s="19">
        <v>2.8229195991085057</v>
      </c>
      <c r="DZ18" s="19">
        <v>1.3803796539630533</v>
      </c>
      <c r="EA18" s="19">
        <v>-1.4425399451454524</v>
      </c>
      <c r="EB18" s="19">
        <v>0.29046156598077322</v>
      </c>
      <c r="EC18" s="19">
        <v>7.5168261510153558E-2</v>
      </c>
      <c r="ED18" s="19">
        <v>0.54852228269809822</v>
      </c>
      <c r="EE18" s="37" t="s">
        <v>311</v>
      </c>
      <c r="EF18" s="19">
        <v>9</v>
      </c>
      <c r="EG18" s="19">
        <v>3.4700056936931274</v>
      </c>
      <c r="EH18" s="19">
        <v>1.3803796539630533</v>
      </c>
      <c r="EI18" s="19">
        <v>-2.0896260397300743</v>
      </c>
      <c r="EJ18" s="19">
        <v>0.37453379845632306</v>
      </c>
      <c r="EK18" s="19">
        <v>9.7468669669861882E-2</v>
      </c>
      <c r="EL18" s="19">
        <v>0.54852228269809822</v>
      </c>
      <c r="EM18" s="37" t="s">
        <v>336</v>
      </c>
      <c r="EN18" s="19">
        <v>1.3803796539630533</v>
      </c>
      <c r="EO18" s="19">
        <v>2.8229195991085057</v>
      </c>
      <c r="EP18" s="19">
        <v>3.4700056936931274</v>
      </c>
      <c r="EQ18" s="19">
        <v>1.3803796539630533</v>
      </c>
      <c r="ES18" s="41" t="s">
        <v>199</v>
      </c>
      <c r="ET18" s="19" cm="1">
        <f t="array" ref="ET18:EU18">MMULT(_xlfn.SEQUENCE(,AQ14,1,0),_xlfn.ANCHORARRAY(EU75)*_xlfn.SEQUENCE(,AQ16,1,0))/AQ14</f>
        <v>4.14233953833077</v>
      </c>
      <c r="EU18" s="19">
        <v>0.25</v>
      </c>
      <c r="EV18" s="19"/>
      <c r="EW18" s="19"/>
      <c r="EX18" s="19"/>
      <c r="EY18" s="19"/>
    </row>
    <row r="19" spans="1:155" x14ac:dyDescent="0.2">
      <c r="K19" s="25"/>
      <c r="AQ19" s="41" t="s">
        <v>252</v>
      </c>
      <c r="AR19" s="41" t="s">
        <v>148</v>
      </c>
      <c r="AS19" s="19">
        <v>10</v>
      </c>
      <c r="AT19" s="19">
        <v>5.4220501567463426</v>
      </c>
      <c r="AU19" s="19">
        <v>13</v>
      </c>
      <c r="AV19" s="19">
        <v>9</v>
      </c>
      <c r="AW19" s="19">
        <v>4.0102868860445335</v>
      </c>
      <c r="AX19" s="41" t="s">
        <v>182</v>
      </c>
      <c r="AY19" s="19">
        <v>10</v>
      </c>
      <c r="AZ19" s="19">
        <v>8.9897131139554673</v>
      </c>
      <c r="BA19" s="19">
        <v>80.814941871222899</v>
      </c>
      <c r="BB19" s="19">
        <v>23.596865160864517</v>
      </c>
      <c r="BC19" s="19">
        <v>9</v>
      </c>
      <c r="BD19" s="19">
        <v>-2.092465771373992</v>
      </c>
      <c r="BE19" s="19">
        <v>3.8289350527234558</v>
      </c>
      <c r="BF19" s="19">
        <v>-5.6561016302834446</v>
      </c>
      <c r="BG19" s="41" t="s">
        <v>182</v>
      </c>
      <c r="BH19" s="19">
        <v>9</v>
      </c>
      <c r="BI19" s="19">
        <v>-2.092465771373992</v>
      </c>
      <c r="BJ19" s="19">
        <v>9.286135451062135</v>
      </c>
      <c r="BK19" s="19">
        <v>-11.113302028622124</v>
      </c>
      <c r="BL19" s="41" t="s">
        <v>129</v>
      </c>
      <c r="BQ19" s="41" t="s">
        <v>245</v>
      </c>
      <c r="BR19" s="19">
        <v>10</v>
      </c>
      <c r="BS19" s="19">
        <v>10</v>
      </c>
      <c r="BT19" s="19">
        <v>1</v>
      </c>
      <c r="BU19" s="19">
        <v>0.31194976914726269</v>
      </c>
      <c r="BV19" s="19">
        <v>2.3000916790148351</v>
      </c>
      <c r="CP19" s="41" t="s">
        <v>272</v>
      </c>
      <c r="CQ19" s="19">
        <v>1</v>
      </c>
      <c r="CR19" s="19">
        <v>5.4220501567463426</v>
      </c>
      <c r="CT19" s="19">
        <v>0.66979087966279172</v>
      </c>
      <c r="CU19" s="19">
        <v>9</v>
      </c>
      <c r="CV19" s="19">
        <v>0</v>
      </c>
      <c r="CX19" s="19">
        <v>1</v>
      </c>
      <c r="CY19" s="19">
        <v>1</v>
      </c>
      <c r="CZ19" s="19">
        <v>4</v>
      </c>
      <c r="DA19" s="19">
        <v>1</v>
      </c>
      <c r="DB19" s="19">
        <v>0</v>
      </c>
      <c r="DC19" s="19">
        <v>1</v>
      </c>
      <c r="DD19" s="19">
        <v>-2.5</v>
      </c>
      <c r="DJ19" s="19">
        <v>10</v>
      </c>
      <c r="DK19" s="49"/>
      <c r="DL19" s="49"/>
      <c r="DM19" s="49"/>
      <c r="DW19" s="41" t="s">
        <v>0</v>
      </c>
      <c r="DX19" s="19">
        <v>10</v>
      </c>
      <c r="DY19" s="19">
        <v>4.0102868860445335</v>
      </c>
      <c r="DZ19" s="19">
        <v>13</v>
      </c>
      <c r="EA19" s="19">
        <v>8.9897131139554673</v>
      </c>
      <c r="EB19" s="19">
        <v>0.3959242933963345</v>
      </c>
      <c r="EC19" s="19">
        <v>0.10246085647768087</v>
      </c>
      <c r="ED19" s="19">
        <v>0.81221780149991241</v>
      </c>
      <c r="EE19" s="41" t="s">
        <v>0</v>
      </c>
      <c r="EF19" s="19">
        <v>10</v>
      </c>
      <c r="EG19" s="19">
        <v>3.0869197618358313</v>
      </c>
      <c r="EH19" s="19">
        <v>8.4427372017371785E-2</v>
      </c>
      <c r="EI19" s="19">
        <v>-3.0024923898184595</v>
      </c>
      <c r="EJ19" s="19">
        <v>0.58377381740650058</v>
      </c>
      <c r="EK19" s="19">
        <v>0.15192128882687186</v>
      </c>
      <c r="EL19" s="19">
        <v>0.81221780149991241</v>
      </c>
      <c r="EM19" s="41" t="s">
        <v>335</v>
      </c>
      <c r="EN19" s="19">
        <v>8.4427372017371785E-2</v>
      </c>
      <c r="EO19" s="19">
        <v>2.4220592653040312</v>
      </c>
      <c r="EP19" s="19">
        <v>3.0869197618358313</v>
      </c>
      <c r="EQ19" s="19">
        <v>1.8110756828005981</v>
      </c>
      <c r="ES19" s="41" t="s">
        <v>205</v>
      </c>
      <c r="ET19" s="19" cm="1">
        <f t="array" ref="ET19:EU19">MMULT(_xlfn.SEQUENCE(,AQ14,1,0),(_xlfn.ANCHORARRAY(EU75)*_xlfn.SEQUENCE(,AQ16,1,0)-MMULT(_xlfn.SEQUENCE(,AQ14,1,0),_xlfn.ANCHORARRAY(EU75)*_xlfn.SEQUENCE(,AQ16,1,0))/AQ14)*(_xlfn.ANCHORARRAY(ET75)-AVERAGE(_xlfn.ANCHORARRAY(ET75))))</f>
        <v>89.642498431144716</v>
      </c>
      <c r="EU19" s="19">
        <v>3.9027937710175147</v>
      </c>
      <c r="EV19" s="19"/>
      <c r="EW19" s="19"/>
      <c r="EX19" s="19"/>
      <c r="EY19" s="19"/>
    </row>
    <row r="20" spans="1:155" x14ac:dyDescent="0.2">
      <c r="K20" s="25"/>
      <c r="AQ20" s="37">
        <f>MAX(_xlfn.ANCHORARRAY(ET75))</f>
        <v>13</v>
      </c>
      <c r="AR20" s="37" t="str">
        <f>ROUND(ET36*100,1)&amp;"%"</f>
        <v>19.5%</v>
      </c>
      <c r="AS20" s="19">
        <v>11</v>
      </c>
      <c r="AT20" s="19">
        <v>9.7085240838788316</v>
      </c>
      <c r="AU20" s="19">
        <v>0.91409189597286977</v>
      </c>
      <c r="AV20" s="19">
        <v>9.7085240838788316</v>
      </c>
      <c r="AW20" s="19">
        <v>4.3247959119600328</v>
      </c>
      <c r="AX20" s="37" t="str">
        <f>"Givet at "&amp;AR18&amp;" = "&amp;C38&amp;" estimeres gennemsnit = "&amp;AX48</f>
        <v>Givet at Eksempel 2 (interval) = 1 estimeres gennemsnit = 0.459</v>
      </c>
      <c r="AY20" s="19">
        <v>11</v>
      </c>
      <c r="AZ20" s="19">
        <v>-3.4107040159871631</v>
      </c>
      <c r="BA20" s="19">
        <v>11.632901884670963</v>
      </c>
      <c r="BB20" s="19">
        <v>30.982410395098082</v>
      </c>
      <c r="BC20" s="19">
        <v>10</v>
      </c>
      <c r="BD20" s="19">
        <v>-1.961343661871183</v>
      </c>
      <c r="BE20" s="19">
        <v>3.8177587756134965</v>
      </c>
      <c r="BF20" s="19">
        <v>-5.528516926490374</v>
      </c>
      <c r="BG20" s="37" t="str">
        <f>"Givet at "&amp;AR18&amp;" = "&amp;D38&amp;" estimeres gennemsnit = "&amp;BG42</f>
        <v>Givet at Eksempel 2 (interval) = 1 estimeres gennemsnit = 0.459</v>
      </c>
      <c r="BH20" s="19">
        <v>10</v>
      </c>
      <c r="BI20" s="19">
        <v>-1.961343661871183</v>
      </c>
      <c r="BJ20" s="19">
        <v>9.3122656630112886</v>
      </c>
      <c r="BK20" s="19">
        <v>-11.023023813888166</v>
      </c>
      <c r="BL20" s="37">
        <v>0</v>
      </c>
      <c r="BQ20" s="37">
        <f>AQ14*AQ16</f>
        <v>24</v>
      </c>
      <c r="BR20" s="19">
        <v>11</v>
      </c>
      <c r="BS20" s="19">
        <v>11</v>
      </c>
      <c r="BT20" s="19">
        <v>1</v>
      </c>
      <c r="BU20" s="19">
        <v>1.3568458048465697</v>
      </c>
      <c r="BV20" s="19">
        <v>4.118459773571125</v>
      </c>
      <c r="CP20" s="37">
        <v>2</v>
      </c>
      <c r="CQ20" s="19">
        <v>1</v>
      </c>
      <c r="CR20" s="19">
        <v>9.7085240838788316</v>
      </c>
      <c r="CT20" s="19">
        <v>1</v>
      </c>
      <c r="CU20" s="19">
        <v>10</v>
      </c>
      <c r="CV20" s="19">
        <v>0</v>
      </c>
      <c r="CX20" s="19">
        <v>1</v>
      </c>
      <c r="CY20" s="19">
        <v>1</v>
      </c>
      <c r="CZ20" s="19">
        <v>4</v>
      </c>
      <c r="DA20" s="19">
        <v>2</v>
      </c>
      <c r="DB20" s="19">
        <v>7.9700010594123294E-2</v>
      </c>
      <c r="DC20" s="19">
        <v>2</v>
      </c>
      <c r="DD20" s="19">
        <v>-2.4202999894058768</v>
      </c>
      <c r="DJ20" s="19">
        <v>11</v>
      </c>
      <c r="DW20" s="37">
        <f>AVERAGE(_xlfn.ANCHORARRAY(EB10))</f>
        <v>0</v>
      </c>
      <c r="DX20" s="19">
        <v>11</v>
      </c>
      <c r="DY20" s="19">
        <v>4.3247959119600328</v>
      </c>
      <c r="DZ20" s="19">
        <v>0.91409189597286977</v>
      </c>
      <c r="EA20" s="19">
        <v>-3.4107040159871631</v>
      </c>
      <c r="EB20" s="19">
        <v>5.765285931148707</v>
      </c>
      <c r="EC20" s="19">
        <v>1.4919926465661257</v>
      </c>
      <c r="ED20" s="19">
        <v>1.1503493803760083</v>
      </c>
      <c r="EE20" s="37">
        <f>AVERAGE(_xlfn.ANCHORARRAY(EJ10))</f>
        <v>0</v>
      </c>
      <c r="EF20" s="19">
        <v>11</v>
      </c>
      <c r="EG20" s="19">
        <v>3.9852233104651327</v>
      </c>
      <c r="EH20" s="19">
        <v>0.91409189597286977</v>
      </c>
      <c r="EI20" s="19">
        <v>-3.071131414492263</v>
      </c>
      <c r="EJ20" s="19">
        <v>5.092118429548532</v>
      </c>
      <c r="EK20" s="19">
        <v>1.3251728179809683</v>
      </c>
      <c r="EL20" s="19">
        <v>1.1503493803760083</v>
      </c>
      <c r="EM20" s="37" t="str">
        <f>AQ10</f>
        <v>Eksempel 1 (interval)</v>
      </c>
      <c r="EN20" s="19">
        <v>0.91409189597286977</v>
      </c>
      <c r="EO20" s="19">
        <v>4.3247959119600328</v>
      </c>
      <c r="EP20" s="19">
        <v>3.9852233104651327</v>
      </c>
      <c r="EQ20" s="19">
        <v>8</v>
      </c>
      <c r="ES20" s="41" t="s">
        <v>206</v>
      </c>
      <c r="ET20" s="19" cm="1">
        <f t="array" ref="ET20:EU20">MMULT(_xlfn.SEQUENCE(,AQ14,1,0),(_xlfn.ANCHORARRAY(EU75)*_xlfn.SEQUENCE(,AQ16,1,0)-MMULT(_xlfn.SEQUENCE(,AQ14,1,0),_xlfn.ANCHORARRAY(EU75)*_xlfn.SEQUENCE(,AQ16,1,0))/AQ14)^2)</f>
        <v>201.94609325648105</v>
      </c>
      <c r="EU20" s="19">
        <v>2.25</v>
      </c>
      <c r="EV20" s="19"/>
      <c r="EW20" s="19"/>
      <c r="EX20" s="19"/>
      <c r="EY20" s="19"/>
    </row>
    <row r="21" spans="1:155" x14ac:dyDescent="0.2">
      <c r="K21" s="25"/>
      <c r="AQ21" s="41" t="s">
        <v>251</v>
      </c>
      <c r="AR21" s="41" t="s">
        <v>158</v>
      </c>
      <c r="AS21" s="19">
        <v>12</v>
      </c>
      <c r="AT21" s="19">
        <v>9.7085240838788316</v>
      </c>
      <c r="AU21" s="19">
        <v>-0.89773712069108735</v>
      </c>
      <c r="AV21" s="19">
        <v>9.7085240838788316</v>
      </c>
      <c r="AW21" s="19">
        <v>4.3247959119600328</v>
      </c>
      <c r="AX21" s="41" t="s">
        <v>190</v>
      </c>
      <c r="AY21" s="19">
        <v>12</v>
      </c>
      <c r="AZ21" s="19">
        <v>-5.2225330326511203</v>
      </c>
      <c r="BA21" s="19">
        <v>27.274851277132107</v>
      </c>
      <c r="BB21" s="19">
        <v>30.982410395098082</v>
      </c>
      <c r="BC21" s="19">
        <v>11</v>
      </c>
      <c r="BD21" s="19">
        <v>-1.8302215523683742</v>
      </c>
      <c r="BE21" s="19">
        <v>3.8070448420359329</v>
      </c>
      <c r="BF21" s="19">
        <v>-5.4013945662296985</v>
      </c>
      <c r="BG21" s="41" t="s">
        <v>190</v>
      </c>
      <c r="BH21" s="19">
        <v>11</v>
      </c>
      <c r="BI21" s="19">
        <v>-1.8302215523683742</v>
      </c>
      <c r="BJ21" s="19">
        <v>9.3389793019001779</v>
      </c>
      <c r="BK21" s="19">
        <v>-10.933329026093944</v>
      </c>
      <c r="BL21" s="41" t="s">
        <v>130</v>
      </c>
      <c r="BQ21" s="41" t="s">
        <v>237</v>
      </c>
      <c r="BR21" s="19">
        <v>12</v>
      </c>
      <c r="BS21" s="19">
        <v>12</v>
      </c>
      <c r="BT21" s="19">
        <v>1</v>
      </c>
      <c r="BU21" s="19">
        <v>1.3568458048465697</v>
      </c>
      <c r="BV21" s="19">
        <v>4.118459773571125</v>
      </c>
      <c r="CP21" s="41" t="s">
        <v>273</v>
      </c>
      <c r="CQ21" s="19">
        <v>1</v>
      </c>
      <c r="CR21" s="19">
        <v>9.7085240838788316</v>
      </c>
      <c r="CT21" s="19">
        <v>1</v>
      </c>
      <c r="CU21" s="19">
        <v>11</v>
      </c>
      <c r="CV21" s="19">
        <v>0</v>
      </c>
      <c r="CX21" s="19">
        <v>1</v>
      </c>
      <c r="CY21" s="19">
        <v>1</v>
      </c>
      <c r="CZ21" s="19">
        <v>4</v>
      </c>
      <c r="DA21" s="19">
        <v>3</v>
      </c>
      <c r="DB21" s="19" t="e">
        <v>#N/A</v>
      </c>
      <c r="DC21" s="19" t="e">
        <v>#N/A</v>
      </c>
      <c r="DD21" s="19" t="e">
        <v>#N/A</v>
      </c>
      <c r="DJ21" s="19">
        <v>12</v>
      </c>
      <c r="DW21" s="41" t="s">
        <v>1</v>
      </c>
      <c r="DX21" s="19">
        <v>12</v>
      </c>
      <c r="DY21" s="19">
        <v>4.3247959119600328</v>
      </c>
      <c r="DZ21" s="19">
        <v>-0.89773712069108735</v>
      </c>
      <c r="EA21" s="19">
        <v>-5.2225330326511203</v>
      </c>
      <c r="EB21" s="19">
        <v>8.9897131139554673</v>
      </c>
      <c r="EC21" s="19">
        <v>2.3264389695392311</v>
      </c>
      <c r="ED21" s="19">
        <v>1.7316643961222455</v>
      </c>
      <c r="EE21" s="41" t="s">
        <v>1</v>
      </c>
      <c r="EF21" s="19">
        <v>12</v>
      </c>
      <c r="EG21" s="19">
        <v>3.9852233104651327</v>
      </c>
      <c r="EH21" s="19">
        <v>-0.89773712069108735</v>
      </c>
      <c r="EI21" s="19">
        <v>-4.8829604311562198</v>
      </c>
      <c r="EJ21" s="19">
        <v>9.3153401853711433</v>
      </c>
      <c r="EK21" s="19">
        <v>2.4242239796049074</v>
      </c>
      <c r="EL21" s="19">
        <v>1.7316643961222455</v>
      </c>
      <c r="EM21" s="41" t="s">
        <v>341</v>
      </c>
      <c r="EN21" s="19">
        <v>-0.89773712069108735</v>
      </c>
      <c r="EO21" s="19">
        <v>4.3247959119600328</v>
      </c>
      <c r="EP21" s="19">
        <v>3.9852233104651327</v>
      </c>
      <c r="EQ21" s="19">
        <v>13</v>
      </c>
      <c r="ES21" s="41" t="s">
        <v>201</v>
      </c>
      <c r="ET21" s="19" cm="1">
        <f t="array" ref="ET21:EU21">MMULT(_xlfn.SEQUENCE(,AQ14,1,0),(_xlfn.ANCHORARRAY(EU75)*_xlfn.SEQUENCE(,AQ16,1,0)-MMULT(_xlfn.SEQUENCE(,AQ14,1,0),_xlfn.ANCHORARRAY(EU75)*_xlfn.SEQUENCE(,AQ16,1,0))/AQ14)*(_xlfn.ANCHORARRAY(ET75)-AVERAGE(_xlfn.ANCHORARRAY(ET75))))/MMULT(_xlfn.SEQUENCE(,AQ14,1,0),(_xlfn.ANCHORARRAY(EU75)*_xlfn.SEQUENCE(,AQ16,1,0)-MMULT(_xlfn.SEQUENCE(,AQ14,1,0),_xlfn.ANCHORARRAY(EU75)*_xlfn.SEQUENCE(,AQ16,1,0))/AQ14)^2)</f>
        <v>0.44389320429831003</v>
      </c>
      <c r="EU21" s="19">
        <v>1.7345750093411176</v>
      </c>
      <c r="EV21" s="19"/>
      <c r="EW21" s="19"/>
      <c r="EX21" s="19"/>
      <c r="EY21" s="19"/>
    </row>
    <row r="22" spans="1:155" x14ac:dyDescent="0.2">
      <c r="AQ22" s="37">
        <f>MIN(_xlfn.ANCHORARRAY(ET75))</f>
        <v>-1.479592604535932</v>
      </c>
      <c r="AR22" s="37">
        <f>ROUND(ET34,AR36)</f>
        <v>0.44400000000000001</v>
      </c>
      <c r="AX22" s="47">
        <f>EU34+ET34*C38</f>
        <v>0.45914125165805242</v>
      </c>
      <c r="BC22" s="19">
        <v>12</v>
      </c>
      <c r="BD22" s="19">
        <v>-1.699099442865565</v>
      </c>
      <c r="BE22" s="19">
        <v>3.7968143270199075</v>
      </c>
      <c r="BF22" s="19">
        <v>-5.2747556245305613</v>
      </c>
      <c r="BG22" s="47">
        <f>EU34+ET34*D38</f>
        <v>0.45914125165805242</v>
      </c>
      <c r="BH22" s="19">
        <v>12</v>
      </c>
      <c r="BI22" s="19">
        <v>-1.699099442865565</v>
      </c>
      <c r="BJ22" s="19">
        <v>9.3662818220569886</v>
      </c>
      <c r="BK22" s="19">
        <v>-10.844223119567642</v>
      </c>
      <c r="BL22" s="37">
        <v>1</v>
      </c>
      <c r="BQ22" s="38" t="s">
        <v>249</v>
      </c>
      <c r="BR22" s="19">
        <v>13</v>
      </c>
      <c r="BS22" s="19">
        <v>1</v>
      </c>
      <c r="BT22" s="19">
        <v>2</v>
      </c>
      <c r="BU22" s="19">
        <v>-0.57735026918962584</v>
      </c>
      <c r="BV22" s="19">
        <v>0</v>
      </c>
      <c r="CP22" s="37">
        <v>-1.5</v>
      </c>
      <c r="CQ22" s="19">
        <v>2</v>
      </c>
      <c r="CR22" s="19">
        <v>0</v>
      </c>
      <c r="CT22" s="19">
        <v>0</v>
      </c>
      <c r="CU22" s="19">
        <v>12</v>
      </c>
      <c r="CV22" s="19">
        <v>0</v>
      </c>
      <c r="CX22" s="19">
        <v>1</v>
      </c>
      <c r="CY22" s="19">
        <v>1</v>
      </c>
      <c r="CZ22" s="19">
        <v>5</v>
      </c>
      <c r="DA22" s="19">
        <v>1</v>
      </c>
      <c r="DB22" s="19">
        <v>0</v>
      </c>
      <c r="DC22" s="19">
        <v>1</v>
      </c>
      <c r="DD22" s="19">
        <v>-2.5</v>
      </c>
      <c r="DW22" s="37">
        <f>_xlfn.STDEV.S(_xlfn.ANCHORARRAY(EB10))</f>
        <v>3.8641517063892494</v>
      </c>
      <c r="EE22" s="37">
        <f>_xlfn.STDEV.S(_xlfn.ANCHORARRAY(EJ10))</f>
        <v>3.8426070626070321</v>
      </c>
      <c r="EM22" s="37">
        <f>ET36</f>
        <v>0.19501904741679588</v>
      </c>
      <c r="ES22" s="41" t="s">
        <v>202</v>
      </c>
      <c r="ET22" s="19" cm="1">
        <f t="array" ref="ET22:EU22">AVERAGE(_xlfn.ANCHORARRAY(ET75))-MMULT(_xlfn.SEQUENCE(,AQ14,1,0),(_xlfn.ANCHORARRAY(EU75)*_xlfn.SEQUENCE(,AQ16,1,0)-MMULT(_xlfn.SEQUENCE(,AQ14,1,0),_xlfn.ANCHORARRAY(EU75)*_xlfn.SEQUENCE(,AQ16,1,0))/AQ14)*(_xlfn.ANCHORARRAY(ET75)-AVERAGE(_xlfn.ANCHORARRAY(ET75))))/MMULT(_xlfn.SEQUENCE(,AQ14,1,0),(_xlfn.ANCHORARRAY(EU75)*_xlfn.SEQUENCE(,AQ16,1,0)-MMULT(_xlfn.SEQUENCE(,AQ14,1,0),_xlfn.ANCHORARRAY(EU75)*_xlfn.SEQUENCE(,AQ16,1,0))/AQ14)^2)*MMULT(_xlfn.SEQUENCE(,AQ14,1,0),_xlfn.ANCHORARRAY(EU75)*_xlfn.SEQUENCE(,AQ16,1,0))/AQ14</f>
        <v>1.5248047359742722E-2</v>
      </c>
      <c r="EU22" s="19">
        <v>1.4203606659856911</v>
      </c>
      <c r="EV22" s="19"/>
      <c r="EW22" s="19"/>
      <c r="EX22" s="19"/>
      <c r="EY22" s="19"/>
    </row>
    <row r="23" spans="1:155" x14ac:dyDescent="0.2">
      <c r="AQ23" s="41" t="s">
        <v>200</v>
      </c>
      <c r="AR23" s="41" t="s">
        <v>159</v>
      </c>
      <c r="AX23" s="41" t="s">
        <v>171</v>
      </c>
      <c r="BC23" s="19">
        <v>13</v>
      </c>
      <c r="BD23" s="19">
        <v>-1.5679773333627558</v>
      </c>
      <c r="BE23" s="19">
        <v>3.787089444375181</v>
      </c>
      <c r="BF23" s="19">
        <v>-5.1486223152027231</v>
      </c>
      <c r="BG23" s="41" t="s">
        <v>171</v>
      </c>
      <c r="BH23" s="19">
        <v>13</v>
      </c>
      <c r="BI23" s="19">
        <v>-1.5679773333627558</v>
      </c>
      <c r="BJ23" s="19">
        <v>9.3941786421017781</v>
      </c>
      <c r="BK23" s="19">
        <v>-10.75571151292932</v>
      </c>
      <c r="BL23" s="41" t="s">
        <v>216</v>
      </c>
      <c r="BQ23" s="41" t="s">
        <v>241</v>
      </c>
      <c r="BR23" s="19">
        <v>14</v>
      </c>
      <c r="BS23" s="19">
        <v>2</v>
      </c>
      <c r="BT23" s="19">
        <v>2</v>
      </c>
      <c r="BU23" s="19">
        <v>-0.57735026918962584</v>
      </c>
      <c r="BV23" s="19">
        <v>0</v>
      </c>
      <c r="CP23" s="41" t="s">
        <v>265</v>
      </c>
      <c r="CQ23" s="19">
        <v>2</v>
      </c>
      <c r="CR23" s="19">
        <v>0</v>
      </c>
      <c r="CT23" s="19">
        <v>0</v>
      </c>
      <c r="CU23" s="19">
        <v>13</v>
      </c>
      <c r="CV23" s="19">
        <v>0</v>
      </c>
      <c r="CX23" s="19">
        <v>1</v>
      </c>
      <c r="CY23" s="19">
        <v>1</v>
      </c>
      <c r="CZ23" s="19">
        <v>5</v>
      </c>
      <c r="DA23" s="19">
        <v>2</v>
      </c>
      <c r="DB23" s="19">
        <v>0.56024304633472843</v>
      </c>
      <c r="DC23" s="19">
        <v>2</v>
      </c>
      <c r="DD23" s="19">
        <v>-1.9397569536652717</v>
      </c>
      <c r="EM23" s="41" t="s">
        <v>342</v>
      </c>
      <c r="ES23" s="41" t="s">
        <v>204</v>
      </c>
      <c r="ET23" s="19" cm="1">
        <f t="array" ref="ET23:EU23">MMULT(_xlfn.SEQUENCE(,AQ14,1,0),(_xlfn.ANCHORARRAY(ET75)-(_xlfn.ANCHORARRAY(ET22)+_xlfn.ANCHORARRAY(ET21)*_xlfn.ANCHORARRAY(EU75)*_xlfn.SEQUENCE(,AQ16,1,0)))^2)</f>
        <v>164.24835250990043</v>
      </c>
      <c r="EU23" s="19">
        <v>197.27035983798831</v>
      </c>
      <c r="EV23" s="19"/>
      <c r="EW23" s="19"/>
      <c r="EX23" s="19"/>
      <c r="EY23" s="19"/>
    </row>
    <row r="24" spans="1:155" x14ac:dyDescent="0.2">
      <c r="AQ24" s="37">
        <f>AVERAGE(_xlfn.ANCHORARRAY(ET75))</f>
        <v>1.8540044183209705</v>
      </c>
      <c r="AR24" s="37">
        <f>ROUND(EU34,AR36)</f>
        <v>1.4999999999999999E-2</v>
      </c>
      <c r="AX24" s="47">
        <f>EU34+ET34*C38+_xlfn.T.INV.2T(1-B5,EU37)*SQRT(AX28/EU37)*SQRT(1/AQ14+(C38-AX30)^2/AX32)</f>
        <v>3.7427861990338451</v>
      </c>
      <c r="BC24" s="19">
        <v>14</v>
      </c>
      <c r="BD24" s="19">
        <v>-1.4368552238599468</v>
      </c>
      <c r="BE24" s="19">
        <v>3.7778936102494756</v>
      </c>
      <c r="BF24" s="19">
        <v>-5.0230180543939058</v>
      </c>
      <c r="BG24" s="47">
        <f>EU34+ET34*D38+_xlfn.T.INV.2T(1-B5,EU37)*SQRT(AX28/EU37)*SQRT(1+(1/AQ14)+(D38-AX30)^2/AX32)</f>
        <v>10.067736689744549</v>
      </c>
      <c r="BH24" s="19">
        <v>14</v>
      </c>
      <c r="BI24" s="19">
        <v>-1.4368552238599468</v>
      </c>
      <c r="BJ24" s="19">
        <v>9.4226751412061684</v>
      </c>
      <c r="BK24" s="19">
        <v>-10.667799585350599</v>
      </c>
      <c r="BL24" s="48">
        <f>1-B5</f>
        <v>5.0000000000000044E-2</v>
      </c>
      <c r="BQ24" s="37">
        <f>COUNTIF(_xlfn.ANCHORARRAY(CK10),"&gt;1")</f>
        <v>1</v>
      </c>
      <c r="BR24" s="19">
        <v>15</v>
      </c>
      <c r="BS24" s="19">
        <v>3</v>
      </c>
      <c r="BT24" s="19">
        <v>2</v>
      </c>
      <c r="BU24" s="19">
        <v>-0.57735026918962584</v>
      </c>
      <c r="BV24" s="19">
        <v>0</v>
      </c>
      <c r="CP24" s="37">
        <f>AQ16*(AQ16-1)/2</f>
        <v>1</v>
      </c>
      <c r="CQ24" s="19">
        <v>2</v>
      </c>
      <c r="CR24" s="19">
        <v>0</v>
      </c>
      <c r="CT24" s="19">
        <v>0</v>
      </c>
      <c r="CU24" s="19">
        <v>14</v>
      </c>
      <c r="CV24" s="19">
        <v>0</v>
      </c>
      <c r="CX24" s="19">
        <v>1</v>
      </c>
      <c r="CY24" s="19">
        <v>1</v>
      </c>
      <c r="CZ24" s="19">
        <v>5</v>
      </c>
      <c r="DA24" s="19">
        <v>3</v>
      </c>
      <c r="DB24" s="19" t="e">
        <v>#N/A</v>
      </c>
      <c r="DC24" s="19" t="e">
        <v>#N/A</v>
      </c>
      <c r="DD24" s="19" t="e">
        <v>#N/A</v>
      </c>
      <c r="EM24" s="37">
        <f>ET43</f>
        <v>0.20397039354139959</v>
      </c>
      <c r="ES24" s="41" t="s">
        <v>220</v>
      </c>
      <c r="ET24" s="19" cm="1">
        <f t="array" ref="ET24:EU24">SQRT(MMULT(_xlfn.SEQUENCE(,AQ14,1,0),(_xlfn.ANCHORARRAY(EU75)-_xlfn.ANCHORARRAY(ET18))^2)/AQ14)</f>
        <v>4.1022970522265636</v>
      </c>
      <c r="EU24" s="19">
        <v>0.4330127018922193</v>
      </c>
      <c r="EV24" s="19"/>
      <c r="EW24" s="19"/>
      <c r="EX24" s="19"/>
      <c r="EY24" s="19"/>
    </row>
    <row r="25" spans="1:155" x14ac:dyDescent="0.2">
      <c r="AQ25" s="41" t="s">
        <v>203</v>
      </c>
      <c r="AR25" s="41" t="s">
        <v>160</v>
      </c>
      <c r="AX25" s="41" t="s">
        <v>172</v>
      </c>
      <c r="BC25" s="19">
        <v>15</v>
      </c>
      <c r="BD25" s="19">
        <v>-1.3057331143571376</v>
      </c>
      <c r="BE25" s="19">
        <v>3.7692515093750201</v>
      </c>
      <c r="BF25" s="19">
        <v>-4.8979675268363385</v>
      </c>
      <c r="BG25" s="41" t="s">
        <v>172</v>
      </c>
      <c r="BH25" s="19">
        <v>15</v>
      </c>
      <c r="BI25" s="19">
        <v>-1.3057331143571376</v>
      </c>
      <c r="BJ25" s="19">
        <v>9.451776655290498</v>
      </c>
      <c r="BK25" s="19">
        <v>-10.580492672751816</v>
      </c>
      <c r="BQ25" s="41" t="s">
        <v>242</v>
      </c>
      <c r="BR25" s="19">
        <v>16</v>
      </c>
      <c r="BS25" s="19">
        <v>4</v>
      </c>
      <c r="BT25" s="19">
        <v>2</v>
      </c>
      <c r="BU25" s="19">
        <v>-0.57735026918962584</v>
      </c>
      <c r="BV25" s="19">
        <v>0</v>
      </c>
      <c r="CP25" s="41" t="s">
        <v>237</v>
      </c>
      <c r="CQ25" s="19">
        <v>2</v>
      </c>
      <c r="CR25" s="19">
        <v>0</v>
      </c>
      <c r="CT25" s="19">
        <v>0</v>
      </c>
      <c r="CU25" s="19">
        <v>15</v>
      </c>
      <c r="CV25" s="19">
        <v>0</v>
      </c>
      <c r="CX25" s="19">
        <v>1</v>
      </c>
      <c r="CY25" s="19">
        <v>1</v>
      </c>
      <c r="CZ25" s="19">
        <v>6</v>
      </c>
      <c r="DA25" s="19">
        <v>1</v>
      </c>
      <c r="DB25" s="19">
        <v>1</v>
      </c>
      <c r="DC25" s="19">
        <v>1</v>
      </c>
      <c r="DD25" s="19">
        <v>-1.5</v>
      </c>
      <c r="EM25" s="41" t="s">
        <v>343</v>
      </c>
      <c r="ES25" s="41" t="s">
        <v>19</v>
      </c>
      <c r="ET25" s="19" cm="1">
        <f t="array" ref="ET25:EU25">INDEX(_xlfn.ANCHORARRAY(ET48),,2):INDEX(_xlfn.ANCHORARRAY(ET48),,AQ16+1)</f>
        <v>0.42421069752609436</v>
      </c>
      <c r="EU25" s="19">
        <v>0.92006454592698861</v>
      </c>
      <c r="EV25" s="19"/>
      <c r="EW25" s="19"/>
      <c r="EX25" s="19"/>
      <c r="EY25" s="19"/>
    </row>
    <row r="26" spans="1:155" x14ac:dyDescent="0.2">
      <c r="AQ26" s="37" cm="1">
        <f t="array" ref="AQ26">SUM((_xlfn.ANCHORARRAY(ET75)-AVERAGE(_xlfn.ANCHORARRAY(ET75)))^2)</f>
        <v>204.04004837980742</v>
      </c>
      <c r="AR26" s="37" t="b">
        <f>AR24&lt;0</f>
        <v>0</v>
      </c>
      <c r="AX26" s="47">
        <f>EU34+ET34*C38-_xlfn.T.INV.2T(1-B5,EU37)*SQRT(AX28/EU37)*SQRT(1/AQ14+(C38-AX30)^2/AX32)</f>
        <v>-2.8245036957177403</v>
      </c>
      <c r="BC26" s="19">
        <v>16</v>
      </c>
      <c r="BD26" s="19">
        <v>-1.1746110048543286</v>
      </c>
      <c r="BE26" s="19">
        <v>3.7611891638972974</v>
      </c>
      <c r="BF26" s="19">
        <v>-4.7734967546755041</v>
      </c>
      <c r="BG26" s="47">
        <f>EU34+ET34*D38-_xlfn.T.INV.2T(1-B5,EU37)*SQRT(AX28/EU37)*SQRT(1+(1/AQ14)+(D38-AX30)^2/AX32)</f>
        <v>-9.1494541864284464</v>
      </c>
      <c r="BH26" s="19">
        <v>16</v>
      </c>
      <c r="BI26" s="19">
        <v>-1.1746110048543286</v>
      </c>
      <c r="BJ26" s="19">
        <v>9.481488473162635</v>
      </c>
      <c r="BK26" s="19">
        <v>-10.493796063940842</v>
      </c>
      <c r="BQ26" s="37">
        <v>3</v>
      </c>
      <c r="BR26" s="19">
        <v>17</v>
      </c>
      <c r="BS26" s="19">
        <v>5</v>
      </c>
      <c r="BT26" s="19">
        <v>2</v>
      </c>
      <c r="BU26" s="19">
        <v>-0.57735026918962584</v>
      </c>
      <c r="BV26" s="19">
        <v>0</v>
      </c>
      <c r="CP26" s="38" t="s">
        <v>294</v>
      </c>
      <c r="CQ26" s="19">
        <v>2</v>
      </c>
      <c r="CR26" s="19">
        <v>0</v>
      </c>
      <c r="CT26" s="19">
        <v>0</v>
      </c>
      <c r="CU26" s="19">
        <v>16</v>
      </c>
      <c r="CV26" s="19">
        <v>0</v>
      </c>
      <c r="CX26" s="19">
        <v>1</v>
      </c>
      <c r="CY26" s="19">
        <v>1</v>
      </c>
      <c r="CZ26" s="19">
        <v>6</v>
      </c>
      <c r="DA26" s="19">
        <v>2</v>
      </c>
      <c r="DB26" s="19">
        <v>0.63727818662732494</v>
      </c>
      <c r="DC26" s="19">
        <v>2</v>
      </c>
      <c r="DD26" s="19">
        <v>-1.8627218133726751</v>
      </c>
      <c r="EM26" s="37">
        <f>1-((1-EM22)*(AQ14-1)/(AQ14-1-1))</f>
        <v>0.11452095215847558</v>
      </c>
      <c r="ES26" s="41" t="s">
        <v>146</v>
      </c>
      <c r="ET26" cm="1">
        <f t="array" ref="ET26:EU26">1-MMULT(_xlfn.SEQUENCE(,AQ14,1,0),(_xlfn.ANCHORARRAY(ET75)-(_xlfn.ANCHORARRAY(ET22)+_xlfn.ANCHORARRAY(ET21)*_xlfn.ANCHORARRAY(EU75)*_xlfn.SEQUENCE(,AQ16,1,0)))^2)/SUM((_xlfn.ANCHORARRAY(ET75)-AVERAGE(_xlfn.ANCHORARRAY(ET75)))^2)</f>
        <v>0.19501904741679588</v>
      </c>
      <c r="EU26">
        <v>3.3178234349453661E-2</v>
      </c>
    </row>
    <row r="27" spans="1:155" x14ac:dyDescent="0.2">
      <c r="B27"/>
      <c r="AQ27" s="41" t="s">
        <v>354</v>
      </c>
      <c r="AR27" s="41" t="s">
        <v>163</v>
      </c>
      <c r="AX27" s="41" t="s">
        <v>173</v>
      </c>
      <c r="BC27" s="19">
        <v>17</v>
      </c>
      <c r="BD27" s="19">
        <v>-1.0434888953515191</v>
      </c>
      <c r="BE27" s="19">
        <v>3.7537340046209176</v>
      </c>
      <c r="BF27" s="19">
        <v>-4.6496331687160124</v>
      </c>
      <c r="BG27" s="41" t="s">
        <v>192</v>
      </c>
      <c r="BH27" s="19">
        <v>17</v>
      </c>
      <c r="BI27" s="19">
        <v>-1.0434888953515191</v>
      </c>
      <c r="BJ27" s="19">
        <v>9.5118158326030038</v>
      </c>
      <c r="BK27" s="19">
        <v>-10.407714996698099</v>
      </c>
      <c r="BQ27" s="41" t="s">
        <v>243</v>
      </c>
      <c r="BR27" s="19">
        <v>18</v>
      </c>
      <c r="BS27" s="19">
        <v>6</v>
      </c>
      <c r="BT27" s="19">
        <v>2</v>
      </c>
      <c r="BU27" s="19">
        <v>1.7320508075688774</v>
      </c>
      <c r="BV27" s="19">
        <v>0.92006454592698861</v>
      </c>
      <c r="CP27" s="41" t="s">
        <v>295</v>
      </c>
      <c r="CQ27" s="19">
        <v>2</v>
      </c>
      <c r="CR27" s="19">
        <v>1</v>
      </c>
      <c r="CT27" s="19">
        <v>1</v>
      </c>
      <c r="CU27" s="19">
        <v>17</v>
      </c>
      <c r="CV27" s="19">
        <v>0</v>
      </c>
      <c r="CX27" s="19">
        <v>1</v>
      </c>
      <c r="CY27" s="19">
        <v>1</v>
      </c>
      <c r="CZ27" s="19">
        <v>6</v>
      </c>
      <c r="DA27" s="19">
        <v>3</v>
      </c>
      <c r="DB27" s="19" t="e">
        <v>#N/A</v>
      </c>
      <c r="DC27" s="19" t="e">
        <v>#N/A</v>
      </c>
      <c r="DD27" s="19" t="e">
        <v>#N/A</v>
      </c>
      <c r="EM27" s="41" t="s">
        <v>344</v>
      </c>
      <c r="ES27" s="41" t="s">
        <v>416</v>
      </c>
      <c r="ET27" s="19" cm="1">
        <f t="array" ref="ET27:EU27">TRANSPOSE(INDEX(INDEX(_xlfn.ANCHORARRAY(A53),1,1):INDEX(_xlfn.ANCHORARRAY(D53),AQ16,1),,2))</f>
        <v>1</v>
      </c>
      <c r="EU27" s="19">
        <v>1</v>
      </c>
      <c r="EV27" s="19"/>
      <c r="EW27" s="19"/>
      <c r="EX27" s="19"/>
      <c r="EY27" s="19"/>
    </row>
    <row r="28" spans="1:155" x14ac:dyDescent="0.2">
      <c r="AQ28" s="37">
        <f>MIN(_xlfn.ANCHORARRAY(AU10),_xlfn.ANCHORARRAY(AW10),_xlfn.ANCHORARRAY(BF10),_xlfn.ANCHORARRAY(BK10),_xlfn.ANCHORARRAY(EO10),_xlfn.ANCHORARRAY(EP10))</f>
        <v>-11.951147136555756</v>
      </c>
      <c r="AR28" s="37" t="str">
        <f>IF(AR26," - "," + ")&amp;ABS(AR24)</f>
        <v xml:space="preserve"> + 0.015</v>
      </c>
      <c r="AX28" s="37">
        <f>SUM(_xlfn.ANCHORARRAY(BA10))</f>
        <v>164.24835250990043</v>
      </c>
      <c r="BC28" s="19">
        <v>18</v>
      </c>
      <c r="BD28" s="19">
        <v>-0.91236678584870967</v>
      </c>
      <c r="BE28" s="19">
        <v>3.7469149444379388</v>
      </c>
      <c r="BF28" s="19">
        <v>-4.5264056818499219</v>
      </c>
      <c r="BG28" s="37">
        <f>IF(AO3&lt;100,100,AO3)</f>
        <v>100</v>
      </c>
      <c r="BH28" s="19">
        <v>18</v>
      </c>
      <c r="BI28" s="19">
        <v>-0.91236678584870967</v>
      </c>
      <c r="BJ28" s="19">
        <v>9.5427639164006752</v>
      </c>
      <c r="BK28" s="19">
        <v>-10.322254653812658</v>
      </c>
      <c r="BQ28" s="37">
        <f>IF(COUNTA(_xlfn.ANCHORARRAY(BQ30))=COUNTA(_xlfn.ANCHORARRAY(BQ34)),COUNTA(_xlfn.ANCHORARRAY(BQ30)),1)</f>
        <v>1</v>
      </c>
      <c r="BR28" s="19">
        <v>19</v>
      </c>
      <c r="BS28" s="19">
        <v>7</v>
      </c>
      <c r="BT28" s="19">
        <v>2</v>
      </c>
      <c r="BU28" s="19">
        <v>-0.57735026918962584</v>
      </c>
      <c r="BV28" s="19">
        <v>0</v>
      </c>
      <c r="CP28" s="37">
        <v>0.7</v>
      </c>
      <c r="CQ28" s="19">
        <v>2</v>
      </c>
      <c r="CR28" s="19">
        <v>0</v>
      </c>
      <c r="CT28" s="19">
        <v>0</v>
      </c>
      <c r="CU28" s="19">
        <v>18</v>
      </c>
      <c r="CV28" s="19">
        <v>0</v>
      </c>
      <c r="CX28" s="19">
        <v>1</v>
      </c>
      <c r="CY28" s="19">
        <v>1</v>
      </c>
      <c r="CZ28" s="19">
        <v>7</v>
      </c>
      <c r="DA28" s="19">
        <v>1</v>
      </c>
      <c r="DB28" s="19">
        <v>0</v>
      </c>
      <c r="DC28" s="19">
        <v>1</v>
      </c>
      <c r="DD28" s="19">
        <v>-2.5</v>
      </c>
      <c r="EM28" s="37">
        <f>1-((1-EM24)*(AQ14-1)/(AQ14-AQ16-1))</f>
        <v>2.7074925439488307E-2</v>
      </c>
      <c r="ES28" s="41" t="s">
        <v>418</v>
      </c>
      <c r="ET28" s="37">
        <f>SUMPRODUCT(_xlfn.ANCHORARRAY(ET27),_xlfn.ANCHORARRAY(ET25))+ET48</f>
        <v>1.2110387803470906</v>
      </c>
    </row>
    <row r="29" spans="1:155" x14ac:dyDescent="0.2">
      <c r="A29" s="3" t="s">
        <v>123</v>
      </c>
      <c r="AQ29" s="41" t="s">
        <v>355</v>
      </c>
      <c r="AR29" s="41" t="s">
        <v>164</v>
      </c>
      <c r="AX29" s="41" t="s">
        <v>174</v>
      </c>
      <c r="BC29" s="19">
        <v>19</v>
      </c>
      <c r="BD29" s="19">
        <v>-0.78124467634590111</v>
      </c>
      <c r="BE29" s="19">
        <v>3.7407624536207549</v>
      </c>
      <c r="BF29" s="19">
        <v>-4.4038447643496266</v>
      </c>
      <c r="BG29" s="41" t="s">
        <v>179</v>
      </c>
      <c r="BH29" s="19">
        <v>19</v>
      </c>
      <c r="BI29" s="19">
        <v>-0.78124467634590111</v>
      </c>
      <c r="BJ29" s="19">
        <v>9.5743378483456283</v>
      </c>
      <c r="BK29" s="19">
        <v>-10.2374201590745</v>
      </c>
      <c r="BQ29" s="41" t="s">
        <v>239</v>
      </c>
      <c r="BR29" s="19">
        <v>20</v>
      </c>
      <c r="BS29" s="19">
        <v>8</v>
      </c>
      <c r="BT29" s="19">
        <v>2</v>
      </c>
      <c r="BU29" s="19">
        <v>-0.57735026918962584</v>
      </c>
      <c r="BV29" s="19">
        <v>0</v>
      </c>
      <c r="CP29" s="41" t="s">
        <v>299</v>
      </c>
      <c r="CQ29" s="19">
        <v>2</v>
      </c>
      <c r="CR29" s="19">
        <v>0</v>
      </c>
      <c r="CT29" s="19">
        <v>0</v>
      </c>
      <c r="CU29" s="19">
        <v>19</v>
      </c>
      <c r="CV29" s="19">
        <v>0</v>
      </c>
      <c r="CX29" s="19">
        <v>1</v>
      </c>
      <c r="CY29" s="19">
        <v>1</v>
      </c>
      <c r="CZ29" s="19">
        <v>7</v>
      </c>
      <c r="DA29" s="19">
        <v>2</v>
      </c>
      <c r="DB29" s="19">
        <v>0.4079360617173593</v>
      </c>
      <c r="DC29" s="19">
        <v>2</v>
      </c>
      <c r="DD29" s="19">
        <v>-2.0920639382826405</v>
      </c>
      <c r="EM29" s="41" t="s">
        <v>349</v>
      </c>
      <c r="ES29" s="41" t="s">
        <v>419</v>
      </c>
      <c r="ET29" s="19" cm="1">
        <f t="array" ref="ET29:EU29">_xlfn.ANCHORARRAY(ET25)*_xlfn.ANCHORARRAY(ET27)</f>
        <v>0.42421069752609436</v>
      </c>
      <c r="EU29" s="19">
        <v>0.92006454592698861</v>
      </c>
    </row>
    <row r="30" spans="1:155" x14ac:dyDescent="0.2">
      <c r="A30" s="51" t="s">
        <v>451</v>
      </c>
      <c r="B30" s="52"/>
      <c r="C30" s="29" t="str" cm="1">
        <f t="array" ref="C30">IF(AND(AQ14=_xlfn.ANCHORARRAY(ET31)),"Opfyldt","Ikke opfyldt")</f>
        <v>Opfyldt</v>
      </c>
      <c r="AQ30" s="37">
        <f>MAX(_xlfn.ANCHORARRAY(AU10),_xlfn.ANCHORARRAY(AW10),_xlfn.ANCHORARRAY(BE10),_xlfn.ANCHORARRAY(BJ10),_xlfn.ANCHORARRAY(EO10),_xlfn.ANCHORARRAY(EP10))</f>
        <v>14.367118518839385</v>
      </c>
      <c r="AR30" s="46">
        <f>ET34*B38+EU34</f>
        <v>0.45914125165805242</v>
      </c>
      <c r="AX30" s="37">
        <f>AVERAGE(_xlfn.ANCHORARRAY(AT10))</f>
        <v>4.14233953833077</v>
      </c>
      <c r="BC30" s="19">
        <v>20</v>
      </c>
      <c r="BD30" s="19">
        <v>-0.65012256684309122</v>
      </c>
      <c r="BE30" s="19">
        <v>3.7353086365635431</v>
      </c>
      <c r="BF30" s="19">
        <v>-4.2819825206093025</v>
      </c>
      <c r="BG30" s="37">
        <f>MIN(_xlfn.ANCHORARRAY(AT10),D38)</f>
        <v>-3.2725647568992748</v>
      </c>
      <c r="BH30" s="19">
        <v>20</v>
      </c>
      <c r="BI30" s="19">
        <v>-0.65012256684309122</v>
      </c>
      <c r="BJ30" s="19">
        <v>9.6065426891826835</v>
      </c>
      <c r="BK30" s="19">
        <v>-10.153216573228443</v>
      </c>
      <c r="BQ30" s="37" t="str" cm="1">
        <f t="array" ref="BQ30">INDEX(_xlfn.ANCHORARRAY(ET11),MATCH(LARGE(_xlfn.ANCHORARRAY(CK10),_xlfn.SEQUENCE(MIN(BQ24,BQ26))),_xlfn.ANCHORARRAY(CK10),0))</f>
        <v>Eksempel 2 (interval)</v>
      </c>
      <c r="BR30" s="19">
        <v>21</v>
      </c>
      <c r="BS30" s="19">
        <v>9</v>
      </c>
      <c r="BT30" s="19">
        <v>2</v>
      </c>
      <c r="BU30" s="19">
        <v>1.7320508075688774</v>
      </c>
      <c r="BV30" s="19">
        <v>0.92006454592698861</v>
      </c>
      <c r="CP30" s="37">
        <f>COUNTIF(_xlfn.ANCHORARRAY(DK10),"&gt;"&amp;0.7)+COUNTIF(_xlfn.ANCHORARRAY(DK10),"&lt;"&amp;-0.7)</f>
        <v>0</v>
      </c>
      <c r="CQ30" s="19">
        <v>2</v>
      </c>
      <c r="CR30" s="19">
        <v>1</v>
      </c>
      <c r="CT30" s="19">
        <v>1</v>
      </c>
      <c r="CU30" s="19">
        <v>20</v>
      </c>
      <c r="CV30" s="19">
        <v>0</v>
      </c>
      <c r="CX30" s="19">
        <v>1</v>
      </c>
      <c r="CY30" s="19">
        <v>1</v>
      </c>
      <c r="CZ30" s="19">
        <v>7</v>
      </c>
      <c r="DA30" s="19">
        <v>3</v>
      </c>
      <c r="DB30" s="19" t="e">
        <v>#N/A</v>
      </c>
      <c r="DC30" s="19" t="e">
        <v>#N/A</v>
      </c>
      <c r="DD30" s="19" t="e">
        <v>#N/A</v>
      </c>
      <c r="EM30" s="37">
        <v>1</v>
      </c>
      <c r="ES30" s="41" t="s">
        <v>422</v>
      </c>
      <c r="ET30" s="19" cm="1">
        <f t="array" ref="ET30:EU30">(_xlfn.ANCHORARRAY(ET27)-_xlfn.ANCHORARRAY(ET18))/_xlfn.ANCHORARRAY(ET24)</f>
        <v>-0.76599512378686307</v>
      </c>
      <c r="EU30" s="19">
        <v>1.7320508075688774</v>
      </c>
    </row>
    <row r="31" spans="1:155" x14ac:dyDescent="0.2">
      <c r="A31" s="51" t="s">
        <v>381</v>
      </c>
      <c r="B31" s="52"/>
      <c r="C31" s="29" t="s">
        <v>80</v>
      </c>
      <c r="AR31" s="44" t="s">
        <v>128</v>
      </c>
      <c r="AX31" s="41" t="s">
        <v>176</v>
      </c>
      <c r="BC31" s="19">
        <v>21</v>
      </c>
      <c r="BD31" s="19">
        <v>-0.51900045734028266</v>
      </c>
      <c r="BE31" s="19">
        <v>3.7305873094410016</v>
      </c>
      <c r="BF31" s="19">
        <v>-4.1608527668036501</v>
      </c>
      <c r="BG31" s="41" t="s">
        <v>180</v>
      </c>
      <c r="BH31" s="19">
        <v>21</v>
      </c>
      <c r="BI31" s="19">
        <v>-0.51900045734028266</v>
      </c>
      <c r="BJ31" s="19">
        <v>9.6393834325327887</v>
      </c>
      <c r="BK31" s="19">
        <v>-10.069648889895436</v>
      </c>
      <c r="BQ31" s="37"/>
      <c r="BR31" s="19">
        <v>22</v>
      </c>
      <c r="BS31" s="19">
        <v>10</v>
      </c>
      <c r="BT31" s="19">
        <v>2</v>
      </c>
      <c r="BU31" s="19">
        <v>1.7320508075688774</v>
      </c>
      <c r="BV31" s="19">
        <v>0.92006454592698861</v>
      </c>
      <c r="CP31" s="41" t="s">
        <v>297</v>
      </c>
      <c r="CQ31" s="19">
        <v>2</v>
      </c>
      <c r="CR31" s="19">
        <v>1</v>
      </c>
      <c r="CT31" s="19">
        <v>1</v>
      </c>
      <c r="CU31" s="19">
        <v>21</v>
      </c>
      <c r="CV31" s="19">
        <v>0</v>
      </c>
      <c r="CX31" s="19">
        <v>1</v>
      </c>
      <c r="CY31" s="19">
        <v>1</v>
      </c>
      <c r="CZ31" s="19">
        <v>8</v>
      </c>
      <c r="DA31" s="19">
        <v>1</v>
      </c>
      <c r="DB31" s="19">
        <v>0</v>
      </c>
      <c r="DC31" s="19">
        <v>1</v>
      </c>
      <c r="DD31" s="19">
        <v>-2.5</v>
      </c>
      <c r="EM31" s="41" t="s">
        <v>345</v>
      </c>
      <c r="ES31" s="41" t="s">
        <v>452</v>
      </c>
      <c r="ET31" s="19" cm="1">
        <f t="array" ref="ET31:EU31">INDEX(DataBeregning!B5:CW5,_xlfn.ANCHORARRAY(ET9))</f>
        <v>12</v>
      </c>
      <c r="EU31" s="19">
        <v>12</v>
      </c>
    </row>
    <row r="32" spans="1:155" x14ac:dyDescent="0.2">
      <c r="A32" s="51" t="s">
        <v>382</v>
      </c>
      <c r="B32" s="52"/>
      <c r="C32" s="29" t="s">
        <v>80</v>
      </c>
      <c r="AR32" s="37">
        <f>MAX(LEN(ROUND(ABS(ET34),0)),LEN(ROUND(ABS(EU34),0)))</f>
        <v>1</v>
      </c>
      <c r="AX32" s="37">
        <f>SUM(_xlfn.ANCHORARRAY(BB10))</f>
        <v>201.94609325648102</v>
      </c>
      <c r="BC32" s="19">
        <v>22</v>
      </c>
      <c r="BD32" s="19">
        <v>-0.38787834783747366</v>
      </c>
      <c r="BE32" s="19">
        <v>3.7266340781190403</v>
      </c>
      <c r="BF32" s="19">
        <v>-4.0404911087985775</v>
      </c>
      <c r="BG32" s="37">
        <f>MAX(_xlfn.ANCHORARRAY(AT10),D38)</f>
        <v>9.7085240838788316</v>
      </c>
      <c r="BH32" s="19">
        <v>22</v>
      </c>
      <c r="BI32" s="19">
        <v>-0.38787834783747366</v>
      </c>
      <c r="BJ32" s="19">
        <v>9.6728650007877501</v>
      </c>
      <c r="BK32" s="19">
        <v>-9.986722031467286</v>
      </c>
      <c r="BQ32" s="37"/>
      <c r="BR32" s="19">
        <v>23</v>
      </c>
      <c r="BS32" s="19">
        <v>11</v>
      </c>
      <c r="BT32" s="19">
        <v>2</v>
      </c>
      <c r="BU32" s="19">
        <v>-0.57735026918962584</v>
      </c>
      <c r="BV32" s="19">
        <v>0</v>
      </c>
      <c r="CP32" s="37">
        <v>2</v>
      </c>
      <c r="CQ32" s="19">
        <v>2</v>
      </c>
      <c r="CR32" s="19">
        <v>0</v>
      </c>
      <c r="CT32" s="19">
        <v>0</v>
      </c>
      <c r="CU32" s="19">
        <v>22</v>
      </c>
      <c r="CV32" s="19">
        <v>0</v>
      </c>
      <c r="CX32" s="19">
        <v>1</v>
      </c>
      <c r="CY32" s="19">
        <v>1</v>
      </c>
      <c r="CZ32" s="19">
        <v>8</v>
      </c>
      <c r="DA32" s="19">
        <v>2</v>
      </c>
      <c r="DB32" s="19">
        <v>0.94541874779771085</v>
      </c>
      <c r="DC32" s="19">
        <v>2</v>
      </c>
      <c r="DD32" s="19">
        <v>-1.554581252202289</v>
      </c>
      <c r="EM32" s="37" t="str">
        <f>ROUND(EM22*100,EM30)&amp;"%"</f>
        <v>19.5%</v>
      </c>
    </row>
    <row r="33" spans="1:155" x14ac:dyDescent="0.2">
      <c r="A33" s="51" t="s">
        <v>383</v>
      </c>
      <c r="B33" s="52"/>
      <c r="C33" s="29" t="s">
        <v>80</v>
      </c>
      <c r="E33" s="26"/>
      <c r="AR33" s="44" t="s">
        <v>157</v>
      </c>
      <c r="AX33" s="41" t="s">
        <v>178</v>
      </c>
      <c r="BC33" s="19">
        <v>23</v>
      </c>
      <c r="BD33" s="19">
        <v>-0.25675623833466421</v>
      </c>
      <c r="BE33" s="19">
        <v>3.7234864154973413</v>
      </c>
      <c r="BF33" s="19">
        <v>-3.9209350194937662</v>
      </c>
      <c r="BG33" s="41" t="s">
        <v>117</v>
      </c>
      <c r="BH33" s="19">
        <v>23</v>
      </c>
      <c r="BI33" s="19">
        <v>-0.25675623833466421</v>
      </c>
      <c r="BJ33" s="19">
        <v>9.7069922409846612</v>
      </c>
      <c r="BK33" s="19">
        <v>-9.9044408449810852</v>
      </c>
      <c r="BQ33" s="41" t="s">
        <v>372</v>
      </c>
      <c r="BR33" s="19">
        <v>24</v>
      </c>
      <c r="BS33" s="19">
        <v>12</v>
      </c>
      <c r="BT33" s="19">
        <v>2</v>
      </c>
      <c r="BU33" s="19">
        <v>-0.57735026918962584</v>
      </c>
      <c r="BV33" s="19">
        <v>0</v>
      </c>
      <c r="CP33" s="41" t="s">
        <v>298</v>
      </c>
      <c r="CQ33" s="19">
        <v>2</v>
      </c>
      <c r="CR33" s="19">
        <v>0</v>
      </c>
      <c r="CT33" s="19">
        <v>0</v>
      </c>
      <c r="CU33" s="19">
        <v>23</v>
      </c>
      <c r="CV33" s="19">
        <v>0</v>
      </c>
      <c r="CX33" s="19">
        <v>1</v>
      </c>
      <c r="CY33" s="19">
        <v>1</v>
      </c>
      <c r="CZ33" s="19">
        <v>8</v>
      </c>
      <c r="DA33" s="19">
        <v>3</v>
      </c>
      <c r="DB33" s="19" t="e">
        <v>#N/A</v>
      </c>
      <c r="DC33" s="19" t="e">
        <v>#N/A</v>
      </c>
      <c r="DD33" s="19" t="e">
        <v>#N/A</v>
      </c>
      <c r="EM33" s="41" t="s">
        <v>346</v>
      </c>
      <c r="ES33" s="41" t="s">
        <v>147</v>
      </c>
      <c r="ET33" s="19" t="s">
        <v>23</v>
      </c>
      <c r="EU33" s="19" t="s">
        <v>14</v>
      </c>
      <c r="EV33" s="19"/>
      <c r="EW33" s="19"/>
      <c r="EX33" s="19"/>
      <c r="EY33" s="19"/>
    </row>
    <row r="34" spans="1:155" x14ac:dyDescent="0.2">
      <c r="A34" s="51" t="s">
        <v>384</v>
      </c>
      <c r="B34" s="52"/>
      <c r="C34" s="29" t="s">
        <v>80</v>
      </c>
      <c r="AR34" s="37">
        <v>5</v>
      </c>
      <c r="AX34" s="37">
        <f>IF(AQ14&lt;100,100,AQ14)</f>
        <v>100</v>
      </c>
      <c r="BC34" s="19">
        <v>24</v>
      </c>
      <c r="BD34" s="19">
        <v>-0.12563412883185521</v>
      </c>
      <c r="BE34" s="19">
        <v>3.7211837372866006</v>
      </c>
      <c r="BF34" s="19">
        <v>-3.8022239145999137</v>
      </c>
      <c r="BG34" s="37">
        <f>BG32-BG30</f>
        <v>12.981088840778106</v>
      </c>
      <c r="BH34" s="19">
        <v>24</v>
      </c>
      <c r="BI34" s="19">
        <v>-0.12563412883185521</v>
      </c>
      <c r="BJ34" s="19">
        <v>9.7417699206666324</v>
      </c>
      <c r="BK34" s="19">
        <v>-9.8228100979799446</v>
      </c>
      <c r="BQ34" s="37" t="str" cm="1">
        <f t="array" ref="BQ34">_xlfn.UNIQUE(_xlfn.ANCHORARRAY(BQ30))</f>
        <v>Eksempel 2 (interval)</v>
      </c>
      <c r="CP34" s="37">
        <v>1</v>
      </c>
      <c r="CU34" s="19">
        <v>24</v>
      </c>
      <c r="CV34" s="19">
        <v>0</v>
      </c>
      <c r="CX34" s="19">
        <v>1</v>
      </c>
      <c r="CY34" s="19">
        <v>1</v>
      </c>
      <c r="CZ34" s="19">
        <v>9</v>
      </c>
      <c r="DA34" s="19">
        <v>1</v>
      </c>
      <c r="DB34" s="19">
        <v>1</v>
      </c>
      <c r="DC34" s="19">
        <v>1</v>
      </c>
      <c r="DD34" s="19">
        <v>-1.5</v>
      </c>
      <c r="EM34" s="37" t="str">
        <f>ROUND(EM24*100,EM30)&amp;"%"</f>
        <v>20.4%</v>
      </c>
      <c r="ES34" s="41" t="s">
        <v>140</v>
      </c>
      <c r="ET34" s="39" cm="1">
        <f t="array" ref="ET34:EU38">LINEST(_xlfn.ANCHORARRAY(ET75),INDEX(_xlfn.ANCHORARRAY(EU75),1,AR44):INDEX(_xlfn.ANCHORARRAY(EU75),AQ14,AR44),AQ18,TRUE)</f>
        <v>0.44389320429831014</v>
      </c>
      <c r="EU34" s="39">
        <v>1.5248047359742278E-2</v>
      </c>
      <c r="EV34" s="19"/>
      <c r="EW34" s="19"/>
      <c r="EX34" s="19"/>
      <c r="EY34" s="19"/>
    </row>
    <row r="35" spans="1:155" x14ac:dyDescent="0.2">
      <c r="AR35" s="44" t="s">
        <v>127</v>
      </c>
      <c r="AX35" s="41" t="s">
        <v>179</v>
      </c>
      <c r="BC35" s="19">
        <v>25</v>
      </c>
      <c r="BD35" s="19">
        <v>5.48798067095424E-3</v>
      </c>
      <c r="BE35" s="19">
        <v>3.7197674750225578</v>
      </c>
      <c r="BF35" s="19">
        <v>-3.6843992256527591</v>
      </c>
      <c r="BG35" s="44" t="s">
        <v>183</v>
      </c>
      <c r="BH35" s="19">
        <v>25</v>
      </c>
      <c r="BI35" s="19">
        <v>5.48798067095424E-3</v>
      </c>
      <c r="BJ35" s="19">
        <v>9.7772027237366679</v>
      </c>
      <c r="BK35" s="19">
        <v>-9.7418344743668683</v>
      </c>
      <c r="BQ35" s="37"/>
      <c r="CP35" s="41" t="s">
        <v>304</v>
      </c>
      <c r="CU35" s="19">
        <v>25</v>
      </c>
      <c r="CV35" s="19">
        <v>0</v>
      </c>
      <c r="CX35" s="19">
        <v>1</v>
      </c>
      <c r="CY35" s="19">
        <v>1</v>
      </c>
      <c r="CZ35" s="19">
        <v>9</v>
      </c>
      <c r="DA35" s="19">
        <v>2</v>
      </c>
      <c r="DB35" s="19">
        <v>0.73935791009566187</v>
      </c>
      <c r="DC35" s="19">
        <v>2</v>
      </c>
      <c r="DD35" s="19">
        <v>-1.760642089904338</v>
      </c>
      <c r="EM35" s="41" t="s">
        <v>347</v>
      </c>
      <c r="ES35" s="41" t="s">
        <v>141</v>
      </c>
      <c r="ET35" s="39">
        <v>0.28518900833341465</v>
      </c>
      <c r="EU35" s="39">
        <v>1.6626254529194178</v>
      </c>
      <c r="EV35" s="19"/>
      <c r="EW35" s="19"/>
      <c r="EX35" s="19"/>
      <c r="EY35" s="19"/>
    </row>
    <row r="36" spans="1:155" x14ac:dyDescent="0.2">
      <c r="A36" s="23" t="s">
        <v>385</v>
      </c>
      <c r="AR36" s="37">
        <f>MIN(3,MAX(0,AR34-AR32))</f>
        <v>3</v>
      </c>
      <c r="AX36" s="37">
        <f>MIN(_xlfn.ANCHORARRAY(AT10),C38)</f>
        <v>-3.2725647568992748</v>
      </c>
      <c r="BC36" s="19">
        <v>26</v>
      </c>
      <c r="BD36" s="19">
        <v>0.13661009017376324</v>
      </c>
      <c r="BE36" s="19">
        <v>3.7192811448936158</v>
      </c>
      <c r="BF36" s="19">
        <v>-3.5675044688407054</v>
      </c>
      <c r="BG36" s="37" cm="1">
        <f t="array" ref="BG36">MAX(LEN(ROUND(ABS(_xlfn.ANCHORARRAY(BI10)),0)),LEN(ROUND(ABS(_xlfn.ANCHORARRAY(BK10)),0)),LEN(ROUND(ABS(_xlfn.ANCHORARRAY(BJ10)),0)))</f>
        <v>2</v>
      </c>
      <c r="BH36" s="19">
        <v>26</v>
      </c>
      <c r="BI36" s="19">
        <v>0.13661009017376324</v>
      </c>
      <c r="BJ36" s="19">
        <v>9.8132952463117125</v>
      </c>
      <c r="BK36" s="19">
        <v>-9.6615185702588011</v>
      </c>
      <c r="BQ36" s="37"/>
      <c r="CP36" s="37" cm="1">
        <f t="array" ref="CP36">LARGE(_xlfn.ANCHORARRAY(DU10),_xlfn.SEQUENCE(CP34))</f>
        <v>0.20266958709140057</v>
      </c>
      <c r="CU36" s="19">
        <v>26</v>
      </c>
      <c r="CV36" s="19">
        <v>0</v>
      </c>
      <c r="CX36" s="19">
        <v>1</v>
      </c>
      <c r="CY36" s="19">
        <v>1</v>
      </c>
      <c r="CZ36" s="19">
        <v>9</v>
      </c>
      <c r="DA36" s="19">
        <v>3</v>
      </c>
      <c r="DB36" s="19" t="e">
        <v>#N/A</v>
      </c>
      <c r="DC36" s="19" t="e">
        <v>#N/A</v>
      </c>
      <c r="DD36" s="19" t="e">
        <v>#N/A</v>
      </c>
      <c r="EM36" s="37" t="str">
        <f>ROUND(EM26*100,EM30)&amp;"%"</f>
        <v>11.5%</v>
      </c>
      <c r="ES36" s="41" t="s">
        <v>142</v>
      </c>
      <c r="ET36" s="39">
        <v>0.19501904741679588</v>
      </c>
      <c r="EU36" s="39">
        <v>4.0527565003328343</v>
      </c>
      <c r="EV36" s="19"/>
      <c r="EW36" s="19"/>
      <c r="EX36" s="19"/>
      <c r="EY36" s="19"/>
    </row>
    <row r="37" spans="1:155" x14ac:dyDescent="0.2">
      <c r="A37" s="35" t="s">
        <v>360</v>
      </c>
      <c r="B37" s="41" t="s">
        <v>161</v>
      </c>
      <c r="C37" s="41" t="s">
        <v>16</v>
      </c>
      <c r="D37" s="41" t="s">
        <v>15</v>
      </c>
      <c r="AR37" s="41" t="s">
        <v>356</v>
      </c>
      <c r="AX37" s="41" t="s">
        <v>180</v>
      </c>
      <c r="BC37" s="19">
        <v>27</v>
      </c>
      <c r="BD37" s="19">
        <v>0.26773219967657269</v>
      </c>
      <c r="BE37" s="19">
        <v>3.719770410709021</v>
      </c>
      <c r="BF37" s="19">
        <v>-3.4515853079729988</v>
      </c>
      <c r="BG37" s="44" t="s">
        <v>157</v>
      </c>
      <c r="BH37" s="19">
        <v>27</v>
      </c>
      <c r="BI37" s="19">
        <v>0.26773219967657269</v>
      </c>
      <c r="BJ37" s="19">
        <v>9.8500519925842216</v>
      </c>
      <c r="BK37" s="19">
        <v>-9.5818668898481985</v>
      </c>
      <c r="CP37" s="37"/>
      <c r="CU37" s="19">
        <v>27</v>
      </c>
      <c r="CV37" s="19">
        <v>0</v>
      </c>
      <c r="CX37" s="19">
        <v>1</v>
      </c>
      <c r="CY37" s="19">
        <v>1</v>
      </c>
      <c r="CZ37" s="19">
        <v>10</v>
      </c>
      <c r="DA37" s="19">
        <v>1</v>
      </c>
      <c r="DB37" s="19">
        <v>1</v>
      </c>
      <c r="DC37" s="19">
        <v>1</v>
      </c>
      <c r="DD37" s="19">
        <v>-1.5</v>
      </c>
      <c r="EM37" s="41" t="s">
        <v>348</v>
      </c>
      <c r="ES37" s="28" t="s">
        <v>143</v>
      </c>
      <c r="ET37" s="39">
        <v>2.4226541856794852</v>
      </c>
      <c r="EU37" s="39">
        <v>10</v>
      </c>
      <c r="EV37" s="19"/>
      <c r="EW37" s="19"/>
      <c r="EX37" s="19"/>
      <c r="EY37" s="19"/>
    </row>
    <row r="38" spans="1:155" x14ac:dyDescent="0.2">
      <c r="A38" s="41" t="s">
        <v>53</v>
      </c>
      <c r="B38" s="18">
        <v>1</v>
      </c>
      <c r="C38" s="18">
        <v>1</v>
      </c>
      <c r="D38" s="18">
        <v>1</v>
      </c>
      <c r="AR38" s="37">
        <f>AVERAGE(_xlfn.ANCHORARRAY(AT10))</f>
        <v>4.14233953833077</v>
      </c>
      <c r="AX38" s="37">
        <f>MAX(_xlfn.ANCHORARRAY(AT10),C38)</f>
        <v>9.7085240838788316</v>
      </c>
      <c r="BC38" s="19">
        <v>28</v>
      </c>
      <c r="BD38" s="19">
        <v>0.39885430917938125</v>
      </c>
      <c r="BE38" s="19">
        <v>3.7212831390610166</v>
      </c>
      <c r="BF38" s="19">
        <v>-3.3366896096418834</v>
      </c>
      <c r="BG38" s="37">
        <v>5</v>
      </c>
      <c r="BH38" s="19">
        <v>28</v>
      </c>
      <c r="BI38" s="19">
        <v>0.39885430917938125</v>
      </c>
      <c r="BJ38" s="19">
        <v>9.8874773706987256</v>
      </c>
      <c r="BK38" s="19">
        <v>-9.5028838412795906</v>
      </c>
      <c r="CP38" s="41" t="s">
        <v>302</v>
      </c>
      <c r="CU38" s="19">
        <v>28</v>
      </c>
      <c r="CV38" s="19">
        <v>0</v>
      </c>
      <c r="CX38" s="19">
        <v>1</v>
      </c>
      <c r="CY38" s="19">
        <v>1</v>
      </c>
      <c r="CZ38" s="19">
        <v>10</v>
      </c>
      <c r="DA38" s="19">
        <v>2</v>
      </c>
      <c r="DB38" s="19">
        <v>0.66979087966279172</v>
      </c>
      <c r="DC38" s="19">
        <v>2</v>
      </c>
      <c r="DD38" s="19">
        <v>-1.8302091203372082</v>
      </c>
      <c r="EM38" s="37" t="str">
        <f>ROUND(EM28*100,EM30)&amp;"%"</f>
        <v>2.7%</v>
      </c>
      <c r="ES38" s="28" t="s">
        <v>144</v>
      </c>
      <c r="ET38" s="39">
        <v>39.791695869906988</v>
      </c>
      <c r="EU38" s="39">
        <v>164.24835250990043</v>
      </c>
      <c r="EV38" s="19"/>
      <c r="EW38" s="19"/>
      <c r="EX38" s="19"/>
      <c r="EY38" s="19"/>
    </row>
    <row r="39" spans="1:155" x14ac:dyDescent="0.2">
      <c r="A39" s="35" t="s">
        <v>386</v>
      </c>
      <c r="B39" s="41" t="str">
        <f>"Linjetilpasningsplot ved X = "&amp;B38</f>
        <v>Linjetilpasningsplot ved X = 1</v>
      </c>
      <c r="C39" s="41" t="str">
        <f>"Konfidensinterval ved X = "&amp;C38</f>
        <v>Konfidensinterval ved X = 1</v>
      </c>
      <c r="D39" s="41" t="str">
        <f>"Forudsigelsesinterval ved X = "&amp;D38</f>
        <v>Forudsigelsesinterval ved X = 1</v>
      </c>
      <c r="AR39" s="41" t="s">
        <v>370</v>
      </c>
      <c r="AX39" s="41" t="s">
        <v>117</v>
      </c>
      <c r="BC39" s="19">
        <v>29</v>
      </c>
      <c r="BD39" s="19">
        <v>0.52997641868219025</v>
      </c>
      <c r="BE39" s="19">
        <v>3.7238694444394724</v>
      </c>
      <c r="BF39" s="19">
        <v>-3.2228674883372275</v>
      </c>
      <c r="BG39" s="44" t="s">
        <v>184</v>
      </c>
      <c r="BH39" s="19">
        <v>29</v>
      </c>
      <c r="BI39" s="19">
        <v>0.52997641868219025</v>
      </c>
      <c r="BJ39" s="19">
        <v>9.9255756886510902</v>
      </c>
      <c r="BK39" s="19">
        <v>-9.4245737325488435</v>
      </c>
      <c r="CP39" s="37" cm="1">
        <f t="array" ref="CP39">MATCH(_xlfn.ANCHORARRAY(CP36),_xlfn.ANCHORARRAY(DU10),0)</f>
        <v>1</v>
      </c>
      <c r="CU39" s="19">
        <v>29</v>
      </c>
      <c r="CV39" s="19">
        <v>0</v>
      </c>
      <c r="CX39" s="19">
        <v>1</v>
      </c>
      <c r="CY39" s="19">
        <v>1</v>
      </c>
      <c r="CZ39" s="19">
        <v>10</v>
      </c>
      <c r="DA39" s="19">
        <v>3</v>
      </c>
      <c r="DB39" s="19" t="e">
        <v>#N/A</v>
      </c>
      <c r="DC39" s="19" t="e">
        <v>#N/A</v>
      </c>
      <c r="DD39" s="19" t="e">
        <v>#N/A</v>
      </c>
      <c r="EM39" s="41" t="s">
        <v>356</v>
      </c>
      <c r="ES39" s="41" t="s">
        <v>145</v>
      </c>
      <c r="ET39" s="39" cm="1">
        <f t="array" ref="ET39:EU39">_xlfn.T.DIST.2T(ABS(ET34:EU34/ET35:EU35),EU37)</f>
        <v>0.15064735282307382</v>
      </c>
      <c r="EU39" s="39">
        <v>0.99286303289835531</v>
      </c>
      <c r="EV39" s="19"/>
      <c r="EW39" s="19"/>
      <c r="EX39" s="19"/>
      <c r="EY39" s="19"/>
    </row>
    <row r="40" spans="1:155" x14ac:dyDescent="0.2">
      <c r="A40" s="41" t="s">
        <v>387</v>
      </c>
      <c r="B40" s="40">
        <f>IF(ISBLANK(B38),"X værdi af interesse mangler",AR30)</f>
        <v>0.45914125165805242</v>
      </c>
      <c r="C40" s="40">
        <f>IF(ISBLANK(C38),"X værdi af interesse mangler",AX22)</f>
        <v>0.45914125165805242</v>
      </c>
      <c r="D40" s="40">
        <f>IF(ISBLANK(D38),"X værdi af interesse mangler",BG22)</f>
        <v>0.45914125165805242</v>
      </c>
      <c r="AR40" s="46">
        <f>ROUND(AR30,AR36)</f>
        <v>0.45900000000000002</v>
      </c>
      <c r="AX40" s="37">
        <f>AX38-AX36</f>
        <v>12.981088840778106</v>
      </c>
      <c r="BC40" s="19">
        <v>30</v>
      </c>
      <c r="BD40" s="19">
        <v>0.6610985281849997</v>
      </c>
      <c r="BE40" s="19">
        <v>3.727581721745393</v>
      </c>
      <c r="BF40" s="19">
        <v>-3.1101713389600363</v>
      </c>
      <c r="BG40" s="37">
        <f>MIN(3,MAX(0,BG38-BG36))</f>
        <v>3</v>
      </c>
      <c r="BH40" s="19">
        <v>30</v>
      </c>
      <c r="BI40" s="19">
        <v>0.6610985281849997</v>
      </c>
      <c r="BJ40" s="19">
        <v>9.9643511502183593</v>
      </c>
      <c r="BK40" s="19">
        <v>-9.3469407674330007</v>
      </c>
      <c r="CP40" s="37"/>
      <c r="CU40" s="19">
        <v>30</v>
      </c>
      <c r="CV40" s="19">
        <v>0</v>
      </c>
      <c r="CX40" s="19">
        <v>1</v>
      </c>
      <c r="CY40" s="19">
        <v>1</v>
      </c>
      <c r="CZ40" s="19">
        <v>11</v>
      </c>
      <c r="DA40" s="19">
        <v>1</v>
      </c>
      <c r="DB40" s="19">
        <v>0</v>
      </c>
      <c r="DC40" s="19">
        <v>1</v>
      </c>
      <c r="DD40" s="19">
        <v>-2.5</v>
      </c>
      <c r="EM40" s="37">
        <f>AVERAGE(_xlfn.ANCHORARRAY(EN10))</f>
        <v>1.8540044183209705</v>
      </c>
      <c r="EV40" s="19"/>
      <c r="EW40" s="19"/>
      <c r="EX40" s="19"/>
      <c r="EY40" s="19"/>
    </row>
    <row r="41" spans="1:155" x14ac:dyDescent="0.2">
      <c r="A41" s="41" t="s">
        <v>388</v>
      </c>
      <c r="B41" s="42"/>
      <c r="C41" s="40">
        <f>IF(ISBLANK(C38),"X værdi af interesse mangler",AX24)</f>
        <v>3.7427861990338451</v>
      </c>
      <c r="D41" s="40">
        <f>IF(ISBLANK(D38),"X værdi af interesse mangler",BG24)</f>
        <v>10.067736689744549</v>
      </c>
      <c r="AR41" s="41" t="s">
        <v>373</v>
      </c>
      <c r="AX41" s="44" t="s">
        <v>183</v>
      </c>
      <c r="BC41" s="19">
        <v>31</v>
      </c>
      <c r="BD41" s="19">
        <v>0.7922206376878087</v>
      </c>
      <c r="BE41" s="19">
        <v>3.7324746633267907</v>
      </c>
      <c r="BF41" s="19">
        <v>-2.9986558538583221</v>
      </c>
      <c r="BG41" s="41" t="s">
        <v>191</v>
      </c>
      <c r="BH41" s="19">
        <v>31</v>
      </c>
      <c r="BI41" s="19">
        <v>0.7922206376878087</v>
      </c>
      <c r="BJ41" s="19">
        <v>10.003807850927142</v>
      </c>
      <c r="BK41" s="19">
        <v>-9.2699890414586719</v>
      </c>
      <c r="CP41" s="41" t="s">
        <v>303</v>
      </c>
      <c r="CU41" s="19">
        <v>31</v>
      </c>
      <c r="CV41" s="19">
        <v>0</v>
      </c>
      <c r="CX41" s="19">
        <v>1</v>
      </c>
      <c r="CY41" s="19">
        <v>1</v>
      </c>
      <c r="CZ41" s="19">
        <v>11</v>
      </c>
      <c r="DA41" s="19">
        <v>2</v>
      </c>
      <c r="DB41" s="19">
        <v>1</v>
      </c>
      <c r="DC41" s="19">
        <v>2</v>
      </c>
      <c r="DD41" s="19">
        <v>-1.5</v>
      </c>
      <c r="ES41" s="41" t="s">
        <v>377</v>
      </c>
      <c r="ET41" cm="1">
        <f t="array" ref="ET41:EV45">LINEST(_xlfn.ANCHORARRAY(ET75),INDEX(_xlfn.ANCHORARRAY(EU75),1,1):INDEX(_xlfn.ANCHORARRAY(EU75),AQ14,AQ16),AQ18,TRUE)</f>
        <v>0.92006454592698861</v>
      </c>
      <c r="EU41">
        <v>0.42421069752609436</v>
      </c>
      <c r="EV41">
        <v>-0.13323646310599227</v>
      </c>
    </row>
    <row r="42" spans="1:155" x14ac:dyDescent="0.2">
      <c r="A42" s="41" t="s">
        <v>389</v>
      </c>
      <c r="B42" s="40"/>
      <c r="C42" s="40">
        <f>IF(ISBLANK(C38),"X værdi af interesse mangler",AX26)</f>
        <v>-2.8245036957177403</v>
      </c>
      <c r="D42" s="40">
        <f>IF(ISBLANK(D38),"X værdi af interesse mangler",BG26)</f>
        <v>-9.1494541864284464</v>
      </c>
      <c r="AR42" s="37">
        <f>MAX(_xlfn.ANCHORARRAY(ET26))</f>
        <v>0.19501904741679588</v>
      </c>
      <c r="AX42" s="37" cm="1">
        <f t="array" ref="AX42">MAX(LEN(ROUND(ABS(_xlfn.ANCHORARRAY(BE10)),0)),LEN(ROUND(ABS(_xlfn.ANCHORARRAY(BF10)),0)),LEN(ROUND(ABS(_xlfn.ANCHORARRAY(AW10)),0)))</f>
        <v>1</v>
      </c>
      <c r="BC42" s="19">
        <v>32</v>
      </c>
      <c r="BD42" s="19">
        <v>0.92334274719061771</v>
      </c>
      <c r="BE42" s="19">
        <v>3.7386052573358994</v>
      </c>
      <c r="BF42" s="19">
        <v>-2.8883780211843191</v>
      </c>
      <c r="BG42" s="37">
        <f>ROUND(BG22,BG40)</f>
        <v>0.45900000000000002</v>
      </c>
      <c r="BH42" s="19">
        <v>32</v>
      </c>
      <c r="BI42" s="19">
        <v>0.92334274719061771</v>
      </c>
      <c r="BJ42" s="19">
        <v>10.043949774068713</v>
      </c>
      <c r="BK42" s="19">
        <v>-9.1937225379171341</v>
      </c>
      <c r="CP42" s="37" cm="1">
        <f t="array" ref="CP42">INDEX(_xlfn.ANCHORARRAY(DK10),_xlfn.ANCHORARRAY(CP39))</f>
        <v>0.20266958709140057</v>
      </c>
      <c r="CU42" s="19">
        <v>32</v>
      </c>
      <c r="CV42" s="19">
        <v>0</v>
      </c>
      <c r="CX42" s="19">
        <v>1</v>
      </c>
      <c r="CY42" s="19">
        <v>1</v>
      </c>
      <c r="CZ42" s="19">
        <v>11</v>
      </c>
      <c r="DA42" s="19">
        <v>3</v>
      </c>
      <c r="DB42" s="19" t="e">
        <v>#N/A</v>
      </c>
      <c r="DC42" s="19" t="e">
        <v>#N/A</v>
      </c>
      <c r="DD42" s="19" t="e">
        <v>#N/A</v>
      </c>
      <c r="ES42" s="41" t="s">
        <v>141</v>
      </c>
      <c r="ET42">
        <v>2.8921277738966626</v>
      </c>
      <c r="EU42">
        <v>0.30527483642677944</v>
      </c>
      <c r="EV42">
        <v>1.8042082487124089</v>
      </c>
    </row>
    <row r="43" spans="1:155" x14ac:dyDescent="0.2">
      <c r="AR43" s="41" t="s">
        <v>374</v>
      </c>
      <c r="AX43" s="44" t="s">
        <v>157</v>
      </c>
      <c r="BC43" s="19">
        <v>33</v>
      </c>
      <c r="BD43" s="19">
        <v>1.0544648566934276</v>
      </c>
      <c r="BE43" s="19">
        <v>3.7460327638932136</v>
      </c>
      <c r="BF43" s="19">
        <v>-2.7793971010585214</v>
      </c>
      <c r="BG43" s="41" t="s">
        <v>185</v>
      </c>
      <c r="BH43" s="19">
        <v>33</v>
      </c>
      <c r="BI43" s="19">
        <v>1.0544648566934276</v>
      </c>
      <c r="BJ43" s="19">
        <v>10.08478078676905</v>
      </c>
      <c r="BK43" s="19">
        <v>-9.1181451239343563</v>
      </c>
      <c r="CP43" s="37"/>
      <c r="CU43" s="19">
        <v>33</v>
      </c>
      <c r="CV43" s="19">
        <v>0</v>
      </c>
      <c r="CX43" s="19">
        <v>1</v>
      </c>
      <c r="CY43" s="19">
        <v>1</v>
      </c>
      <c r="CZ43" s="19">
        <v>12</v>
      </c>
      <c r="DA43" s="19">
        <v>1</v>
      </c>
      <c r="DB43" s="19">
        <v>0</v>
      </c>
      <c r="DC43" s="19">
        <v>1</v>
      </c>
      <c r="DD43" s="19">
        <v>-2.5</v>
      </c>
      <c r="ES43" s="41" t="s">
        <v>142</v>
      </c>
      <c r="ET43">
        <v>0.20397039354139959</v>
      </c>
      <c r="EU43">
        <v>4.2481619478124086</v>
      </c>
      <c r="EV43" t="e">
        <v>#N/A</v>
      </c>
    </row>
    <row r="44" spans="1:155" x14ac:dyDescent="0.2">
      <c r="A44" s="23" t="s">
        <v>394</v>
      </c>
      <c r="AR44" s="37">
        <f>_xlfn.XMATCH(AR42,_xlfn.ANCHORARRAY(ET26),0)</f>
        <v>1</v>
      </c>
      <c r="AX44" s="37">
        <v>5</v>
      </c>
      <c r="BC44" s="19">
        <v>34</v>
      </c>
      <c r="BD44" s="19">
        <v>1.1855869661962366</v>
      </c>
      <c r="BE44" s="19">
        <v>3.7548186652575861</v>
      </c>
      <c r="BF44" s="19">
        <v>-2.6717745757397822</v>
      </c>
      <c r="BG44" s="37">
        <f>ROUND(BG24,BG40)</f>
        <v>10.068</v>
      </c>
      <c r="BH44" s="19">
        <v>34</v>
      </c>
      <c r="BI44" s="19">
        <v>1.1855869661962366</v>
      </c>
      <c r="BJ44" s="19">
        <v>10.126304636122065</v>
      </c>
      <c r="BK44" s="19">
        <v>-9.0432605466042588</v>
      </c>
      <c r="CP44" s="41" t="s">
        <v>301</v>
      </c>
      <c r="CU44" s="19">
        <v>34</v>
      </c>
      <c r="CV44" s="19">
        <v>0</v>
      </c>
      <c r="CX44" s="19">
        <v>1</v>
      </c>
      <c r="CY44" s="19">
        <v>1</v>
      </c>
      <c r="CZ44" s="19">
        <v>12</v>
      </c>
      <c r="DA44" s="19">
        <v>2</v>
      </c>
      <c r="DB44" s="19">
        <v>1</v>
      </c>
      <c r="DC44" s="19">
        <v>2</v>
      </c>
      <c r="DD44" s="19">
        <v>-1.5</v>
      </c>
      <c r="ES44" s="28" t="s">
        <v>143</v>
      </c>
      <c r="ET44">
        <v>1.1530560716450364</v>
      </c>
      <c r="EU44">
        <v>9</v>
      </c>
      <c r="EV44" t="e">
        <v>#N/A</v>
      </c>
    </row>
    <row r="45" spans="1:155" x14ac:dyDescent="0.2">
      <c r="A45" s="53" t="s">
        <v>400</v>
      </c>
      <c r="B45" s="57" t="str">
        <f>ET65</f>
        <v>y = β0 + β1 * x1 + β2 * x2</v>
      </c>
      <c r="C45" s="58"/>
      <c r="D45" s="59"/>
      <c r="AM45"/>
      <c r="AN45"/>
      <c r="AX45" s="44" t="s">
        <v>184</v>
      </c>
      <c r="BC45" s="19">
        <v>35</v>
      </c>
      <c r="BD45" s="19">
        <v>1.3167090756990456</v>
      </c>
      <c r="BE45" s="19">
        <v>3.7650265859632701</v>
      </c>
      <c r="BF45" s="19">
        <v>-2.5655740697623544</v>
      </c>
      <c r="BG45" s="41" t="s">
        <v>186</v>
      </c>
      <c r="BH45" s="19">
        <v>35</v>
      </c>
      <c r="BI45" s="19">
        <v>1.3167090756990456</v>
      </c>
      <c r="BJ45" s="19">
        <v>10.168524945394413</v>
      </c>
      <c r="BK45" s="19">
        <v>-8.9690724291934991</v>
      </c>
      <c r="CP45" s="37" cm="1">
        <f t="array" ref="CP45">ROUND(_xlfn.ANCHORARRAY(CP42),2)</f>
        <v>0.2</v>
      </c>
      <c r="CU45" s="19">
        <v>35</v>
      </c>
      <c r="CV45" s="19">
        <v>0</v>
      </c>
      <c r="CX45" s="19">
        <v>1</v>
      </c>
      <c r="CY45" s="19">
        <v>1</v>
      </c>
      <c r="CZ45" s="19">
        <v>12</v>
      </c>
      <c r="DA45" s="19">
        <v>3</v>
      </c>
      <c r="DB45" s="19" t="e">
        <v>#N/A</v>
      </c>
      <c r="DC45" s="19" t="e">
        <v>#N/A</v>
      </c>
      <c r="DD45" s="19" t="e">
        <v>#N/A</v>
      </c>
      <c r="ES45" s="28" t="s">
        <v>144</v>
      </c>
      <c r="ET45">
        <v>41.618128966235531</v>
      </c>
      <c r="EU45">
        <v>162.42191941357189</v>
      </c>
      <c r="EV45" t="e">
        <v>#N/A</v>
      </c>
    </row>
    <row r="46" spans="1:155" x14ac:dyDescent="0.2">
      <c r="A46" s="53" t="s">
        <v>408</v>
      </c>
      <c r="B46" s="57" t="str">
        <f>ET66</f>
        <v>y = -0.133 + x1 * 0.424 + x2 * 0.92</v>
      </c>
      <c r="C46" s="58"/>
      <c r="D46" s="59"/>
      <c r="AM46"/>
      <c r="AN46"/>
      <c r="AX46" s="37">
        <f>MIN(3,MAX(0,AX44-AX42))</f>
        <v>3</v>
      </c>
      <c r="BC46" s="19">
        <v>36</v>
      </c>
      <c r="BD46" s="19">
        <v>1.4478311852018555</v>
      </c>
      <c r="BE46" s="19">
        <v>3.7767221787192868</v>
      </c>
      <c r="BF46" s="19">
        <v>-2.4608612358352584</v>
      </c>
      <c r="BG46" s="37">
        <f>ROUND(BG26,BG40)</f>
        <v>-9.1489999999999991</v>
      </c>
      <c r="BH46" s="19">
        <v>36</v>
      </c>
      <c r="BI46" s="19">
        <v>1.4478311852018555</v>
      </c>
      <c r="BJ46" s="19">
        <v>10.211445210310197</v>
      </c>
      <c r="BK46" s="19">
        <v>-8.8955842674261678</v>
      </c>
      <c r="CP46" s="37"/>
      <c r="ES46" s="41" t="s">
        <v>378</v>
      </c>
      <c r="ET46" t="s">
        <v>13</v>
      </c>
      <c r="EU46" t="str" cm="1">
        <f t="array" ref="EU46:EV46">_xlfn.ANCHORARRAY(ET14)</f>
        <v>x1</v>
      </c>
      <c r="EV46" t="str">
        <v>x2</v>
      </c>
    </row>
    <row r="47" spans="1:155" x14ac:dyDescent="0.2">
      <c r="A47" s="53" t="s">
        <v>409</v>
      </c>
      <c r="B47" s="57" t="str">
        <f>ET67</f>
        <v>Eksempel 1 (interval) = -0.133 + Eksempel 2 (interval) * 0.424 + Eksempel 3 (nominal) * 0.92</v>
      </c>
      <c r="C47" s="58"/>
      <c r="D47" s="59"/>
      <c r="AM47"/>
      <c r="AN47"/>
      <c r="AX47" s="41" t="s">
        <v>191</v>
      </c>
      <c r="BC47" s="19">
        <v>37</v>
      </c>
      <c r="BD47" s="19">
        <v>1.5789532947046636</v>
      </c>
      <c r="BE47" s="19">
        <v>3.789972971803147</v>
      </c>
      <c r="BF47" s="19">
        <v>-2.3577036022360076</v>
      </c>
      <c r="BG47" s="41" t="s">
        <v>356</v>
      </c>
      <c r="BH47" s="19">
        <v>37</v>
      </c>
      <c r="BI47" s="19">
        <v>1.5789532947046636</v>
      </c>
      <c r="BJ47" s="19">
        <v>10.255068795423895</v>
      </c>
      <c r="BK47" s="19">
        <v>-8.8227994258567577</v>
      </c>
      <c r="CP47" s="41" t="s">
        <v>79</v>
      </c>
      <c r="ES47" s="41" t="s">
        <v>376</v>
      </c>
      <c r="ET47" cm="1">
        <f t="array" ref="ET47:EV47">_xlfn.SEQUENCE(,AQ16+1,AQ16+1,-1)</f>
        <v>3</v>
      </c>
      <c r="EU47">
        <v>2</v>
      </c>
      <c r="EV47">
        <v>1</v>
      </c>
    </row>
    <row r="48" spans="1:155" x14ac:dyDescent="0.2">
      <c r="A48" s="53" t="s">
        <v>395</v>
      </c>
      <c r="B48" s="57" t="str">
        <f>ET69</f>
        <v>1.211 = -0.133 + 1 * 0.424 + 1 * 0.92</v>
      </c>
      <c r="C48" s="58"/>
      <c r="D48" s="59"/>
      <c r="AM48"/>
      <c r="AN48"/>
      <c r="AX48" s="37">
        <f>ROUND(AX22,AX46)</f>
        <v>0.45900000000000002</v>
      </c>
      <c r="BC48" s="19">
        <v>38</v>
      </c>
      <c r="BD48" s="19">
        <v>1.7100754042074726</v>
      </c>
      <c r="BE48" s="19">
        <v>3.804848173752954</v>
      </c>
      <c r="BF48" s="19">
        <v>-2.2561703775027038</v>
      </c>
      <c r="BG48" s="37">
        <f>AVERAGE(_xlfn.ANCHORARRAY(BI10))</f>
        <v>3.2179796634897779</v>
      </c>
      <c r="BH48" s="19">
        <v>38</v>
      </c>
      <c r="BI48" s="19">
        <v>1.7100754042074726</v>
      </c>
      <c r="BJ48" s="19">
        <v>10.299398930589822</v>
      </c>
      <c r="BK48" s="19">
        <v>-8.7507211343395728</v>
      </c>
      <c r="CP48" s="37" t="str" cm="1">
        <f t="array" ref="CP48">"Den stærkeste korrelation er mellem "&amp;INDEX(_xlfn.ANCHORARRAY(DM10),_xlfn.ANCHORARRAY(CP39))&amp;" og "&amp;INDEX(_xlfn.ANCHORARRAY(DL10),_xlfn.ANCHORARRAY(CP39))</f>
        <v>Den stærkeste korrelation er mellem Eksempel 2 (interval) og Eksempel 3 (nominal)</v>
      </c>
      <c r="ES48" s="41" t="s">
        <v>19</v>
      </c>
      <c r="ET48" cm="1">
        <f t="array" ref="ET48:EV48">INDEX(_xlfn.ANCHORARRAY(ET41),1,_xlfn.ANCHORARRAY(ET47))</f>
        <v>-0.13323646310599227</v>
      </c>
      <c r="EU48">
        <v>0.42421069752609436</v>
      </c>
      <c r="EV48">
        <v>0.92006454592698861</v>
      </c>
    </row>
    <row r="49" spans="1:152" x14ac:dyDescent="0.2">
      <c r="A49" s="53" t="s">
        <v>401</v>
      </c>
      <c r="B49" s="43">
        <f>ET28</f>
        <v>1.2110387803470906</v>
      </c>
      <c r="AM49"/>
      <c r="AN49"/>
      <c r="AX49" s="41" t="s">
        <v>185</v>
      </c>
      <c r="BC49" s="19">
        <v>39</v>
      </c>
      <c r="BD49" s="19">
        <v>1.8411975137102825</v>
      </c>
      <c r="BE49" s="19">
        <v>3.8214184314052813</v>
      </c>
      <c r="BF49" s="19">
        <v>-2.1563322084719183</v>
      </c>
      <c r="BH49" s="19">
        <v>39</v>
      </c>
      <c r="BI49" s="19">
        <v>1.8411975137102825</v>
      </c>
      <c r="BJ49" s="19">
        <v>10.344438707536275</v>
      </c>
      <c r="BK49" s="19">
        <v>-8.679352484602914</v>
      </c>
      <c r="CP49" s="37"/>
      <c r="ES49" s="41" t="s">
        <v>139</v>
      </c>
      <c r="ET49" cm="1">
        <f t="array" ref="ET49:EV49">INDEX(_xlfn.ANCHORARRAY(ET41),2,_xlfn.ANCHORARRAY(ET47))</f>
        <v>1.8042082487124089</v>
      </c>
      <c r="EU49">
        <v>0.30527483642677944</v>
      </c>
      <c r="EV49">
        <v>2.8921277738966626</v>
      </c>
    </row>
    <row r="50" spans="1:152" x14ac:dyDescent="0.2">
      <c r="AX50" s="37">
        <f>ROUND(AX24,AX46)</f>
        <v>3.7429999999999999</v>
      </c>
      <c r="BC50" s="19">
        <v>40</v>
      </c>
      <c r="BD50" s="19">
        <v>1.9723196232130924</v>
      </c>
      <c r="BE50" s="19">
        <v>3.8397555377779344</v>
      </c>
      <c r="BF50" s="19">
        <v>-2.0582608881614588</v>
      </c>
      <c r="BH50" s="19">
        <v>40</v>
      </c>
      <c r="BI50" s="19">
        <v>1.9723196232130924</v>
      </c>
      <c r="BJ50" s="19">
        <v>10.390191076552485</v>
      </c>
      <c r="BK50" s="19">
        <v>-8.6086964269360085</v>
      </c>
      <c r="ES50" s="41" t="s">
        <v>208</v>
      </c>
      <c r="ET50" cm="1">
        <f t="array" ref="ET50:EV50">_xlfn.T.DIST.2T(ABS(_xlfn.ANCHORARRAY(ET48)/_xlfn.ANCHORARRAY(ET49)),EU44)</f>
        <v>0.94274691579958714</v>
      </c>
      <c r="EU50">
        <v>0.19806158153598377</v>
      </c>
      <c r="EV50">
        <v>0.7576462468032521</v>
      </c>
    </row>
    <row r="51" spans="1:152" x14ac:dyDescent="0.2">
      <c r="A51" s="23" t="s">
        <v>434</v>
      </c>
      <c r="AM51"/>
      <c r="AN51"/>
      <c r="AX51" s="41" t="s">
        <v>186</v>
      </c>
      <c r="BC51" s="19">
        <v>41</v>
      </c>
      <c r="BD51" s="19">
        <v>2.1034417327159005</v>
      </c>
      <c r="BE51" s="19">
        <v>3.8599320869924476</v>
      </c>
      <c r="BF51" s="19">
        <v>-1.962029010692862</v>
      </c>
      <c r="BH51" s="19">
        <v>41</v>
      </c>
      <c r="BI51" s="19">
        <v>2.1034417327159005</v>
      </c>
      <c r="BJ51" s="19">
        <v>10.436658843296298</v>
      </c>
      <c r="BK51" s="19">
        <v>-8.5387557669967133</v>
      </c>
      <c r="ES51" s="41" t="s">
        <v>21</v>
      </c>
      <c r="ET51" t="b" cm="1">
        <f t="array" ref="ET51:EV51">_xlfn.ANCHORARRAY(ET50)&lt;(1-B5)</f>
        <v>0</v>
      </c>
      <c r="EU51" t="b">
        <v>0</v>
      </c>
      <c r="EV51" t="b">
        <v>0</v>
      </c>
    </row>
    <row r="52" spans="1:152" x14ac:dyDescent="0.2">
      <c r="A52" s="53" t="s">
        <v>391</v>
      </c>
      <c r="B52" s="54" t="s">
        <v>392</v>
      </c>
      <c r="C52" s="54" t="s">
        <v>390</v>
      </c>
      <c r="D52" s="54" t="s">
        <v>393</v>
      </c>
      <c r="AM52"/>
      <c r="AN52"/>
      <c r="AX52" s="37">
        <f>ROUND(AX26,AX46)</f>
        <v>-2.8250000000000002</v>
      </c>
      <c r="BC52" s="19">
        <v>42</v>
      </c>
      <c r="BD52" s="19">
        <v>2.2345638422187095</v>
      </c>
      <c r="BE52" s="19">
        <v>3.8820210744014054</v>
      </c>
      <c r="BF52" s="19">
        <v>-1.867709571418708</v>
      </c>
      <c r="BH52" s="19">
        <v>42</v>
      </c>
      <c r="BI52" s="19">
        <v>2.2345638422187095</v>
      </c>
      <c r="BJ52" s="19">
        <v>10.483844665730373</v>
      </c>
      <c r="BK52" s="19">
        <v>-8.4695331627476769</v>
      </c>
    </row>
    <row r="53" spans="1:152" x14ac:dyDescent="0.2">
      <c r="A53" s="41" t="str" cm="1">
        <f t="array" ref="A53:A54">TRANSPOSE(_xlfn.ANCHORARRAY(ET11))</f>
        <v>Eksempel 2 (interval)</v>
      </c>
      <c r="B53" s="55">
        <v>1</v>
      </c>
      <c r="C53" s="43" cm="1">
        <f t="array" ref="C53:C54">TRANSPOSE(_xlfn.ANCHORARRAY(ET29))</f>
        <v>0.42421069752609436</v>
      </c>
      <c r="D53" s="43" t="b" cm="1">
        <f t="array" ref="D53:D54">TRANSPOSE(_xlfn.ANCHORARRAY(ET13))</f>
        <v>0</v>
      </c>
      <c r="AM53"/>
      <c r="AN53"/>
      <c r="AX53" s="41" t="s">
        <v>356</v>
      </c>
      <c r="BC53" s="19">
        <v>43</v>
      </c>
      <c r="BD53" s="19">
        <v>2.3656859517215194</v>
      </c>
      <c r="BE53" s="19">
        <v>3.9060954413519884</v>
      </c>
      <c r="BF53" s="19">
        <v>-1.7753755116861785</v>
      </c>
      <c r="BH53" s="19">
        <v>43</v>
      </c>
      <c r="BI53" s="19">
        <v>2.3656859517215194</v>
      </c>
      <c r="BJ53" s="19">
        <v>10.531751051194391</v>
      </c>
      <c r="BK53" s="19">
        <v>-8.4010311215285824</v>
      </c>
      <c r="ES53" s="19" t="s">
        <v>402</v>
      </c>
    </row>
    <row r="54" spans="1:152" x14ac:dyDescent="0.2">
      <c r="A54" s="41" t="str">
        <v>Eksempel 3 (nominal)</v>
      </c>
      <c r="B54" s="55">
        <v>1</v>
      </c>
      <c r="C54" s="43">
        <v>0.92006454592698861</v>
      </c>
      <c r="D54" s="43" t="b">
        <v>0</v>
      </c>
      <c r="AM54"/>
      <c r="AN54"/>
      <c r="AX54" s="37">
        <f>AVERAGE(_xlfn.ANCHORARRAY(BD10))</f>
        <v>3.2179796634897779</v>
      </c>
      <c r="BC54" s="19">
        <v>44</v>
      </c>
      <c r="BD54" s="19">
        <v>2.4968080612243275</v>
      </c>
      <c r="BE54" s="19">
        <v>3.9322275655867651</v>
      </c>
      <c r="BF54" s="19">
        <v>-1.6850992092378443</v>
      </c>
      <c r="BH54" s="19">
        <v>44</v>
      </c>
      <c r="BI54" s="19">
        <v>2.4968080612243275</v>
      </c>
      <c r="BJ54" s="19">
        <v>10.580380353620637</v>
      </c>
      <c r="BK54" s="19">
        <v>-8.3332519972717165</v>
      </c>
      <c r="ES54" s="41" t="s">
        <v>397</v>
      </c>
      <c r="ET54" s="19" cm="1">
        <f t="array" ref="ET54">MIN(3,MAX(0,5-MAX(LEN(ROUND(ABS(_xlfn.ANCHORARRAY(ET48)),0)),LEN(ROUND(ABS(ET28),0)))))</f>
        <v>3</v>
      </c>
    </row>
    <row r="55" spans="1:152" x14ac:dyDescent="0.2">
      <c r="A55" s="41"/>
      <c r="B55" s="55">
        <v>1</v>
      </c>
      <c r="C55" s="43"/>
      <c r="D55" s="43"/>
      <c r="AM55"/>
      <c r="AN55"/>
      <c r="BC55" s="19">
        <v>45</v>
      </c>
      <c r="BD55" s="19">
        <v>2.6279301707271374</v>
      </c>
      <c r="BE55" s="19">
        <v>3.960488700143626</v>
      </c>
      <c r="BF55" s="19">
        <v>-1.5969519171115931</v>
      </c>
      <c r="BH55" s="19">
        <v>45</v>
      </c>
      <c r="BI55" s="19">
        <v>2.6279301707271374</v>
      </c>
      <c r="BJ55" s="19">
        <v>10.629734770899974</v>
      </c>
      <c r="BK55" s="19">
        <v>-8.2661979878679421</v>
      </c>
      <c r="ES55" s="41" t="s">
        <v>398</v>
      </c>
      <c r="ET55" s="19">
        <f>ROUND(ET48,ET54)</f>
        <v>-0.13300000000000001</v>
      </c>
    </row>
    <row r="56" spans="1:152" x14ac:dyDescent="0.2">
      <c r="A56" s="41"/>
      <c r="B56" s="55">
        <v>1</v>
      </c>
      <c r="C56" s="43"/>
      <c r="D56" s="43"/>
      <c r="AM56"/>
      <c r="AN56"/>
      <c r="BC56" s="19">
        <v>46</v>
      </c>
      <c r="BD56" s="19">
        <v>2.7590522802299464</v>
      </c>
      <c r="BE56" s="19">
        <v>3.990948365732534</v>
      </c>
      <c r="BF56" s="19">
        <v>-1.5110031560173893</v>
      </c>
      <c r="BH56" s="19">
        <v>46</v>
      </c>
      <c r="BI56" s="19">
        <v>2.7590522802299464</v>
      </c>
      <c r="BJ56" s="19">
        <v>10.679816342404907</v>
      </c>
      <c r="BK56" s="19">
        <v>-8.1998711326897631</v>
      </c>
      <c r="ES56" s="41" t="s">
        <v>396</v>
      </c>
      <c r="ET56" s="19" cm="1">
        <f t="array" ref="ET56:EU56">ROUND(_xlfn.ANCHORARRAY(ET25),ET54)</f>
        <v>0.42399999999999999</v>
      </c>
      <c r="EU56" s="19">
        <v>0.92</v>
      </c>
    </row>
    <row r="57" spans="1:152" x14ac:dyDescent="0.2">
      <c r="A57" s="41"/>
      <c r="B57" s="55">
        <v>1</v>
      </c>
      <c r="C57" s="43"/>
      <c r="D57" s="43"/>
      <c r="BC57" s="19">
        <v>47</v>
      </c>
      <c r="BD57" s="19">
        <v>2.8901743897327563</v>
      </c>
      <c r="BE57" s="19">
        <v>4.0236737038727357</v>
      </c>
      <c r="BF57" s="19">
        <v>-1.427320067474479</v>
      </c>
      <c r="BH57" s="19">
        <v>47</v>
      </c>
      <c r="BI57" s="19">
        <v>2.8901743897327563</v>
      </c>
      <c r="BJ57" s="19">
        <v>10.730626946676173</v>
      </c>
      <c r="BK57" s="19">
        <v>-8.1342733102779174</v>
      </c>
      <c r="ES57" s="41" t="s">
        <v>403</v>
      </c>
      <c r="ET57" s="19" t="s">
        <v>399</v>
      </c>
    </row>
    <row r="58" spans="1:152" x14ac:dyDescent="0.2">
      <c r="A58" s="41"/>
      <c r="B58" s="55">
        <v>1</v>
      </c>
      <c r="C58" s="43"/>
      <c r="D58" s="43"/>
      <c r="BC58" s="19">
        <v>48</v>
      </c>
      <c r="BD58" s="19">
        <v>3.0212964992355644</v>
      </c>
      <c r="BE58" s="19">
        <v>4.0587288004750208</v>
      </c>
      <c r="BF58" s="19">
        <v>-1.3459667373936532</v>
      </c>
      <c r="BH58" s="19">
        <v>48</v>
      </c>
      <c r="BI58" s="19">
        <v>3.0212964992355644</v>
      </c>
      <c r="BJ58" s="19">
        <v>10.782168299278826</v>
      </c>
      <c r="BK58" s="19">
        <v>-8.0694062361974588</v>
      </c>
      <c r="ES58" s="41" t="s">
        <v>435</v>
      </c>
      <c r="ET58" s="19" t="str">
        <f>AQ10&amp;" = "</f>
        <v xml:space="preserve">Eksempel 1 (interval) = </v>
      </c>
    </row>
    <row r="59" spans="1:152" x14ac:dyDescent="0.2">
      <c r="A59" s="41"/>
      <c r="B59" s="55">
        <v>1</v>
      </c>
      <c r="C59" s="43"/>
      <c r="D59" s="43"/>
      <c r="BC59" s="19">
        <v>49</v>
      </c>
      <c r="BD59" s="19">
        <v>3.1524186087383734</v>
      </c>
      <c r="BE59" s="19">
        <v>4.0961739919247737</v>
      </c>
      <c r="BF59" s="19">
        <v>-1.2670035021602939</v>
      </c>
      <c r="BH59" s="19">
        <v>49</v>
      </c>
      <c r="BI59" s="19">
        <v>3.1524186087383734</v>
      </c>
      <c r="BJ59" s="19">
        <v>10.834441950833515</v>
      </c>
      <c r="BK59" s="19">
        <v>-8.0052714610690359</v>
      </c>
      <c r="ES59" s="41" t="s">
        <v>407</v>
      </c>
      <c r="ET59" s="19" t="s">
        <v>405</v>
      </c>
    </row>
    <row r="60" spans="1:152" x14ac:dyDescent="0.2">
      <c r="A60" s="41"/>
      <c r="B60" s="55">
        <v>1</v>
      </c>
      <c r="C60" s="43"/>
      <c r="D60" s="43"/>
      <c r="BC60" s="19">
        <v>50</v>
      </c>
      <c r="BD60" s="19">
        <v>3.2835407182411833</v>
      </c>
      <c r="BE60" s="19">
        <v>4.1360651679126743</v>
      </c>
      <c r="BF60" s="19">
        <v>-1.1904862514650829</v>
      </c>
      <c r="BH60" s="19">
        <v>50</v>
      </c>
      <c r="BI60" s="19">
        <v>3.2835407182411833</v>
      </c>
      <c r="BJ60" s="19">
        <v>10.88744928522811</v>
      </c>
      <c r="BK60" s="19">
        <v>-7.9418703687805188</v>
      </c>
      <c r="ES60" s="41" t="s">
        <v>406</v>
      </c>
      <c r="ET60" s="19" t="str">
        <f>ET55&amp;" + "</f>
        <v xml:space="preserve">-0.133 + </v>
      </c>
    </row>
    <row r="61" spans="1:152" x14ac:dyDescent="0.2">
      <c r="A61" s="41"/>
      <c r="B61" s="55">
        <v>1</v>
      </c>
      <c r="C61" s="43"/>
      <c r="D61" s="43"/>
      <c r="BC61" s="19">
        <v>51</v>
      </c>
      <c r="BD61" s="19">
        <v>3.4146628277439914</v>
      </c>
      <c r="BE61" s="19">
        <v>4.1784530871042111</v>
      </c>
      <c r="BF61" s="19">
        <v>-1.116465743973508</v>
      </c>
      <c r="BH61" s="19">
        <v>51</v>
      </c>
      <c r="BI61" s="19">
        <v>3.4146628277439914</v>
      </c>
      <c r="BJ61" s="19">
        <v>10.941191518014461</v>
      </c>
      <c r="BK61" s="19">
        <v>-7.8792041748837587</v>
      </c>
      <c r="ES61" s="41" t="s">
        <v>410</v>
      </c>
      <c r="ET61" s="19" t="str" cm="1">
        <f t="array" ref="ET61:EU61">"β"&amp;_xlfn.ANCHORARRAY(ET10)&amp;" * "&amp;_xlfn.ANCHORARRAY(ET14)&amp;IF(_xlfn.ANCHORARRAY(ET10)=AQ16,""," + ")</f>
        <v xml:space="preserve">β1 * x1 + </v>
      </c>
      <c r="EU61" s="19" t="str">
        <v>β2 * x2</v>
      </c>
    </row>
    <row r="62" spans="1:152" x14ac:dyDescent="0.2">
      <c r="A62" s="41"/>
      <c r="B62" s="56">
        <v>1</v>
      </c>
      <c r="C62" s="43"/>
      <c r="D62" s="43"/>
      <c r="BC62" s="19">
        <v>52</v>
      </c>
      <c r="BD62" s="19">
        <v>3.5457849372468013</v>
      </c>
      <c r="BE62" s="19">
        <v>4.223382723065539</v>
      </c>
      <c r="BF62" s="19">
        <v>-1.0449869532517237</v>
      </c>
      <c r="BH62" s="19">
        <v>52</v>
      </c>
      <c r="BI62" s="19">
        <v>3.5457849372468013</v>
      </c>
      <c r="BJ62" s="19">
        <v>10.995669694994625</v>
      </c>
      <c r="BK62" s="19">
        <v>-7.8172739251808103</v>
      </c>
      <c r="ES62" s="41" t="s">
        <v>404</v>
      </c>
      <c r="ET62" t="str" cm="1">
        <f t="array" ref="ET62:EU62">_xlfn.ANCHORARRAY(EU46)&amp;" * "&amp;_xlfn.ANCHORARRAY(ET56)&amp;IF(_xlfn.ANCHORARRAY(ET10)=AQ16,""," + ")</f>
        <v xml:space="preserve">x1 * 0.424 + </v>
      </c>
      <c r="EU62" s="19" t="str">
        <v>x2 * 0.92</v>
      </c>
    </row>
    <row r="63" spans="1:152" x14ac:dyDescent="0.2">
      <c r="A63" s="41"/>
      <c r="B63" s="56">
        <v>1</v>
      </c>
      <c r="C63" s="43"/>
      <c r="D63" s="43"/>
      <c r="BC63" s="19">
        <v>53</v>
      </c>
      <c r="BD63" s="19">
        <v>3.6769070467496103</v>
      </c>
      <c r="BE63" s="19">
        <v>4.2708926585130067</v>
      </c>
      <c r="BF63" s="19">
        <v>-0.97608846201608035</v>
      </c>
      <c r="BH63" s="19">
        <v>53</v>
      </c>
      <c r="BI63" s="19">
        <v>3.6769070467496103</v>
      </c>
      <c r="BJ63" s="19">
        <v>11.050884691000324</v>
      </c>
      <c r="BK63" s="19">
        <v>-7.7560804945033972</v>
      </c>
      <c r="ES63" s="41" t="s">
        <v>413</v>
      </c>
      <c r="ET63" s="19" t="str" cm="1">
        <f t="array" ref="ET63:EU63">_xlfn.ANCHORARRAY(ET11)&amp;" * "&amp;_xlfn.ANCHORARRAY(ET56)&amp;IF(_xlfn.ANCHORARRAY(ET10)=AQ16,""," + ")</f>
        <v xml:space="preserve">Eksempel 2 (interval) * 0.424 + </v>
      </c>
      <c r="EU63" s="19" t="str">
        <v>Eksempel 3 (nominal) * 0.92</v>
      </c>
    </row>
    <row r="64" spans="1:152" x14ac:dyDescent="0.2">
      <c r="A64" s="41"/>
      <c r="B64" s="56">
        <v>1</v>
      </c>
      <c r="C64" s="43"/>
      <c r="D64" s="43"/>
      <c r="BC64" s="19">
        <v>54</v>
      </c>
      <c r="BD64" s="19">
        <v>3.8080291562524202</v>
      </c>
      <c r="BE64" s="19">
        <v>4.3210145457979081</v>
      </c>
      <c r="BF64" s="19">
        <v>-0.90980192261786863</v>
      </c>
      <c r="BH64" s="19">
        <v>54</v>
      </c>
      <c r="BI64" s="19">
        <v>3.8080291562524202</v>
      </c>
      <c r="BJ64" s="19">
        <v>11.106837208868976</v>
      </c>
      <c r="BK64" s="19">
        <v>-7.6956245856889378</v>
      </c>
      <c r="ES64" s="41" t="s">
        <v>415</v>
      </c>
      <c r="ET64" s="19" t="str" cm="1">
        <f t="array" ref="ET64:EU64">_xlfn.ANCHORARRAY(ET27)&amp;" * "&amp;_xlfn.ANCHORARRAY(ET56)&amp;IF(_xlfn.ANCHORARRAY(ET10)=AQ16,""," + ")</f>
        <v xml:space="preserve">1 * 0.424 + </v>
      </c>
      <c r="EU64" s="19" t="str">
        <v>1 * 0.92</v>
      </c>
    </row>
    <row r="65" spans="1:155" x14ac:dyDescent="0.2">
      <c r="A65" s="41"/>
      <c r="B65" s="56">
        <v>1</v>
      </c>
      <c r="C65" s="43"/>
      <c r="D65" s="43"/>
      <c r="BC65" s="19">
        <v>55</v>
      </c>
      <c r="BD65" s="19">
        <v>3.9391512657552283</v>
      </c>
      <c r="BE65" s="19">
        <v>4.3737726504959626</v>
      </c>
      <c r="BF65" s="19">
        <v>-0.84615160063281292</v>
      </c>
      <c r="BH65" s="19">
        <v>55</v>
      </c>
      <c r="BI65" s="19">
        <v>3.9391512657552283</v>
      </c>
      <c r="BJ65" s="19">
        <v>11.163527778619086</v>
      </c>
      <c r="BK65" s="19">
        <v>-7.6359067287559359</v>
      </c>
      <c r="ES65" s="41" t="s">
        <v>412</v>
      </c>
      <c r="ET65" s="19" t="str">
        <f>_xlfn.CONCAT(ET57,ET59,_xlfn.ANCHORARRAY(ET61))</f>
        <v>y = β0 + β1 * x1 + β2 * x2</v>
      </c>
    </row>
    <row r="66" spans="1:155" x14ac:dyDescent="0.2">
      <c r="A66" s="41"/>
      <c r="B66" s="56">
        <v>1</v>
      </c>
      <c r="C66" s="43"/>
      <c r="D66" s="43"/>
      <c r="BC66" s="19">
        <v>56</v>
      </c>
      <c r="BD66" s="19">
        <v>4.0702733752580373</v>
      </c>
      <c r="BE66" s="19">
        <v>4.4291834930244667</v>
      </c>
      <c r="BF66" s="19">
        <v>-0.78515401647820515</v>
      </c>
      <c r="BH66" s="19">
        <v>56</v>
      </c>
      <c r="BI66" s="19">
        <v>4.0702733752580373</v>
      </c>
      <c r="BJ66" s="19">
        <v>11.220956756827228</v>
      </c>
      <c r="BK66" s="19">
        <v>-7.576927280280966</v>
      </c>
      <c r="ES66" s="41" t="s">
        <v>411</v>
      </c>
      <c r="ET66" s="19" t="str">
        <f>_xlfn.CONCAT(ET57,ET60,_xlfn.ANCHORARRAY(ET62))</f>
        <v>y = -0.133 + x1 * 0.424 + x2 * 0.92</v>
      </c>
    </row>
    <row r="67" spans="1:155" x14ac:dyDescent="0.2">
      <c r="A67" s="41"/>
      <c r="B67" s="56">
        <v>1</v>
      </c>
      <c r="C67" s="43"/>
      <c r="D67" s="43"/>
      <c r="BC67" s="19">
        <v>57</v>
      </c>
      <c r="BD67" s="19">
        <v>4.2013954847608472</v>
      </c>
      <c r="BE67" s="19">
        <v>4.4872556004126256</v>
      </c>
      <c r="BF67" s="19">
        <v>-0.72681769718325206</v>
      </c>
      <c r="BH67" s="19">
        <v>57</v>
      </c>
      <c r="BI67" s="19">
        <v>4.2013954847608472</v>
      </c>
      <c r="BJ67" s="19">
        <v>11.279124326208352</v>
      </c>
      <c r="BK67" s="19">
        <v>-7.5186864229789787</v>
      </c>
      <c r="ES67" s="41" t="s">
        <v>414</v>
      </c>
      <c r="ET67" s="19" t="str">
        <f>_xlfn.CONCAT(ET58,ET60,_xlfn.ANCHORARRAY(ET63))</f>
        <v>Eksempel 1 (interval) = -0.133 + Eksempel 2 (interval) * 0.424 + Eksempel 3 (nominal) * 0.92</v>
      </c>
    </row>
    <row r="68" spans="1:155" x14ac:dyDescent="0.2">
      <c r="A68" s="41"/>
      <c r="B68" s="56">
        <v>1</v>
      </c>
      <c r="C68" s="43"/>
      <c r="D68" s="43"/>
      <c r="BC68" s="19">
        <v>58</v>
      </c>
      <c r="BD68" s="19">
        <v>4.3325175942636553</v>
      </c>
      <c r="BE68" s="19">
        <v>4.5479893768298627</v>
      </c>
      <c r="BF68" s="19">
        <v>-0.67114304691737825</v>
      </c>
      <c r="BH68" s="19">
        <v>58</v>
      </c>
      <c r="BI68" s="19">
        <v>4.3325175942636553</v>
      </c>
      <c r="BJ68" s="19">
        <v>11.33803049540056</v>
      </c>
      <c r="BK68" s="19">
        <v>-7.4611841654880742</v>
      </c>
      <c r="ES68" s="41" t="s">
        <v>417</v>
      </c>
      <c r="ET68" s="19" t="str">
        <f>ROUND(ET28,ET54)&amp;" = "</f>
        <v xml:space="preserve">1.211 = </v>
      </c>
      <c r="EV68" s="19"/>
      <c r="EW68" s="19"/>
      <c r="EX68" s="19"/>
      <c r="EY68" s="19"/>
    </row>
    <row r="69" spans="1:155" x14ac:dyDescent="0.2">
      <c r="A69" s="41"/>
      <c r="B69" s="56">
        <v>1</v>
      </c>
      <c r="C69" s="43"/>
      <c r="D69" s="43"/>
      <c r="BC69" s="19">
        <v>59</v>
      </c>
      <c r="BD69" s="19">
        <v>4.4636397037664652</v>
      </c>
      <c r="BE69" s="19">
        <v>4.6113770974262263</v>
      </c>
      <c r="BF69" s="19">
        <v>-0.61812234083062934</v>
      </c>
      <c r="BH69" s="19">
        <v>59</v>
      </c>
      <c r="BI69" s="19">
        <v>4.4636397037664652</v>
      </c>
      <c r="BJ69" s="19">
        <v>11.397675098954911</v>
      </c>
      <c r="BK69" s="19">
        <v>-7.4044203423593142</v>
      </c>
      <c r="ES69" s="41" t="s">
        <v>395</v>
      </c>
      <c r="ET69" s="19" t="str">
        <f>_xlfn.CONCAT(ET68,ET60,_xlfn.ANCHORARRAY(ET64))</f>
        <v>1.211 = -0.133 + 1 * 0.424 + 1 * 0.92</v>
      </c>
      <c r="EV69" s="19"/>
      <c r="EW69" s="19"/>
      <c r="EX69" s="19"/>
      <c r="EY69" s="19"/>
    </row>
    <row r="70" spans="1:155" x14ac:dyDescent="0.2">
      <c r="A70" s="41"/>
      <c r="B70" s="56">
        <v>1</v>
      </c>
      <c r="C70" s="43"/>
      <c r="D70" s="43"/>
      <c r="BC70" s="19">
        <v>60</v>
      </c>
      <c r="BD70" s="19">
        <v>4.5947618132692742</v>
      </c>
      <c r="BE70" s="19">
        <v>4.6774030257026569</v>
      </c>
      <c r="BF70" s="19">
        <v>-0.56773984242394793</v>
      </c>
      <c r="BH70" s="19">
        <v>60</v>
      </c>
      <c r="BI70" s="19">
        <v>4.5947618132692742</v>
      </c>
      <c r="BJ70" s="19">
        <v>11.458057797530337</v>
      </c>
      <c r="BK70" s="19">
        <v>-7.3483946142516281</v>
      </c>
      <c r="EV70" s="19"/>
      <c r="EW70" s="19"/>
      <c r="EX70" s="19"/>
      <c r="EY70" s="19"/>
    </row>
    <row r="71" spans="1:155" x14ac:dyDescent="0.2">
      <c r="A71" s="41"/>
      <c r="B71" s="56">
        <v>1</v>
      </c>
      <c r="C71" s="43"/>
      <c r="D71" s="43"/>
      <c r="BC71" s="19">
        <v>61</v>
      </c>
      <c r="BD71" s="19">
        <v>4.7258839227720841</v>
      </c>
      <c r="BE71" s="19">
        <v>4.7460436502788301</v>
      </c>
      <c r="BF71" s="19">
        <v>-0.51997204031700983</v>
      </c>
      <c r="BH71" s="19">
        <v>61</v>
      </c>
      <c r="BI71" s="19">
        <v>4.7258839227720841</v>
      </c>
      <c r="BJ71" s="19">
        <v>11.519178078293093</v>
      </c>
      <c r="BK71" s="19">
        <v>-7.2931064683312723</v>
      </c>
      <c r="EV71" s="19"/>
      <c r="EW71" s="19"/>
      <c r="EX71" s="19"/>
      <c r="EY71" s="19"/>
    </row>
    <row r="72" spans="1:155" x14ac:dyDescent="0.2">
      <c r="A72" s="41"/>
      <c r="B72" s="56">
        <v>1</v>
      </c>
      <c r="C72" s="43"/>
      <c r="D72" s="43"/>
      <c r="BC72" s="19">
        <v>62</v>
      </c>
      <c r="BD72" s="19">
        <v>4.8570060322748922</v>
      </c>
      <c r="BE72" s="19">
        <v>4.8172680328356998</v>
      </c>
      <c r="BF72" s="19">
        <v>-0.47478799619076906</v>
      </c>
      <c r="BH72" s="19">
        <v>62</v>
      </c>
      <c r="BI72" s="19">
        <v>4.8570060322748922</v>
      </c>
      <c r="BJ72" s="19">
        <v>11.581035255519655</v>
      </c>
      <c r="BK72" s="19">
        <v>-7.2385552188747253</v>
      </c>
    </row>
    <row r="73" spans="1:155" x14ac:dyDescent="0.2">
      <c r="A73" s="41"/>
      <c r="B73" s="56">
        <v>1</v>
      </c>
      <c r="C73" s="43"/>
      <c r="D73" s="43"/>
      <c r="BC73" s="19">
        <v>63</v>
      </c>
      <c r="BD73" s="19">
        <v>4.9881281417777021</v>
      </c>
      <c r="BE73" s="19">
        <v>4.8910382554268876</v>
      </c>
      <c r="BF73" s="19">
        <v>-0.4321497920988433</v>
      </c>
      <c r="BH73" s="19">
        <v>63</v>
      </c>
      <c r="BI73" s="19">
        <v>4.9881281417777021</v>
      </c>
      <c r="BJ73" s="19">
        <v>11.643628471401435</v>
      </c>
      <c r="BK73" s="19">
        <v>-7.1847400080733905</v>
      </c>
      <c r="EU73" s="21" t="s">
        <v>380</v>
      </c>
      <c r="EX73" s="19"/>
      <c r="EY73" s="19"/>
    </row>
    <row r="74" spans="1:155" x14ac:dyDescent="0.2">
      <c r="A74" s="41"/>
      <c r="B74" s="56">
        <v>1</v>
      </c>
      <c r="C74" s="43"/>
      <c r="D74" s="43"/>
      <c r="BC74" s="19">
        <v>64</v>
      </c>
      <c r="BD74" s="19">
        <v>5.1192502512805103</v>
      </c>
      <c r="BE74" s="19">
        <v>4.9673099524770805</v>
      </c>
      <c r="BF74" s="19">
        <v>-0.3920130624659266</v>
      </c>
      <c r="BH74" s="19">
        <v>64</v>
      </c>
      <c r="BI74" s="19">
        <v>5.1192502512805103</v>
      </c>
      <c r="BJ74" s="19">
        <v>11.706956697049065</v>
      </c>
      <c r="BK74" s="19">
        <v>-7.1316598070379102</v>
      </c>
      <c r="ES74" s="44" t="s">
        <v>126</v>
      </c>
      <c r="ET74" s="44" t="s">
        <v>136</v>
      </c>
      <c r="EU74" s="44" t="s">
        <v>375</v>
      </c>
      <c r="EV74" s="50"/>
      <c r="EW74" s="19"/>
      <c r="EX74" s="19"/>
      <c r="EY74" s="19"/>
    </row>
    <row r="75" spans="1:155" x14ac:dyDescent="0.2">
      <c r="A75" s="41"/>
      <c r="B75" s="56">
        <v>1</v>
      </c>
      <c r="C75" s="43"/>
      <c r="D75" s="43"/>
      <c r="BC75" s="19">
        <v>65</v>
      </c>
      <c r="BD75" s="19">
        <v>5.2503723607833201</v>
      </c>
      <c r="BE75" s="19">
        <v>5.0460329107509612</v>
      </c>
      <c r="BF75" s="19">
        <v>-0.35432759405669545</v>
      </c>
      <c r="BH75" s="19">
        <v>65</v>
      </c>
      <c r="BI75" s="19">
        <v>5.2503723607833201</v>
      </c>
      <c r="BJ75" s="19">
        <v>11.771018733693587</v>
      </c>
      <c r="BK75" s="19">
        <v>-7.0793134169993222</v>
      </c>
      <c r="ES75" s="30" cm="1">
        <f t="array" ref="ES75:ES86">_xlfn.SEQUENCE(AQ14)</f>
        <v>1</v>
      </c>
      <c r="ET75" s="30" cm="1">
        <f t="array" ref="ET75:ET86">--(INDEX(Data,1,AQ12):INDEX(Data,AQ14,AQ12))</f>
        <v>1.2989587493526971</v>
      </c>
      <c r="EU75" s="19" cm="1">
        <f t="array" ref="EU75:EV86">INDEX(--Data,_xlfn.ANCHORARRAY(ES75),_xlfn.ANCHORARRAY(ET9))</f>
        <v>2</v>
      </c>
      <c r="EV75" s="19">
        <v>0</v>
      </c>
      <c r="EW75" s="19"/>
      <c r="EX75" s="19"/>
      <c r="EY75" s="19"/>
    </row>
    <row r="76" spans="1:155" x14ac:dyDescent="0.2">
      <c r="A76" s="41"/>
      <c r="B76" s="56">
        <v>1</v>
      </c>
      <c r="C76" s="43"/>
      <c r="D76" s="43"/>
      <c r="BC76" s="19">
        <v>66</v>
      </c>
      <c r="BD76" s="19">
        <v>5.38149447028613</v>
      </c>
      <c r="BE76" s="19">
        <v>5.1271517194440257</v>
      </c>
      <c r="BF76" s="19">
        <v>-0.31903797606664597</v>
      </c>
      <c r="BH76" s="19">
        <v>66</v>
      </c>
      <c r="BI76" s="19">
        <v>5.38149447028613</v>
      </c>
      <c r="BJ76" s="19">
        <v>11.835813214081222</v>
      </c>
      <c r="BK76" s="19">
        <v>-7.0276994707038423</v>
      </c>
      <c r="ES76" s="30">
        <v>2</v>
      </c>
      <c r="ET76" s="30">
        <v>-1.1469596428732241</v>
      </c>
      <c r="EU76" s="19">
        <v>-3.2725647568992748</v>
      </c>
      <c r="EV76" s="19">
        <v>0</v>
      </c>
      <c r="EW76" s="19"/>
      <c r="EX76" s="19"/>
      <c r="EY76" s="19"/>
    </row>
    <row r="77" spans="1:155" x14ac:dyDescent="0.2">
      <c r="A77" s="41"/>
      <c r="B77" s="56">
        <v>1</v>
      </c>
      <c r="C77" s="43"/>
      <c r="D77" s="43"/>
      <c r="BC77" s="19">
        <v>67</v>
      </c>
      <c r="BD77" s="19">
        <v>5.5126165797889382</v>
      </c>
      <c r="BE77" s="19">
        <v>5.2106064523057274</v>
      </c>
      <c r="BF77" s="19">
        <v>-0.28608428224523719</v>
      </c>
      <c r="BH77" s="19">
        <v>67</v>
      </c>
      <c r="BI77" s="19">
        <v>5.5126165797889382</v>
      </c>
      <c r="BJ77" s="19">
        <v>11.901338604057976</v>
      </c>
      <c r="BK77" s="19">
        <v>-6.9768164339974854</v>
      </c>
      <c r="ES77" s="19">
        <v>3</v>
      </c>
      <c r="ET77" s="19">
        <v>-0.40935481016144565</v>
      </c>
      <c r="EU77" s="19">
        <v>2.0315172703350726</v>
      </c>
      <c r="EV77">
        <v>0</v>
      </c>
    </row>
    <row r="78" spans="1:155" x14ac:dyDescent="0.2">
      <c r="A78" s="41"/>
      <c r="B78" s="56">
        <v>1</v>
      </c>
      <c r="C78" s="43"/>
      <c r="D78" s="43"/>
      <c r="BC78" s="19">
        <v>68</v>
      </c>
      <c r="BD78" s="19">
        <v>5.643738689291748</v>
      </c>
      <c r="BE78" s="19">
        <v>5.2963333642802759</v>
      </c>
      <c r="BF78" s="19">
        <v>-0.25540276753667301</v>
      </c>
      <c r="BH78" s="19">
        <v>68</v>
      </c>
      <c r="BI78" s="19">
        <v>5.643738689291748</v>
      </c>
      <c r="BJ78" s="19">
        <v>11.967593204339867</v>
      </c>
      <c r="BK78" s="19">
        <v>-6.9266626075962634</v>
      </c>
      <c r="ES78" s="19">
        <v>4</v>
      </c>
      <c r="ET78" s="19">
        <v>-1.479592604535932</v>
      </c>
      <c r="EU78" s="19">
        <v>-2.2379718387660041</v>
      </c>
      <c r="EV78">
        <v>0</v>
      </c>
    </row>
    <row r="79" spans="1:155" x14ac:dyDescent="0.2">
      <c r="A79" s="41"/>
      <c r="B79" s="56">
        <v>1</v>
      </c>
      <c r="C79" s="43"/>
      <c r="D79" s="43"/>
      <c r="BC79" s="19">
        <v>69</v>
      </c>
      <c r="BD79" s="19">
        <v>5.7748607987945562</v>
      </c>
      <c r="BE79" s="19">
        <v>5.3842655864164142</v>
      </c>
      <c r="BF79" s="19">
        <v>-0.22692656298970082</v>
      </c>
      <c r="BH79" s="19">
        <v>69</v>
      </c>
      <c r="BI79" s="19">
        <v>5.7748607987945562</v>
      </c>
      <c r="BJ79" s="19">
        <v>12.034575152463969</v>
      </c>
      <c r="BK79" s="19">
        <v>-6.8772361290372563</v>
      </c>
      <c r="ES79" s="19">
        <v>5</v>
      </c>
      <c r="ET79" s="19">
        <v>1.8110756828005981</v>
      </c>
      <c r="EU79" s="19">
        <v>4</v>
      </c>
      <c r="EV79">
        <v>0</v>
      </c>
    </row>
    <row r="80" spans="1:155" x14ac:dyDescent="0.2">
      <c r="A80" s="41"/>
      <c r="B80" s="56">
        <v>1</v>
      </c>
      <c r="C80" s="43"/>
      <c r="D80" s="43"/>
      <c r="BC80" s="19">
        <v>70</v>
      </c>
      <c r="BD80" s="19">
        <v>5.9059829082973661</v>
      </c>
      <c r="BE80" s="19">
        <v>5.4743338045980341</v>
      </c>
      <c r="BF80" s="19">
        <v>-0.2005863544882085</v>
      </c>
      <c r="BH80" s="19">
        <v>70</v>
      </c>
      <c r="BI80" s="19">
        <v>5.9059829082973661</v>
      </c>
      <c r="BJ80" s="19">
        <v>12.102282424915206</v>
      </c>
      <c r="BK80" s="19">
        <v>-6.8285349748053816</v>
      </c>
      <c r="ES80" s="19">
        <v>6</v>
      </c>
      <c r="ET80" s="19">
        <v>8</v>
      </c>
      <c r="EU80" s="19">
        <v>5</v>
      </c>
      <c r="EV80">
        <v>1</v>
      </c>
    </row>
    <row r="81" spans="1:152" x14ac:dyDescent="0.2">
      <c r="A81" s="41"/>
      <c r="B81" s="56">
        <v>1</v>
      </c>
      <c r="C81" s="43"/>
      <c r="D81" s="43"/>
      <c r="BC81" s="19">
        <v>71</v>
      </c>
      <c r="BD81" s="19">
        <v>6.0371050178001759</v>
      </c>
      <c r="BE81" s="19">
        <v>5.5664669098117674</v>
      </c>
      <c r="BF81" s="19">
        <v>-0.17631103301882911</v>
      </c>
      <c r="BH81" s="19">
        <v>71</v>
      </c>
      <c r="BI81" s="19">
        <v>6.0371050178001759</v>
      </c>
      <c r="BJ81" s="19">
        <v>12.17071283942318</v>
      </c>
      <c r="BK81" s="19">
        <v>-6.7805569626302411</v>
      </c>
      <c r="ES81" s="19">
        <v>7</v>
      </c>
      <c r="ET81" s="19">
        <v>-0.30723615599325882</v>
      </c>
      <c r="EU81" s="19">
        <v>2.0228895016109072</v>
      </c>
      <c r="EV81">
        <v>0</v>
      </c>
    </row>
    <row r="82" spans="1:152" x14ac:dyDescent="0.2">
      <c r="A82" s="41"/>
      <c r="B82" s="56">
        <v>1</v>
      </c>
      <c r="C82" s="43"/>
      <c r="D82" s="43"/>
      <c r="BC82" s="19">
        <v>72</v>
      </c>
      <c r="BD82" s="19">
        <v>6.1682271273029858</v>
      </c>
      <c r="BE82" s="19">
        <v>5.6605926100281021</v>
      </c>
      <c r="BF82" s="19">
        <v>-0.15402830655205157</v>
      </c>
      <c r="BH82" s="19">
        <v>72</v>
      </c>
      <c r="BI82" s="19">
        <v>6.1682271273029858</v>
      </c>
      <c r="BJ82" s="19">
        <v>12.239864057423178</v>
      </c>
      <c r="BK82" s="19">
        <v>-6.7332997539471275</v>
      </c>
      <c r="ES82" s="19">
        <v>8</v>
      </c>
      <c r="ET82" s="19">
        <v>13</v>
      </c>
      <c r="EU82" s="19">
        <v>9</v>
      </c>
      <c r="EV82">
        <v>0</v>
      </c>
    </row>
    <row r="83" spans="1:152" x14ac:dyDescent="0.2">
      <c r="A83" s="41"/>
      <c r="B83" s="56">
        <v>1</v>
      </c>
      <c r="C83" s="43"/>
      <c r="D83" s="43"/>
      <c r="BC83" s="19">
        <v>73</v>
      </c>
      <c r="BD83" s="19">
        <v>6.299349236805794</v>
      </c>
      <c r="BE83" s="19">
        <v>5.7566379961765604</v>
      </c>
      <c r="BF83" s="19">
        <v>-0.13366526601739981</v>
      </c>
      <c r="BH83" s="19">
        <v>73</v>
      </c>
      <c r="BI83" s="19">
        <v>6.299349236805794</v>
      </c>
      <c r="BJ83" s="19">
        <v>12.309733586674902</v>
      </c>
      <c r="BK83" s="19">
        <v>-6.6867608565157424</v>
      </c>
      <c r="ES83" s="19">
        <v>9</v>
      </c>
      <c r="ET83" s="19">
        <v>1.3803796539630533</v>
      </c>
      <c r="EU83" s="19">
        <v>6.3251059591845431</v>
      </c>
      <c r="EV83">
        <v>1</v>
      </c>
    </row>
    <row r="84" spans="1:152" x14ac:dyDescent="0.2">
      <c r="A84" s="41"/>
      <c r="B84" s="56">
        <v>1</v>
      </c>
      <c r="C84" s="43"/>
      <c r="D84" s="43"/>
      <c r="BC84" s="19">
        <v>74</v>
      </c>
      <c r="BD84" s="19">
        <v>6.4304713463086021</v>
      </c>
      <c r="BE84" s="19">
        <v>5.8545300570156638</v>
      </c>
      <c r="BF84" s="19">
        <v>-0.11514890017339097</v>
      </c>
      <c r="BH84" s="19">
        <v>74</v>
      </c>
      <c r="BI84" s="19">
        <v>6.4304713463086021</v>
      </c>
      <c r="BJ84" s="19">
        <v>12.380318784032298</v>
      </c>
      <c r="BK84" s="19">
        <v>-6.6409376271900245</v>
      </c>
      <c r="ES84" s="19">
        <v>10</v>
      </c>
      <c r="ET84" s="19">
        <v>8.4427372017371785E-2</v>
      </c>
      <c r="EU84" s="19">
        <v>5.4220501567463426</v>
      </c>
      <c r="EV84">
        <v>1</v>
      </c>
    </row>
    <row r="85" spans="1:152" x14ac:dyDescent="0.2">
      <c r="A85" s="41"/>
      <c r="B85" s="56">
        <v>1</v>
      </c>
      <c r="C85" s="43"/>
      <c r="D85" s="43"/>
      <c r="BC85" s="19">
        <v>75</v>
      </c>
      <c r="BD85" s="19">
        <v>6.561593455811412</v>
      </c>
      <c r="BE85" s="19">
        <v>5.9541961398363767</v>
      </c>
      <c r="BF85" s="19">
        <v>-9.8406556310992155E-2</v>
      </c>
      <c r="BH85" s="19">
        <v>75</v>
      </c>
      <c r="BI85" s="19">
        <v>6.561593455811412</v>
      </c>
      <c r="BJ85" s="19">
        <v>12.451616858357383</v>
      </c>
      <c r="BK85" s="19">
        <v>-6.5958272748319997</v>
      </c>
      <c r="ES85" s="19">
        <v>11</v>
      </c>
      <c r="ET85" s="19">
        <v>0.91409189597286977</v>
      </c>
      <c r="EU85" s="19">
        <v>9.7085240838788316</v>
      </c>
      <c r="EV85">
        <v>0</v>
      </c>
    </row>
    <row r="86" spans="1:152" x14ac:dyDescent="0.2">
      <c r="A86" s="41"/>
      <c r="B86" s="56">
        <v>1</v>
      </c>
      <c r="C86" s="43"/>
      <c r="D86" s="43"/>
      <c r="BC86" s="19">
        <v>76</v>
      </c>
      <c r="BD86" s="19">
        <v>6.6927155653142201</v>
      </c>
      <c r="BE86" s="19">
        <v>6.0555643558260384</v>
      </c>
      <c r="BF86" s="19">
        <v>-8.3366345617542414E-2</v>
      </c>
      <c r="BH86" s="19">
        <v>76</v>
      </c>
      <c r="BI86" s="19">
        <v>6.6927155653142201</v>
      </c>
      <c r="BJ86" s="19">
        <v>12.523624873570963</v>
      </c>
      <c r="BK86" s="19">
        <v>-6.5514268633624662</v>
      </c>
      <c r="ES86" s="19">
        <v>12</v>
      </c>
      <c r="ET86" s="19">
        <v>-0.89773712069108735</v>
      </c>
      <c r="EU86" s="19">
        <v>9.7085240838788316</v>
      </c>
      <c r="EV86">
        <v>0</v>
      </c>
    </row>
    <row r="87" spans="1:152" x14ac:dyDescent="0.2">
      <c r="A87" s="41"/>
      <c r="B87" s="56">
        <v>1</v>
      </c>
      <c r="C87" s="43"/>
      <c r="D87" s="43"/>
      <c r="BC87" s="19">
        <v>77</v>
      </c>
      <c r="BD87" s="19">
        <v>6.82383767481703</v>
      </c>
      <c r="BE87" s="19">
        <v>6.1585639305191515</v>
      </c>
      <c r="BF87" s="19">
        <v>-6.9957493627543776E-2</v>
      </c>
      <c r="BH87" s="19">
        <v>77</v>
      </c>
      <c r="BI87" s="19">
        <v>6.82383767481703</v>
      </c>
      <c r="BJ87" s="19">
        <v>12.596339751832478</v>
      </c>
      <c r="BK87" s="19">
        <v>-6.5077333149408707</v>
      </c>
    </row>
    <row r="88" spans="1:152" x14ac:dyDescent="0.2">
      <c r="A88" s="41"/>
      <c r="B88" s="56">
        <v>1</v>
      </c>
      <c r="C88" s="43"/>
      <c r="D88" s="43"/>
      <c r="BC88" s="19">
        <v>78</v>
      </c>
      <c r="BD88" s="19">
        <v>6.9549597843198399</v>
      </c>
      <c r="BE88" s="19">
        <v>6.2631255010577425</v>
      </c>
      <c r="BF88" s="19">
        <v>-5.811063748302292E-2</v>
      </c>
      <c r="BH88" s="19">
        <v>78</v>
      </c>
      <c r="BI88" s="19">
        <v>6.9549597843198399</v>
      </c>
      <c r="BJ88" s="19">
        <v>12.669758276841467</v>
      </c>
      <c r="BK88" s="19">
        <v>-6.4647434132667465</v>
      </c>
    </row>
    <row r="89" spans="1:152" x14ac:dyDescent="0.2">
      <c r="A89" s="41"/>
      <c r="B89" s="56">
        <v>1</v>
      </c>
      <c r="C89" s="43"/>
      <c r="D89" s="43"/>
      <c r="BC89" s="19">
        <v>79</v>
      </c>
      <c r="BD89" s="19">
        <v>7.086081893822648</v>
      </c>
      <c r="BE89" s="19">
        <v>6.3691813629829248</v>
      </c>
      <c r="BF89" s="19">
        <v>-4.775807272509347E-2</v>
      </c>
      <c r="BH89" s="19">
        <v>79</v>
      </c>
      <c r="BI89" s="19">
        <v>7.086081893822648</v>
      </c>
      <c r="BJ89" s="19">
        <v>12.743877097252565</v>
      </c>
      <c r="BK89" s="19">
        <v>-6.4224538069947341</v>
      </c>
    </row>
    <row r="90" spans="1:152" x14ac:dyDescent="0.2">
      <c r="A90" s="41"/>
      <c r="B90" s="56">
        <v>1</v>
      </c>
      <c r="C90" s="43"/>
      <c r="D90" s="43"/>
      <c r="BC90" s="19">
        <v>80</v>
      </c>
      <c r="BD90" s="19">
        <v>7.2172040033254596</v>
      </c>
      <c r="BE90" s="19">
        <v>6.476665670000946</v>
      </c>
      <c r="BF90" s="19">
        <v>-3.883395306000148E-2</v>
      </c>
      <c r="BH90" s="19">
        <v>80</v>
      </c>
      <c r="BI90" s="19">
        <v>7.2172040033254596</v>
      </c>
      <c r="BJ90" s="19">
        <v>12.81869273019603</v>
      </c>
      <c r="BK90" s="19">
        <v>-6.3808610132550854</v>
      </c>
    </row>
    <row r="91" spans="1:152" x14ac:dyDescent="0.2">
      <c r="A91" s="41"/>
      <c r="B91" s="56">
        <v>1</v>
      </c>
      <c r="C91" s="43"/>
      <c r="D91" s="43"/>
      <c r="BC91" s="19">
        <v>81</v>
      </c>
      <c r="BD91" s="19">
        <v>7.3483261128282678</v>
      </c>
      <c r="BE91" s="19">
        <v>6.5855145906414219</v>
      </c>
      <c r="BF91" s="19">
        <v>-3.1274447017366924E-2</v>
      </c>
      <c r="BH91" s="19">
        <v>81</v>
      </c>
      <c r="BI91" s="19">
        <v>7.3483261128282678</v>
      </c>
      <c r="BJ91" s="19">
        <v>12.894201564895596</v>
      </c>
      <c r="BK91" s="19">
        <v>-6.3399614212715418</v>
      </c>
    </row>
    <row r="92" spans="1:152" x14ac:dyDescent="0.2">
      <c r="A92" s="41"/>
      <c r="B92" s="56">
        <v>1</v>
      </c>
      <c r="C92" s="43"/>
      <c r="D92" s="43"/>
      <c r="BC92" s="19">
        <v>82</v>
      </c>
      <c r="BD92" s="19">
        <v>7.4794482223310759</v>
      </c>
      <c r="BE92" s="19">
        <v>6.6956664259878798</v>
      </c>
      <c r="BF92" s="19">
        <v>-2.5017855680713019E-2</v>
      </c>
      <c r="BH92" s="19">
        <v>82</v>
      </c>
      <c r="BI92" s="19">
        <v>7.4794482223310759</v>
      </c>
      <c r="BJ92" s="19">
        <v>12.970399866375399</v>
      </c>
      <c r="BK92" s="19">
        <v>-6.2997512960682327</v>
      </c>
    </row>
    <row r="93" spans="1:152" x14ac:dyDescent="0.2">
      <c r="A93" s="41"/>
      <c r="B93" s="56">
        <v>1</v>
      </c>
      <c r="C93" s="43"/>
      <c r="D93" s="43"/>
      <c r="BC93" s="19">
        <v>83</v>
      </c>
      <c r="BD93" s="19">
        <v>7.610570331833884</v>
      </c>
      <c r="BE93" s="19">
        <v>6.8070616927480039</v>
      </c>
      <c r="BF93" s="19">
        <v>-2.0004695757726676E-2</v>
      </c>
      <c r="BH93" s="19">
        <v>83</v>
      </c>
      <c r="BI93" s="19">
        <v>7.610570331833884</v>
      </c>
      <c r="BJ93" s="19">
        <v>13.047283779247611</v>
      </c>
      <c r="BK93" s="19">
        <v>-6.2602267822573339</v>
      </c>
    </row>
    <row r="94" spans="1:152" x14ac:dyDescent="0.2">
      <c r="A94" s="41"/>
      <c r="B94" s="56">
        <v>1</v>
      </c>
      <c r="C94" s="43"/>
      <c r="D94" s="43"/>
      <c r="BC94" s="19">
        <v>84</v>
      </c>
      <c r="BD94" s="19">
        <v>7.7416924413366939</v>
      </c>
      <c r="BE94" s="19">
        <v>6.9196431758796191</v>
      </c>
      <c r="BF94" s="19">
        <v>-1.6177752206230522E-2</v>
      </c>
      <c r="BH94" s="19">
        <v>84</v>
      </c>
      <c r="BI94" s="19">
        <v>7.7416924413366939</v>
      </c>
      <c r="BJ94" s="19">
        <v>13.12484933157247</v>
      </c>
      <c r="BK94" s="19">
        <v>-6.2213839078990816</v>
      </c>
    </row>
    <row r="95" spans="1:152" x14ac:dyDescent="0.2">
      <c r="A95" s="41"/>
      <c r="B95" s="56">
        <v>1</v>
      </c>
      <c r="C95" s="43"/>
      <c r="D95" s="43"/>
      <c r="BC95" s="19">
        <v>85</v>
      </c>
      <c r="BD95" s="19">
        <v>7.8728145508395038</v>
      </c>
      <c r="BE95" s="19">
        <v>7.03335595483163</v>
      </c>
      <c r="BF95" s="19">
        <v>-1.3482104475127876E-2</v>
      </c>
      <c r="BH95" s="19">
        <v>85</v>
      </c>
      <c r="BI95" s="19">
        <v>7.8728145508395038</v>
      </c>
      <c r="BJ95" s="19">
        <v>13.203092438782356</v>
      </c>
      <c r="BK95" s="19">
        <v>-6.183218588425853</v>
      </c>
    </row>
    <row r="96" spans="1:152" x14ac:dyDescent="0.2">
      <c r="A96" s="41"/>
      <c r="B96" s="56">
        <v>1</v>
      </c>
      <c r="C96" s="43"/>
      <c r="D96" s="43"/>
      <c r="BC96" s="19">
        <v>86</v>
      </c>
      <c r="BD96" s="19">
        <v>8.0039366603423137</v>
      </c>
      <c r="BE96" s="19">
        <v>7.1481474072268334</v>
      </c>
      <c r="BF96" s="19">
        <v>-1.1865130187219464E-2</v>
      </c>
      <c r="BH96" s="19">
        <v>86</v>
      </c>
      <c r="BI96" s="19">
        <v>8.0039366603423137</v>
      </c>
      <c r="BJ96" s="19">
        <v>13.282008907661595</v>
      </c>
      <c r="BK96" s="19">
        <v>-6.145726630621982</v>
      </c>
    </row>
    <row r="97" spans="1:63" x14ac:dyDescent="0.2">
      <c r="A97" s="41"/>
      <c r="B97" s="56">
        <v>1</v>
      </c>
      <c r="C97" s="43"/>
      <c r="D97" s="43"/>
      <c r="BC97" s="19">
        <v>87</v>
      </c>
      <c r="BD97" s="19">
        <v>8.1350587698451218</v>
      </c>
      <c r="BE97" s="19">
        <v>7.2639671935310748</v>
      </c>
      <c r="BF97" s="19">
        <v>-1.1276489808349499E-2</v>
      </c>
      <c r="BH97" s="19">
        <v>87</v>
      </c>
      <c r="BI97" s="19">
        <v>8.1350587698451218</v>
      </c>
      <c r="BJ97" s="19">
        <v>13.361594440373821</v>
      </c>
      <c r="BK97" s="19">
        <v>-6.1089037366510945</v>
      </c>
    </row>
    <row r="98" spans="1:63" x14ac:dyDescent="0.2">
      <c r="A98" s="41"/>
      <c r="B98" s="56">
        <v>1</v>
      </c>
      <c r="C98" s="43"/>
      <c r="D98" s="43"/>
      <c r="BC98" s="19">
        <v>88</v>
      </c>
      <c r="BD98" s="19">
        <v>8.2661808793479299</v>
      </c>
      <c r="BE98" s="19">
        <v>7.3807672259415797</v>
      </c>
      <c r="BF98" s="19">
        <v>-1.1668095535743994E-2</v>
      </c>
      <c r="BH98" s="19">
        <v>88</v>
      </c>
      <c r="BI98" s="19">
        <v>8.2661808793479299</v>
      </c>
      <c r="BJ98" s="19">
        <v>13.441844638528645</v>
      </c>
      <c r="BK98" s="19">
        <v>-6.072745508122809</v>
      </c>
    </row>
    <row r="99" spans="1:63" x14ac:dyDescent="0.2">
      <c r="A99" s="41"/>
      <c r="B99" s="56">
        <v>1</v>
      </c>
      <c r="C99" s="43"/>
      <c r="D99" s="43"/>
      <c r="BC99" s="19">
        <v>89</v>
      </c>
      <c r="BD99" s="19">
        <v>8.3973029888507398</v>
      </c>
      <c r="BE99" s="19">
        <v>7.4985016244032892</v>
      </c>
      <c r="BF99" s="19">
        <v>-1.299406731434205E-2</v>
      </c>
      <c r="BH99" s="19">
        <v>89</v>
      </c>
      <c r="BI99" s="19">
        <v>8.3973029888507398</v>
      </c>
      <c r="BJ99" s="19">
        <v>13.522755007279734</v>
      </c>
      <c r="BK99" s="19">
        <v>-6.0372474501907867</v>
      </c>
    </row>
    <row r="100" spans="1:63" x14ac:dyDescent="0.2">
      <c r="A100" s="41"/>
      <c r="B100" s="56">
        <v>1</v>
      </c>
      <c r="C100" s="43"/>
      <c r="D100" s="43"/>
      <c r="BC100" s="19">
        <v>90</v>
      </c>
      <c r="BD100" s="19">
        <v>8.5284250983535497</v>
      </c>
      <c r="BE100" s="19">
        <v>7.6171266623384755</v>
      </c>
      <c r="BF100" s="19">
        <v>-1.5210678566414337E-2</v>
      </c>
      <c r="BH100" s="19">
        <v>90</v>
      </c>
      <c r="BI100" s="19">
        <v>8.5284250983535497</v>
      </c>
      <c r="BJ100" s="19">
        <v>13.604320959446337</v>
      </c>
      <c r="BK100" s="19">
        <v>-6.0024049756742768</v>
      </c>
    </row>
    <row r="101" spans="1:63" x14ac:dyDescent="0.2">
      <c r="A101" s="41"/>
      <c r="B101" s="56">
        <v>1</v>
      </c>
      <c r="C101" s="43"/>
      <c r="D101" s="43"/>
      <c r="BC101" s="19">
        <v>91</v>
      </c>
      <c r="BD101" s="19">
        <v>8.6595472078563578</v>
      </c>
      <c r="BE101" s="19">
        <v>7.7366007043614298</v>
      </c>
      <c r="BF101" s="19">
        <v>-1.8276293906258623E-2</v>
      </c>
      <c r="BH101" s="19">
        <v>91</v>
      </c>
      <c r="BI101" s="19">
        <v>8.6595472078563578</v>
      </c>
      <c r="BJ101" s="19">
        <v>13.686537819650562</v>
      </c>
      <c r="BK101" s="19">
        <v>-5.9682134091953909</v>
      </c>
    </row>
    <row r="102" spans="1:63" x14ac:dyDescent="0.2">
      <c r="A102" s="41"/>
      <c r="B102" s="56">
        <v>1</v>
      </c>
      <c r="C102" s="43"/>
      <c r="D102" s="43"/>
      <c r="BC102" s="19">
        <v>92</v>
      </c>
      <c r="BD102" s="19">
        <v>8.7906693173591677</v>
      </c>
      <c r="BE102" s="19">
        <v>7.8568841379531733</v>
      </c>
      <c r="BF102" s="19">
        <v>-2.2151300814890362E-2</v>
      </c>
      <c r="BH102" s="19">
        <v>92</v>
      </c>
      <c r="BI102" s="19">
        <v>8.7906693173591677</v>
      </c>
      <c r="BJ102" s="19">
        <v>13.76940082846291</v>
      </c>
      <c r="BK102" s="19">
        <v>-5.934667991324627</v>
      </c>
    </row>
    <row r="103" spans="1:63" x14ac:dyDescent="0.2">
      <c r="BC103" s="19">
        <v>93</v>
      </c>
      <c r="BD103" s="19">
        <v>8.9217914268619758</v>
      </c>
      <c r="BE103" s="19">
        <v>7.977939300795299</v>
      </c>
      <c r="BF103" s="19">
        <v>-2.679803697390426E-2</v>
      </c>
      <c r="BH103" s="19">
        <v>93</v>
      </c>
      <c r="BI103" s="19">
        <v>8.9217914268619758</v>
      </c>
      <c r="BJ103" s="19">
        <v>13.852905146548702</v>
      </c>
      <c r="BK103" s="19">
        <v>-5.9017638827273071</v>
      </c>
    </row>
    <row r="104" spans="1:63" x14ac:dyDescent="0.2">
      <c r="BC104" s="19">
        <v>94</v>
      </c>
      <c r="BD104" s="19">
        <v>9.0529135363647875</v>
      </c>
      <c r="BE104" s="19">
        <v>8.0997304052098826</v>
      </c>
      <c r="BF104" s="19">
        <v>-3.2180714705374314E-2</v>
      </c>
      <c r="BH104" s="19">
        <v>94</v>
      </c>
      <c r="BI104" s="19">
        <v>9.0529135363647875</v>
      </c>
      <c r="BJ104" s="19">
        <v>13.937045858808354</v>
      </c>
      <c r="BK104" s="19">
        <v>-5.8694961683038462</v>
      </c>
    </row>
    <row r="105" spans="1:63" x14ac:dyDescent="0.2">
      <c r="BC105" s="19">
        <v>95</v>
      </c>
      <c r="BD105" s="19">
        <v>9.1840356458675956</v>
      </c>
      <c r="BE105" s="19">
        <v>8.2222234609245604</v>
      </c>
      <c r="BF105" s="19">
        <v>-3.826534373693935E-2</v>
      </c>
      <c r="BH105" s="19">
        <v>95</v>
      </c>
      <c r="BI105" s="19">
        <v>9.1840356458675956</v>
      </c>
      <c r="BJ105" s="19">
        <v>14.021817978504576</v>
      </c>
      <c r="BK105" s="19">
        <v>-5.8378598613169546</v>
      </c>
    </row>
    <row r="106" spans="1:63" x14ac:dyDescent="0.2">
      <c r="BC106" s="19">
        <v>96</v>
      </c>
      <c r="BD106" s="19">
        <v>9.3151577553704037</v>
      </c>
      <c r="BE106" s="19">
        <v>8.3453861971788541</v>
      </c>
      <c r="BF106" s="19">
        <v>-4.5019653308123964E-2</v>
      </c>
      <c r="BH106" s="19">
        <v>96</v>
      </c>
      <c r="BI106" s="19">
        <v>9.3151577553704037</v>
      </c>
      <c r="BJ106" s="19">
        <v>14.10721645136997</v>
      </c>
      <c r="BK106" s="19">
        <v>-5.8068499074992399</v>
      </c>
    </row>
    <row r="107" spans="1:63" x14ac:dyDescent="0.2">
      <c r="BC107" s="19">
        <v>97</v>
      </c>
      <c r="BD107" s="19">
        <v>9.4462798648732136</v>
      </c>
      <c r="BE107" s="19">
        <v>8.469187985008336</v>
      </c>
      <c r="BF107" s="19">
        <v>-5.2413014454494089E-2</v>
      </c>
      <c r="BH107" s="19">
        <v>97</v>
      </c>
      <c r="BI107" s="19">
        <v>9.4462798648732136</v>
      </c>
      <c r="BJ107" s="19">
        <v>14.193236159688645</v>
      </c>
      <c r="BK107" s="19">
        <v>-5.7764611891348032</v>
      </c>
    </row>
    <row r="108" spans="1:63" x14ac:dyDescent="0.2">
      <c r="BC108" s="19">
        <v>98</v>
      </c>
      <c r="BD108" s="19">
        <v>9.5774019743760217</v>
      </c>
      <c r="BE108" s="19">
        <v>8.5935997603863665</v>
      </c>
      <c r="BF108" s="19">
        <v>-6.0416363149412788E-2</v>
      </c>
      <c r="BH108" s="19">
        <v>98</v>
      </c>
      <c r="BI108" s="19">
        <v>9.5774019743760217</v>
      </c>
      <c r="BJ108" s="19">
        <v>14.279871926345772</v>
      </c>
      <c r="BK108" s="19">
        <v>-5.7466885291088179</v>
      </c>
    </row>
    <row r="109" spans="1:63" x14ac:dyDescent="0.2">
      <c r="BC109" s="19">
        <v>99</v>
      </c>
      <c r="BD109" s="19">
        <v>9.7085240838788316</v>
      </c>
      <c r="BE109" s="19">
        <v>8.7185939487671469</v>
      </c>
      <c r="BF109" s="19">
        <v>-6.9002124847081348E-2</v>
      </c>
      <c r="BH109" s="19">
        <v>99</v>
      </c>
      <c r="BI109" s="19">
        <v>9.7085240838788316</v>
      </c>
      <c r="BJ109" s="19">
        <v>14.367118518839385</v>
      </c>
      <c r="BK109" s="19">
        <v>-5.7175266949193198</v>
      </c>
    </row>
  </sheetData>
  <sheetProtection formatCells="0" formatColumns="0" formatRows="0" insertColumns="0" insertRows="0" insertHyperlinks="0" deleteColumns="0" deleteRows="0" sort="0" autoFilter="0" pivotTables="0"/>
  <mergeCells count="1">
    <mergeCell ref="B1:C1"/>
  </mergeCells>
  <phoneticPr fontId="15" type="noConversion"/>
  <conditionalFormatting sqref="A53:D102">
    <cfRule type="expression" dxfId="1" priority="2">
      <formula>ISBLANK($A53)</formula>
    </cfRule>
  </conditionalFormatting>
  <conditionalFormatting sqref="C30">
    <cfRule type="cellIs" dxfId="0" priority="1" operator="equal">
      <formula>"Ikke opfyldt"</formula>
    </cfRule>
  </conditionalFormatting>
  <dataValidations count="4">
    <dataValidation type="decimal" allowBlank="1" showInputMessage="1" showErrorMessage="1" errorTitle="Vælg et konfidensniveau" error="Indtast et procenttal mellem 50% og 100%" promptTitle="Vælg et konfidensniveau" prompt="Indtast et procenttal mellem 50% og 100%" sqref="B5" xr:uid="{447967D4-902F-47F4-A950-8F53C13A2C0B}">
      <formula1>0.5</formula1>
      <formula2>1</formula2>
    </dataValidation>
    <dataValidation type="list" allowBlank="1" showInputMessage="1" showErrorMessage="1" promptTitle="Vælg om en konstant inkluderes" prompt="Som udgangspunkt Sand, hvor konstanten inkluderes i regressionsmodellen._x000a_Hvis Falsk vælges, så tvinges regressionslinjen til at skære 0 på y-aksen." sqref="B6" xr:uid="{5D086B2F-24D4-4F70-A864-BA67E9AF54D7}">
      <formula1>SandFalsk_liste</formula1>
    </dataValidation>
    <dataValidation allowBlank="1" showInputMessage="1" showErrorMessage="1" promptTitle="Kontrol af forudsætning" prompt="Denne forudsætning skal altid vurderes." sqref="C31:C34" xr:uid="{7882D287-0EB4-45B3-A2CB-E34589B5997D}"/>
    <dataValidation allowBlank="1" showInputMessage="1" showErrorMessage="1" promptTitle="Kontrol af forudsætning" prompt="Viser Ikke opfyldt, hvis kontrollen har identificeret et problem med denne forudsætning. Viser Opfyldt, hvis kontrollen ikke har identificeret nogen problemer." sqref="C30" xr:uid="{9FF24CA4-3CD3-413C-A5B4-09A5E358903D}"/>
  </dataValidations>
  <hyperlinks>
    <hyperlink ref="B1" location="V_Manual_Lineær_Regression" display="Gå til Manual i brug af Lineær Regression arket                                      " xr:uid="{77BCA406-07D7-40D4-AC56-25C497D058F8}"/>
  </hyperlinks>
  <pageMargins left="0.7" right="0.7" top="0.75" bottom="0.75" header="0.3" footer="0.3"/>
  <pageSetup paperSize="9" orientation="portrait" r:id="rId1"/>
  <drawing r:id="rId2"/>
  <legacyDrawing r:id="rId3"/>
  <extLst>
    <ext xmlns:x15="http://schemas.microsoft.com/office/spreadsheetml/2010/11/main" uri="{3A4CF648-6AED-40f4-86FF-DC5316D8AED3}">
      <x14:slicerList xmlns:x14="http://schemas.microsoft.com/office/spreadsheetml/2009/9/main">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18E6F7-86F8-4761-B1B8-E17A3AAB4447}">
  <sheetPr codeName="Sheet11"/>
  <dimension ref="A1:H2515"/>
  <sheetViews>
    <sheetView showGridLines="0" zoomScaleNormal="100" workbookViewId="0"/>
  </sheetViews>
  <sheetFormatPr defaultRowHeight="14.25" x14ac:dyDescent="0.2"/>
  <cols>
    <col min="1" max="1" width="35.875" customWidth="1"/>
    <col min="2" max="2" width="38.25" customWidth="1"/>
    <col min="3" max="3" width="20.875" customWidth="1"/>
    <col min="4" max="4" width="24" bestFit="1" customWidth="1"/>
    <col min="5" max="6" width="21.75" customWidth="1"/>
    <col min="7" max="7" width="31.375" customWidth="1"/>
    <col min="9" max="9" width="16.375" customWidth="1"/>
    <col min="12" max="12" width="19.375" customWidth="1"/>
    <col min="13" max="13" width="17.75" customWidth="1"/>
  </cols>
  <sheetData>
    <row r="1" spans="1:8" ht="18.75" x14ac:dyDescent="0.2">
      <c r="A1" s="1" t="s">
        <v>431</v>
      </c>
    </row>
    <row r="2" spans="1:8" x14ac:dyDescent="0.2">
      <c r="C2" s="45"/>
    </row>
    <row r="3" spans="1:8" x14ac:dyDescent="0.2">
      <c r="A3" s="3" t="s">
        <v>365</v>
      </c>
    </row>
    <row r="4" spans="1:8" x14ac:dyDescent="0.2">
      <c r="A4" s="35" t="s">
        <v>432</v>
      </c>
      <c r="B4" s="39">
        <f>SQRT(COUNT(LineærRegression_Valg[Tabel ID]))</f>
        <v>50</v>
      </c>
    </row>
    <row r="5" spans="1:8" x14ac:dyDescent="0.2">
      <c r="A5" s="35" t="s">
        <v>114</v>
      </c>
      <c r="B5" s="39">
        <f>COUNTA(DataTitel_liste)</f>
        <v>4</v>
      </c>
    </row>
    <row r="6" spans="1:8" x14ac:dyDescent="0.2">
      <c r="A6" s="35" t="s">
        <v>364</v>
      </c>
      <c r="B6" s="36" t="str">
        <f>IF(B5&gt;B4,"Forlæng tabellen indtil der indgår "&amp;B5^2&amp;" rækker","Tabellen behøver ikke forlænges yderligere")</f>
        <v>Tabellen behøver ikke forlænges yderligere</v>
      </c>
      <c r="C6" s="45"/>
    </row>
    <row r="7" spans="1:8" x14ac:dyDescent="0.2">
      <c r="A7" s="35" t="s">
        <v>363</v>
      </c>
      <c r="B7" s="39" t="str" cm="1">
        <f t="array" ref="B7">IF(MATCH(1,LineærRegression_Valg[Synlig],0)&lt;=B5+1,INDEX(DataTitel_liste,2),INDEX(DataTitel_liste,1))</f>
        <v>Eksempel 2 (interval)</v>
      </c>
      <c r="C7" s="45"/>
    </row>
    <row r="8" spans="1:8" x14ac:dyDescent="0.2">
      <c r="C8" s="45"/>
      <c r="E8" s="45"/>
      <c r="F8" s="45"/>
    </row>
    <row r="10" spans="1:8" x14ac:dyDescent="0.2">
      <c r="A10" t="s">
        <v>433</v>
      </c>
      <c r="B10" t="s">
        <v>134</v>
      </c>
      <c r="C10" t="s">
        <v>261</v>
      </c>
      <c r="D10" t="s">
        <v>362</v>
      </c>
      <c r="E10" t="s">
        <v>361</v>
      </c>
      <c r="F10" t="s">
        <v>20</v>
      </c>
      <c r="G10" t="s">
        <v>368</v>
      </c>
      <c r="H10" t="s">
        <v>78</v>
      </c>
    </row>
    <row r="11" spans="1:8" x14ac:dyDescent="0.2">
      <c r="A11">
        <f>ROW(LineærRegression_Valg[[#This Row],[Tabel ID]])-ROW(LineærRegression_Valg[[#Headers],[Tabel ID]])</f>
        <v>1</v>
      </c>
      <c r="B11" s="45">
        <f>ROUNDDOWN((LineærRegression_Valg[[#This Row],[Tabel ID]]-1)/$B$5,0)+1</f>
        <v>1</v>
      </c>
      <c r="C11">
        <f t="shared" ref="C11:C74" si="0">MOD(A11-1,$B$5)+1</f>
        <v>1</v>
      </c>
      <c r="D11" s="45" t="b">
        <f>LineærRegression_Valg[[#This Row],[Afhængig variabel ID]]&lt;&gt;LineærRegression_Valg[[#This Row],[Uafhængig variabel ID]]</f>
        <v>0</v>
      </c>
      <c r="E11" s="45" t="b">
        <f>LineærRegression_Valg[[#This Row],[Afhængig variabel ID]]&lt;=$B$5</f>
        <v>1</v>
      </c>
      <c r="F11" t="str" cm="1">
        <f t="array" ref="F11">IF(LineærRegression_Valg[[#This Row],[Indenfor range]],INDEX(DataTitel_liste,LineærRegression_Valg[[#This Row],[Afhængig variabel ID]]),INDEX(DataTitel_liste,1))</f>
        <v>Eksempel 1 (interval)</v>
      </c>
      <c r="G11" s="45" t="str" cm="1">
        <f t="array" ref="G11">IF(LineærRegression_Valg[[#This Row],[Indenfor range]],IF(LineærRegression_Valg[[#This Row],[Intet overlap]],INDEX(DataTitel_liste,LineærRegression_Valg[[#This Row],[Uafhængig variabel ID]]),INDEX(DataTitel_liste,IF(LineærRegression_Valg[[#This Row],[Afhængig variabel ID]]=1,2,1))),$B$7)</f>
        <v>Eksempel 2 (interval)</v>
      </c>
      <c r="H11" s="45">
        <f>_xlfn.AGGREGATE(2,5,LineærRegression_Valg[[#This Row],[Tabel ID]])</f>
        <v>1</v>
      </c>
    </row>
    <row r="12" spans="1:8" x14ac:dyDescent="0.2">
      <c r="A12">
        <f>ROW(LineærRegression_Valg[[#This Row],[Tabel ID]])-ROW(LineærRegression_Valg[[#Headers],[Tabel ID]])</f>
        <v>2</v>
      </c>
      <c r="B12" s="45">
        <f>ROUNDDOWN((LineærRegression_Valg[[#This Row],[Tabel ID]]-1)/$B$5,0)+1</f>
        <v>1</v>
      </c>
      <c r="C12">
        <f t="shared" si="0"/>
        <v>2</v>
      </c>
      <c r="D12" s="45" t="b">
        <f>LineærRegression_Valg[[#This Row],[Afhængig variabel ID]]&lt;&gt;LineærRegression_Valg[[#This Row],[Uafhængig variabel ID]]</f>
        <v>1</v>
      </c>
      <c r="E12" t="b">
        <f>LineærRegression_Valg[[#This Row],[Afhængig variabel ID]]&lt;=$B$5</f>
        <v>1</v>
      </c>
      <c r="F12" t="str" cm="1">
        <f t="array" ref="F12">IF(LineærRegression_Valg[[#This Row],[Indenfor range]],INDEX(DataTitel_liste,LineærRegression_Valg[[#This Row],[Afhængig variabel ID]]),INDEX(DataTitel_liste,1))</f>
        <v>Eksempel 1 (interval)</v>
      </c>
      <c r="G12" s="45" t="str" cm="1">
        <f t="array" ref="G12">IF(LineærRegression_Valg[[#This Row],[Indenfor range]],IF(LineærRegression_Valg[[#This Row],[Intet overlap]],INDEX(DataTitel_liste,LineærRegression_Valg[[#This Row],[Uafhængig variabel ID]]),INDEX(DataTitel_liste,IF(LineærRegression_Valg[[#This Row],[Afhængig variabel ID]]=1,2,1))),$B$7)</f>
        <v>Eksempel 2 (interval)</v>
      </c>
      <c r="H12" s="45">
        <f>_xlfn.AGGREGATE(2,5,LineærRegression_Valg[[#This Row],[Tabel ID]])</f>
        <v>1</v>
      </c>
    </row>
    <row r="13" spans="1:8" x14ac:dyDescent="0.2">
      <c r="A13">
        <f>ROW(LineærRegression_Valg[[#This Row],[Tabel ID]])-ROW(LineærRegression_Valg[[#Headers],[Tabel ID]])</f>
        <v>3</v>
      </c>
      <c r="B13" s="45">
        <f>ROUNDDOWN((LineærRegression_Valg[[#This Row],[Tabel ID]]-1)/$B$5,0)+1</f>
        <v>1</v>
      </c>
      <c r="C13">
        <f t="shared" si="0"/>
        <v>3</v>
      </c>
      <c r="D13" s="45" t="b">
        <f>LineærRegression_Valg[[#This Row],[Afhængig variabel ID]]&lt;&gt;LineærRegression_Valg[[#This Row],[Uafhængig variabel ID]]</f>
        <v>1</v>
      </c>
      <c r="E13" t="b">
        <f>LineærRegression_Valg[[#This Row],[Afhængig variabel ID]]&lt;=$B$5</f>
        <v>1</v>
      </c>
      <c r="F13" t="str" cm="1">
        <f t="array" ref="F13">IF(LineærRegression_Valg[[#This Row],[Indenfor range]],INDEX(DataTitel_liste,LineærRegression_Valg[[#This Row],[Afhængig variabel ID]]),INDEX(DataTitel_liste,1))</f>
        <v>Eksempel 1 (interval)</v>
      </c>
      <c r="G13" s="45" t="str" cm="1">
        <f t="array" ref="G13">IF(LineærRegression_Valg[[#This Row],[Indenfor range]],IF(LineærRegression_Valg[[#This Row],[Intet overlap]],INDEX(DataTitel_liste,LineærRegression_Valg[[#This Row],[Uafhængig variabel ID]]),INDEX(DataTitel_liste,IF(LineærRegression_Valg[[#This Row],[Afhængig variabel ID]]=1,2,1))),$B$7)</f>
        <v>Eksempel 3 (nominal)</v>
      </c>
      <c r="H13" s="45">
        <f>_xlfn.AGGREGATE(2,5,LineærRegression_Valg[[#This Row],[Tabel ID]])</f>
        <v>1</v>
      </c>
    </row>
    <row r="14" spans="1:8" hidden="1" x14ac:dyDescent="0.2">
      <c r="A14">
        <f>ROW(LineærRegression_Valg[[#This Row],[Tabel ID]])-ROW(LineærRegression_Valg[[#Headers],[Tabel ID]])</f>
        <v>4</v>
      </c>
      <c r="B14" s="45">
        <f>ROUNDDOWN((LineærRegression_Valg[[#This Row],[Tabel ID]]-1)/$B$5,0)+1</f>
        <v>1</v>
      </c>
      <c r="C14">
        <f t="shared" si="0"/>
        <v>4</v>
      </c>
      <c r="D14" s="45" t="b">
        <f>LineærRegression_Valg[[#This Row],[Afhængig variabel ID]]&lt;&gt;LineærRegression_Valg[[#This Row],[Uafhængig variabel ID]]</f>
        <v>1</v>
      </c>
      <c r="E14" t="b">
        <f>LineærRegression_Valg[[#This Row],[Afhængig variabel ID]]&lt;=$B$5</f>
        <v>1</v>
      </c>
      <c r="F14" t="str" cm="1">
        <f t="array" ref="F14">IF(LineærRegression_Valg[[#This Row],[Indenfor range]],INDEX(DataTitel_liste,LineærRegression_Valg[[#This Row],[Afhængig variabel ID]]),INDEX(DataTitel_liste,1))</f>
        <v>Eksempel 1 (interval)</v>
      </c>
      <c r="G14" s="45" t="str" cm="1">
        <f t="array" ref="G14">IF(LineærRegression_Valg[[#This Row],[Indenfor range]],IF(LineærRegression_Valg[[#This Row],[Intet overlap]],INDEX(DataTitel_liste,LineærRegression_Valg[[#This Row],[Uafhængig variabel ID]]),INDEX(DataTitel_liste,IF(LineærRegression_Valg[[#This Row],[Afhængig variabel ID]]=1,2,1))),$B$7)</f>
        <v>Eksempel 4 (nominal)</v>
      </c>
      <c r="H14" s="45">
        <f>_xlfn.AGGREGATE(2,5,LineærRegression_Valg[[#This Row],[Tabel ID]])</f>
        <v>0</v>
      </c>
    </row>
    <row r="15" spans="1:8" hidden="1" x14ac:dyDescent="0.2">
      <c r="A15">
        <f>ROW(LineærRegression_Valg[[#This Row],[Tabel ID]])-ROW(LineærRegression_Valg[[#Headers],[Tabel ID]])</f>
        <v>5</v>
      </c>
      <c r="B15" s="45">
        <f>ROUNDDOWN((LineærRegression_Valg[[#This Row],[Tabel ID]]-1)/$B$5,0)+1</f>
        <v>2</v>
      </c>
      <c r="C15">
        <f t="shared" si="0"/>
        <v>1</v>
      </c>
      <c r="D15" s="45" t="b">
        <f>LineærRegression_Valg[[#This Row],[Afhængig variabel ID]]&lt;&gt;LineærRegression_Valg[[#This Row],[Uafhængig variabel ID]]</f>
        <v>1</v>
      </c>
      <c r="E15" t="b">
        <f>LineærRegression_Valg[[#This Row],[Afhængig variabel ID]]&lt;=$B$5</f>
        <v>1</v>
      </c>
      <c r="F15" t="str" cm="1">
        <f t="array" ref="F15">IF(LineærRegression_Valg[[#This Row],[Indenfor range]],INDEX(DataTitel_liste,LineærRegression_Valg[[#This Row],[Afhængig variabel ID]]),INDEX(DataTitel_liste,1))</f>
        <v>Eksempel 2 (interval)</v>
      </c>
      <c r="G15" s="45" t="str" cm="1">
        <f t="array" ref="G15">IF(LineærRegression_Valg[[#This Row],[Indenfor range]],IF(LineærRegression_Valg[[#This Row],[Intet overlap]],INDEX(DataTitel_liste,LineærRegression_Valg[[#This Row],[Uafhængig variabel ID]]),INDEX(DataTitel_liste,IF(LineærRegression_Valg[[#This Row],[Afhængig variabel ID]]=1,2,1))),$B$7)</f>
        <v>Eksempel 1 (interval)</v>
      </c>
      <c r="H15" s="45">
        <f>_xlfn.AGGREGATE(2,5,LineærRegression_Valg[[#This Row],[Tabel ID]])</f>
        <v>0</v>
      </c>
    </row>
    <row r="16" spans="1:8" hidden="1" x14ac:dyDescent="0.2">
      <c r="A16">
        <f>ROW(LineærRegression_Valg[[#This Row],[Tabel ID]])-ROW(LineærRegression_Valg[[#Headers],[Tabel ID]])</f>
        <v>6</v>
      </c>
      <c r="B16" s="45">
        <f>ROUNDDOWN((LineærRegression_Valg[[#This Row],[Tabel ID]]-1)/$B$5,0)+1</f>
        <v>2</v>
      </c>
      <c r="C16">
        <f t="shared" si="0"/>
        <v>2</v>
      </c>
      <c r="D16" s="45" t="b">
        <f>LineærRegression_Valg[[#This Row],[Afhængig variabel ID]]&lt;&gt;LineærRegression_Valg[[#This Row],[Uafhængig variabel ID]]</f>
        <v>0</v>
      </c>
      <c r="E16" t="b">
        <f>LineærRegression_Valg[[#This Row],[Afhængig variabel ID]]&lt;=$B$5</f>
        <v>1</v>
      </c>
      <c r="F16" t="str" cm="1">
        <f t="array" ref="F16">IF(LineærRegression_Valg[[#This Row],[Indenfor range]],INDEX(DataTitel_liste,LineærRegression_Valg[[#This Row],[Afhængig variabel ID]]),INDEX(DataTitel_liste,1))</f>
        <v>Eksempel 2 (interval)</v>
      </c>
      <c r="G16" s="45" t="str" cm="1">
        <f t="array" ref="G16">IF(LineærRegression_Valg[[#This Row],[Indenfor range]],IF(LineærRegression_Valg[[#This Row],[Intet overlap]],INDEX(DataTitel_liste,LineærRegression_Valg[[#This Row],[Uafhængig variabel ID]]),INDEX(DataTitel_liste,IF(LineærRegression_Valg[[#This Row],[Afhængig variabel ID]]=1,2,1))),$B$7)</f>
        <v>Eksempel 1 (interval)</v>
      </c>
      <c r="H16" s="45">
        <f>_xlfn.AGGREGATE(2,5,LineærRegression_Valg[[#This Row],[Tabel ID]])</f>
        <v>0</v>
      </c>
    </row>
    <row r="17" spans="1:8" hidden="1" x14ac:dyDescent="0.2">
      <c r="A17">
        <f>ROW(LineærRegression_Valg[[#This Row],[Tabel ID]])-ROW(LineærRegression_Valg[[#Headers],[Tabel ID]])</f>
        <v>7</v>
      </c>
      <c r="B17" s="45">
        <f>ROUNDDOWN((LineærRegression_Valg[[#This Row],[Tabel ID]]-1)/$B$5,0)+1</f>
        <v>2</v>
      </c>
      <c r="C17">
        <f t="shared" si="0"/>
        <v>3</v>
      </c>
      <c r="D17" s="45" t="b">
        <f>LineærRegression_Valg[[#This Row],[Afhængig variabel ID]]&lt;&gt;LineærRegression_Valg[[#This Row],[Uafhængig variabel ID]]</f>
        <v>1</v>
      </c>
      <c r="E17" t="b">
        <f>LineærRegression_Valg[[#This Row],[Afhængig variabel ID]]&lt;=$B$5</f>
        <v>1</v>
      </c>
      <c r="F17" t="str" cm="1">
        <f t="array" ref="F17">IF(LineærRegression_Valg[[#This Row],[Indenfor range]],INDEX(DataTitel_liste,LineærRegression_Valg[[#This Row],[Afhængig variabel ID]]),INDEX(DataTitel_liste,1))</f>
        <v>Eksempel 2 (interval)</v>
      </c>
      <c r="G17" s="45" t="str" cm="1">
        <f t="array" ref="G17">IF(LineærRegression_Valg[[#This Row],[Indenfor range]],IF(LineærRegression_Valg[[#This Row],[Intet overlap]],INDEX(DataTitel_liste,LineærRegression_Valg[[#This Row],[Uafhængig variabel ID]]),INDEX(DataTitel_liste,IF(LineærRegression_Valg[[#This Row],[Afhængig variabel ID]]=1,2,1))),$B$7)</f>
        <v>Eksempel 3 (nominal)</v>
      </c>
      <c r="H17" s="45">
        <f>_xlfn.AGGREGATE(2,5,LineærRegression_Valg[[#This Row],[Tabel ID]])</f>
        <v>0</v>
      </c>
    </row>
    <row r="18" spans="1:8" hidden="1" x14ac:dyDescent="0.2">
      <c r="A18">
        <f>ROW(LineærRegression_Valg[[#This Row],[Tabel ID]])-ROW(LineærRegression_Valg[[#Headers],[Tabel ID]])</f>
        <v>8</v>
      </c>
      <c r="B18" s="45">
        <f>ROUNDDOWN((LineærRegression_Valg[[#This Row],[Tabel ID]]-1)/$B$5,0)+1</f>
        <v>2</v>
      </c>
      <c r="C18">
        <f t="shared" si="0"/>
        <v>4</v>
      </c>
      <c r="D18" s="45" t="b">
        <f>LineærRegression_Valg[[#This Row],[Afhængig variabel ID]]&lt;&gt;LineærRegression_Valg[[#This Row],[Uafhængig variabel ID]]</f>
        <v>1</v>
      </c>
      <c r="E18" t="b">
        <f>LineærRegression_Valg[[#This Row],[Afhængig variabel ID]]&lt;=$B$5</f>
        <v>1</v>
      </c>
      <c r="F18" t="str" cm="1">
        <f t="array" ref="F18">IF(LineærRegression_Valg[[#This Row],[Indenfor range]],INDEX(DataTitel_liste,LineærRegression_Valg[[#This Row],[Afhængig variabel ID]]),INDEX(DataTitel_liste,1))</f>
        <v>Eksempel 2 (interval)</v>
      </c>
      <c r="G18" s="45" t="str" cm="1">
        <f t="array" ref="G18">IF(LineærRegression_Valg[[#This Row],[Indenfor range]],IF(LineærRegression_Valg[[#This Row],[Intet overlap]],INDEX(DataTitel_liste,LineærRegression_Valg[[#This Row],[Uafhængig variabel ID]]),INDEX(DataTitel_liste,IF(LineærRegression_Valg[[#This Row],[Afhængig variabel ID]]=1,2,1))),$B$7)</f>
        <v>Eksempel 4 (nominal)</v>
      </c>
      <c r="H18" s="45">
        <f>_xlfn.AGGREGATE(2,5,LineærRegression_Valg[[#This Row],[Tabel ID]])</f>
        <v>0</v>
      </c>
    </row>
    <row r="19" spans="1:8" hidden="1" x14ac:dyDescent="0.2">
      <c r="A19">
        <f>ROW(LineærRegression_Valg[[#This Row],[Tabel ID]])-ROW(LineærRegression_Valg[[#Headers],[Tabel ID]])</f>
        <v>9</v>
      </c>
      <c r="B19" s="45">
        <f>ROUNDDOWN((LineærRegression_Valg[[#This Row],[Tabel ID]]-1)/$B$5,0)+1</f>
        <v>3</v>
      </c>
      <c r="C19">
        <f t="shared" si="0"/>
        <v>1</v>
      </c>
      <c r="D19" s="45" t="b">
        <f>LineærRegression_Valg[[#This Row],[Afhængig variabel ID]]&lt;&gt;LineærRegression_Valg[[#This Row],[Uafhængig variabel ID]]</f>
        <v>1</v>
      </c>
      <c r="E19" t="b">
        <f>LineærRegression_Valg[[#This Row],[Afhængig variabel ID]]&lt;=$B$5</f>
        <v>1</v>
      </c>
      <c r="F19" t="str" cm="1">
        <f t="array" ref="F19">IF(LineærRegression_Valg[[#This Row],[Indenfor range]],INDEX(DataTitel_liste,LineærRegression_Valg[[#This Row],[Afhængig variabel ID]]),INDEX(DataTitel_liste,1))</f>
        <v>Eksempel 3 (nominal)</v>
      </c>
      <c r="G19" s="45" t="str" cm="1">
        <f t="array" ref="G19">IF(LineærRegression_Valg[[#This Row],[Indenfor range]],IF(LineærRegression_Valg[[#This Row],[Intet overlap]],INDEX(DataTitel_liste,LineærRegression_Valg[[#This Row],[Uafhængig variabel ID]]),INDEX(DataTitel_liste,IF(LineærRegression_Valg[[#This Row],[Afhængig variabel ID]]=1,2,1))),$B$7)</f>
        <v>Eksempel 1 (interval)</v>
      </c>
      <c r="H19" s="45">
        <f>_xlfn.AGGREGATE(2,5,LineærRegression_Valg[[#This Row],[Tabel ID]])</f>
        <v>0</v>
      </c>
    </row>
    <row r="20" spans="1:8" hidden="1" x14ac:dyDescent="0.2">
      <c r="A20">
        <f>ROW(LineærRegression_Valg[[#This Row],[Tabel ID]])-ROW(LineærRegression_Valg[[#Headers],[Tabel ID]])</f>
        <v>10</v>
      </c>
      <c r="B20" s="45">
        <f>ROUNDDOWN((LineærRegression_Valg[[#This Row],[Tabel ID]]-1)/$B$5,0)+1</f>
        <v>3</v>
      </c>
      <c r="C20">
        <f t="shared" si="0"/>
        <v>2</v>
      </c>
      <c r="D20" s="45" t="b">
        <f>LineærRegression_Valg[[#This Row],[Afhængig variabel ID]]&lt;&gt;LineærRegression_Valg[[#This Row],[Uafhængig variabel ID]]</f>
        <v>1</v>
      </c>
      <c r="E20" t="b">
        <f>LineærRegression_Valg[[#This Row],[Afhængig variabel ID]]&lt;=$B$5</f>
        <v>1</v>
      </c>
      <c r="F20" t="str" cm="1">
        <f t="array" ref="F20">IF(LineærRegression_Valg[[#This Row],[Indenfor range]],INDEX(DataTitel_liste,LineærRegression_Valg[[#This Row],[Afhængig variabel ID]]),INDEX(DataTitel_liste,1))</f>
        <v>Eksempel 3 (nominal)</v>
      </c>
      <c r="G20" s="45" t="str" cm="1">
        <f t="array" ref="G20">IF(LineærRegression_Valg[[#This Row],[Indenfor range]],IF(LineærRegression_Valg[[#This Row],[Intet overlap]],INDEX(DataTitel_liste,LineærRegression_Valg[[#This Row],[Uafhængig variabel ID]]),INDEX(DataTitel_liste,IF(LineærRegression_Valg[[#This Row],[Afhængig variabel ID]]=1,2,1))),$B$7)</f>
        <v>Eksempel 2 (interval)</v>
      </c>
      <c r="H20" s="45">
        <f>_xlfn.AGGREGATE(2,5,LineærRegression_Valg[[#This Row],[Tabel ID]])</f>
        <v>0</v>
      </c>
    </row>
    <row r="21" spans="1:8" hidden="1" x14ac:dyDescent="0.2">
      <c r="A21">
        <f>ROW(LineærRegression_Valg[[#This Row],[Tabel ID]])-ROW(LineærRegression_Valg[[#Headers],[Tabel ID]])</f>
        <v>11</v>
      </c>
      <c r="B21" s="45">
        <f>ROUNDDOWN((LineærRegression_Valg[[#This Row],[Tabel ID]]-1)/$B$5,0)+1</f>
        <v>3</v>
      </c>
      <c r="C21">
        <f t="shared" si="0"/>
        <v>3</v>
      </c>
      <c r="D21" s="45" t="b">
        <f>LineærRegression_Valg[[#This Row],[Afhængig variabel ID]]&lt;&gt;LineærRegression_Valg[[#This Row],[Uafhængig variabel ID]]</f>
        <v>0</v>
      </c>
      <c r="E21" t="b">
        <f>LineærRegression_Valg[[#This Row],[Afhængig variabel ID]]&lt;=$B$5</f>
        <v>1</v>
      </c>
      <c r="F21" t="str" cm="1">
        <f t="array" ref="F21">IF(LineærRegression_Valg[[#This Row],[Indenfor range]],INDEX(DataTitel_liste,LineærRegression_Valg[[#This Row],[Afhængig variabel ID]]),INDEX(DataTitel_liste,1))</f>
        <v>Eksempel 3 (nominal)</v>
      </c>
      <c r="G21" s="45" t="str" cm="1">
        <f t="array" ref="G21">IF(LineærRegression_Valg[[#This Row],[Indenfor range]],IF(LineærRegression_Valg[[#This Row],[Intet overlap]],INDEX(DataTitel_liste,LineærRegression_Valg[[#This Row],[Uafhængig variabel ID]]),INDEX(DataTitel_liste,IF(LineærRegression_Valg[[#This Row],[Afhængig variabel ID]]=1,2,1))),$B$7)</f>
        <v>Eksempel 1 (interval)</v>
      </c>
      <c r="H21" s="45">
        <f>_xlfn.AGGREGATE(2,5,LineærRegression_Valg[[#This Row],[Tabel ID]])</f>
        <v>0</v>
      </c>
    </row>
    <row r="22" spans="1:8" hidden="1" x14ac:dyDescent="0.2">
      <c r="A22">
        <f>ROW(LineærRegression_Valg[[#This Row],[Tabel ID]])-ROW(LineærRegression_Valg[[#Headers],[Tabel ID]])</f>
        <v>12</v>
      </c>
      <c r="B22" s="45">
        <f>ROUNDDOWN((LineærRegression_Valg[[#This Row],[Tabel ID]]-1)/$B$5,0)+1</f>
        <v>3</v>
      </c>
      <c r="C22">
        <f t="shared" si="0"/>
        <v>4</v>
      </c>
      <c r="D22" s="45" t="b">
        <f>LineærRegression_Valg[[#This Row],[Afhængig variabel ID]]&lt;&gt;LineærRegression_Valg[[#This Row],[Uafhængig variabel ID]]</f>
        <v>1</v>
      </c>
      <c r="E22" t="b">
        <f>LineærRegression_Valg[[#This Row],[Afhængig variabel ID]]&lt;=$B$5</f>
        <v>1</v>
      </c>
      <c r="F22" t="str" cm="1">
        <f t="array" ref="F22">IF(LineærRegression_Valg[[#This Row],[Indenfor range]],INDEX(DataTitel_liste,LineærRegression_Valg[[#This Row],[Afhængig variabel ID]]),INDEX(DataTitel_liste,1))</f>
        <v>Eksempel 3 (nominal)</v>
      </c>
      <c r="G22" s="45" t="str" cm="1">
        <f t="array" ref="G22">IF(LineærRegression_Valg[[#This Row],[Indenfor range]],IF(LineærRegression_Valg[[#This Row],[Intet overlap]],INDEX(DataTitel_liste,LineærRegression_Valg[[#This Row],[Uafhængig variabel ID]]),INDEX(DataTitel_liste,IF(LineærRegression_Valg[[#This Row],[Afhængig variabel ID]]=1,2,1))),$B$7)</f>
        <v>Eksempel 4 (nominal)</v>
      </c>
      <c r="H22" s="45">
        <f>_xlfn.AGGREGATE(2,5,LineærRegression_Valg[[#This Row],[Tabel ID]])</f>
        <v>0</v>
      </c>
    </row>
    <row r="23" spans="1:8" hidden="1" x14ac:dyDescent="0.2">
      <c r="A23">
        <f>ROW(LineærRegression_Valg[[#This Row],[Tabel ID]])-ROW(LineærRegression_Valg[[#Headers],[Tabel ID]])</f>
        <v>13</v>
      </c>
      <c r="B23" s="45">
        <f>ROUNDDOWN((LineærRegression_Valg[[#This Row],[Tabel ID]]-1)/$B$5,0)+1</f>
        <v>4</v>
      </c>
      <c r="C23" s="45">
        <f t="shared" si="0"/>
        <v>1</v>
      </c>
      <c r="D23" s="45" t="b">
        <f>LineærRegression_Valg[[#This Row],[Afhængig variabel ID]]&lt;&gt;LineærRegression_Valg[[#This Row],[Uafhængig variabel ID]]</f>
        <v>1</v>
      </c>
      <c r="E23" t="b">
        <f>LineærRegression_Valg[[#This Row],[Afhængig variabel ID]]&lt;=$B$5</f>
        <v>1</v>
      </c>
      <c r="F23" t="str" cm="1">
        <f t="array" ref="F23">IF(LineærRegression_Valg[[#This Row],[Indenfor range]],INDEX(DataTitel_liste,LineærRegression_Valg[[#This Row],[Afhængig variabel ID]]),INDEX(DataTitel_liste,1))</f>
        <v>Eksempel 4 (nominal)</v>
      </c>
      <c r="G23" s="45" t="str" cm="1">
        <f t="array" ref="G23">IF(LineærRegression_Valg[[#This Row],[Indenfor range]],IF(LineærRegression_Valg[[#This Row],[Intet overlap]],INDEX(DataTitel_liste,LineærRegression_Valg[[#This Row],[Uafhængig variabel ID]]),INDEX(DataTitel_liste,IF(LineærRegression_Valg[[#This Row],[Afhængig variabel ID]]=1,2,1))),$B$7)</f>
        <v>Eksempel 1 (interval)</v>
      </c>
      <c r="H23" s="45">
        <f>_xlfn.AGGREGATE(2,5,LineærRegression_Valg[[#This Row],[Tabel ID]])</f>
        <v>0</v>
      </c>
    </row>
    <row r="24" spans="1:8" hidden="1" x14ac:dyDescent="0.2">
      <c r="A24">
        <f>ROW(LineærRegression_Valg[[#This Row],[Tabel ID]])-ROW(LineærRegression_Valg[[#Headers],[Tabel ID]])</f>
        <v>14</v>
      </c>
      <c r="B24" s="45">
        <f>ROUNDDOWN((LineærRegression_Valg[[#This Row],[Tabel ID]]-1)/$B$5,0)+1</f>
        <v>4</v>
      </c>
      <c r="C24" s="45">
        <f t="shared" si="0"/>
        <v>2</v>
      </c>
      <c r="D24" s="45" t="b">
        <f>LineærRegression_Valg[[#This Row],[Afhængig variabel ID]]&lt;&gt;LineærRegression_Valg[[#This Row],[Uafhængig variabel ID]]</f>
        <v>1</v>
      </c>
      <c r="E24" t="b">
        <f>LineærRegression_Valg[[#This Row],[Afhængig variabel ID]]&lt;=$B$5</f>
        <v>1</v>
      </c>
      <c r="F24" t="str" cm="1">
        <f t="array" ref="F24">IF(LineærRegression_Valg[[#This Row],[Indenfor range]],INDEX(DataTitel_liste,LineærRegression_Valg[[#This Row],[Afhængig variabel ID]]),INDEX(DataTitel_liste,1))</f>
        <v>Eksempel 4 (nominal)</v>
      </c>
      <c r="G24" s="45" t="str" cm="1">
        <f t="array" ref="G24">IF(LineærRegression_Valg[[#This Row],[Indenfor range]],IF(LineærRegression_Valg[[#This Row],[Intet overlap]],INDEX(DataTitel_liste,LineærRegression_Valg[[#This Row],[Uafhængig variabel ID]]),INDEX(DataTitel_liste,IF(LineærRegression_Valg[[#This Row],[Afhængig variabel ID]]=1,2,1))),$B$7)</f>
        <v>Eksempel 2 (interval)</v>
      </c>
      <c r="H24" s="45">
        <f>_xlfn.AGGREGATE(2,5,LineærRegression_Valg[[#This Row],[Tabel ID]])</f>
        <v>0</v>
      </c>
    </row>
    <row r="25" spans="1:8" hidden="1" x14ac:dyDescent="0.2">
      <c r="A25">
        <f>ROW(LineærRegression_Valg[[#This Row],[Tabel ID]])-ROW(LineærRegression_Valg[[#Headers],[Tabel ID]])</f>
        <v>15</v>
      </c>
      <c r="B25" s="45">
        <f>ROUNDDOWN((LineærRegression_Valg[[#This Row],[Tabel ID]]-1)/$B$5,0)+1</f>
        <v>4</v>
      </c>
      <c r="C25" s="45">
        <f t="shared" si="0"/>
        <v>3</v>
      </c>
      <c r="D25" s="45" t="b">
        <f>LineærRegression_Valg[[#This Row],[Afhængig variabel ID]]&lt;&gt;LineærRegression_Valg[[#This Row],[Uafhængig variabel ID]]</f>
        <v>1</v>
      </c>
      <c r="E25" t="b">
        <f>LineærRegression_Valg[[#This Row],[Afhængig variabel ID]]&lt;=$B$5</f>
        <v>1</v>
      </c>
      <c r="F25" t="str" cm="1">
        <f t="array" ref="F25">IF(LineærRegression_Valg[[#This Row],[Indenfor range]],INDEX(DataTitel_liste,LineærRegression_Valg[[#This Row],[Afhængig variabel ID]]),INDEX(DataTitel_liste,1))</f>
        <v>Eksempel 4 (nominal)</v>
      </c>
      <c r="G25" s="45" t="str" cm="1">
        <f t="array" ref="G25">IF(LineærRegression_Valg[[#This Row],[Indenfor range]],IF(LineærRegression_Valg[[#This Row],[Intet overlap]],INDEX(DataTitel_liste,LineærRegression_Valg[[#This Row],[Uafhængig variabel ID]]),INDEX(DataTitel_liste,IF(LineærRegression_Valg[[#This Row],[Afhængig variabel ID]]=1,2,1))),$B$7)</f>
        <v>Eksempel 3 (nominal)</v>
      </c>
      <c r="H25" s="45">
        <f>_xlfn.AGGREGATE(2,5,LineærRegression_Valg[[#This Row],[Tabel ID]])</f>
        <v>0</v>
      </c>
    </row>
    <row r="26" spans="1:8" hidden="1" x14ac:dyDescent="0.2">
      <c r="A26">
        <f>ROW(LineærRegression_Valg[[#This Row],[Tabel ID]])-ROW(LineærRegression_Valg[[#Headers],[Tabel ID]])</f>
        <v>16</v>
      </c>
      <c r="B26" s="45">
        <f>ROUNDDOWN((LineærRegression_Valg[[#This Row],[Tabel ID]]-1)/$B$5,0)+1</f>
        <v>4</v>
      </c>
      <c r="C26" s="45">
        <f t="shared" si="0"/>
        <v>4</v>
      </c>
      <c r="D26" s="45" t="b">
        <f>LineærRegression_Valg[[#This Row],[Afhængig variabel ID]]&lt;&gt;LineærRegression_Valg[[#This Row],[Uafhængig variabel ID]]</f>
        <v>0</v>
      </c>
      <c r="E26" t="b">
        <f>LineærRegression_Valg[[#This Row],[Afhængig variabel ID]]&lt;=$B$5</f>
        <v>1</v>
      </c>
      <c r="F26" t="str" cm="1">
        <f t="array" ref="F26">IF(LineærRegression_Valg[[#This Row],[Indenfor range]],INDEX(DataTitel_liste,LineærRegression_Valg[[#This Row],[Afhængig variabel ID]]),INDEX(DataTitel_liste,1))</f>
        <v>Eksempel 4 (nominal)</v>
      </c>
      <c r="G26" s="45" t="str" cm="1">
        <f t="array" ref="G26">IF(LineærRegression_Valg[[#This Row],[Indenfor range]],IF(LineærRegression_Valg[[#This Row],[Intet overlap]],INDEX(DataTitel_liste,LineærRegression_Valg[[#This Row],[Uafhængig variabel ID]]),INDEX(DataTitel_liste,IF(LineærRegression_Valg[[#This Row],[Afhængig variabel ID]]=1,2,1))),$B$7)</f>
        <v>Eksempel 1 (interval)</v>
      </c>
      <c r="H26" s="45">
        <f>_xlfn.AGGREGATE(2,5,LineærRegression_Valg[[#This Row],[Tabel ID]])</f>
        <v>0</v>
      </c>
    </row>
    <row r="27" spans="1:8" x14ac:dyDescent="0.2">
      <c r="A27">
        <f>ROW(LineærRegression_Valg[[#This Row],[Tabel ID]])-ROW(LineærRegression_Valg[[#Headers],[Tabel ID]])</f>
        <v>17</v>
      </c>
      <c r="B27" s="45">
        <f>ROUNDDOWN((LineærRegression_Valg[[#This Row],[Tabel ID]]-1)/$B$5,0)+1</f>
        <v>5</v>
      </c>
      <c r="C27" s="45">
        <f t="shared" si="0"/>
        <v>1</v>
      </c>
      <c r="D27" s="45" t="b">
        <f>LineærRegression_Valg[[#This Row],[Afhængig variabel ID]]&lt;&gt;LineærRegression_Valg[[#This Row],[Uafhængig variabel ID]]</f>
        <v>1</v>
      </c>
      <c r="E27" t="b">
        <f>LineærRegression_Valg[[#This Row],[Afhængig variabel ID]]&lt;=$B$5</f>
        <v>0</v>
      </c>
      <c r="F27" t="str" cm="1">
        <f t="array" ref="F27">IF(LineærRegression_Valg[[#This Row],[Indenfor range]],INDEX(DataTitel_liste,LineærRegression_Valg[[#This Row],[Afhængig variabel ID]]),INDEX(DataTitel_liste,1))</f>
        <v>Eksempel 1 (interval)</v>
      </c>
      <c r="G27" s="45" t="str" cm="1">
        <f t="array" ref="G27">IF(LineærRegression_Valg[[#This Row],[Indenfor range]],IF(LineærRegression_Valg[[#This Row],[Intet overlap]],INDEX(DataTitel_liste,LineærRegression_Valg[[#This Row],[Uafhængig variabel ID]]),INDEX(DataTitel_liste,IF(LineærRegression_Valg[[#This Row],[Afhængig variabel ID]]=1,2,1))),$B$7)</f>
        <v>Eksempel 2 (interval)</v>
      </c>
      <c r="H27" s="45">
        <f>_xlfn.AGGREGATE(2,5,LineærRegression_Valg[[#This Row],[Tabel ID]])</f>
        <v>1</v>
      </c>
    </row>
    <row r="28" spans="1:8" x14ac:dyDescent="0.2">
      <c r="A28">
        <f>ROW(LineærRegression_Valg[[#This Row],[Tabel ID]])-ROW(LineærRegression_Valg[[#Headers],[Tabel ID]])</f>
        <v>18</v>
      </c>
      <c r="B28" s="45">
        <f>ROUNDDOWN((LineærRegression_Valg[[#This Row],[Tabel ID]]-1)/$B$5,0)+1</f>
        <v>5</v>
      </c>
      <c r="C28" s="45">
        <f t="shared" si="0"/>
        <v>2</v>
      </c>
      <c r="D28" s="45" t="b">
        <f>LineærRegression_Valg[[#This Row],[Afhængig variabel ID]]&lt;&gt;LineærRegression_Valg[[#This Row],[Uafhængig variabel ID]]</f>
        <v>1</v>
      </c>
      <c r="E28" t="b">
        <f>LineærRegression_Valg[[#This Row],[Afhængig variabel ID]]&lt;=$B$5</f>
        <v>0</v>
      </c>
      <c r="F28" t="str" cm="1">
        <f t="array" ref="F28">IF(LineærRegression_Valg[[#This Row],[Indenfor range]],INDEX(DataTitel_liste,LineærRegression_Valg[[#This Row],[Afhængig variabel ID]]),INDEX(DataTitel_liste,1))</f>
        <v>Eksempel 1 (interval)</v>
      </c>
      <c r="G28" s="45" t="str" cm="1">
        <f t="array" ref="G28">IF(LineærRegression_Valg[[#This Row],[Indenfor range]],IF(LineærRegression_Valg[[#This Row],[Intet overlap]],INDEX(DataTitel_liste,LineærRegression_Valg[[#This Row],[Uafhængig variabel ID]]),INDEX(DataTitel_liste,IF(LineærRegression_Valg[[#This Row],[Afhængig variabel ID]]=1,2,1))),$B$7)</f>
        <v>Eksempel 2 (interval)</v>
      </c>
      <c r="H28" s="45">
        <f>_xlfn.AGGREGATE(2,5,LineærRegression_Valg[[#This Row],[Tabel ID]])</f>
        <v>1</v>
      </c>
    </row>
    <row r="29" spans="1:8" x14ac:dyDescent="0.2">
      <c r="A29">
        <f>ROW(LineærRegression_Valg[[#This Row],[Tabel ID]])-ROW(LineærRegression_Valg[[#Headers],[Tabel ID]])</f>
        <v>19</v>
      </c>
      <c r="B29" s="45">
        <f>ROUNDDOWN((LineærRegression_Valg[[#This Row],[Tabel ID]]-1)/$B$5,0)+1</f>
        <v>5</v>
      </c>
      <c r="C29" s="45">
        <f t="shared" si="0"/>
        <v>3</v>
      </c>
      <c r="D29" s="45" t="b">
        <f>LineærRegression_Valg[[#This Row],[Afhængig variabel ID]]&lt;&gt;LineærRegression_Valg[[#This Row],[Uafhængig variabel ID]]</f>
        <v>1</v>
      </c>
      <c r="E29" t="b">
        <f>LineærRegression_Valg[[#This Row],[Afhængig variabel ID]]&lt;=$B$5</f>
        <v>0</v>
      </c>
      <c r="F29" t="str" cm="1">
        <f t="array" ref="F29">IF(LineærRegression_Valg[[#This Row],[Indenfor range]],INDEX(DataTitel_liste,LineærRegression_Valg[[#This Row],[Afhængig variabel ID]]),INDEX(DataTitel_liste,1))</f>
        <v>Eksempel 1 (interval)</v>
      </c>
      <c r="G29" s="45" t="str" cm="1">
        <f t="array" ref="G29">IF(LineærRegression_Valg[[#This Row],[Indenfor range]],IF(LineærRegression_Valg[[#This Row],[Intet overlap]],INDEX(DataTitel_liste,LineærRegression_Valg[[#This Row],[Uafhængig variabel ID]]),INDEX(DataTitel_liste,IF(LineærRegression_Valg[[#This Row],[Afhængig variabel ID]]=1,2,1))),$B$7)</f>
        <v>Eksempel 2 (interval)</v>
      </c>
      <c r="H29" s="45">
        <f>_xlfn.AGGREGATE(2,5,LineærRegression_Valg[[#This Row],[Tabel ID]])</f>
        <v>1</v>
      </c>
    </row>
    <row r="30" spans="1:8" x14ac:dyDescent="0.2">
      <c r="A30">
        <f>ROW(LineærRegression_Valg[[#This Row],[Tabel ID]])-ROW(LineærRegression_Valg[[#Headers],[Tabel ID]])</f>
        <v>20</v>
      </c>
      <c r="B30" s="45">
        <f>ROUNDDOWN((LineærRegression_Valg[[#This Row],[Tabel ID]]-1)/$B$5,0)+1</f>
        <v>5</v>
      </c>
      <c r="C30" s="45">
        <f t="shared" si="0"/>
        <v>4</v>
      </c>
      <c r="D30" s="45" t="b">
        <f>LineærRegression_Valg[[#This Row],[Afhængig variabel ID]]&lt;&gt;LineærRegression_Valg[[#This Row],[Uafhængig variabel ID]]</f>
        <v>1</v>
      </c>
      <c r="E30" t="b">
        <f>LineærRegression_Valg[[#This Row],[Afhængig variabel ID]]&lt;=$B$5</f>
        <v>0</v>
      </c>
      <c r="F30" t="str" cm="1">
        <f t="array" ref="F30">IF(LineærRegression_Valg[[#This Row],[Indenfor range]],INDEX(DataTitel_liste,LineærRegression_Valg[[#This Row],[Afhængig variabel ID]]),INDEX(DataTitel_liste,1))</f>
        <v>Eksempel 1 (interval)</v>
      </c>
      <c r="G30" s="45" t="str" cm="1">
        <f t="array" ref="G30">IF(LineærRegression_Valg[[#This Row],[Indenfor range]],IF(LineærRegression_Valg[[#This Row],[Intet overlap]],INDEX(DataTitel_liste,LineærRegression_Valg[[#This Row],[Uafhængig variabel ID]]),INDEX(DataTitel_liste,IF(LineærRegression_Valg[[#This Row],[Afhængig variabel ID]]=1,2,1))),$B$7)</f>
        <v>Eksempel 2 (interval)</v>
      </c>
      <c r="H30" s="45">
        <f>_xlfn.AGGREGATE(2,5,LineærRegression_Valg[[#This Row],[Tabel ID]])</f>
        <v>1</v>
      </c>
    </row>
    <row r="31" spans="1:8" x14ac:dyDescent="0.2">
      <c r="A31">
        <f>ROW(LineærRegression_Valg[[#This Row],[Tabel ID]])-ROW(LineærRegression_Valg[[#Headers],[Tabel ID]])</f>
        <v>21</v>
      </c>
      <c r="B31" s="45">
        <f>ROUNDDOWN((LineærRegression_Valg[[#This Row],[Tabel ID]]-1)/$B$5,0)+1</f>
        <v>6</v>
      </c>
      <c r="C31" s="45">
        <f t="shared" si="0"/>
        <v>1</v>
      </c>
      <c r="D31" s="45" t="b">
        <f>LineærRegression_Valg[[#This Row],[Afhængig variabel ID]]&lt;&gt;LineærRegression_Valg[[#This Row],[Uafhængig variabel ID]]</f>
        <v>1</v>
      </c>
      <c r="E31" t="b">
        <f>LineærRegression_Valg[[#This Row],[Afhængig variabel ID]]&lt;=$B$5</f>
        <v>0</v>
      </c>
      <c r="F31" t="str" cm="1">
        <f t="array" ref="F31">IF(LineærRegression_Valg[[#This Row],[Indenfor range]],INDEX(DataTitel_liste,LineærRegression_Valg[[#This Row],[Afhængig variabel ID]]),INDEX(DataTitel_liste,1))</f>
        <v>Eksempel 1 (interval)</v>
      </c>
      <c r="G31" s="45" t="str" cm="1">
        <f t="array" ref="G31">IF(LineærRegression_Valg[[#This Row],[Indenfor range]],IF(LineærRegression_Valg[[#This Row],[Intet overlap]],INDEX(DataTitel_liste,LineærRegression_Valg[[#This Row],[Uafhængig variabel ID]]),INDEX(DataTitel_liste,IF(LineærRegression_Valg[[#This Row],[Afhængig variabel ID]]=1,2,1))),$B$7)</f>
        <v>Eksempel 2 (interval)</v>
      </c>
      <c r="H31" s="45">
        <f>_xlfn.AGGREGATE(2,5,LineærRegression_Valg[[#This Row],[Tabel ID]])</f>
        <v>1</v>
      </c>
    </row>
    <row r="32" spans="1:8" x14ac:dyDescent="0.2">
      <c r="A32">
        <f>ROW(LineærRegression_Valg[[#This Row],[Tabel ID]])-ROW(LineærRegression_Valg[[#Headers],[Tabel ID]])</f>
        <v>22</v>
      </c>
      <c r="B32" s="45">
        <f>ROUNDDOWN((LineærRegression_Valg[[#This Row],[Tabel ID]]-1)/$B$5,0)+1</f>
        <v>6</v>
      </c>
      <c r="C32" s="45">
        <f t="shared" si="0"/>
        <v>2</v>
      </c>
      <c r="D32" s="45" t="b">
        <f>LineærRegression_Valg[[#This Row],[Afhængig variabel ID]]&lt;&gt;LineærRegression_Valg[[#This Row],[Uafhængig variabel ID]]</f>
        <v>1</v>
      </c>
      <c r="E32" t="b">
        <f>LineærRegression_Valg[[#This Row],[Afhængig variabel ID]]&lt;=$B$5</f>
        <v>0</v>
      </c>
      <c r="F32" t="str" cm="1">
        <f t="array" ref="F32">IF(LineærRegression_Valg[[#This Row],[Indenfor range]],INDEX(DataTitel_liste,LineærRegression_Valg[[#This Row],[Afhængig variabel ID]]),INDEX(DataTitel_liste,1))</f>
        <v>Eksempel 1 (interval)</v>
      </c>
      <c r="G32" s="45" t="str" cm="1">
        <f t="array" ref="G32">IF(LineærRegression_Valg[[#This Row],[Indenfor range]],IF(LineærRegression_Valg[[#This Row],[Intet overlap]],INDEX(DataTitel_liste,LineærRegression_Valg[[#This Row],[Uafhængig variabel ID]]),INDEX(DataTitel_liste,IF(LineærRegression_Valg[[#This Row],[Afhængig variabel ID]]=1,2,1))),$B$7)</f>
        <v>Eksempel 2 (interval)</v>
      </c>
      <c r="H32" s="45">
        <f>_xlfn.AGGREGATE(2,5,LineærRegression_Valg[[#This Row],[Tabel ID]])</f>
        <v>1</v>
      </c>
    </row>
    <row r="33" spans="1:8" x14ac:dyDescent="0.2">
      <c r="A33">
        <f>ROW(LineærRegression_Valg[[#This Row],[Tabel ID]])-ROW(LineærRegression_Valg[[#Headers],[Tabel ID]])</f>
        <v>23</v>
      </c>
      <c r="B33" s="45">
        <f>ROUNDDOWN((LineærRegression_Valg[[#This Row],[Tabel ID]]-1)/$B$5,0)+1</f>
        <v>6</v>
      </c>
      <c r="C33" s="45">
        <f t="shared" si="0"/>
        <v>3</v>
      </c>
      <c r="D33" s="45" t="b">
        <f>LineærRegression_Valg[[#This Row],[Afhængig variabel ID]]&lt;&gt;LineærRegression_Valg[[#This Row],[Uafhængig variabel ID]]</f>
        <v>1</v>
      </c>
      <c r="E33" t="b">
        <f>LineærRegression_Valg[[#This Row],[Afhængig variabel ID]]&lt;=$B$5</f>
        <v>0</v>
      </c>
      <c r="F33" t="str" cm="1">
        <f t="array" ref="F33">IF(LineærRegression_Valg[[#This Row],[Indenfor range]],INDEX(DataTitel_liste,LineærRegression_Valg[[#This Row],[Afhængig variabel ID]]),INDEX(DataTitel_liste,1))</f>
        <v>Eksempel 1 (interval)</v>
      </c>
      <c r="G33" s="45" t="str" cm="1">
        <f t="array" ref="G33">IF(LineærRegression_Valg[[#This Row],[Indenfor range]],IF(LineærRegression_Valg[[#This Row],[Intet overlap]],INDEX(DataTitel_liste,LineærRegression_Valg[[#This Row],[Uafhængig variabel ID]]),INDEX(DataTitel_liste,IF(LineærRegression_Valg[[#This Row],[Afhængig variabel ID]]=1,2,1))),$B$7)</f>
        <v>Eksempel 2 (interval)</v>
      </c>
      <c r="H33" s="45">
        <f>_xlfn.AGGREGATE(2,5,LineærRegression_Valg[[#This Row],[Tabel ID]])</f>
        <v>1</v>
      </c>
    </row>
    <row r="34" spans="1:8" x14ac:dyDescent="0.2">
      <c r="A34">
        <f>ROW(LineærRegression_Valg[[#This Row],[Tabel ID]])-ROW(LineærRegression_Valg[[#Headers],[Tabel ID]])</f>
        <v>24</v>
      </c>
      <c r="B34" s="45">
        <f>ROUNDDOWN((LineærRegression_Valg[[#This Row],[Tabel ID]]-1)/$B$5,0)+1</f>
        <v>6</v>
      </c>
      <c r="C34" s="45">
        <f t="shared" si="0"/>
        <v>4</v>
      </c>
      <c r="D34" s="45" t="b">
        <f>LineærRegression_Valg[[#This Row],[Afhængig variabel ID]]&lt;&gt;LineærRegression_Valg[[#This Row],[Uafhængig variabel ID]]</f>
        <v>1</v>
      </c>
      <c r="E34" t="b">
        <f>LineærRegression_Valg[[#This Row],[Afhængig variabel ID]]&lt;=$B$5</f>
        <v>0</v>
      </c>
      <c r="F34" t="str" cm="1">
        <f t="array" ref="F34">IF(LineærRegression_Valg[[#This Row],[Indenfor range]],INDEX(DataTitel_liste,LineærRegression_Valg[[#This Row],[Afhængig variabel ID]]),INDEX(DataTitel_liste,1))</f>
        <v>Eksempel 1 (interval)</v>
      </c>
      <c r="G34" s="45" t="str" cm="1">
        <f t="array" ref="G34">IF(LineærRegression_Valg[[#This Row],[Indenfor range]],IF(LineærRegression_Valg[[#This Row],[Intet overlap]],INDEX(DataTitel_liste,LineærRegression_Valg[[#This Row],[Uafhængig variabel ID]]),INDEX(DataTitel_liste,IF(LineærRegression_Valg[[#This Row],[Afhængig variabel ID]]=1,2,1))),$B$7)</f>
        <v>Eksempel 2 (interval)</v>
      </c>
      <c r="H34" s="45">
        <f>_xlfn.AGGREGATE(2,5,LineærRegression_Valg[[#This Row],[Tabel ID]])</f>
        <v>1</v>
      </c>
    </row>
    <row r="35" spans="1:8" x14ac:dyDescent="0.2">
      <c r="A35">
        <f>ROW(LineærRegression_Valg[[#This Row],[Tabel ID]])-ROW(LineærRegression_Valg[[#Headers],[Tabel ID]])</f>
        <v>25</v>
      </c>
      <c r="B35" s="45">
        <f>ROUNDDOWN((LineærRegression_Valg[[#This Row],[Tabel ID]]-1)/$B$5,0)+1</f>
        <v>7</v>
      </c>
      <c r="C35" s="45">
        <f t="shared" si="0"/>
        <v>1</v>
      </c>
      <c r="D35" s="45" t="b">
        <f>LineærRegression_Valg[[#This Row],[Afhængig variabel ID]]&lt;&gt;LineærRegression_Valg[[#This Row],[Uafhængig variabel ID]]</f>
        <v>1</v>
      </c>
      <c r="E35" t="b">
        <f>LineærRegression_Valg[[#This Row],[Afhængig variabel ID]]&lt;=$B$5</f>
        <v>0</v>
      </c>
      <c r="F35" t="str" cm="1">
        <f t="array" ref="F35">IF(LineærRegression_Valg[[#This Row],[Indenfor range]],INDEX(DataTitel_liste,LineærRegression_Valg[[#This Row],[Afhængig variabel ID]]),INDEX(DataTitel_liste,1))</f>
        <v>Eksempel 1 (interval)</v>
      </c>
      <c r="G35" s="45" t="str" cm="1">
        <f t="array" ref="G35">IF(LineærRegression_Valg[[#This Row],[Indenfor range]],IF(LineærRegression_Valg[[#This Row],[Intet overlap]],INDEX(DataTitel_liste,LineærRegression_Valg[[#This Row],[Uafhængig variabel ID]]),INDEX(DataTitel_liste,IF(LineærRegression_Valg[[#This Row],[Afhængig variabel ID]]=1,2,1))),$B$7)</f>
        <v>Eksempel 2 (interval)</v>
      </c>
      <c r="H35" s="45">
        <f>_xlfn.AGGREGATE(2,5,LineærRegression_Valg[[#This Row],[Tabel ID]])</f>
        <v>1</v>
      </c>
    </row>
    <row r="36" spans="1:8" x14ac:dyDescent="0.2">
      <c r="A36">
        <f>ROW(LineærRegression_Valg[[#This Row],[Tabel ID]])-ROW(LineærRegression_Valg[[#Headers],[Tabel ID]])</f>
        <v>26</v>
      </c>
      <c r="B36" s="45">
        <f>ROUNDDOWN((LineærRegression_Valg[[#This Row],[Tabel ID]]-1)/$B$5,0)+1</f>
        <v>7</v>
      </c>
      <c r="C36" s="45">
        <f t="shared" si="0"/>
        <v>2</v>
      </c>
      <c r="D36" s="45" t="b">
        <f>LineærRegression_Valg[[#This Row],[Afhængig variabel ID]]&lt;&gt;LineærRegression_Valg[[#This Row],[Uafhængig variabel ID]]</f>
        <v>1</v>
      </c>
      <c r="E36" t="b">
        <f>LineærRegression_Valg[[#This Row],[Afhængig variabel ID]]&lt;=$B$5</f>
        <v>0</v>
      </c>
      <c r="F36" t="str" cm="1">
        <f t="array" ref="F36">IF(LineærRegression_Valg[[#This Row],[Indenfor range]],INDEX(DataTitel_liste,LineærRegression_Valg[[#This Row],[Afhængig variabel ID]]),INDEX(DataTitel_liste,1))</f>
        <v>Eksempel 1 (interval)</v>
      </c>
      <c r="G36" s="45" t="str" cm="1">
        <f t="array" ref="G36">IF(LineærRegression_Valg[[#This Row],[Indenfor range]],IF(LineærRegression_Valg[[#This Row],[Intet overlap]],INDEX(DataTitel_liste,LineærRegression_Valg[[#This Row],[Uafhængig variabel ID]]),INDEX(DataTitel_liste,IF(LineærRegression_Valg[[#This Row],[Afhængig variabel ID]]=1,2,1))),$B$7)</f>
        <v>Eksempel 2 (interval)</v>
      </c>
      <c r="H36" s="45">
        <f>_xlfn.AGGREGATE(2,5,LineærRegression_Valg[[#This Row],[Tabel ID]])</f>
        <v>1</v>
      </c>
    </row>
    <row r="37" spans="1:8" x14ac:dyDescent="0.2">
      <c r="A37">
        <f>ROW(LineærRegression_Valg[[#This Row],[Tabel ID]])-ROW(LineærRegression_Valg[[#Headers],[Tabel ID]])</f>
        <v>27</v>
      </c>
      <c r="B37" s="45">
        <f>ROUNDDOWN((LineærRegression_Valg[[#This Row],[Tabel ID]]-1)/$B$5,0)+1</f>
        <v>7</v>
      </c>
      <c r="C37" s="45">
        <f t="shared" si="0"/>
        <v>3</v>
      </c>
      <c r="D37" s="45" t="b">
        <f>LineærRegression_Valg[[#This Row],[Afhængig variabel ID]]&lt;&gt;LineærRegression_Valg[[#This Row],[Uafhængig variabel ID]]</f>
        <v>1</v>
      </c>
      <c r="E37" t="b">
        <f>LineærRegression_Valg[[#This Row],[Afhængig variabel ID]]&lt;=$B$5</f>
        <v>0</v>
      </c>
      <c r="F37" t="str" cm="1">
        <f t="array" ref="F37">IF(LineærRegression_Valg[[#This Row],[Indenfor range]],INDEX(DataTitel_liste,LineærRegression_Valg[[#This Row],[Afhængig variabel ID]]),INDEX(DataTitel_liste,1))</f>
        <v>Eksempel 1 (interval)</v>
      </c>
      <c r="G37" s="45" t="str" cm="1">
        <f t="array" ref="G37">IF(LineærRegression_Valg[[#This Row],[Indenfor range]],IF(LineærRegression_Valg[[#This Row],[Intet overlap]],INDEX(DataTitel_liste,LineærRegression_Valg[[#This Row],[Uafhængig variabel ID]]),INDEX(DataTitel_liste,IF(LineærRegression_Valg[[#This Row],[Afhængig variabel ID]]=1,2,1))),$B$7)</f>
        <v>Eksempel 2 (interval)</v>
      </c>
      <c r="H37" s="45">
        <f>_xlfn.AGGREGATE(2,5,LineærRegression_Valg[[#This Row],[Tabel ID]])</f>
        <v>1</v>
      </c>
    </row>
    <row r="38" spans="1:8" x14ac:dyDescent="0.2">
      <c r="A38">
        <f>ROW(LineærRegression_Valg[[#This Row],[Tabel ID]])-ROW(LineærRegression_Valg[[#Headers],[Tabel ID]])</f>
        <v>28</v>
      </c>
      <c r="B38" s="45">
        <f>ROUNDDOWN((LineærRegression_Valg[[#This Row],[Tabel ID]]-1)/$B$5,0)+1</f>
        <v>7</v>
      </c>
      <c r="C38" s="45">
        <f t="shared" si="0"/>
        <v>4</v>
      </c>
      <c r="D38" s="45" t="b">
        <f>LineærRegression_Valg[[#This Row],[Afhængig variabel ID]]&lt;&gt;LineærRegression_Valg[[#This Row],[Uafhængig variabel ID]]</f>
        <v>1</v>
      </c>
      <c r="E38" t="b">
        <f>LineærRegression_Valg[[#This Row],[Afhængig variabel ID]]&lt;=$B$5</f>
        <v>0</v>
      </c>
      <c r="F38" t="str" cm="1">
        <f t="array" ref="F38">IF(LineærRegression_Valg[[#This Row],[Indenfor range]],INDEX(DataTitel_liste,LineærRegression_Valg[[#This Row],[Afhængig variabel ID]]),INDEX(DataTitel_liste,1))</f>
        <v>Eksempel 1 (interval)</v>
      </c>
      <c r="G38" s="45" t="str" cm="1">
        <f t="array" ref="G38">IF(LineærRegression_Valg[[#This Row],[Indenfor range]],IF(LineærRegression_Valg[[#This Row],[Intet overlap]],INDEX(DataTitel_liste,LineærRegression_Valg[[#This Row],[Uafhængig variabel ID]]),INDEX(DataTitel_liste,IF(LineærRegression_Valg[[#This Row],[Afhængig variabel ID]]=1,2,1))),$B$7)</f>
        <v>Eksempel 2 (interval)</v>
      </c>
      <c r="H38" s="45">
        <f>_xlfn.AGGREGATE(2,5,LineærRegression_Valg[[#This Row],[Tabel ID]])</f>
        <v>1</v>
      </c>
    </row>
    <row r="39" spans="1:8" x14ac:dyDescent="0.2">
      <c r="A39">
        <f>ROW(LineærRegression_Valg[[#This Row],[Tabel ID]])-ROW(LineærRegression_Valg[[#Headers],[Tabel ID]])</f>
        <v>29</v>
      </c>
      <c r="B39" s="45">
        <f>ROUNDDOWN((LineærRegression_Valg[[#This Row],[Tabel ID]]-1)/$B$5,0)+1</f>
        <v>8</v>
      </c>
      <c r="C39" s="45">
        <f t="shared" si="0"/>
        <v>1</v>
      </c>
      <c r="D39" s="45" t="b">
        <f>LineærRegression_Valg[[#This Row],[Afhængig variabel ID]]&lt;&gt;LineærRegression_Valg[[#This Row],[Uafhængig variabel ID]]</f>
        <v>1</v>
      </c>
      <c r="E39" t="b">
        <f>LineærRegression_Valg[[#This Row],[Afhængig variabel ID]]&lt;=$B$5</f>
        <v>0</v>
      </c>
      <c r="F39" t="str" cm="1">
        <f t="array" ref="F39">IF(LineærRegression_Valg[[#This Row],[Indenfor range]],INDEX(DataTitel_liste,LineærRegression_Valg[[#This Row],[Afhængig variabel ID]]),INDEX(DataTitel_liste,1))</f>
        <v>Eksempel 1 (interval)</v>
      </c>
      <c r="G39" s="45" t="str" cm="1">
        <f t="array" ref="G39">IF(LineærRegression_Valg[[#This Row],[Indenfor range]],IF(LineærRegression_Valg[[#This Row],[Intet overlap]],INDEX(DataTitel_liste,LineærRegression_Valg[[#This Row],[Uafhængig variabel ID]]),INDEX(DataTitel_liste,IF(LineærRegression_Valg[[#This Row],[Afhængig variabel ID]]=1,2,1))),$B$7)</f>
        <v>Eksempel 2 (interval)</v>
      </c>
      <c r="H39" s="45">
        <f>_xlfn.AGGREGATE(2,5,LineærRegression_Valg[[#This Row],[Tabel ID]])</f>
        <v>1</v>
      </c>
    </row>
    <row r="40" spans="1:8" x14ac:dyDescent="0.2">
      <c r="A40">
        <f>ROW(LineærRegression_Valg[[#This Row],[Tabel ID]])-ROW(LineærRegression_Valg[[#Headers],[Tabel ID]])</f>
        <v>30</v>
      </c>
      <c r="B40" s="45">
        <f>ROUNDDOWN((LineærRegression_Valg[[#This Row],[Tabel ID]]-1)/$B$5,0)+1</f>
        <v>8</v>
      </c>
      <c r="C40" s="45">
        <f t="shared" si="0"/>
        <v>2</v>
      </c>
      <c r="D40" s="45" t="b">
        <f>LineærRegression_Valg[[#This Row],[Afhængig variabel ID]]&lt;&gt;LineærRegression_Valg[[#This Row],[Uafhængig variabel ID]]</f>
        <v>1</v>
      </c>
      <c r="E40" t="b">
        <f>LineærRegression_Valg[[#This Row],[Afhængig variabel ID]]&lt;=$B$5</f>
        <v>0</v>
      </c>
      <c r="F40" t="str" cm="1">
        <f t="array" ref="F40">IF(LineærRegression_Valg[[#This Row],[Indenfor range]],INDEX(DataTitel_liste,LineærRegression_Valg[[#This Row],[Afhængig variabel ID]]),INDEX(DataTitel_liste,1))</f>
        <v>Eksempel 1 (interval)</v>
      </c>
      <c r="G40" s="45" t="str" cm="1">
        <f t="array" ref="G40">IF(LineærRegression_Valg[[#This Row],[Indenfor range]],IF(LineærRegression_Valg[[#This Row],[Intet overlap]],INDEX(DataTitel_liste,LineærRegression_Valg[[#This Row],[Uafhængig variabel ID]]),INDEX(DataTitel_liste,IF(LineærRegression_Valg[[#This Row],[Afhængig variabel ID]]=1,2,1))),$B$7)</f>
        <v>Eksempel 2 (interval)</v>
      </c>
      <c r="H40" s="45">
        <f>_xlfn.AGGREGATE(2,5,LineærRegression_Valg[[#This Row],[Tabel ID]])</f>
        <v>1</v>
      </c>
    </row>
    <row r="41" spans="1:8" x14ac:dyDescent="0.2">
      <c r="A41">
        <f>ROW(LineærRegression_Valg[[#This Row],[Tabel ID]])-ROW(LineærRegression_Valg[[#Headers],[Tabel ID]])</f>
        <v>31</v>
      </c>
      <c r="B41" s="45">
        <f>ROUNDDOWN((LineærRegression_Valg[[#This Row],[Tabel ID]]-1)/$B$5,0)+1</f>
        <v>8</v>
      </c>
      <c r="C41" s="45">
        <f t="shared" si="0"/>
        <v>3</v>
      </c>
      <c r="D41" s="45" t="b">
        <f>LineærRegression_Valg[[#This Row],[Afhængig variabel ID]]&lt;&gt;LineærRegression_Valg[[#This Row],[Uafhængig variabel ID]]</f>
        <v>1</v>
      </c>
      <c r="E41" t="b">
        <f>LineærRegression_Valg[[#This Row],[Afhængig variabel ID]]&lt;=$B$5</f>
        <v>0</v>
      </c>
      <c r="F41" t="str" cm="1">
        <f t="array" ref="F41">IF(LineærRegression_Valg[[#This Row],[Indenfor range]],INDEX(DataTitel_liste,LineærRegression_Valg[[#This Row],[Afhængig variabel ID]]),INDEX(DataTitel_liste,1))</f>
        <v>Eksempel 1 (interval)</v>
      </c>
      <c r="G41" s="45" t="str" cm="1">
        <f t="array" ref="G41">IF(LineærRegression_Valg[[#This Row],[Indenfor range]],IF(LineærRegression_Valg[[#This Row],[Intet overlap]],INDEX(DataTitel_liste,LineærRegression_Valg[[#This Row],[Uafhængig variabel ID]]),INDEX(DataTitel_liste,IF(LineærRegression_Valg[[#This Row],[Afhængig variabel ID]]=1,2,1))),$B$7)</f>
        <v>Eksempel 2 (interval)</v>
      </c>
      <c r="H41" s="45">
        <f>_xlfn.AGGREGATE(2,5,LineærRegression_Valg[[#This Row],[Tabel ID]])</f>
        <v>1</v>
      </c>
    </row>
    <row r="42" spans="1:8" x14ac:dyDescent="0.2">
      <c r="A42">
        <f>ROW(LineærRegression_Valg[[#This Row],[Tabel ID]])-ROW(LineærRegression_Valg[[#Headers],[Tabel ID]])</f>
        <v>32</v>
      </c>
      <c r="B42" s="45">
        <f>ROUNDDOWN((LineærRegression_Valg[[#This Row],[Tabel ID]]-1)/$B$5,0)+1</f>
        <v>8</v>
      </c>
      <c r="C42" s="45">
        <f t="shared" si="0"/>
        <v>4</v>
      </c>
      <c r="D42" s="45" t="b">
        <f>LineærRegression_Valg[[#This Row],[Afhængig variabel ID]]&lt;&gt;LineærRegression_Valg[[#This Row],[Uafhængig variabel ID]]</f>
        <v>1</v>
      </c>
      <c r="E42" t="b">
        <f>LineærRegression_Valg[[#This Row],[Afhængig variabel ID]]&lt;=$B$5</f>
        <v>0</v>
      </c>
      <c r="F42" t="str" cm="1">
        <f t="array" ref="F42">IF(LineærRegression_Valg[[#This Row],[Indenfor range]],INDEX(DataTitel_liste,LineærRegression_Valg[[#This Row],[Afhængig variabel ID]]),INDEX(DataTitel_liste,1))</f>
        <v>Eksempel 1 (interval)</v>
      </c>
      <c r="G42" s="45" t="str" cm="1">
        <f t="array" ref="G42">IF(LineærRegression_Valg[[#This Row],[Indenfor range]],IF(LineærRegression_Valg[[#This Row],[Intet overlap]],INDEX(DataTitel_liste,LineærRegression_Valg[[#This Row],[Uafhængig variabel ID]]),INDEX(DataTitel_liste,IF(LineærRegression_Valg[[#This Row],[Afhængig variabel ID]]=1,2,1))),$B$7)</f>
        <v>Eksempel 2 (interval)</v>
      </c>
      <c r="H42" s="45">
        <f>_xlfn.AGGREGATE(2,5,LineærRegression_Valg[[#This Row],[Tabel ID]])</f>
        <v>1</v>
      </c>
    </row>
    <row r="43" spans="1:8" x14ac:dyDescent="0.2">
      <c r="A43">
        <f>ROW(LineærRegression_Valg[[#This Row],[Tabel ID]])-ROW(LineærRegression_Valg[[#Headers],[Tabel ID]])</f>
        <v>33</v>
      </c>
      <c r="B43" s="45">
        <f>ROUNDDOWN((LineærRegression_Valg[[#This Row],[Tabel ID]]-1)/$B$5,0)+1</f>
        <v>9</v>
      </c>
      <c r="C43" s="45">
        <f t="shared" si="0"/>
        <v>1</v>
      </c>
      <c r="D43" s="45" t="b">
        <f>LineærRegression_Valg[[#This Row],[Afhængig variabel ID]]&lt;&gt;LineærRegression_Valg[[#This Row],[Uafhængig variabel ID]]</f>
        <v>1</v>
      </c>
      <c r="E43" t="b">
        <f>LineærRegression_Valg[[#This Row],[Afhængig variabel ID]]&lt;=$B$5</f>
        <v>0</v>
      </c>
      <c r="F43" t="str" cm="1">
        <f t="array" ref="F43">IF(LineærRegression_Valg[[#This Row],[Indenfor range]],INDEX(DataTitel_liste,LineærRegression_Valg[[#This Row],[Afhængig variabel ID]]),INDEX(DataTitel_liste,1))</f>
        <v>Eksempel 1 (interval)</v>
      </c>
      <c r="G43" s="45" t="str" cm="1">
        <f t="array" ref="G43">IF(LineærRegression_Valg[[#This Row],[Indenfor range]],IF(LineærRegression_Valg[[#This Row],[Intet overlap]],INDEX(DataTitel_liste,LineærRegression_Valg[[#This Row],[Uafhængig variabel ID]]),INDEX(DataTitel_liste,IF(LineærRegression_Valg[[#This Row],[Afhængig variabel ID]]=1,2,1))),$B$7)</f>
        <v>Eksempel 2 (interval)</v>
      </c>
      <c r="H43" s="45">
        <f>_xlfn.AGGREGATE(2,5,LineærRegression_Valg[[#This Row],[Tabel ID]])</f>
        <v>1</v>
      </c>
    </row>
    <row r="44" spans="1:8" x14ac:dyDescent="0.2">
      <c r="A44">
        <f>ROW(LineærRegression_Valg[[#This Row],[Tabel ID]])-ROW(LineærRegression_Valg[[#Headers],[Tabel ID]])</f>
        <v>34</v>
      </c>
      <c r="B44" s="45">
        <f>ROUNDDOWN((LineærRegression_Valg[[#This Row],[Tabel ID]]-1)/$B$5,0)+1</f>
        <v>9</v>
      </c>
      <c r="C44" s="45">
        <f t="shared" si="0"/>
        <v>2</v>
      </c>
      <c r="D44" s="45" t="b">
        <f>LineærRegression_Valg[[#This Row],[Afhængig variabel ID]]&lt;&gt;LineærRegression_Valg[[#This Row],[Uafhængig variabel ID]]</f>
        <v>1</v>
      </c>
      <c r="E44" t="b">
        <f>LineærRegression_Valg[[#This Row],[Afhængig variabel ID]]&lt;=$B$5</f>
        <v>0</v>
      </c>
      <c r="F44" t="str" cm="1">
        <f t="array" ref="F44">IF(LineærRegression_Valg[[#This Row],[Indenfor range]],INDEX(DataTitel_liste,LineærRegression_Valg[[#This Row],[Afhængig variabel ID]]),INDEX(DataTitel_liste,1))</f>
        <v>Eksempel 1 (interval)</v>
      </c>
      <c r="G44" s="45" t="str" cm="1">
        <f t="array" ref="G44">IF(LineærRegression_Valg[[#This Row],[Indenfor range]],IF(LineærRegression_Valg[[#This Row],[Intet overlap]],INDEX(DataTitel_liste,LineærRegression_Valg[[#This Row],[Uafhængig variabel ID]]),INDEX(DataTitel_liste,IF(LineærRegression_Valg[[#This Row],[Afhængig variabel ID]]=1,2,1))),$B$7)</f>
        <v>Eksempel 2 (interval)</v>
      </c>
      <c r="H44" s="45">
        <f>_xlfn.AGGREGATE(2,5,LineærRegression_Valg[[#This Row],[Tabel ID]])</f>
        <v>1</v>
      </c>
    </row>
    <row r="45" spans="1:8" x14ac:dyDescent="0.2">
      <c r="A45">
        <f>ROW(LineærRegression_Valg[[#This Row],[Tabel ID]])-ROW(LineærRegression_Valg[[#Headers],[Tabel ID]])</f>
        <v>35</v>
      </c>
      <c r="B45" s="45">
        <f>ROUNDDOWN((LineærRegression_Valg[[#This Row],[Tabel ID]]-1)/$B$5,0)+1</f>
        <v>9</v>
      </c>
      <c r="C45" s="45">
        <f t="shared" si="0"/>
        <v>3</v>
      </c>
      <c r="D45" s="45" t="b">
        <f>LineærRegression_Valg[[#This Row],[Afhængig variabel ID]]&lt;&gt;LineærRegression_Valg[[#This Row],[Uafhængig variabel ID]]</f>
        <v>1</v>
      </c>
      <c r="E45" t="b">
        <f>LineærRegression_Valg[[#This Row],[Afhængig variabel ID]]&lt;=$B$5</f>
        <v>0</v>
      </c>
      <c r="F45" t="str" cm="1">
        <f t="array" ref="F45">IF(LineærRegression_Valg[[#This Row],[Indenfor range]],INDEX(DataTitel_liste,LineærRegression_Valg[[#This Row],[Afhængig variabel ID]]),INDEX(DataTitel_liste,1))</f>
        <v>Eksempel 1 (interval)</v>
      </c>
      <c r="G45" s="45" t="str" cm="1">
        <f t="array" ref="G45">IF(LineærRegression_Valg[[#This Row],[Indenfor range]],IF(LineærRegression_Valg[[#This Row],[Intet overlap]],INDEX(DataTitel_liste,LineærRegression_Valg[[#This Row],[Uafhængig variabel ID]]),INDEX(DataTitel_liste,IF(LineærRegression_Valg[[#This Row],[Afhængig variabel ID]]=1,2,1))),$B$7)</f>
        <v>Eksempel 2 (interval)</v>
      </c>
      <c r="H45" s="45">
        <f>_xlfn.AGGREGATE(2,5,LineærRegression_Valg[[#This Row],[Tabel ID]])</f>
        <v>1</v>
      </c>
    </row>
    <row r="46" spans="1:8" x14ac:dyDescent="0.2">
      <c r="A46">
        <f>ROW(LineærRegression_Valg[[#This Row],[Tabel ID]])-ROW(LineærRegression_Valg[[#Headers],[Tabel ID]])</f>
        <v>36</v>
      </c>
      <c r="B46" s="45">
        <f>ROUNDDOWN((LineærRegression_Valg[[#This Row],[Tabel ID]]-1)/$B$5,0)+1</f>
        <v>9</v>
      </c>
      <c r="C46" s="45">
        <f t="shared" si="0"/>
        <v>4</v>
      </c>
      <c r="D46" s="45" t="b">
        <f>LineærRegression_Valg[[#This Row],[Afhængig variabel ID]]&lt;&gt;LineærRegression_Valg[[#This Row],[Uafhængig variabel ID]]</f>
        <v>1</v>
      </c>
      <c r="E46" t="b">
        <f>LineærRegression_Valg[[#This Row],[Afhængig variabel ID]]&lt;=$B$5</f>
        <v>0</v>
      </c>
      <c r="F46" t="str" cm="1">
        <f t="array" ref="F46">IF(LineærRegression_Valg[[#This Row],[Indenfor range]],INDEX(DataTitel_liste,LineærRegression_Valg[[#This Row],[Afhængig variabel ID]]),INDEX(DataTitel_liste,1))</f>
        <v>Eksempel 1 (interval)</v>
      </c>
      <c r="G46" s="45" t="str" cm="1">
        <f t="array" ref="G46">IF(LineærRegression_Valg[[#This Row],[Indenfor range]],IF(LineærRegression_Valg[[#This Row],[Intet overlap]],INDEX(DataTitel_liste,LineærRegression_Valg[[#This Row],[Uafhængig variabel ID]]),INDEX(DataTitel_liste,IF(LineærRegression_Valg[[#This Row],[Afhængig variabel ID]]=1,2,1))),$B$7)</f>
        <v>Eksempel 2 (interval)</v>
      </c>
      <c r="H46" s="45">
        <f>_xlfn.AGGREGATE(2,5,LineærRegression_Valg[[#This Row],[Tabel ID]])</f>
        <v>1</v>
      </c>
    </row>
    <row r="47" spans="1:8" x14ac:dyDescent="0.2">
      <c r="A47">
        <f>ROW(LineærRegression_Valg[[#This Row],[Tabel ID]])-ROW(LineærRegression_Valg[[#Headers],[Tabel ID]])</f>
        <v>37</v>
      </c>
      <c r="B47" s="45">
        <f>ROUNDDOWN((LineærRegression_Valg[[#This Row],[Tabel ID]]-1)/$B$5,0)+1</f>
        <v>10</v>
      </c>
      <c r="C47" s="45">
        <f t="shared" si="0"/>
        <v>1</v>
      </c>
      <c r="D47" s="45" t="b">
        <f>LineærRegression_Valg[[#This Row],[Afhængig variabel ID]]&lt;&gt;LineærRegression_Valg[[#This Row],[Uafhængig variabel ID]]</f>
        <v>1</v>
      </c>
      <c r="E47" t="b">
        <f>LineærRegression_Valg[[#This Row],[Afhængig variabel ID]]&lt;=$B$5</f>
        <v>0</v>
      </c>
      <c r="F47" t="str" cm="1">
        <f t="array" ref="F47">IF(LineærRegression_Valg[[#This Row],[Indenfor range]],INDEX(DataTitel_liste,LineærRegression_Valg[[#This Row],[Afhængig variabel ID]]),INDEX(DataTitel_liste,1))</f>
        <v>Eksempel 1 (interval)</v>
      </c>
      <c r="G47" s="45" t="str" cm="1">
        <f t="array" ref="G47">IF(LineærRegression_Valg[[#This Row],[Indenfor range]],IF(LineærRegression_Valg[[#This Row],[Intet overlap]],INDEX(DataTitel_liste,LineærRegression_Valg[[#This Row],[Uafhængig variabel ID]]),INDEX(DataTitel_liste,IF(LineærRegression_Valg[[#This Row],[Afhængig variabel ID]]=1,2,1))),$B$7)</f>
        <v>Eksempel 2 (interval)</v>
      </c>
      <c r="H47" s="45">
        <f>_xlfn.AGGREGATE(2,5,LineærRegression_Valg[[#This Row],[Tabel ID]])</f>
        <v>1</v>
      </c>
    </row>
    <row r="48" spans="1:8" x14ac:dyDescent="0.2">
      <c r="A48">
        <f>ROW(LineærRegression_Valg[[#This Row],[Tabel ID]])-ROW(LineærRegression_Valg[[#Headers],[Tabel ID]])</f>
        <v>38</v>
      </c>
      <c r="B48" s="45">
        <f>ROUNDDOWN((LineærRegression_Valg[[#This Row],[Tabel ID]]-1)/$B$5,0)+1</f>
        <v>10</v>
      </c>
      <c r="C48" s="45">
        <f t="shared" si="0"/>
        <v>2</v>
      </c>
      <c r="D48" s="45" t="b">
        <f>LineærRegression_Valg[[#This Row],[Afhængig variabel ID]]&lt;&gt;LineærRegression_Valg[[#This Row],[Uafhængig variabel ID]]</f>
        <v>1</v>
      </c>
      <c r="E48" t="b">
        <f>LineærRegression_Valg[[#This Row],[Afhængig variabel ID]]&lt;=$B$5</f>
        <v>0</v>
      </c>
      <c r="F48" t="str" cm="1">
        <f t="array" ref="F48">IF(LineærRegression_Valg[[#This Row],[Indenfor range]],INDEX(DataTitel_liste,LineærRegression_Valg[[#This Row],[Afhængig variabel ID]]),INDEX(DataTitel_liste,1))</f>
        <v>Eksempel 1 (interval)</v>
      </c>
      <c r="G48" s="45" t="str" cm="1">
        <f t="array" ref="G48">IF(LineærRegression_Valg[[#This Row],[Indenfor range]],IF(LineærRegression_Valg[[#This Row],[Intet overlap]],INDEX(DataTitel_liste,LineærRegression_Valg[[#This Row],[Uafhængig variabel ID]]),INDEX(DataTitel_liste,IF(LineærRegression_Valg[[#This Row],[Afhængig variabel ID]]=1,2,1))),$B$7)</f>
        <v>Eksempel 2 (interval)</v>
      </c>
      <c r="H48" s="45">
        <f>_xlfn.AGGREGATE(2,5,LineærRegression_Valg[[#This Row],[Tabel ID]])</f>
        <v>1</v>
      </c>
    </row>
    <row r="49" spans="1:8" x14ac:dyDescent="0.2">
      <c r="A49">
        <f>ROW(LineærRegression_Valg[[#This Row],[Tabel ID]])-ROW(LineærRegression_Valg[[#Headers],[Tabel ID]])</f>
        <v>39</v>
      </c>
      <c r="B49" s="45">
        <f>ROUNDDOWN((LineærRegression_Valg[[#This Row],[Tabel ID]]-1)/$B$5,0)+1</f>
        <v>10</v>
      </c>
      <c r="C49" s="45">
        <f t="shared" si="0"/>
        <v>3</v>
      </c>
      <c r="D49" s="45" t="b">
        <f>LineærRegression_Valg[[#This Row],[Afhængig variabel ID]]&lt;&gt;LineærRegression_Valg[[#This Row],[Uafhængig variabel ID]]</f>
        <v>1</v>
      </c>
      <c r="E49" t="b">
        <f>LineærRegression_Valg[[#This Row],[Afhængig variabel ID]]&lt;=$B$5</f>
        <v>0</v>
      </c>
      <c r="F49" t="str" cm="1">
        <f t="array" ref="F49">IF(LineærRegression_Valg[[#This Row],[Indenfor range]],INDEX(DataTitel_liste,LineærRegression_Valg[[#This Row],[Afhængig variabel ID]]),INDEX(DataTitel_liste,1))</f>
        <v>Eksempel 1 (interval)</v>
      </c>
      <c r="G49" s="45" t="str" cm="1">
        <f t="array" ref="G49">IF(LineærRegression_Valg[[#This Row],[Indenfor range]],IF(LineærRegression_Valg[[#This Row],[Intet overlap]],INDEX(DataTitel_liste,LineærRegression_Valg[[#This Row],[Uafhængig variabel ID]]),INDEX(DataTitel_liste,IF(LineærRegression_Valg[[#This Row],[Afhængig variabel ID]]=1,2,1))),$B$7)</f>
        <v>Eksempel 2 (interval)</v>
      </c>
      <c r="H49" s="45">
        <f>_xlfn.AGGREGATE(2,5,LineærRegression_Valg[[#This Row],[Tabel ID]])</f>
        <v>1</v>
      </c>
    </row>
    <row r="50" spans="1:8" x14ac:dyDescent="0.2">
      <c r="A50">
        <f>ROW(LineærRegression_Valg[[#This Row],[Tabel ID]])-ROW(LineærRegression_Valg[[#Headers],[Tabel ID]])</f>
        <v>40</v>
      </c>
      <c r="B50" s="45">
        <f>ROUNDDOWN((LineærRegression_Valg[[#This Row],[Tabel ID]]-1)/$B$5,0)+1</f>
        <v>10</v>
      </c>
      <c r="C50" s="45">
        <f t="shared" si="0"/>
        <v>4</v>
      </c>
      <c r="D50" s="45" t="b">
        <f>LineærRegression_Valg[[#This Row],[Afhængig variabel ID]]&lt;&gt;LineærRegression_Valg[[#This Row],[Uafhængig variabel ID]]</f>
        <v>1</v>
      </c>
      <c r="E50" t="b">
        <f>LineærRegression_Valg[[#This Row],[Afhængig variabel ID]]&lt;=$B$5</f>
        <v>0</v>
      </c>
      <c r="F50" t="str" cm="1">
        <f t="array" ref="F50">IF(LineærRegression_Valg[[#This Row],[Indenfor range]],INDEX(DataTitel_liste,LineærRegression_Valg[[#This Row],[Afhængig variabel ID]]),INDEX(DataTitel_liste,1))</f>
        <v>Eksempel 1 (interval)</v>
      </c>
      <c r="G50" s="45" t="str" cm="1">
        <f t="array" ref="G50">IF(LineærRegression_Valg[[#This Row],[Indenfor range]],IF(LineærRegression_Valg[[#This Row],[Intet overlap]],INDEX(DataTitel_liste,LineærRegression_Valg[[#This Row],[Uafhængig variabel ID]]),INDEX(DataTitel_liste,IF(LineærRegression_Valg[[#This Row],[Afhængig variabel ID]]=1,2,1))),$B$7)</f>
        <v>Eksempel 2 (interval)</v>
      </c>
      <c r="H50" s="45">
        <f>_xlfn.AGGREGATE(2,5,LineærRegression_Valg[[#This Row],[Tabel ID]])</f>
        <v>1</v>
      </c>
    </row>
    <row r="51" spans="1:8" x14ac:dyDescent="0.2">
      <c r="A51">
        <f>ROW(LineærRegression_Valg[[#This Row],[Tabel ID]])-ROW(LineærRegression_Valg[[#Headers],[Tabel ID]])</f>
        <v>41</v>
      </c>
      <c r="B51" s="45">
        <f>ROUNDDOWN((LineærRegression_Valg[[#This Row],[Tabel ID]]-1)/$B$5,0)+1</f>
        <v>11</v>
      </c>
      <c r="C51" s="45">
        <f t="shared" si="0"/>
        <v>1</v>
      </c>
      <c r="D51" s="45" t="b">
        <f>LineærRegression_Valg[[#This Row],[Afhængig variabel ID]]&lt;&gt;LineærRegression_Valg[[#This Row],[Uafhængig variabel ID]]</f>
        <v>1</v>
      </c>
      <c r="E51" t="b">
        <f>LineærRegression_Valg[[#This Row],[Afhængig variabel ID]]&lt;=$B$5</f>
        <v>0</v>
      </c>
      <c r="F51" t="str" cm="1">
        <f t="array" ref="F51">IF(LineærRegression_Valg[[#This Row],[Indenfor range]],INDEX(DataTitel_liste,LineærRegression_Valg[[#This Row],[Afhængig variabel ID]]),INDEX(DataTitel_liste,1))</f>
        <v>Eksempel 1 (interval)</v>
      </c>
      <c r="G51" s="45" t="str" cm="1">
        <f t="array" ref="G51">IF(LineærRegression_Valg[[#This Row],[Indenfor range]],IF(LineærRegression_Valg[[#This Row],[Intet overlap]],INDEX(DataTitel_liste,LineærRegression_Valg[[#This Row],[Uafhængig variabel ID]]),INDEX(DataTitel_liste,IF(LineærRegression_Valg[[#This Row],[Afhængig variabel ID]]=1,2,1))),$B$7)</f>
        <v>Eksempel 2 (interval)</v>
      </c>
      <c r="H51" s="45">
        <f>_xlfn.AGGREGATE(2,5,LineærRegression_Valg[[#This Row],[Tabel ID]])</f>
        <v>1</v>
      </c>
    </row>
    <row r="52" spans="1:8" x14ac:dyDescent="0.2">
      <c r="A52">
        <f>ROW(LineærRegression_Valg[[#This Row],[Tabel ID]])-ROW(LineærRegression_Valg[[#Headers],[Tabel ID]])</f>
        <v>42</v>
      </c>
      <c r="B52" s="45">
        <f>ROUNDDOWN((LineærRegression_Valg[[#This Row],[Tabel ID]]-1)/$B$5,0)+1</f>
        <v>11</v>
      </c>
      <c r="C52" s="45">
        <f t="shared" si="0"/>
        <v>2</v>
      </c>
      <c r="D52" s="45" t="b">
        <f>LineærRegression_Valg[[#This Row],[Afhængig variabel ID]]&lt;&gt;LineærRegression_Valg[[#This Row],[Uafhængig variabel ID]]</f>
        <v>1</v>
      </c>
      <c r="E52" t="b">
        <f>LineærRegression_Valg[[#This Row],[Afhængig variabel ID]]&lt;=$B$5</f>
        <v>0</v>
      </c>
      <c r="F52" t="str" cm="1">
        <f t="array" ref="F52">IF(LineærRegression_Valg[[#This Row],[Indenfor range]],INDEX(DataTitel_liste,LineærRegression_Valg[[#This Row],[Afhængig variabel ID]]),INDEX(DataTitel_liste,1))</f>
        <v>Eksempel 1 (interval)</v>
      </c>
      <c r="G52" s="45" t="str" cm="1">
        <f t="array" ref="G52">IF(LineærRegression_Valg[[#This Row],[Indenfor range]],IF(LineærRegression_Valg[[#This Row],[Intet overlap]],INDEX(DataTitel_liste,LineærRegression_Valg[[#This Row],[Uafhængig variabel ID]]),INDEX(DataTitel_liste,IF(LineærRegression_Valg[[#This Row],[Afhængig variabel ID]]=1,2,1))),$B$7)</f>
        <v>Eksempel 2 (interval)</v>
      </c>
      <c r="H52" s="45">
        <f>_xlfn.AGGREGATE(2,5,LineærRegression_Valg[[#This Row],[Tabel ID]])</f>
        <v>1</v>
      </c>
    </row>
    <row r="53" spans="1:8" x14ac:dyDescent="0.2">
      <c r="A53">
        <f>ROW(LineærRegression_Valg[[#This Row],[Tabel ID]])-ROW(LineærRegression_Valg[[#Headers],[Tabel ID]])</f>
        <v>43</v>
      </c>
      <c r="B53" s="45">
        <f>ROUNDDOWN((LineærRegression_Valg[[#This Row],[Tabel ID]]-1)/$B$5,0)+1</f>
        <v>11</v>
      </c>
      <c r="C53" s="45">
        <f t="shared" si="0"/>
        <v>3</v>
      </c>
      <c r="D53" s="45" t="b">
        <f>LineærRegression_Valg[[#This Row],[Afhængig variabel ID]]&lt;&gt;LineærRegression_Valg[[#This Row],[Uafhængig variabel ID]]</f>
        <v>1</v>
      </c>
      <c r="E53" t="b">
        <f>LineærRegression_Valg[[#This Row],[Afhængig variabel ID]]&lt;=$B$5</f>
        <v>0</v>
      </c>
      <c r="F53" t="str" cm="1">
        <f t="array" ref="F53">IF(LineærRegression_Valg[[#This Row],[Indenfor range]],INDEX(DataTitel_liste,LineærRegression_Valg[[#This Row],[Afhængig variabel ID]]),INDEX(DataTitel_liste,1))</f>
        <v>Eksempel 1 (interval)</v>
      </c>
      <c r="G53" s="45" t="str" cm="1">
        <f t="array" ref="G53">IF(LineærRegression_Valg[[#This Row],[Indenfor range]],IF(LineærRegression_Valg[[#This Row],[Intet overlap]],INDEX(DataTitel_liste,LineærRegression_Valg[[#This Row],[Uafhængig variabel ID]]),INDEX(DataTitel_liste,IF(LineærRegression_Valg[[#This Row],[Afhængig variabel ID]]=1,2,1))),$B$7)</f>
        <v>Eksempel 2 (interval)</v>
      </c>
      <c r="H53" s="45">
        <f>_xlfn.AGGREGATE(2,5,LineærRegression_Valg[[#This Row],[Tabel ID]])</f>
        <v>1</v>
      </c>
    </row>
    <row r="54" spans="1:8" x14ac:dyDescent="0.2">
      <c r="A54">
        <f>ROW(LineærRegression_Valg[[#This Row],[Tabel ID]])-ROW(LineærRegression_Valg[[#Headers],[Tabel ID]])</f>
        <v>44</v>
      </c>
      <c r="B54" s="45">
        <f>ROUNDDOWN((LineærRegression_Valg[[#This Row],[Tabel ID]]-1)/$B$5,0)+1</f>
        <v>11</v>
      </c>
      <c r="C54" s="45">
        <f t="shared" si="0"/>
        <v>4</v>
      </c>
      <c r="D54" s="45" t="b">
        <f>LineærRegression_Valg[[#This Row],[Afhængig variabel ID]]&lt;&gt;LineærRegression_Valg[[#This Row],[Uafhængig variabel ID]]</f>
        <v>1</v>
      </c>
      <c r="E54" t="b">
        <f>LineærRegression_Valg[[#This Row],[Afhængig variabel ID]]&lt;=$B$5</f>
        <v>0</v>
      </c>
      <c r="F54" t="str" cm="1">
        <f t="array" ref="F54">IF(LineærRegression_Valg[[#This Row],[Indenfor range]],INDEX(DataTitel_liste,LineærRegression_Valg[[#This Row],[Afhængig variabel ID]]),INDEX(DataTitel_liste,1))</f>
        <v>Eksempel 1 (interval)</v>
      </c>
      <c r="G54" s="45" t="str" cm="1">
        <f t="array" ref="G54">IF(LineærRegression_Valg[[#This Row],[Indenfor range]],IF(LineærRegression_Valg[[#This Row],[Intet overlap]],INDEX(DataTitel_liste,LineærRegression_Valg[[#This Row],[Uafhængig variabel ID]]),INDEX(DataTitel_liste,IF(LineærRegression_Valg[[#This Row],[Afhængig variabel ID]]=1,2,1))),$B$7)</f>
        <v>Eksempel 2 (interval)</v>
      </c>
      <c r="H54" s="45">
        <f>_xlfn.AGGREGATE(2,5,LineærRegression_Valg[[#This Row],[Tabel ID]])</f>
        <v>1</v>
      </c>
    </row>
    <row r="55" spans="1:8" x14ac:dyDescent="0.2">
      <c r="A55">
        <f>ROW(LineærRegression_Valg[[#This Row],[Tabel ID]])-ROW(LineærRegression_Valg[[#Headers],[Tabel ID]])</f>
        <v>45</v>
      </c>
      <c r="B55" s="45">
        <f>ROUNDDOWN((LineærRegression_Valg[[#This Row],[Tabel ID]]-1)/$B$5,0)+1</f>
        <v>12</v>
      </c>
      <c r="C55" s="45">
        <f t="shared" si="0"/>
        <v>1</v>
      </c>
      <c r="D55" s="45" t="b">
        <f>LineærRegression_Valg[[#This Row],[Afhængig variabel ID]]&lt;&gt;LineærRegression_Valg[[#This Row],[Uafhængig variabel ID]]</f>
        <v>1</v>
      </c>
      <c r="E55" t="b">
        <f>LineærRegression_Valg[[#This Row],[Afhængig variabel ID]]&lt;=$B$5</f>
        <v>0</v>
      </c>
      <c r="F55" t="str" cm="1">
        <f t="array" ref="F55">IF(LineærRegression_Valg[[#This Row],[Indenfor range]],INDEX(DataTitel_liste,LineærRegression_Valg[[#This Row],[Afhængig variabel ID]]),INDEX(DataTitel_liste,1))</f>
        <v>Eksempel 1 (interval)</v>
      </c>
      <c r="G55" s="45" t="str" cm="1">
        <f t="array" ref="G55">IF(LineærRegression_Valg[[#This Row],[Indenfor range]],IF(LineærRegression_Valg[[#This Row],[Intet overlap]],INDEX(DataTitel_liste,LineærRegression_Valg[[#This Row],[Uafhængig variabel ID]]),INDEX(DataTitel_liste,IF(LineærRegression_Valg[[#This Row],[Afhængig variabel ID]]=1,2,1))),$B$7)</f>
        <v>Eksempel 2 (interval)</v>
      </c>
      <c r="H55" s="45">
        <f>_xlfn.AGGREGATE(2,5,LineærRegression_Valg[[#This Row],[Tabel ID]])</f>
        <v>1</v>
      </c>
    </row>
    <row r="56" spans="1:8" x14ac:dyDescent="0.2">
      <c r="A56">
        <f>ROW(LineærRegression_Valg[[#This Row],[Tabel ID]])-ROW(LineærRegression_Valg[[#Headers],[Tabel ID]])</f>
        <v>46</v>
      </c>
      <c r="B56" s="45">
        <f>ROUNDDOWN((LineærRegression_Valg[[#This Row],[Tabel ID]]-1)/$B$5,0)+1</f>
        <v>12</v>
      </c>
      <c r="C56" s="45">
        <f t="shared" si="0"/>
        <v>2</v>
      </c>
      <c r="D56" s="45" t="b">
        <f>LineærRegression_Valg[[#This Row],[Afhængig variabel ID]]&lt;&gt;LineærRegression_Valg[[#This Row],[Uafhængig variabel ID]]</f>
        <v>1</v>
      </c>
      <c r="E56" t="b">
        <f>LineærRegression_Valg[[#This Row],[Afhængig variabel ID]]&lt;=$B$5</f>
        <v>0</v>
      </c>
      <c r="F56" t="str" cm="1">
        <f t="array" ref="F56">IF(LineærRegression_Valg[[#This Row],[Indenfor range]],INDEX(DataTitel_liste,LineærRegression_Valg[[#This Row],[Afhængig variabel ID]]),INDEX(DataTitel_liste,1))</f>
        <v>Eksempel 1 (interval)</v>
      </c>
      <c r="G56" s="45" t="str" cm="1">
        <f t="array" ref="G56">IF(LineærRegression_Valg[[#This Row],[Indenfor range]],IF(LineærRegression_Valg[[#This Row],[Intet overlap]],INDEX(DataTitel_liste,LineærRegression_Valg[[#This Row],[Uafhængig variabel ID]]),INDEX(DataTitel_liste,IF(LineærRegression_Valg[[#This Row],[Afhængig variabel ID]]=1,2,1))),$B$7)</f>
        <v>Eksempel 2 (interval)</v>
      </c>
      <c r="H56" s="45">
        <f>_xlfn.AGGREGATE(2,5,LineærRegression_Valg[[#This Row],[Tabel ID]])</f>
        <v>1</v>
      </c>
    </row>
    <row r="57" spans="1:8" x14ac:dyDescent="0.2">
      <c r="A57">
        <f>ROW(LineærRegression_Valg[[#This Row],[Tabel ID]])-ROW(LineærRegression_Valg[[#Headers],[Tabel ID]])</f>
        <v>47</v>
      </c>
      <c r="B57" s="45">
        <f>ROUNDDOWN((LineærRegression_Valg[[#This Row],[Tabel ID]]-1)/$B$5,0)+1</f>
        <v>12</v>
      </c>
      <c r="C57" s="45">
        <f t="shared" si="0"/>
        <v>3</v>
      </c>
      <c r="D57" s="45" t="b">
        <f>LineærRegression_Valg[[#This Row],[Afhængig variabel ID]]&lt;&gt;LineærRegression_Valg[[#This Row],[Uafhængig variabel ID]]</f>
        <v>1</v>
      </c>
      <c r="E57" t="b">
        <f>LineærRegression_Valg[[#This Row],[Afhængig variabel ID]]&lt;=$B$5</f>
        <v>0</v>
      </c>
      <c r="F57" t="str" cm="1">
        <f t="array" ref="F57">IF(LineærRegression_Valg[[#This Row],[Indenfor range]],INDEX(DataTitel_liste,LineærRegression_Valg[[#This Row],[Afhængig variabel ID]]),INDEX(DataTitel_liste,1))</f>
        <v>Eksempel 1 (interval)</v>
      </c>
      <c r="G57" s="45" t="str" cm="1">
        <f t="array" ref="G57">IF(LineærRegression_Valg[[#This Row],[Indenfor range]],IF(LineærRegression_Valg[[#This Row],[Intet overlap]],INDEX(DataTitel_liste,LineærRegression_Valg[[#This Row],[Uafhængig variabel ID]]),INDEX(DataTitel_liste,IF(LineærRegression_Valg[[#This Row],[Afhængig variabel ID]]=1,2,1))),$B$7)</f>
        <v>Eksempel 2 (interval)</v>
      </c>
      <c r="H57" s="45">
        <f>_xlfn.AGGREGATE(2,5,LineærRegression_Valg[[#This Row],[Tabel ID]])</f>
        <v>1</v>
      </c>
    </row>
    <row r="58" spans="1:8" x14ac:dyDescent="0.2">
      <c r="A58">
        <f>ROW(LineærRegression_Valg[[#This Row],[Tabel ID]])-ROW(LineærRegression_Valg[[#Headers],[Tabel ID]])</f>
        <v>48</v>
      </c>
      <c r="B58" s="45">
        <f>ROUNDDOWN((LineærRegression_Valg[[#This Row],[Tabel ID]]-1)/$B$5,0)+1</f>
        <v>12</v>
      </c>
      <c r="C58" s="45">
        <f t="shared" si="0"/>
        <v>4</v>
      </c>
      <c r="D58" s="45" t="b">
        <f>LineærRegression_Valg[[#This Row],[Afhængig variabel ID]]&lt;&gt;LineærRegression_Valg[[#This Row],[Uafhængig variabel ID]]</f>
        <v>1</v>
      </c>
      <c r="E58" t="b">
        <f>LineærRegression_Valg[[#This Row],[Afhængig variabel ID]]&lt;=$B$5</f>
        <v>0</v>
      </c>
      <c r="F58" t="str" cm="1">
        <f t="array" ref="F58">IF(LineærRegression_Valg[[#This Row],[Indenfor range]],INDEX(DataTitel_liste,LineærRegression_Valg[[#This Row],[Afhængig variabel ID]]),INDEX(DataTitel_liste,1))</f>
        <v>Eksempel 1 (interval)</v>
      </c>
      <c r="G58" s="45" t="str" cm="1">
        <f t="array" ref="G58">IF(LineærRegression_Valg[[#This Row],[Indenfor range]],IF(LineærRegression_Valg[[#This Row],[Intet overlap]],INDEX(DataTitel_liste,LineærRegression_Valg[[#This Row],[Uafhængig variabel ID]]),INDEX(DataTitel_liste,IF(LineærRegression_Valg[[#This Row],[Afhængig variabel ID]]=1,2,1))),$B$7)</f>
        <v>Eksempel 2 (interval)</v>
      </c>
      <c r="H58" s="45">
        <f>_xlfn.AGGREGATE(2,5,LineærRegression_Valg[[#This Row],[Tabel ID]])</f>
        <v>1</v>
      </c>
    </row>
    <row r="59" spans="1:8" x14ac:dyDescent="0.2">
      <c r="A59">
        <f>ROW(LineærRegression_Valg[[#This Row],[Tabel ID]])-ROW(LineærRegression_Valg[[#Headers],[Tabel ID]])</f>
        <v>49</v>
      </c>
      <c r="B59" s="45">
        <f>ROUNDDOWN((LineærRegression_Valg[[#This Row],[Tabel ID]]-1)/$B$5,0)+1</f>
        <v>13</v>
      </c>
      <c r="C59" s="45">
        <f t="shared" si="0"/>
        <v>1</v>
      </c>
      <c r="D59" s="45" t="b">
        <f>LineærRegression_Valg[[#This Row],[Afhængig variabel ID]]&lt;&gt;LineærRegression_Valg[[#This Row],[Uafhængig variabel ID]]</f>
        <v>1</v>
      </c>
      <c r="E59" t="b">
        <f>LineærRegression_Valg[[#This Row],[Afhængig variabel ID]]&lt;=$B$5</f>
        <v>0</v>
      </c>
      <c r="F59" t="str" cm="1">
        <f t="array" ref="F59">IF(LineærRegression_Valg[[#This Row],[Indenfor range]],INDEX(DataTitel_liste,LineærRegression_Valg[[#This Row],[Afhængig variabel ID]]),INDEX(DataTitel_liste,1))</f>
        <v>Eksempel 1 (interval)</v>
      </c>
      <c r="G59" s="45" t="str" cm="1">
        <f t="array" ref="G59">IF(LineærRegression_Valg[[#This Row],[Indenfor range]],IF(LineærRegression_Valg[[#This Row],[Intet overlap]],INDEX(DataTitel_liste,LineærRegression_Valg[[#This Row],[Uafhængig variabel ID]]),INDEX(DataTitel_liste,IF(LineærRegression_Valg[[#This Row],[Afhængig variabel ID]]=1,2,1))),$B$7)</f>
        <v>Eksempel 2 (interval)</v>
      </c>
      <c r="H59" s="45">
        <f>_xlfn.AGGREGATE(2,5,LineærRegression_Valg[[#This Row],[Tabel ID]])</f>
        <v>1</v>
      </c>
    </row>
    <row r="60" spans="1:8" x14ac:dyDescent="0.2">
      <c r="A60">
        <f>ROW(LineærRegression_Valg[[#This Row],[Tabel ID]])-ROW(LineærRegression_Valg[[#Headers],[Tabel ID]])</f>
        <v>50</v>
      </c>
      <c r="B60" s="45">
        <f>ROUNDDOWN((LineærRegression_Valg[[#This Row],[Tabel ID]]-1)/$B$5,0)+1</f>
        <v>13</v>
      </c>
      <c r="C60" s="45">
        <f t="shared" si="0"/>
        <v>2</v>
      </c>
      <c r="D60" s="45" t="b">
        <f>LineærRegression_Valg[[#This Row],[Afhængig variabel ID]]&lt;&gt;LineærRegression_Valg[[#This Row],[Uafhængig variabel ID]]</f>
        <v>1</v>
      </c>
      <c r="E60" t="b">
        <f>LineærRegression_Valg[[#This Row],[Afhængig variabel ID]]&lt;=$B$5</f>
        <v>0</v>
      </c>
      <c r="F60" t="str" cm="1">
        <f t="array" ref="F60">IF(LineærRegression_Valg[[#This Row],[Indenfor range]],INDEX(DataTitel_liste,LineærRegression_Valg[[#This Row],[Afhængig variabel ID]]),INDEX(DataTitel_liste,1))</f>
        <v>Eksempel 1 (interval)</v>
      </c>
      <c r="G60" s="45" t="str" cm="1">
        <f t="array" ref="G60">IF(LineærRegression_Valg[[#This Row],[Indenfor range]],IF(LineærRegression_Valg[[#This Row],[Intet overlap]],INDEX(DataTitel_liste,LineærRegression_Valg[[#This Row],[Uafhængig variabel ID]]),INDEX(DataTitel_liste,IF(LineærRegression_Valg[[#This Row],[Afhængig variabel ID]]=1,2,1))),$B$7)</f>
        <v>Eksempel 2 (interval)</v>
      </c>
      <c r="H60" s="45">
        <f>_xlfn.AGGREGATE(2,5,LineærRegression_Valg[[#This Row],[Tabel ID]])</f>
        <v>1</v>
      </c>
    </row>
    <row r="61" spans="1:8" x14ac:dyDescent="0.2">
      <c r="A61">
        <f>ROW(LineærRegression_Valg[[#This Row],[Tabel ID]])-ROW(LineærRegression_Valg[[#Headers],[Tabel ID]])</f>
        <v>51</v>
      </c>
      <c r="B61" s="45">
        <f>ROUNDDOWN((LineærRegression_Valg[[#This Row],[Tabel ID]]-1)/$B$5,0)+1</f>
        <v>13</v>
      </c>
      <c r="C61" s="45">
        <f t="shared" si="0"/>
        <v>3</v>
      </c>
      <c r="D61" s="45" t="b">
        <f>LineærRegression_Valg[[#This Row],[Afhængig variabel ID]]&lt;&gt;LineærRegression_Valg[[#This Row],[Uafhængig variabel ID]]</f>
        <v>1</v>
      </c>
      <c r="E61" t="b">
        <f>LineærRegression_Valg[[#This Row],[Afhængig variabel ID]]&lt;=$B$5</f>
        <v>0</v>
      </c>
      <c r="F61" t="str" cm="1">
        <f t="array" ref="F61">IF(LineærRegression_Valg[[#This Row],[Indenfor range]],INDEX(DataTitel_liste,LineærRegression_Valg[[#This Row],[Afhængig variabel ID]]),INDEX(DataTitel_liste,1))</f>
        <v>Eksempel 1 (interval)</v>
      </c>
      <c r="G61" s="45" t="str" cm="1">
        <f t="array" ref="G61">IF(LineærRegression_Valg[[#This Row],[Indenfor range]],IF(LineærRegression_Valg[[#This Row],[Intet overlap]],INDEX(DataTitel_liste,LineærRegression_Valg[[#This Row],[Uafhængig variabel ID]]),INDEX(DataTitel_liste,IF(LineærRegression_Valg[[#This Row],[Afhængig variabel ID]]=1,2,1))),$B$7)</f>
        <v>Eksempel 2 (interval)</v>
      </c>
      <c r="H61" s="45">
        <f>_xlfn.AGGREGATE(2,5,LineærRegression_Valg[[#This Row],[Tabel ID]])</f>
        <v>1</v>
      </c>
    </row>
    <row r="62" spans="1:8" x14ac:dyDescent="0.2">
      <c r="A62">
        <f>ROW(LineærRegression_Valg[[#This Row],[Tabel ID]])-ROW(LineærRegression_Valg[[#Headers],[Tabel ID]])</f>
        <v>52</v>
      </c>
      <c r="B62" s="45">
        <f>ROUNDDOWN((LineærRegression_Valg[[#This Row],[Tabel ID]]-1)/$B$5,0)+1</f>
        <v>13</v>
      </c>
      <c r="C62" s="45">
        <f t="shared" si="0"/>
        <v>4</v>
      </c>
      <c r="D62" s="45" t="b">
        <f>LineærRegression_Valg[[#This Row],[Afhængig variabel ID]]&lt;&gt;LineærRegression_Valg[[#This Row],[Uafhængig variabel ID]]</f>
        <v>1</v>
      </c>
      <c r="E62" t="b">
        <f>LineærRegression_Valg[[#This Row],[Afhængig variabel ID]]&lt;=$B$5</f>
        <v>0</v>
      </c>
      <c r="F62" t="str" cm="1">
        <f t="array" ref="F62">IF(LineærRegression_Valg[[#This Row],[Indenfor range]],INDEX(DataTitel_liste,LineærRegression_Valg[[#This Row],[Afhængig variabel ID]]),INDEX(DataTitel_liste,1))</f>
        <v>Eksempel 1 (interval)</v>
      </c>
      <c r="G62" s="45" t="str" cm="1">
        <f t="array" ref="G62">IF(LineærRegression_Valg[[#This Row],[Indenfor range]],IF(LineærRegression_Valg[[#This Row],[Intet overlap]],INDEX(DataTitel_liste,LineærRegression_Valg[[#This Row],[Uafhængig variabel ID]]),INDEX(DataTitel_liste,IF(LineærRegression_Valg[[#This Row],[Afhængig variabel ID]]=1,2,1))),$B$7)</f>
        <v>Eksempel 2 (interval)</v>
      </c>
      <c r="H62" s="45">
        <f>_xlfn.AGGREGATE(2,5,LineærRegression_Valg[[#This Row],[Tabel ID]])</f>
        <v>1</v>
      </c>
    </row>
    <row r="63" spans="1:8" x14ac:dyDescent="0.2">
      <c r="A63">
        <f>ROW(LineærRegression_Valg[[#This Row],[Tabel ID]])-ROW(LineærRegression_Valg[[#Headers],[Tabel ID]])</f>
        <v>53</v>
      </c>
      <c r="B63" s="45">
        <f>ROUNDDOWN((LineærRegression_Valg[[#This Row],[Tabel ID]]-1)/$B$5,0)+1</f>
        <v>14</v>
      </c>
      <c r="C63" s="45">
        <f t="shared" si="0"/>
        <v>1</v>
      </c>
      <c r="D63" s="45" t="b">
        <f>LineærRegression_Valg[[#This Row],[Afhængig variabel ID]]&lt;&gt;LineærRegression_Valg[[#This Row],[Uafhængig variabel ID]]</f>
        <v>1</v>
      </c>
      <c r="E63" t="b">
        <f>LineærRegression_Valg[[#This Row],[Afhængig variabel ID]]&lt;=$B$5</f>
        <v>0</v>
      </c>
      <c r="F63" t="str" cm="1">
        <f t="array" ref="F63">IF(LineærRegression_Valg[[#This Row],[Indenfor range]],INDEX(DataTitel_liste,LineærRegression_Valg[[#This Row],[Afhængig variabel ID]]),INDEX(DataTitel_liste,1))</f>
        <v>Eksempel 1 (interval)</v>
      </c>
      <c r="G63" s="45" t="str" cm="1">
        <f t="array" ref="G63">IF(LineærRegression_Valg[[#This Row],[Indenfor range]],IF(LineærRegression_Valg[[#This Row],[Intet overlap]],INDEX(DataTitel_liste,LineærRegression_Valg[[#This Row],[Uafhængig variabel ID]]),INDEX(DataTitel_liste,IF(LineærRegression_Valg[[#This Row],[Afhængig variabel ID]]=1,2,1))),$B$7)</f>
        <v>Eksempel 2 (interval)</v>
      </c>
      <c r="H63" s="45">
        <f>_xlfn.AGGREGATE(2,5,LineærRegression_Valg[[#This Row],[Tabel ID]])</f>
        <v>1</v>
      </c>
    </row>
    <row r="64" spans="1:8" x14ac:dyDescent="0.2">
      <c r="A64">
        <f>ROW(LineærRegression_Valg[[#This Row],[Tabel ID]])-ROW(LineærRegression_Valg[[#Headers],[Tabel ID]])</f>
        <v>54</v>
      </c>
      <c r="B64" s="45">
        <f>ROUNDDOWN((LineærRegression_Valg[[#This Row],[Tabel ID]]-1)/$B$5,0)+1</f>
        <v>14</v>
      </c>
      <c r="C64" s="45">
        <f t="shared" si="0"/>
        <v>2</v>
      </c>
      <c r="D64" s="45" t="b">
        <f>LineærRegression_Valg[[#This Row],[Afhængig variabel ID]]&lt;&gt;LineærRegression_Valg[[#This Row],[Uafhængig variabel ID]]</f>
        <v>1</v>
      </c>
      <c r="E64" t="b">
        <f>LineærRegression_Valg[[#This Row],[Afhængig variabel ID]]&lt;=$B$5</f>
        <v>0</v>
      </c>
      <c r="F64" t="str" cm="1">
        <f t="array" ref="F64">IF(LineærRegression_Valg[[#This Row],[Indenfor range]],INDEX(DataTitel_liste,LineærRegression_Valg[[#This Row],[Afhængig variabel ID]]),INDEX(DataTitel_liste,1))</f>
        <v>Eksempel 1 (interval)</v>
      </c>
      <c r="G64" s="45" t="str" cm="1">
        <f t="array" ref="G64">IF(LineærRegression_Valg[[#This Row],[Indenfor range]],IF(LineærRegression_Valg[[#This Row],[Intet overlap]],INDEX(DataTitel_liste,LineærRegression_Valg[[#This Row],[Uafhængig variabel ID]]),INDEX(DataTitel_liste,IF(LineærRegression_Valg[[#This Row],[Afhængig variabel ID]]=1,2,1))),$B$7)</f>
        <v>Eksempel 2 (interval)</v>
      </c>
      <c r="H64" s="45">
        <f>_xlfn.AGGREGATE(2,5,LineærRegression_Valg[[#This Row],[Tabel ID]])</f>
        <v>1</v>
      </c>
    </row>
    <row r="65" spans="1:8" x14ac:dyDescent="0.2">
      <c r="A65">
        <f>ROW(LineærRegression_Valg[[#This Row],[Tabel ID]])-ROW(LineærRegression_Valg[[#Headers],[Tabel ID]])</f>
        <v>55</v>
      </c>
      <c r="B65" s="45">
        <f>ROUNDDOWN((LineærRegression_Valg[[#This Row],[Tabel ID]]-1)/$B$5,0)+1</f>
        <v>14</v>
      </c>
      <c r="C65" s="45">
        <f t="shared" si="0"/>
        <v>3</v>
      </c>
      <c r="D65" s="45" t="b">
        <f>LineærRegression_Valg[[#This Row],[Afhængig variabel ID]]&lt;&gt;LineærRegression_Valg[[#This Row],[Uafhængig variabel ID]]</f>
        <v>1</v>
      </c>
      <c r="E65" t="b">
        <f>LineærRegression_Valg[[#This Row],[Afhængig variabel ID]]&lt;=$B$5</f>
        <v>0</v>
      </c>
      <c r="F65" t="str" cm="1">
        <f t="array" ref="F65">IF(LineærRegression_Valg[[#This Row],[Indenfor range]],INDEX(DataTitel_liste,LineærRegression_Valg[[#This Row],[Afhængig variabel ID]]),INDEX(DataTitel_liste,1))</f>
        <v>Eksempel 1 (interval)</v>
      </c>
      <c r="G65" s="45" t="str" cm="1">
        <f t="array" ref="G65">IF(LineærRegression_Valg[[#This Row],[Indenfor range]],IF(LineærRegression_Valg[[#This Row],[Intet overlap]],INDEX(DataTitel_liste,LineærRegression_Valg[[#This Row],[Uafhængig variabel ID]]),INDEX(DataTitel_liste,IF(LineærRegression_Valg[[#This Row],[Afhængig variabel ID]]=1,2,1))),$B$7)</f>
        <v>Eksempel 2 (interval)</v>
      </c>
      <c r="H65" s="45">
        <f>_xlfn.AGGREGATE(2,5,LineærRegression_Valg[[#This Row],[Tabel ID]])</f>
        <v>1</v>
      </c>
    </row>
    <row r="66" spans="1:8" x14ac:dyDescent="0.2">
      <c r="A66">
        <f>ROW(LineærRegression_Valg[[#This Row],[Tabel ID]])-ROW(LineærRegression_Valg[[#Headers],[Tabel ID]])</f>
        <v>56</v>
      </c>
      <c r="B66" s="45">
        <f>ROUNDDOWN((LineærRegression_Valg[[#This Row],[Tabel ID]]-1)/$B$5,0)+1</f>
        <v>14</v>
      </c>
      <c r="C66" s="45">
        <f t="shared" si="0"/>
        <v>4</v>
      </c>
      <c r="D66" s="45" t="b">
        <f>LineærRegression_Valg[[#This Row],[Afhængig variabel ID]]&lt;&gt;LineærRegression_Valg[[#This Row],[Uafhængig variabel ID]]</f>
        <v>1</v>
      </c>
      <c r="E66" t="b">
        <f>LineærRegression_Valg[[#This Row],[Afhængig variabel ID]]&lt;=$B$5</f>
        <v>0</v>
      </c>
      <c r="F66" t="str" cm="1">
        <f t="array" ref="F66">IF(LineærRegression_Valg[[#This Row],[Indenfor range]],INDEX(DataTitel_liste,LineærRegression_Valg[[#This Row],[Afhængig variabel ID]]),INDEX(DataTitel_liste,1))</f>
        <v>Eksempel 1 (interval)</v>
      </c>
      <c r="G66" s="45" t="str" cm="1">
        <f t="array" ref="G66">IF(LineærRegression_Valg[[#This Row],[Indenfor range]],IF(LineærRegression_Valg[[#This Row],[Intet overlap]],INDEX(DataTitel_liste,LineærRegression_Valg[[#This Row],[Uafhængig variabel ID]]),INDEX(DataTitel_liste,IF(LineærRegression_Valg[[#This Row],[Afhængig variabel ID]]=1,2,1))),$B$7)</f>
        <v>Eksempel 2 (interval)</v>
      </c>
      <c r="H66" s="45">
        <f>_xlfn.AGGREGATE(2,5,LineærRegression_Valg[[#This Row],[Tabel ID]])</f>
        <v>1</v>
      </c>
    </row>
    <row r="67" spans="1:8" x14ac:dyDescent="0.2">
      <c r="A67">
        <f>ROW(LineærRegression_Valg[[#This Row],[Tabel ID]])-ROW(LineærRegression_Valg[[#Headers],[Tabel ID]])</f>
        <v>57</v>
      </c>
      <c r="B67" s="45">
        <f>ROUNDDOWN((LineærRegression_Valg[[#This Row],[Tabel ID]]-1)/$B$5,0)+1</f>
        <v>15</v>
      </c>
      <c r="C67" s="45">
        <f t="shared" si="0"/>
        <v>1</v>
      </c>
      <c r="D67" s="45" t="b">
        <f>LineærRegression_Valg[[#This Row],[Afhængig variabel ID]]&lt;&gt;LineærRegression_Valg[[#This Row],[Uafhængig variabel ID]]</f>
        <v>1</v>
      </c>
      <c r="E67" t="b">
        <f>LineærRegression_Valg[[#This Row],[Afhængig variabel ID]]&lt;=$B$5</f>
        <v>0</v>
      </c>
      <c r="F67" t="str" cm="1">
        <f t="array" ref="F67">IF(LineærRegression_Valg[[#This Row],[Indenfor range]],INDEX(DataTitel_liste,LineærRegression_Valg[[#This Row],[Afhængig variabel ID]]),INDEX(DataTitel_liste,1))</f>
        <v>Eksempel 1 (interval)</v>
      </c>
      <c r="G67" s="45" t="str" cm="1">
        <f t="array" ref="G67">IF(LineærRegression_Valg[[#This Row],[Indenfor range]],IF(LineærRegression_Valg[[#This Row],[Intet overlap]],INDEX(DataTitel_liste,LineærRegression_Valg[[#This Row],[Uafhængig variabel ID]]),INDEX(DataTitel_liste,IF(LineærRegression_Valg[[#This Row],[Afhængig variabel ID]]=1,2,1))),$B$7)</f>
        <v>Eksempel 2 (interval)</v>
      </c>
      <c r="H67" s="45">
        <f>_xlfn.AGGREGATE(2,5,LineærRegression_Valg[[#This Row],[Tabel ID]])</f>
        <v>1</v>
      </c>
    </row>
    <row r="68" spans="1:8" x14ac:dyDescent="0.2">
      <c r="A68">
        <f>ROW(LineærRegression_Valg[[#This Row],[Tabel ID]])-ROW(LineærRegression_Valg[[#Headers],[Tabel ID]])</f>
        <v>58</v>
      </c>
      <c r="B68" s="45">
        <f>ROUNDDOWN((LineærRegression_Valg[[#This Row],[Tabel ID]]-1)/$B$5,0)+1</f>
        <v>15</v>
      </c>
      <c r="C68" s="45">
        <f t="shared" si="0"/>
        <v>2</v>
      </c>
      <c r="D68" s="45" t="b">
        <f>LineærRegression_Valg[[#This Row],[Afhængig variabel ID]]&lt;&gt;LineærRegression_Valg[[#This Row],[Uafhængig variabel ID]]</f>
        <v>1</v>
      </c>
      <c r="E68" t="b">
        <f>LineærRegression_Valg[[#This Row],[Afhængig variabel ID]]&lt;=$B$5</f>
        <v>0</v>
      </c>
      <c r="F68" t="str" cm="1">
        <f t="array" ref="F68">IF(LineærRegression_Valg[[#This Row],[Indenfor range]],INDEX(DataTitel_liste,LineærRegression_Valg[[#This Row],[Afhængig variabel ID]]),INDEX(DataTitel_liste,1))</f>
        <v>Eksempel 1 (interval)</v>
      </c>
      <c r="G68" s="45" t="str" cm="1">
        <f t="array" ref="G68">IF(LineærRegression_Valg[[#This Row],[Indenfor range]],IF(LineærRegression_Valg[[#This Row],[Intet overlap]],INDEX(DataTitel_liste,LineærRegression_Valg[[#This Row],[Uafhængig variabel ID]]),INDEX(DataTitel_liste,IF(LineærRegression_Valg[[#This Row],[Afhængig variabel ID]]=1,2,1))),$B$7)</f>
        <v>Eksempel 2 (interval)</v>
      </c>
      <c r="H68" s="45">
        <f>_xlfn.AGGREGATE(2,5,LineærRegression_Valg[[#This Row],[Tabel ID]])</f>
        <v>1</v>
      </c>
    </row>
    <row r="69" spans="1:8" x14ac:dyDescent="0.2">
      <c r="A69">
        <f>ROW(LineærRegression_Valg[[#This Row],[Tabel ID]])-ROW(LineærRegression_Valg[[#Headers],[Tabel ID]])</f>
        <v>59</v>
      </c>
      <c r="B69" s="45">
        <f>ROUNDDOWN((LineærRegression_Valg[[#This Row],[Tabel ID]]-1)/$B$5,0)+1</f>
        <v>15</v>
      </c>
      <c r="C69" s="45">
        <f t="shared" si="0"/>
        <v>3</v>
      </c>
      <c r="D69" s="45" t="b">
        <f>LineærRegression_Valg[[#This Row],[Afhængig variabel ID]]&lt;&gt;LineærRegression_Valg[[#This Row],[Uafhængig variabel ID]]</f>
        <v>1</v>
      </c>
      <c r="E69" t="b">
        <f>LineærRegression_Valg[[#This Row],[Afhængig variabel ID]]&lt;=$B$5</f>
        <v>0</v>
      </c>
      <c r="F69" t="str" cm="1">
        <f t="array" ref="F69">IF(LineærRegression_Valg[[#This Row],[Indenfor range]],INDEX(DataTitel_liste,LineærRegression_Valg[[#This Row],[Afhængig variabel ID]]),INDEX(DataTitel_liste,1))</f>
        <v>Eksempel 1 (interval)</v>
      </c>
      <c r="G69" s="45" t="str" cm="1">
        <f t="array" ref="G69">IF(LineærRegression_Valg[[#This Row],[Indenfor range]],IF(LineærRegression_Valg[[#This Row],[Intet overlap]],INDEX(DataTitel_liste,LineærRegression_Valg[[#This Row],[Uafhængig variabel ID]]),INDEX(DataTitel_liste,IF(LineærRegression_Valg[[#This Row],[Afhængig variabel ID]]=1,2,1))),$B$7)</f>
        <v>Eksempel 2 (interval)</v>
      </c>
      <c r="H69" s="45">
        <f>_xlfn.AGGREGATE(2,5,LineærRegression_Valg[[#This Row],[Tabel ID]])</f>
        <v>1</v>
      </c>
    </row>
    <row r="70" spans="1:8" x14ac:dyDescent="0.2">
      <c r="A70">
        <f>ROW(LineærRegression_Valg[[#This Row],[Tabel ID]])-ROW(LineærRegression_Valg[[#Headers],[Tabel ID]])</f>
        <v>60</v>
      </c>
      <c r="B70" s="45">
        <f>ROUNDDOWN((LineærRegression_Valg[[#This Row],[Tabel ID]]-1)/$B$5,0)+1</f>
        <v>15</v>
      </c>
      <c r="C70" s="45">
        <f t="shared" si="0"/>
        <v>4</v>
      </c>
      <c r="D70" s="45" t="b">
        <f>LineærRegression_Valg[[#This Row],[Afhængig variabel ID]]&lt;&gt;LineærRegression_Valg[[#This Row],[Uafhængig variabel ID]]</f>
        <v>1</v>
      </c>
      <c r="E70" t="b">
        <f>LineærRegression_Valg[[#This Row],[Afhængig variabel ID]]&lt;=$B$5</f>
        <v>0</v>
      </c>
      <c r="F70" t="str" cm="1">
        <f t="array" ref="F70">IF(LineærRegression_Valg[[#This Row],[Indenfor range]],INDEX(DataTitel_liste,LineærRegression_Valg[[#This Row],[Afhængig variabel ID]]),INDEX(DataTitel_liste,1))</f>
        <v>Eksempel 1 (interval)</v>
      </c>
      <c r="G70" s="45" t="str" cm="1">
        <f t="array" ref="G70">IF(LineærRegression_Valg[[#This Row],[Indenfor range]],IF(LineærRegression_Valg[[#This Row],[Intet overlap]],INDEX(DataTitel_liste,LineærRegression_Valg[[#This Row],[Uafhængig variabel ID]]),INDEX(DataTitel_liste,IF(LineærRegression_Valg[[#This Row],[Afhængig variabel ID]]=1,2,1))),$B$7)</f>
        <v>Eksempel 2 (interval)</v>
      </c>
      <c r="H70" s="45">
        <f>_xlfn.AGGREGATE(2,5,LineærRegression_Valg[[#This Row],[Tabel ID]])</f>
        <v>1</v>
      </c>
    </row>
    <row r="71" spans="1:8" x14ac:dyDescent="0.2">
      <c r="A71">
        <f>ROW(LineærRegression_Valg[[#This Row],[Tabel ID]])-ROW(LineærRegression_Valg[[#Headers],[Tabel ID]])</f>
        <v>61</v>
      </c>
      <c r="B71" s="45">
        <f>ROUNDDOWN((LineærRegression_Valg[[#This Row],[Tabel ID]]-1)/$B$5,0)+1</f>
        <v>16</v>
      </c>
      <c r="C71" s="45">
        <f t="shared" si="0"/>
        <v>1</v>
      </c>
      <c r="D71" s="45" t="b">
        <f>LineærRegression_Valg[[#This Row],[Afhængig variabel ID]]&lt;&gt;LineærRegression_Valg[[#This Row],[Uafhængig variabel ID]]</f>
        <v>1</v>
      </c>
      <c r="E71" t="b">
        <f>LineærRegression_Valg[[#This Row],[Afhængig variabel ID]]&lt;=$B$5</f>
        <v>0</v>
      </c>
      <c r="F71" t="str" cm="1">
        <f t="array" ref="F71">IF(LineærRegression_Valg[[#This Row],[Indenfor range]],INDEX(DataTitel_liste,LineærRegression_Valg[[#This Row],[Afhængig variabel ID]]),INDEX(DataTitel_liste,1))</f>
        <v>Eksempel 1 (interval)</v>
      </c>
      <c r="G71" s="45" t="str" cm="1">
        <f t="array" ref="G71">IF(LineærRegression_Valg[[#This Row],[Indenfor range]],IF(LineærRegression_Valg[[#This Row],[Intet overlap]],INDEX(DataTitel_liste,LineærRegression_Valg[[#This Row],[Uafhængig variabel ID]]),INDEX(DataTitel_liste,IF(LineærRegression_Valg[[#This Row],[Afhængig variabel ID]]=1,2,1))),$B$7)</f>
        <v>Eksempel 2 (interval)</v>
      </c>
      <c r="H71" s="45">
        <f>_xlfn.AGGREGATE(2,5,LineærRegression_Valg[[#This Row],[Tabel ID]])</f>
        <v>1</v>
      </c>
    </row>
    <row r="72" spans="1:8" x14ac:dyDescent="0.2">
      <c r="A72">
        <f>ROW(LineærRegression_Valg[[#This Row],[Tabel ID]])-ROW(LineærRegression_Valg[[#Headers],[Tabel ID]])</f>
        <v>62</v>
      </c>
      <c r="B72" s="45">
        <f>ROUNDDOWN((LineærRegression_Valg[[#This Row],[Tabel ID]]-1)/$B$5,0)+1</f>
        <v>16</v>
      </c>
      <c r="C72" s="45">
        <f t="shared" si="0"/>
        <v>2</v>
      </c>
      <c r="D72" s="45" t="b">
        <f>LineærRegression_Valg[[#This Row],[Afhængig variabel ID]]&lt;&gt;LineærRegression_Valg[[#This Row],[Uafhængig variabel ID]]</f>
        <v>1</v>
      </c>
      <c r="E72" t="b">
        <f>LineærRegression_Valg[[#This Row],[Afhængig variabel ID]]&lt;=$B$5</f>
        <v>0</v>
      </c>
      <c r="F72" t="str" cm="1">
        <f t="array" ref="F72">IF(LineærRegression_Valg[[#This Row],[Indenfor range]],INDEX(DataTitel_liste,LineærRegression_Valg[[#This Row],[Afhængig variabel ID]]),INDEX(DataTitel_liste,1))</f>
        <v>Eksempel 1 (interval)</v>
      </c>
      <c r="G72" s="45" t="str" cm="1">
        <f t="array" ref="G72">IF(LineærRegression_Valg[[#This Row],[Indenfor range]],IF(LineærRegression_Valg[[#This Row],[Intet overlap]],INDEX(DataTitel_liste,LineærRegression_Valg[[#This Row],[Uafhængig variabel ID]]),INDEX(DataTitel_liste,IF(LineærRegression_Valg[[#This Row],[Afhængig variabel ID]]=1,2,1))),$B$7)</f>
        <v>Eksempel 2 (interval)</v>
      </c>
      <c r="H72" s="45">
        <f>_xlfn.AGGREGATE(2,5,LineærRegression_Valg[[#This Row],[Tabel ID]])</f>
        <v>1</v>
      </c>
    </row>
    <row r="73" spans="1:8" x14ac:dyDescent="0.2">
      <c r="A73">
        <f>ROW(LineærRegression_Valg[[#This Row],[Tabel ID]])-ROW(LineærRegression_Valg[[#Headers],[Tabel ID]])</f>
        <v>63</v>
      </c>
      <c r="B73" s="45">
        <f>ROUNDDOWN((LineærRegression_Valg[[#This Row],[Tabel ID]]-1)/$B$5,0)+1</f>
        <v>16</v>
      </c>
      <c r="C73" s="45">
        <f t="shared" si="0"/>
        <v>3</v>
      </c>
      <c r="D73" s="45" t="b">
        <f>LineærRegression_Valg[[#This Row],[Afhængig variabel ID]]&lt;&gt;LineærRegression_Valg[[#This Row],[Uafhængig variabel ID]]</f>
        <v>1</v>
      </c>
      <c r="E73" t="b">
        <f>LineærRegression_Valg[[#This Row],[Afhængig variabel ID]]&lt;=$B$5</f>
        <v>0</v>
      </c>
      <c r="F73" t="str" cm="1">
        <f t="array" ref="F73">IF(LineærRegression_Valg[[#This Row],[Indenfor range]],INDEX(DataTitel_liste,LineærRegression_Valg[[#This Row],[Afhængig variabel ID]]),INDEX(DataTitel_liste,1))</f>
        <v>Eksempel 1 (interval)</v>
      </c>
      <c r="G73" s="45" t="str" cm="1">
        <f t="array" ref="G73">IF(LineærRegression_Valg[[#This Row],[Indenfor range]],IF(LineærRegression_Valg[[#This Row],[Intet overlap]],INDEX(DataTitel_liste,LineærRegression_Valg[[#This Row],[Uafhængig variabel ID]]),INDEX(DataTitel_liste,IF(LineærRegression_Valg[[#This Row],[Afhængig variabel ID]]=1,2,1))),$B$7)</f>
        <v>Eksempel 2 (interval)</v>
      </c>
      <c r="H73" s="45">
        <f>_xlfn.AGGREGATE(2,5,LineærRegression_Valg[[#This Row],[Tabel ID]])</f>
        <v>1</v>
      </c>
    </row>
    <row r="74" spans="1:8" x14ac:dyDescent="0.2">
      <c r="A74">
        <f>ROW(LineærRegression_Valg[[#This Row],[Tabel ID]])-ROW(LineærRegression_Valg[[#Headers],[Tabel ID]])</f>
        <v>64</v>
      </c>
      <c r="B74" s="45">
        <f>ROUNDDOWN((LineærRegression_Valg[[#This Row],[Tabel ID]]-1)/$B$5,0)+1</f>
        <v>16</v>
      </c>
      <c r="C74" s="45">
        <f t="shared" si="0"/>
        <v>4</v>
      </c>
      <c r="D74" s="45" t="b">
        <f>LineærRegression_Valg[[#This Row],[Afhængig variabel ID]]&lt;&gt;LineærRegression_Valg[[#This Row],[Uafhængig variabel ID]]</f>
        <v>1</v>
      </c>
      <c r="E74" t="b">
        <f>LineærRegression_Valg[[#This Row],[Afhængig variabel ID]]&lt;=$B$5</f>
        <v>0</v>
      </c>
      <c r="F74" t="str" cm="1">
        <f t="array" ref="F74">IF(LineærRegression_Valg[[#This Row],[Indenfor range]],INDEX(DataTitel_liste,LineærRegression_Valg[[#This Row],[Afhængig variabel ID]]),INDEX(DataTitel_liste,1))</f>
        <v>Eksempel 1 (interval)</v>
      </c>
      <c r="G74" s="45" t="str" cm="1">
        <f t="array" ref="G74">IF(LineærRegression_Valg[[#This Row],[Indenfor range]],IF(LineærRegression_Valg[[#This Row],[Intet overlap]],INDEX(DataTitel_liste,LineærRegression_Valg[[#This Row],[Uafhængig variabel ID]]),INDEX(DataTitel_liste,IF(LineærRegression_Valg[[#This Row],[Afhængig variabel ID]]=1,2,1))),$B$7)</f>
        <v>Eksempel 2 (interval)</v>
      </c>
      <c r="H74" s="45">
        <f>_xlfn.AGGREGATE(2,5,LineærRegression_Valg[[#This Row],[Tabel ID]])</f>
        <v>1</v>
      </c>
    </row>
    <row r="75" spans="1:8" x14ac:dyDescent="0.2">
      <c r="A75">
        <f>ROW(LineærRegression_Valg[[#This Row],[Tabel ID]])-ROW(LineærRegression_Valg[[#Headers],[Tabel ID]])</f>
        <v>65</v>
      </c>
      <c r="B75" s="45">
        <f>ROUNDDOWN((LineærRegression_Valg[[#This Row],[Tabel ID]]-1)/$B$5,0)+1</f>
        <v>17</v>
      </c>
      <c r="C75" s="45">
        <f t="shared" ref="C75:C138" si="1">MOD(A75-1,$B$5)+1</f>
        <v>1</v>
      </c>
      <c r="D75" s="45" t="b">
        <f>LineærRegression_Valg[[#This Row],[Afhængig variabel ID]]&lt;&gt;LineærRegression_Valg[[#This Row],[Uafhængig variabel ID]]</f>
        <v>1</v>
      </c>
      <c r="E75" t="b">
        <f>LineærRegression_Valg[[#This Row],[Afhængig variabel ID]]&lt;=$B$5</f>
        <v>0</v>
      </c>
      <c r="F75" t="str" cm="1">
        <f t="array" ref="F75">IF(LineærRegression_Valg[[#This Row],[Indenfor range]],INDEX(DataTitel_liste,LineærRegression_Valg[[#This Row],[Afhængig variabel ID]]),INDEX(DataTitel_liste,1))</f>
        <v>Eksempel 1 (interval)</v>
      </c>
      <c r="G75" s="45" t="str" cm="1">
        <f t="array" ref="G75">IF(LineærRegression_Valg[[#This Row],[Indenfor range]],IF(LineærRegression_Valg[[#This Row],[Intet overlap]],INDEX(DataTitel_liste,LineærRegression_Valg[[#This Row],[Uafhængig variabel ID]]),INDEX(DataTitel_liste,IF(LineærRegression_Valg[[#This Row],[Afhængig variabel ID]]=1,2,1))),$B$7)</f>
        <v>Eksempel 2 (interval)</v>
      </c>
      <c r="H75" s="45">
        <f>_xlfn.AGGREGATE(2,5,LineærRegression_Valg[[#This Row],[Tabel ID]])</f>
        <v>1</v>
      </c>
    </row>
    <row r="76" spans="1:8" x14ac:dyDescent="0.2">
      <c r="A76">
        <f>ROW(LineærRegression_Valg[[#This Row],[Tabel ID]])-ROW(LineærRegression_Valg[[#Headers],[Tabel ID]])</f>
        <v>66</v>
      </c>
      <c r="B76" s="45">
        <f>ROUNDDOWN((LineærRegression_Valg[[#This Row],[Tabel ID]]-1)/$B$5,0)+1</f>
        <v>17</v>
      </c>
      <c r="C76" s="45">
        <f t="shared" si="1"/>
        <v>2</v>
      </c>
      <c r="D76" s="45" t="b">
        <f>LineærRegression_Valg[[#This Row],[Afhængig variabel ID]]&lt;&gt;LineærRegression_Valg[[#This Row],[Uafhængig variabel ID]]</f>
        <v>1</v>
      </c>
      <c r="E76" t="b">
        <f>LineærRegression_Valg[[#This Row],[Afhængig variabel ID]]&lt;=$B$5</f>
        <v>0</v>
      </c>
      <c r="F76" t="str" cm="1">
        <f t="array" ref="F76">IF(LineærRegression_Valg[[#This Row],[Indenfor range]],INDEX(DataTitel_liste,LineærRegression_Valg[[#This Row],[Afhængig variabel ID]]),INDEX(DataTitel_liste,1))</f>
        <v>Eksempel 1 (interval)</v>
      </c>
      <c r="G76" s="45" t="str" cm="1">
        <f t="array" ref="G76">IF(LineærRegression_Valg[[#This Row],[Indenfor range]],IF(LineærRegression_Valg[[#This Row],[Intet overlap]],INDEX(DataTitel_liste,LineærRegression_Valg[[#This Row],[Uafhængig variabel ID]]),INDEX(DataTitel_liste,IF(LineærRegression_Valg[[#This Row],[Afhængig variabel ID]]=1,2,1))),$B$7)</f>
        <v>Eksempel 2 (interval)</v>
      </c>
      <c r="H76" s="45">
        <f>_xlfn.AGGREGATE(2,5,LineærRegression_Valg[[#This Row],[Tabel ID]])</f>
        <v>1</v>
      </c>
    </row>
    <row r="77" spans="1:8" x14ac:dyDescent="0.2">
      <c r="A77">
        <f>ROW(LineærRegression_Valg[[#This Row],[Tabel ID]])-ROW(LineærRegression_Valg[[#Headers],[Tabel ID]])</f>
        <v>67</v>
      </c>
      <c r="B77" s="45">
        <f>ROUNDDOWN((LineærRegression_Valg[[#This Row],[Tabel ID]]-1)/$B$5,0)+1</f>
        <v>17</v>
      </c>
      <c r="C77" s="45">
        <f t="shared" si="1"/>
        <v>3</v>
      </c>
      <c r="D77" s="45" t="b">
        <f>LineærRegression_Valg[[#This Row],[Afhængig variabel ID]]&lt;&gt;LineærRegression_Valg[[#This Row],[Uafhængig variabel ID]]</f>
        <v>1</v>
      </c>
      <c r="E77" t="b">
        <f>LineærRegression_Valg[[#This Row],[Afhængig variabel ID]]&lt;=$B$5</f>
        <v>0</v>
      </c>
      <c r="F77" t="str" cm="1">
        <f t="array" ref="F77">IF(LineærRegression_Valg[[#This Row],[Indenfor range]],INDEX(DataTitel_liste,LineærRegression_Valg[[#This Row],[Afhængig variabel ID]]),INDEX(DataTitel_liste,1))</f>
        <v>Eksempel 1 (interval)</v>
      </c>
      <c r="G77" s="45" t="str" cm="1">
        <f t="array" ref="G77">IF(LineærRegression_Valg[[#This Row],[Indenfor range]],IF(LineærRegression_Valg[[#This Row],[Intet overlap]],INDEX(DataTitel_liste,LineærRegression_Valg[[#This Row],[Uafhængig variabel ID]]),INDEX(DataTitel_liste,IF(LineærRegression_Valg[[#This Row],[Afhængig variabel ID]]=1,2,1))),$B$7)</f>
        <v>Eksempel 2 (interval)</v>
      </c>
      <c r="H77" s="45">
        <f>_xlfn.AGGREGATE(2,5,LineærRegression_Valg[[#This Row],[Tabel ID]])</f>
        <v>1</v>
      </c>
    </row>
    <row r="78" spans="1:8" x14ac:dyDescent="0.2">
      <c r="A78">
        <f>ROW(LineærRegression_Valg[[#This Row],[Tabel ID]])-ROW(LineærRegression_Valg[[#Headers],[Tabel ID]])</f>
        <v>68</v>
      </c>
      <c r="B78" s="45">
        <f>ROUNDDOWN((LineærRegression_Valg[[#This Row],[Tabel ID]]-1)/$B$5,0)+1</f>
        <v>17</v>
      </c>
      <c r="C78" s="45">
        <f t="shared" si="1"/>
        <v>4</v>
      </c>
      <c r="D78" s="45" t="b">
        <f>LineærRegression_Valg[[#This Row],[Afhængig variabel ID]]&lt;&gt;LineærRegression_Valg[[#This Row],[Uafhængig variabel ID]]</f>
        <v>1</v>
      </c>
      <c r="E78" t="b">
        <f>LineærRegression_Valg[[#This Row],[Afhængig variabel ID]]&lt;=$B$5</f>
        <v>0</v>
      </c>
      <c r="F78" t="str" cm="1">
        <f t="array" ref="F78">IF(LineærRegression_Valg[[#This Row],[Indenfor range]],INDEX(DataTitel_liste,LineærRegression_Valg[[#This Row],[Afhængig variabel ID]]),INDEX(DataTitel_liste,1))</f>
        <v>Eksempel 1 (interval)</v>
      </c>
      <c r="G78" s="45" t="str" cm="1">
        <f t="array" ref="G78">IF(LineærRegression_Valg[[#This Row],[Indenfor range]],IF(LineærRegression_Valg[[#This Row],[Intet overlap]],INDEX(DataTitel_liste,LineærRegression_Valg[[#This Row],[Uafhængig variabel ID]]),INDEX(DataTitel_liste,IF(LineærRegression_Valg[[#This Row],[Afhængig variabel ID]]=1,2,1))),$B$7)</f>
        <v>Eksempel 2 (interval)</v>
      </c>
      <c r="H78" s="45">
        <f>_xlfn.AGGREGATE(2,5,LineærRegression_Valg[[#This Row],[Tabel ID]])</f>
        <v>1</v>
      </c>
    </row>
    <row r="79" spans="1:8" x14ac:dyDescent="0.2">
      <c r="A79">
        <f>ROW(LineærRegression_Valg[[#This Row],[Tabel ID]])-ROW(LineærRegression_Valg[[#Headers],[Tabel ID]])</f>
        <v>69</v>
      </c>
      <c r="B79" s="45">
        <f>ROUNDDOWN((LineærRegression_Valg[[#This Row],[Tabel ID]]-1)/$B$5,0)+1</f>
        <v>18</v>
      </c>
      <c r="C79" s="45">
        <f t="shared" si="1"/>
        <v>1</v>
      </c>
      <c r="D79" s="45" t="b">
        <f>LineærRegression_Valg[[#This Row],[Afhængig variabel ID]]&lt;&gt;LineærRegression_Valg[[#This Row],[Uafhængig variabel ID]]</f>
        <v>1</v>
      </c>
      <c r="E79" t="b">
        <f>LineærRegression_Valg[[#This Row],[Afhængig variabel ID]]&lt;=$B$5</f>
        <v>0</v>
      </c>
      <c r="F79" t="str" cm="1">
        <f t="array" ref="F79">IF(LineærRegression_Valg[[#This Row],[Indenfor range]],INDEX(DataTitel_liste,LineærRegression_Valg[[#This Row],[Afhængig variabel ID]]),INDEX(DataTitel_liste,1))</f>
        <v>Eksempel 1 (interval)</v>
      </c>
      <c r="G79" s="45" t="str" cm="1">
        <f t="array" ref="G79">IF(LineærRegression_Valg[[#This Row],[Indenfor range]],IF(LineærRegression_Valg[[#This Row],[Intet overlap]],INDEX(DataTitel_liste,LineærRegression_Valg[[#This Row],[Uafhængig variabel ID]]),INDEX(DataTitel_liste,IF(LineærRegression_Valg[[#This Row],[Afhængig variabel ID]]=1,2,1))),$B$7)</f>
        <v>Eksempel 2 (interval)</v>
      </c>
      <c r="H79" s="45">
        <f>_xlfn.AGGREGATE(2,5,LineærRegression_Valg[[#This Row],[Tabel ID]])</f>
        <v>1</v>
      </c>
    </row>
    <row r="80" spans="1:8" x14ac:dyDescent="0.2">
      <c r="A80">
        <f>ROW(LineærRegression_Valg[[#This Row],[Tabel ID]])-ROW(LineærRegression_Valg[[#Headers],[Tabel ID]])</f>
        <v>70</v>
      </c>
      <c r="B80" s="45">
        <f>ROUNDDOWN((LineærRegression_Valg[[#This Row],[Tabel ID]]-1)/$B$5,0)+1</f>
        <v>18</v>
      </c>
      <c r="C80" s="45">
        <f t="shared" si="1"/>
        <v>2</v>
      </c>
      <c r="D80" s="45" t="b">
        <f>LineærRegression_Valg[[#This Row],[Afhængig variabel ID]]&lt;&gt;LineærRegression_Valg[[#This Row],[Uafhængig variabel ID]]</f>
        <v>1</v>
      </c>
      <c r="E80" t="b">
        <f>LineærRegression_Valg[[#This Row],[Afhængig variabel ID]]&lt;=$B$5</f>
        <v>0</v>
      </c>
      <c r="F80" t="str" cm="1">
        <f t="array" ref="F80">IF(LineærRegression_Valg[[#This Row],[Indenfor range]],INDEX(DataTitel_liste,LineærRegression_Valg[[#This Row],[Afhængig variabel ID]]),INDEX(DataTitel_liste,1))</f>
        <v>Eksempel 1 (interval)</v>
      </c>
      <c r="G80" s="45" t="str" cm="1">
        <f t="array" ref="G80">IF(LineærRegression_Valg[[#This Row],[Indenfor range]],IF(LineærRegression_Valg[[#This Row],[Intet overlap]],INDEX(DataTitel_liste,LineærRegression_Valg[[#This Row],[Uafhængig variabel ID]]),INDEX(DataTitel_liste,IF(LineærRegression_Valg[[#This Row],[Afhængig variabel ID]]=1,2,1))),$B$7)</f>
        <v>Eksempel 2 (interval)</v>
      </c>
      <c r="H80" s="45">
        <f>_xlfn.AGGREGATE(2,5,LineærRegression_Valg[[#This Row],[Tabel ID]])</f>
        <v>1</v>
      </c>
    </row>
    <row r="81" spans="1:8" x14ac:dyDescent="0.2">
      <c r="A81">
        <f>ROW(LineærRegression_Valg[[#This Row],[Tabel ID]])-ROW(LineærRegression_Valg[[#Headers],[Tabel ID]])</f>
        <v>71</v>
      </c>
      <c r="B81" s="45">
        <f>ROUNDDOWN((LineærRegression_Valg[[#This Row],[Tabel ID]]-1)/$B$5,0)+1</f>
        <v>18</v>
      </c>
      <c r="C81" s="45">
        <f t="shared" si="1"/>
        <v>3</v>
      </c>
      <c r="D81" s="45" t="b">
        <f>LineærRegression_Valg[[#This Row],[Afhængig variabel ID]]&lt;&gt;LineærRegression_Valg[[#This Row],[Uafhængig variabel ID]]</f>
        <v>1</v>
      </c>
      <c r="E81" t="b">
        <f>LineærRegression_Valg[[#This Row],[Afhængig variabel ID]]&lt;=$B$5</f>
        <v>0</v>
      </c>
      <c r="F81" t="str" cm="1">
        <f t="array" ref="F81">IF(LineærRegression_Valg[[#This Row],[Indenfor range]],INDEX(DataTitel_liste,LineærRegression_Valg[[#This Row],[Afhængig variabel ID]]),INDEX(DataTitel_liste,1))</f>
        <v>Eksempel 1 (interval)</v>
      </c>
      <c r="G81" s="45" t="str" cm="1">
        <f t="array" ref="G81">IF(LineærRegression_Valg[[#This Row],[Indenfor range]],IF(LineærRegression_Valg[[#This Row],[Intet overlap]],INDEX(DataTitel_liste,LineærRegression_Valg[[#This Row],[Uafhængig variabel ID]]),INDEX(DataTitel_liste,IF(LineærRegression_Valg[[#This Row],[Afhængig variabel ID]]=1,2,1))),$B$7)</f>
        <v>Eksempel 2 (interval)</v>
      </c>
      <c r="H81" s="45">
        <f>_xlfn.AGGREGATE(2,5,LineærRegression_Valg[[#This Row],[Tabel ID]])</f>
        <v>1</v>
      </c>
    </row>
    <row r="82" spans="1:8" x14ac:dyDescent="0.2">
      <c r="A82">
        <f>ROW(LineærRegression_Valg[[#This Row],[Tabel ID]])-ROW(LineærRegression_Valg[[#Headers],[Tabel ID]])</f>
        <v>72</v>
      </c>
      <c r="B82" s="45">
        <f>ROUNDDOWN((LineærRegression_Valg[[#This Row],[Tabel ID]]-1)/$B$5,0)+1</f>
        <v>18</v>
      </c>
      <c r="C82" s="45">
        <f t="shared" si="1"/>
        <v>4</v>
      </c>
      <c r="D82" s="45" t="b">
        <f>LineærRegression_Valg[[#This Row],[Afhængig variabel ID]]&lt;&gt;LineærRegression_Valg[[#This Row],[Uafhængig variabel ID]]</f>
        <v>1</v>
      </c>
      <c r="E82" t="b">
        <f>LineærRegression_Valg[[#This Row],[Afhængig variabel ID]]&lt;=$B$5</f>
        <v>0</v>
      </c>
      <c r="F82" t="str" cm="1">
        <f t="array" ref="F82">IF(LineærRegression_Valg[[#This Row],[Indenfor range]],INDEX(DataTitel_liste,LineærRegression_Valg[[#This Row],[Afhængig variabel ID]]),INDEX(DataTitel_liste,1))</f>
        <v>Eksempel 1 (interval)</v>
      </c>
      <c r="G82" s="45" t="str" cm="1">
        <f t="array" ref="G82">IF(LineærRegression_Valg[[#This Row],[Indenfor range]],IF(LineærRegression_Valg[[#This Row],[Intet overlap]],INDEX(DataTitel_liste,LineærRegression_Valg[[#This Row],[Uafhængig variabel ID]]),INDEX(DataTitel_liste,IF(LineærRegression_Valg[[#This Row],[Afhængig variabel ID]]=1,2,1))),$B$7)</f>
        <v>Eksempel 2 (interval)</v>
      </c>
      <c r="H82" s="45">
        <f>_xlfn.AGGREGATE(2,5,LineærRegression_Valg[[#This Row],[Tabel ID]])</f>
        <v>1</v>
      </c>
    </row>
    <row r="83" spans="1:8" x14ac:dyDescent="0.2">
      <c r="A83">
        <f>ROW(LineærRegression_Valg[[#This Row],[Tabel ID]])-ROW(LineærRegression_Valg[[#Headers],[Tabel ID]])</f>
        <v>73</v>
      </c>
      <c r="B83" s="45">
        <f>ROUNDDOWN((LineærRegression_Valg[[#This Row],[Tabel ID]]-1)/$B$5,0)+1</f>
        <v>19</v>
      </c>
      <c r="C83" s="45">
        <f t="shared" si="1"/>
        <v>1</v>
      </c>
      <c r="D83" s="45" t="b">
        <f>LineærRegression_Valg[[#This Row],[Afhængig variabel ID]]&lt;&gt;LineærRegression_Valg[[#This Row],[Uafhængig variabel ID]]</f>
        <v>1</v>
      </c>
      <c r="E83" t="b">
        <f>LineærRegression_Valg[[#This Row],[Afhængig variabel ID]]&lt;=$B$5</f>
        <v>0</v>
      </c>
      <c r="F83" t="str" cm="1">
        <f t="array" ref="F83">IF(LineærRegression_Valg[[#This Row],[Indenfor range]],INDEX(DataTitel_liste,LineærRegression_Valg[[#This Row],[Afhængig variabel ID]]),INDEX(DataTitel_liste,1))</f>
        <v>Eksempel 1 (interval)</v>
      </c>
      <c r="G83" s="45" t="str" cm="1">
        <f t="array" ref="G83">IF(LineærRegression_Valg[[#This Row],[Indenfor range]],IF(LineærRegression_Valg[[#This Row],[Intet overlap]],INDEX(DataTitel_liste,LineærRegression_Valg[[#This Row],[Uafhængig variabel ID]]),INDEX(DataTitel_liste,IF(LineærRegression_Valg[[#This Row],[Afhængig variabel ID]]=1,2,1))),$B$7)</f>
        <v>Eksempel 2 (interval)</v>
      </c>
      <c r="H83" s="45">
        <f>_xlfn.AGGREGATE(2,5,LineærRegression_Valg[[#This Row],[Tabel ID]])</f>
        <v>1</v>
      </c>
    </row>
    <row r="84" spans="1:8" x14ac:dyDescent="0.2">
      <c r="A84">
        <f>ROW(LineærRegression_Valg[[#This Row],[Tabel ID]])-ROW(LineærRegression_Valg[[#Headers],[Tabel ID]])</f>
        <v>74</v>
      </c>
      <c r="B84" s="45">
        <f>ROUNDDOWN((LineærRegression_Valg[[#This Row],[Tabel ID]]-1)/$B$5,0)+1</f>
        <v>19</v>
      </c>
      <c r="C84" s="45">
        <f t="shared" si="1"/>
        <v>2</v>
      </c>
      <c r="D84" s="45" t="b">
        <f>LineærRegression_Valg[[#This Row],[Afhængig variabel ID]]&lt;&gt;LineærRegression_Valg[[#This Row],[Uafhængig variabel ID]]</f>
        <v>1</v>
      </c>
      <c r="E84" t="b">
        <f>LineærRegression_Valg[[#This Row],[Afhængig variabel ID]]&lt;=$B$5</f>
        <v>0</v>
      </c>
      <c r="F84" t="str" cm="1">
        <f t="array" ref="F84">IF(LineærRegression_Valg[[#This Row],[Indenfor range]],INDEX(DataTitel_liste,LineærRegression_Valg[[#This Row],[Afhængig variabel ID]]),INDEX(DataTitel_liste,1))</f>
        <v>Eksempel 1 (interval)</v>
      </c>
      <c r="G84" s="45" t="str" cm="1">
        <f t="array" ref="G84">IF(LineærRegression_Valg[[#This Row],[Indenfor range]],IF(LineærRegression_Valg[[#This Row],[Intet overlap]],INDEX(DataTitel_liste,LineærRegression_Valg[[#This Row],[Uafhængig variabel ID]]),INDEX(DataTitel_liste,IF(LineærRegression_Valg[[#This Row],[Afhængig variabel ID]]=1,2,1))),$B$7)</f>
        <v>Eksempel 2 (interval)</v>
      </c>
      <c r="H84" s="45">
        <f>_xlfn.AGGREGATE(2,5,LineærRegression_Valg[[#This Row],[Tabel ID]])</f>
        <v>1</v>
      </c>
    </row>
    <row r="85" spans="1:8" x14ac:dyDescent="0.2">
      <c r="A85">
        <f>ROW(LineærRegression_Valg[[#This Row],[Tabel ID]])-ROW(LineærRegression_Valg[[#Headers],[Tabel ID]])</f>
        <v>75</v>
      </c>
      <c r="B85" s="45">
        <f>ROUNDDOWN((LineærRegression_Valg[[#This Row],[Tabel ID]]-1)/$B$5,0)+1</f>
        <v>19</v>
      </c>
      <c r="C85" s="45">
        <f t="shared" si="1"/>
        <v>3</v>
      </c>
      <c r="D85" s="45" t="b">
        <f>LineærRegression_Valg[[#This Row],[Afhængig variabel ID]]&lt;&gt;LineærRegression_Valg[[#This Row],[Uafhængig variabel ID]]</f>
        <v>1</v>
      </c>
      <c r="E85" t="b">
        <f>LineærRegression_Valg[[#This Row],[Afhængig variabel ID]]&lt;=$B$5</f>
        <v>0</v>
      </c>
      <c r="F85" t="str" cm="1">
        <f t="array" ref="F85">IF(LineærRegression_Valg[[#This Row],[Indenfor range]],INDEX(DataTitel_liste,LineærRegression_Valg[[#This Row],[Afhængig variabel ID]]),INDEX(DataTitel_liste,1))</f>
        <v>Eksempel 1 (interval)</v>
      </c>
      <c r="G85" s="45" t="str" cm="1">
        <f t="array" ref="G85">IF(LineærRegression_Valg[[#This Row],[Indenfor range]],IF(LineærRegression_Valg[[#This Row],[Intet overlap]],INDEX(DataTitel_liste,LineærRegression_Valg[[#This Row],[Uafhængig variabel ID]]),INDEX(DataTitel_liste,IF(LineærRegression_Valg[[#This Row],[Afhængig variabel ID]]=1,2,1))),$B$7)</f>
        <v>Eksempel 2 (interval)</v>
      </c>
      <c r="H85" s="45">
        <f>_xlfn.AGGREGATE(2,5,LineærRegression_Valg[[#This Row],[Tabel ID]])</f>
        <v>1</v>
      </c>
    </row>
    <row r="86" spans="1:8" x14ac:dyDescent="0.2">
      <c r="A86">
        <f>ROW(LineærRegression_Valg[[#This Row],[Tabel ID]])-ROW(LineærRegression_Valg[[#Headers],[Tabel ID]])</f>
        <v>76</v>
      </c>
      <c r="B86" s="45">
        <f>ROUNDDOWN((LineærRegression_Valg[[#This Row],[Tabel ID]]-1)/$B$5,0)+1</f>
        <v>19</v>
      </c>
      <c r="C86" s="45">
        <f t="shared" si="1"/>
        <v>4</v>
      </c>
      <c r="D86" s="45" t="b">
        <f>LineærRegression_Valg[[#This Row],[Afhængig variabel ID]]&lt;&gt;LineærRegression_Valg[[#This Row],[Uafhængig variabel ID]]</f>
        <v>1</v>
      </c>
      <c r="E86" t="b">
        <f>LineærRegression_Valg[[#This Row],[Afhængig variabel ID]]&lt;=$B$5</f>
        <v>0</v>
      </c>
      <c r="F86" t="str" cm="1">
        <f t="array" ref="F86">IF(LineærRegression_Valg[[#This Row],[Indenfor range]],INDEX(DataTitel_liste,LineærRegression_Valg[[#This Row],[Afhængig variabel ID]]),INDEX(DataTitel_liste,1))</f>
        <v>Eksempel 1 (interval)</v>
      </c>
      <c r="G86" s="45" t="str" cm="1">
        <f t="array" ref="G86">IF(LineærRegression_Valg[[#This Row],[Indenfor range]],IF(LineærRegression_Valg[[#This Row],[Intet overlap]],INDEX(DataTitel_liste,LineærRegression_Valg[[#This Row],[Uafhængig variabel ID]]),INDEX(DataTitel_liste,IF(LineærRegression_Valg[[#This Row],[Afhængig variabel ID]]=1,2,1))),$B$7)</f>
        <v>Eksempel 2 (interval)</v>
      </c>
      <c r="H86" s="45">
        <f>_xlfn.AGGREGATE(2,5,LineærRegression_Valg[[#This Row],[Tabel ID]])</f>
        <v>1</v>
      </c>
    </row>
    <row r="87" spans="1:8" x14ac:dyDescent="0.2">
      <c r="A87">
        <f>ROW(LineærRegression_Valg[[#This Row],[Tabel ID]])-ROW(LineærRegression_Valg[[#Headers],[Tabel ID]])</f>
        <v>77</v>
      </c>
      <c r="B87" s="45">
        <f>ROUNDDOWN((LineærRegression_Valg[[#This Row],[Tabel ID]]-1)/$B$5,0)+1</f>
        <v>20</v>
      </c>
      <c r="C87" s="45">
        <f t="shared" si="1"/>
        <v>1</v>
      </c>
      <c r="D87" s="45" t="b">
        <f>LineærRegression_Valg[[#This Row],[Afhængig variabel ID]]&lt;&gt;LineærRegression_Valg[[#This Row],[Uafhængig variabel ID]]</f>
        <v>1</v>
      </c>
      <c r="E87" t="b">
        <f>LineærRegression_Valg[[#This Row],[Afhængig variabel ID]]&lt;=$B$5</f>
        <v>0</v>
      </c>
      <c r="F87" t="str" cm="1">
        <f t="array" ref="F87">IF(LineærRegression_Valg[[#This Row],[Indenfor range]],INDEX(DataTitel_liste,LineærRegression_Valg[[#This Row],[Afhængig variabel ID]]),INDEX(DataTitel_liste,1))</f>
        <v>Eksempel 1 (interval)</v>
      </c>
      <c r="G87" s="45" t="str" cm="1">
        <f t="array" ref="G87">IF(LineærRegression_Valg[[#This Row],[Indenfor range]],IF(LineærRegression_Valg[[#This Row],[Intet overlap]],INDEX(DataTitel_liste,LineærRegression_Valg[[#This Row],[Uafhængig variabel ID]]),INDEX(DataTitel_liste,IF(LineærRegression_Valg[[#This Row],[Afhængig variabel ID]]=1,2,1))),$B$7)</f>
        <v>Eksempel 2 (interval)</v>
      </c>
      <c r="H87" s="45">
        <f>_xlfn.AGGREGATE(2,5,LineærRegression_Valg[[#This Row],[Tabel ID]])</f>
        <v>1</v>
      </c>
    </row>
    <row r="88" spans="1:8" x14ac:dyDescent="0.2">
      <c r="A88">
        <f>ROW(LineærRegression_Valg[[#This Row],[Tabel ID]])-ROW(LineærRegression_Valg[[#Headers],[Tabel ID]])</f>
        <v>78</v>
      </c>
      <c r="B88" s="45">
        <f>ROUNDDOWN((LineærRegression_Valg[[#This Row],[Tabel ID]]-1)/$B$5,0)+1</f>
        <v>20</v>
      </c>
      <c r="C88" s="45">
        <f t="shared" si="1"/>
        <v>2</v>
      </c>
      <c r="D88" s="45" t="b">
        <f>LineærRegression_Valg[[#This Row],[Afhængig variabel ID]]&lt;&gt;LineærRegression_Valg[[#This Row],[Uafhængig variabel ID]]</f>
        <v>1</v>
      </c>
      <c r="E88" t="b">
        <f>LineærRegression_Valg[[#This Row],[Afhængig variabel ID]]&lt;=$B$5</f>
        <v>0</v>
      </c>
      <c r="F88" t="str" cm="1">
        <f t="array" ref="F88">IF(LineærRegression_Valg[[#This Row],[Indenfor range]],INDEX(DataTitel_liste,LineærRegression_Valg[[#This Row],[Afhængig variabel ID]]),INDEX(DataTitel_liste,1))</f>
        <v>Eksempel 1 (interval)</v>
      </c>
      <c r="G88" s="45" t="str" cm="1">
        <f t="array" ref="G88">IF(LineærRegression_Valg[[#This Row],[Indenfor range]],IF(LineærRegression_Valg[[#This Row],[Intet overlap]],INDEX(DataTitel_liste,LineærRegression_Valg[[#This Row],[Uafhængig variabel ID]]),INDEX(DataTitel_liste,IF(LineærRegression_Valg[[#This Row],[Afhængig variabel ID]]=1,2,1))),$B$7)</f>
        <v>Eksempel 2 (interval)</v>
      </c>
      <c r="H88" s="45">
        <f>_xlfn.AGGREGATE(2,5,LineærRegression_Valg[[#This Row],[Tabel ID]])</f>
        <v>1</v>
      </c>
    </row>
    <row r="89" spans="1:8" x14ac:dyDescent="0.2">
      <c r="A89">
        <f>ROW(LineærRegression_Valg[[#This Row],[Tabel ID]])-ROW(LineærRegression_Valg[[#Headers],[Tabel ID]])</f>
        <v>79</v>
      </c>
      <c r="B89" s="45">
        <f>ROUNDDOWN((LineærRegression_Valg[[#This Row],[Tabel ID]]-1)/$B$5,0)+1</f>
        <v>20</v>
      </c>
      <c r="C89" s="45">
        <f t="shared" si="1"/>
        <v>3</v>
      </c>
      <c r="D89" s="45" t="b">
        <f>LineærRegression_Valg[[#This Row],[Afhængig variabel ID]]&lt;&gt;LineærRegression_Valg[[#This Row],[Uafhængig variabel ID]]</f>
        <v>1</v>
      </c>
      <c r="E89" t="b">
        <f>LineærRegression_Valg[[#This Row],[Afhængig variabel ID]]&lt;=$B$5</f>
        <v>0</v>
      </c>
      <c r="F89" t="str" cm="1">
        <f t="array" ref="F89">IF(LineærRegression_Valg[[#This Row],[Indenfor range]],INDEX(DataTitel_liste,LineærRegression_Valg[[#This Row],[Afhængig variabel ID]]),INDEX(DataTitel_liste,1))</f>
        <v>Eksempel 1 (interval)</v>
      </c>
      <c r="G89" s="45" t="str" cm="1">
        <f t="array" ref="G89">IF(LineærRegression_Valg[[#This Row],[Indenfor range]],IF(LineærRegression_Valg[[#This Row],[Intet overlap]],INDEX(DataTitel_liste,LineærRegression_Valg[[#This Row],[Uafhængig variabel ID]]),INDEX(DataTitel_liste,IF(LineærRegression_Valg[[#This Row],[Afhængig variabel ID]]=1,2,1))),$B$7)</f>
        <v>Eksempel 2 (interval)</v>
      </c>
      <c r="H89" s="45">
        <f>_xlfn.AGGREGATE(2,5,LineærRegression_Valg[[#This Row],[Tabel ID]])</f>
        <v>1</v>
      </c>
    </row>
    <row r="90" spans="1:8" x14ac:dyDescent="0.2">
      <c r="A90">
        <f>ROW(LineærRegression_Valg[[#This Row],[Tabel ID]])-ROW(LineærRegression_Valg[[#Headers],[Tabel ID]])</f>
        <v>80</v>
      </c>
      <c r="B90" s="45">
        <f>ROUNDDOWN((LineærRegression_Valg[[#This Row],[Tabel ID]]-1)/$B$5,0)+1</f>
        <v>20</v>
      </c>
      <c r="C90" s="45">
        <f t="shared" si="1"/>
        <v>4</v>
      </c>
      <c r="D90" s="45" t="b">
        <f>LineærRegression_Valg[[#This Row],[Afhængig variabel ID]]&lt;&gt;LineærRegression_Valg[[#This Row],[Uafhængig variabel ID]]</f>
        <v>1</v>
      </c>
      <c r="E90" t="b">
        <f>LineærRegression_Valg[[#This Row],[Afhængig variabel ID]]&lt;=$B$5</f>
        <v>0</v>
      </c>
      <c r="F90" t="str" cm="1">
        <f t="array" ref="F90">IF(LineærRegression_Valg[[#This Row],[Indenfor range]],INDEX(DataTitel_liste,LineærRegression_Valg[[#This Row],[Afhængig variabel ID]]),INDEX(DataTitel_liste,1))</f>
        <v>Eksempel 1 (interval)</v>
      </c>
      <c r="G90" s="45" t="str" cm="1">
        <f t="array" ref="G90">IF(LineærRegression_Valg[[#This Row],[Indenfor range]],IF(LineærRegression_Valg[[#This Row],[Intet overlap]],INDEX(DataTitel_liste,LineærRegression_Valg[[#This Row],[Uafhængig variabel ID]]),INDEX(DataTitel_liste,IF(LineærRegression_Valg[[#This Row],[Afhængig variabel ID]]=1,2,1))),$B$7)</f>
        <v>Eksempel 2 (interval)</v>
      </c>
      <c r="H90" s="45">
        <f>_xlfn.AGGREGATE(2,5,LineærRegression_Valg[[#This Row],[Tabel ID]])</f>
        <v>1</v>
      </c>
    </row>
    <row r="91" spans="1:8" x14ac:dyDescent="0.2">
      <c r="A91">
        <f>ROW(LineærRegression_Valg[[#This Row],[Tabel ID]])-ROW(LineærRegression_Valg[[#Headers],[Tabel ID]])</f>
        <v>81</v>
      </c>
      <c r="B91" s="45">
        <f>ROUNDDOWN((LineærRegression_Valg[[#This Row],[Tabel ID]]-1)/$B$5,0)+1</f>
        <v>21</v>
      </c>
      <c r="C91" s="45">
        <f t="shared" si="1"/>
        <v>1</v>
      </c>
      <c r="D91" s="45" t="b">
        <f>LineærRegression_Valg[[#This Row],[Afhængig variabel ID]]&lt;&gt;LineærRegression_Valg[[#This Row],[Uafhængig variabel ID]]</f>
        <v>1</v>
      </c>
      <c r="E91" t="b">
        <f>LineærRegression_Valg[[#This Row],[Afhængig variabel ID]]&lt;=$B$5</f>
        <v>0</v>
      </c>
      <c r="F91" t="str" cm="1">
        <f t="array" ref="F91">IF(LineærRegression_Valg[[#This Row],[Indenfor range]],INDEX(DataTitel_liste,LineærRegression_Valg[[#This Row],[Afhængig variabel ID]]),INDEX(DataTitel_liste,1))</f>
        <v>Eksempel 1 (interval)</v>
      </c>
      <c r="G91" s="45" t="str" cm="1">
        <f t="array" ref="G91">IF(LineærRegression_Valg[[#This Row],[Indenfor range]],IF(LineærRegression_Valg[[#This Row],[Intet overlap]],INDEX(DataTitel_liste,LineærRegression_Valg[[#This Row],[Uafhængig variabel ID]]),INDEX(DataTitel_liste,IF(LineærRegression_Valg[[#This Row],[Afhængig variabel ID]]=1,2,1))),$B$7)</f>
        <v>Eksempel 2 (interval)</v>
      </c>
      <c r="H91" s="45">
        <f>_xlfn.AGGREGATE(2,5,LineærRegression_Valg[[#This Row],[Tabel ID]])</f>
        <v>1</v>
      </c>
    </row>
    <row r="92" spans="1:8" x14ac:dyDescent="0.2">
      <c r="A92">
        <f>ROW(LineærRegression_Valg[[#This Row],[Tabel ID]])-ROW(LineærRegression_Valg[[#Headers],[Tabel ID]])</f>
        <v>82</v>
      </c>
      <c r="B92" s="45">
        <f>ROUNDDOWN((LineærRegression_Valg[[#This Row],[Tabel ID]]-1)/$B$5,0)+1</f>
        <v>21</v>
      </c>
      <c r="C92" s="45">
        <f t="shared" si="1"/>
        <v>2</v>
      </c>
      <c r="D92" s="45" t="b">
        <f>LineærRegression_Valg[[#This Row],[Afhængig variabel ID]]&lt;&gt;LineærRegression_Valg[[#This Row],[Uafhængig variabel ID]]</f>
        <v>1</v>
      </c>
      <c r="E92" t="b">
        <f>LineærRegression_Valg[[#This Row],[Afhængig variabel ID]]&lt;=$B$5</f>
        <v>0</v>
      </c>
      <c r="F92" t="str" cm="1">
        <f t="array" ref="F92">IF(LineærRegression_Valg[[#This Row],[Indenfor range]],INDEX(DataTitel_liste,LineærRegression_Valg[[#This Row],[Afhængig variabel ID]]),INDEX(DataTitel_liste,1))</f>
        <v>Eksempel 1 (interval)</v>
      </c>
      <c r="G92" s="45" t="str" cm="1">
        <f t="array" ref="G92">IF(LineærRegression_Valg[[#This Row],[Indenfor range]],IF(LineærRegression_Valg[[#This Row],[Intet overlap]],INDEX(DataTitel_liste,LineærRegression_Valg[[#This Row],[Uafhængig variabel ID]]),INDEX(DataTitel_liste,IF(LineærRegression_Valg[[#This Row],[Afhængig variabel ID]]=1,2,1))),$B$7)</f>
        <v>Eksempel 2 (interval)</v>
      </c>
      <c r="H92" s="45">
        <f>_xlfn.AGGREGATE(2,5,LineærRegression_Valg[[#This Row],[Tabel ID]])</f>
        <v>1</v>
      </c>
    </row>
    <row r="93" spans="1:8" x14ac:dyDescent="0.2">
      <c r="A93">
        <f>ROW(LineærRegression_Valg[[#This Row],[Tabel ID]])-ROW(LineærRegression_Valg[[#Headers],[Tabel ID]])</f>
        <v>83</v>
      </c>
      <c r="B93" s="45">
        <f>ROUNDDOWN((LineærRegression_Valg[[#This Row],[Tabel ID]]-1)/$B$5,0)+1</f>
        <v>21</v>
      </c>
      <c r="C93" s="45">
        <f t="shared" si="1"/>
        <v>3</v>
      </c>
      <c r="D93" s="45" t="b">
        <f>LineærRegression_Valg[[#This Row],[Afhængig variabel ID]]&lt;&gt;LineærRegression_Valg[[#This Row],[Uafhængig variabel ID]]</f>
        <v>1</v>
      </c>
      <c r="E93" t="b">
        <f>LineærRegression_Valg[[#This Row],[Afhængig variabel ID]]&lt;=$B$5</f>
        <v>0</v>
      </c>
      <c r="F93" t="str" cm="1">
        <f t="array" ref="F93">IF(LineærRegression_Valg[[#This Row],[Indenfor range]],INDEX(DataTitel_liste,LineærRegression_Valg[[#This Row],[Afhængig variabel ID]]),INDEX(DataTitel_liste,1))</f>
        <v>Eksempel 1 (interval)</v>
      </c>
      <c r="G93" s="45" t="str" cm="1">
        <f t="array" ref="G93">IF(LineærRegression_Valg[[#This Row],[Indenfor range]],IF(LineærRegression_Valg[[#This Row],[Intet overlap]],INDEX(DataTitel_liste,LineærRegression_Valg[[#This Row],[Uafhængig variabel ID]]),INDEX(DataTitel_liste,IF(LineærRegression_Valg[[#This Row],[Afhængig variabel ID]]=1,2,1))),$B$7)</f>
        <v>Eksempel 2 (interval)</v>
      </c>
      <c r="H93" s="45">
        <f>_xlfn.AGGREGATE(2,5,LineærRegression_Valg[[#This Row],[Tabel ID]])</f>
        <v>1</v>
      </c>
    </row>
    <row r="94" spans="1:8" x14ac:dyDescent="0.2">
      <c r="A94">
        <f>ROW(LineærRegression_Valg[[#This Row],[Tabel ID]])-ROW(LineærRegression_Valg[[#Headers],[Tabel ID]])</f>
        <v>84</v>
      </c>
      <c r="B94" s="45">
        <f>ROUNDDOWN((LineærRegression_Valg[[#This Row],[Tabel ID]]-1)/$B$5,0)+1</f>
        <v>21</v>
      </c>
      <c r="C94" s="45">
        <f t="shared" si="1"/>
        <v>4</v>
      </c>
      <c r="D94" s="45" t="b">
        <f>LineærRegression_Valg[[#This Row],[Afhængig variabel ID]]&lt;&gt;LineærRegression_Valg[[#This Row],[Uafhængig variabel ID]]</f>
        <v>1</v>
      </c>
      <c r="E94" t="b">
        <f>LineærRegression_Valg[[#This Row],[Afhængig variabel ID]]&lt;=$B$5</f>
        <v>0</v>
      </c>
      <c r="F94" t="str" cm="1">
        <f t="array" ref="F94">IF(LineærRegression_Valg[[#This Row],[Indenfor range]],INDEX(DataTitel_liste,LineærRegression_Valg[[#This Row],[Afhængig variabel ID]]),INDEX(DataTitel_liste,1))</f>
        <v>Eksempel 1 (interval)</v>
      </c>
      <c r="G94" s="45" t="str" cm="1">
        <f t="array" ref="G94">IF(LineærRegression_Valg[[#This Row],[Indenfor range]],IF(LineærRegression_Valg[[#This Row],[Intet overlap]],INDEX(DataTitel_liste,LineærRegression_Valg[[#This Row],[Uafhængig variabel ID]]),INDEX(DataTitel_liste,IF(LineærRegression_Valg[[#This Row],[Afhængig variabel ID]]=1,2,1))),$B$7)</f>
        <v>Eksempel 2 (interval)</v>
      </c>
      <c r="H94" s="45">
        <f>_xlfn.AGGREGATE(2,5,LineærRegression_Valg[[#This Row],[Tabel ID]])</f>
        <v>1</v>
      </c>
    </row>
    <row r="95" spans="1:8" x14ac:dyDescent="0.2">
      <c r="A95">
        <f>ROW(LineærRegression_Valg[[#This Row],[Tabel ID]])-ROW(LineærRegression_Valg[[#Headers],[Tabel ID]])</f>
        <v>85</v>
      </c>
      <c r="B95" s="45">
        <f>ROUNDDOWN((LineærRegression_Valg[[#This Row],[Tabel ID]]-1)/$B$5,0)+1</f>
        <v>22</v>
      </c>
      <c r="C95" s="45">
        <f t="shared" si="1"/>
        <v>1</v>
      </c>
      <c r="D95" s="45" t="b">
        <f>LineærRegression_Valg[[#This Row],[Afhængig variabel ID]]&lt;&gt;LineærRegression_Valg[[#This Row],[Uafhængig variabel ID]]</f>
        <v>1</v>
      </c>
      <c r="E95" t="b">
        <f>LineærRegression_Valg[[#This Row],[Afhængig variabel ID]]&lt;=$B$5</f>
        <v>0</v>
      </c>
      <c r="F95" t="str" cm="1">
        <f t="array" ref="F95">IF(LineærRegression_Valg[[#This Row],[Indenfor range]],INDEX(DataTitel_liste,LineærRegression_Valg[[#This Row],[Afhængig variabel ID]]),INDEX(DataTitel_liste,1))</f>
        <v>Eksempel 1 (interval)</v>
      </c>
      <c r="G95" s="45" t="str" cm="1">
        <f t="array" ref="G95">IF(LineærRegression_Valg[[#This Row],[Indenfor range]],IF(LineærRegression_Valg[[#This Row],[Intet overlap]],INDEX(DataTitel_liste,LineærRegression_Valg[[#This Row],[Uafhængig variabel ID]]),INDEX(DataTitel_liste,IF(LineærRegression_Valg[[#This Row],[Afhængig variabel ID]]=1,2,1))),$B$7)</f>
        <v>Eksempel 2 (interval)</v>
      </c>
      <c r="H95" s="45">
        <f>_xlfn.AGGREGATE(2,5,LineærRegression_Valg[[#This Row],[Tabel ID]])</f>
        <v>1</v>
      </c>
    </row>
    <row r="96" spans="1:8" x14ac:dyDescent="0.2">
      <c r="A96">
        <f>ROW(LineærRegression_Valg[[#This Row],[Tabel ID]])-ROW(LineærRegression_Valg[[#Headers],[Tabel ID]])</f>
        <v>86</v>
      </c>
      <c r="B96" s="45">
        <f>ROUNDDOWN((LineærRegression_Valg[[#This Row],[Tabel ID]]-1)/$B$5,0)+1</f>
        <v>22</v>
      </c>
      <c r="C96" s="45">
        <f t="shared" si="1"/>
        <v>2</v>
      </c>
      <c r="D96" s="45" t="b">
        <f>LineærRegression_Valg[[#This Row],[Afhængig variabel ID]]&lt;&gt;LineærRegression_Valg[[#This Row],[Uafhængig variabel ID]]</f>
        <v>1</v>
      </c>
      <c r="E96" t="b">
        <f>LineærRegression_Valg[[#This Row],[Afhængig variabel ID]]&lt;=$B$5</f>
        <v>0</v>
      </c>
      <c r="F96" t="str" cm="1">
        <f t="array" ref="F96">IF(LineærRegression_Valg[[#This Row],[Indenfor range]],INDEX(DataTitel_liste,LineærRegression_Valg[[#This Row],[Afhængig variabel ID]]),INDEX(DataTitel_liste,1))</f>
        <v>Eksempel 1 (interval)</v>
      </c>
      <c r="G96" s="45" t="str" cm="1">
        <f t="array" ref="G96">IF(LineærRegression_Valg[[#This Row],[Indenfor range]],IF(LineærRegression_Valg[[#This Row],[Intet overlap]],INDEX(DataTitel_liste,LineærRegression_Valg[[#This Row],[Uafhængig variabel ID]]),INDEX(DataTitel_liste,IF(LineærRegression_Valg[[#This Row],[Afhængig variabel ID]]=1,2,1))),$B$7)</f>
        <v>Eksempel 2 (interval)</v>
      </c>
      <c r="H96" s="45">
        <f>_xlfn.AGGREGATE(2,5,LineærRegression_Valg[[#This Row],[Tabel ID]])</f>
        <v>1</v>
      </c>
    </row>
    <row r="97" spans="1:8" x14ac:dyDescent="0.2">
      <c r="A97">
        <f>ROW(LineærRegression_Valg[[#This Row],[Tabel ID]])-ROW(LineærRegression_Valg[[#Headers],[Tabel ID]])</f>
        <v>87</v>
      </c>
      <c r="B97" s="45">
        <f>ROUNDDOWN((LineærRegression_Valg[[#This Row],[Tabel ID]]-1)/$B$5,0)+1</f>
        <v>22</v>
      </c>
      <c r="C97" s="45">
        <f t="shared" si="1"/>
        <v>3</v>
      </c>
      <c r="D97" s="45" t="b">
        <f>LineærRegression_Valg[[#This Row],[Afhængig variabel ID]]&lt;&gt;LineærRegression_Valg[[#This Row],[Uafhængig variabel ID]]</f>
        <v>1</v>
      </c>
      <c r="E97" t="b">
        <f>LineærRegression_Valg[[#This Row],[Afhængig variabel ID]]&lt;=$B$5</f>
        <v>0</v>
      </c>
      <c r="F97" t="str" cm="1">
        <f t="array" ref="F97">IF(LineærRegression_Valg[[#This Row],[Indenfor range]],INDEX(DataTitel_liste,LineærRegression_Valg[[#This Row],[Afhængig variabel ID]]),INDEX(DataTitel_liste,1))</f>
        <v>Eksempel 1 (interval)</v>
      </c>
      <c r="G97" s="45" t="str" cm="1">
        <f t="array" ref="G97">IF(LineærRegression_Valg[[#This Row],[Indenfor range]],IF(LineærRegression_Valg[[#This Row],[Intet overlap]],INDEX(DataTitel_liste,LineærRegression_Valg[[#This Row],[Uafhængig variabel ID]]),INDEX(DataTitel_liste,IF(LineærRegression_Valg[[#This Row],[Afhængig variabel ID]]=1,2,1))),$B$7)</f>
        <v>Eksempel 2 (interval)</v>
      </c>
      <c r="H97" s="45">
        <f>_xlfn.AGGREGATE(2,5,LineærRegression_Valg[[#This Row],[Tabel ID]])</f>
        <v>1</v>
      </c>
    </row>
    <row r="98" spans="1:8" x14ac:dyDescent="0.2">
      <c r="A98">
        <f>ROW(LineærRegression_Valg[[#This Row],[Tabel ID]])-ROW(LineærRegression_Valg[[#Headers],[Tabel ID]])</f>
        <v>88</v>
      </c>
      <c r="B98" s="45">
        <f>ROUNDDOWN((LineærRegression_Valg[[#This Row],[Tabel ID]]-1)/$B$5,0)+1</f>
        <v>22</v>
      </c>
      <c r="C98" s="45">
        <f t="shared" si="1"/>
        <v>4</v>
      </c>
      <c r="D98" s="45" t="b">
        <f>LineærRegression_Valg[[#This Row],[Afhængig variabel ID]]&lt;&gt;LineærRegression_Valg[[#This Row],[Uafhængig variabel ID]]</f>
        <v>1</v>
      </c>
      <c r="E98" t="b">
        <f>LineærRegression_Valg[[#This Row],[Afhængig variabel ID]]&lt;=$B$5</f>
        <v>0</v>
      </c>
      <c r="F98" t="str" cm="1">
        <f t="array" ref="F98">IF(LineærRegression_Valg[[#This Row],[Indenfor range]],INDEX(DataTitel_liste,LineærRegression_Valg[[#This Row],[Afhængig variabel ID]]),INDEX(DataTitel_liste,1))</f>
        <v>Eksempel 1 (interval)</v>
      </c>
      <c r="G98" s="45" t="str" cm="1">
        <f t="array" ref="G98">IF(LineærRegression_Valg[[#This Row],[Indenfor range]],IF(LineærRegression_Valg[[#This Row],[Intet overlap]],INDEX(DataTitel_liste,LineærRegression_Valg[[#This Row],[Uafhængig variabel ID]]),INDEX(DataTitel_liste,IF(LineærRegression_Valg[[#This Row],[Afhængig variabel ID]]=1,2,1))),$B$7)</f>
        <v>Eksempel 2 (interval)</v>
      </c>
      <c r="H98" s="45">
        <f>_xlfn.AGGREGATE(2,5,LineærRegression_Valg[[#This Row],[Tabel ID]])</f>
        <v>1</v>
      </c>
    </row>
    <row r="99" spans="1:8" x14ac:dyDescent="0.2">
      <c r="A99">
        <f>ROW(LineærRegression_Valg[[#This Row],[Tabel ID]])-ROW(LineærRegression_Valg[[#Headers],[Tabel ID]])</f>
        <v>89</v>
      </c>
      <c r="B99" s="45">
        <f>ROUNDDOWN((LineærRegression_Valg[[#This Row],[Tabel ID]]-1)/$B$5,0)+1</f>
        <v>23</v>
      </c>
      <c r="C99" s="45">
        <f t="shared" si="1"/>
        <v>1</v>
      </c>
      <c r="D99" s="45" t="b">
        <f>LineærRegression_Valg[[#This Row],[Afhængig variabel ID]]&lt;&gt;LineærRegression_Valg[[#This Row],[Uafhængig variabel ID]]</f>
        <v>1</v>
      </c>
      <c r="E99" t="b">
        <f>LineærRegression_Valg[[#This Row],[Afhængig variabel ID]]&lt;=$B$5</f>
        <v>0</v>
      </c>
      <c r="F99" t="str" cm="1">
        <f t="array" ref="F99">IF(LineærRegression_Valg[[#This Row],[Indenfor range]],INDEX(DataTitel_liste,LineærRegression_Valg[[#This Row],[Afhængig variabel ID]]),INDEX(DataTitel_liste,1))</f>
        <v>Eksempel 1 (interval)</v>
      </c>
      <c r="G99" s="45" t="str" cm="1">
        <f t="array" ref="G99">IF(LineærRegression_Valg[[#This Row],[Indenfor range]],IF(LineærRegression_Valg[[#This Row],[Intet overlap]],INDEX(DataTitel_liste,LineærRegression_Valg[[#This Row],[Uafhængig variabel ID]]),INDEX(DataTitel_liste,IF(LineærRegression_Valg[[#This Row],[Afhængig variabel ID]]=1,2,1))),$B$7)</f>
        <v>Eksempel 2 (interval)</v>
      </c>
      <c r="H99" s="45">
        <f>_xlfn.AGGREGATE(2,5,LineærRegression_Valg[[#This Row],[Tabel ID]])</f>
        <v>1</v>
      </c>
    </row>
    <row r="100" spans="1:8" x14ac:dyDescent="0.2">
      <c r="A100">
        <f>ROW(LineærRegression_Valg[[#This Row],[Tabel ID]])-ROW(LineærRegression_Valg[[#Headers],[Tabel ID]])</f>
        <v>90</v>
      </c>
      <c r="B100" s="45">
        <f>ROUNDDOWN((LineærRegression_Valg[[#This Row],[Tabel ID]]-1)/$B$5,0)+1</f>
        <v>23</v>
      </c>
      <c r="C100" s="45">
        <f t="shared" si="1"/>
        <v>2</v>
      </c>
      <c r="D100" s="45" t="b">
        <f>LineærRegression_Valg[[#This Row],[Afhængig variabel ID]]&lt;&gt;LineærRegression_Valg[[#This Row],[Uafhængig variabel ID]]</f>
        <v>1</v>
      </c>
      <c r="E100" t="b">
        <f>LineærRegression_Valg[[#This Row],[Afhængig variabel ID]]&lt;=$B$5</f>
        <v>0</v>
      </c>
      <c r="F100" t="str" cm="1">
        <f t="array" ref="F100">IF(LineærRegression_Valg[[#This Row],[Indenfor range]],INDEX(DataTitel_liste,LineærRegression_Valg[[#This Row],[Afhængig variabel ID]]),INDEX(DataTitel_liste,1))</f>
        <v>Eksempel 1 (interval)</v>
      </c>
      <c r="G100" s="45" t="str" cm="1">
        <f t="array" ref="G100">IF(LineærRegression_Valg[[#This Row],[Indenfor range]],IF(LineærRegression_Valg[[#This Row],[Intet overlap]],INDEX(DataTitel_liste,LineærRegression_Valg[[#This Row],[Uafhængig variabel ID]]),INDEX(DataTitel_liste,IF(LineærRegression_Valg[[#This Row],[Afhængig variabel ID]]=1,2,1))),$B$7)</f>
        <v>Eksempel 2 (interval)</v>
      </c>
      <c r="H100" s="45">
        <f>_xlfn.AGGREGATE(2,5,LineærRegression_Valg[[#This Row],[Tabel ID]])</f>
        <v>1</v>
      </c>
    </row>
    <row r="101" spans="1:8" x14ac:dyDescent="0.2">
      <c r="A101">
        <f>ROW(LineærRegression_Valg[[#This Row],[Tabel ID]])-ROW(LineærRegression_Valg[[#Headers],[Tabel ID]])</f>
        <v>91</v>
      </c>
      <c r="B101" s="45">
        <f>ROUNDDOWN((LineærRegression_Valg[[#This Row],[Tabel ID]]-1)/$B$5,0)+1</f>
        <v>23</v>
      </c>
      <c r="C101" s="45">
        <f t="shared" si="1"/>
        <v>3</v>
      </c>
      <c r="D101" s="45" t="b">
        <f>LineærRegression_Valg[[#This Row],[Afhængig variabel ID]]&lt;&gt;LineærRegression_Valg[[#This Row],[Uafhængig variabel ID]]</f>
        <v>1</v>
      </c>
      <c r="E101" t="b">
        <f>LineærRegression_Valg[[#This Row],[Afhængig variabel ID]]&lt;=$B$5</f>
        <v>0</v>
      </c>
      <c r="F101" t="str" cm="1">
        <f t="array" ref="F101">IF(LineærRegression_Valg[[#This Row],[Indenfor range]],INDEX(DataTitel_liste,LineærRegression_Valg[[#This Row],[Afhængig variabel ID]]),INDEX(DataTitel_liste,1))</f>
        <v>Eksempel 1 (interval)</v>
      </c>
      <c r="G101" s="45" t="str" cm="1">
        <f t="array" ref="G101">IF(LineærRegression_Valg[[#This Row],[Indenfor range]],IF(LineærRegression_Valg[[#This Row],[Intet overlap]],INDEX(DataTitel_liste,LineærRegression_Valg[[#This Row],[Uafhængig variabel ID]]),INDEX(DataTitel_liste,IF(LineærRegression_Valg[[#This Row],[Afhængig variabel ID]]=1,2,1))),$B$7)</f>
        <v>Eksempel 2 (interval)</v>
      </c>
      <c r="H101" s="45">
        <f>_xlfn.AGGREGATE(2,5,LineærRegression_Valg[[#This Row],[Tabel ID]])</f>
        <v>1</v>
      </c>
    </row>
    <row r="102" spans="1:8" x14ac:dyDescent="0.2">
      <c r="A102">
        <f>ROW(LineærRegression_Valg[[#This Row],[Tabel ID]])-ROW(LineærRegression_Valg[[#Headers],[Tabel ID]])</f>
        <v>92</v>
      </c>
      <c r="B102" s="45">
        <f>ROUNDDOWN((LineærRegression_Valg[[#This Row],[Tabel ID]]-1)/$B$5,0)+1</f>
        <v>23</v>
      </c>
      <c r="C102" s="45">
        <f t="shared" si="1"/>
        <v>4</v>
      </c>
      <c r="D102" s="45" t="b">
        <f>LineærRegression_Valg[[#This Row],[Afhængig variabel ID]]&lt;&gt;LineærRegression_Valg[[#This Row],[Uafhængig variabel ID]]</f>
        <v>1</v>
      </c>
      <c r="E102" t="b">
        <f>LineærRegression_Valg[[#This Row],[Afhængig variabel ID]]&lt;=$B$5</f>
        <v>0</v>
      </c>
      <c r="F102" t="str" cm="1">
        <f t="array" ref="F102">IF(LineærRegression_Valg[[#This Row],[Indenfor range]],INDEX(DataTitel_liste,LineærRegression_Valg[[#This Row],[Afhængig variabel ID]]),INDEX(DataTitel_liste,1))</f>
        <v>Eksempel 1 (interval)</v>
      </c>
      <c r="G102" s="45" t="str" cm="1">
        <f t="array" ref="G102">IF(LineærRegression_Valg[[#This Row],[Indenfor range]],IF(LineærRegression_Valg[[#This Row],[Intet overlap]],INDEX(DataTitel_liste,LineærRegression_Valg[[#This Row],[Uafhængig variabel ID]]),INDEX(DataTitel_liste,IF(LineærRegression_Valg[[#This Row],[Afhængig variabel ID]]=1,2,1))),$B$7)</f>
        <v>Eksempel 2 (interval)</v>
      </c>
      <c r="H102" s="45">
        <f>_xlfn.AGGREGATE(2,5,LineærRegression_Valg[[#This Row],[Tabel ID]])</f>
        <v>1</v>
      </c>
    </row>
    <row r="103" spans="1:8" x14ac:dyDescent="0.2">
      <c r="A103">
        <f>ROW(LineærRegression_Valg[[#This Row],[Tabel ID]])-ROW(LineærRegression_Valg[[#Headers],[Tabel ID]])</f>
        <v>93</v>
      </c>
      <c r="B103" s="45">
        <f>ROUNDDOWN((LineærRegression_Valg[[#This Row],[Tabel ID]]-1)/$B$5,0)+1</f>
        <v>24</v>
      </c>
      <c r="C103" s="45">
        <f t="shared" si="1"/>
        <v>1</v>
      </c>
      <c r="D103" s="45" t="b">
        <f>LineærRegression_Valg[[#This Row],[Afhængig variabel ID]]&lt;&gt;LineærRegression_Valg[[#This Row],[Uafhængig variabel ID]]</f>
        <v>1</v>
      </c>
      <c r="E103" t="b">
        <f>LineærRegression_Valg[[#This Row],[Afhængig variabel ID]]&lt;=$B$5</f>
        <v>0</v>
      </c>
      <c r="F103" t="str" cm="1">
        <f t="array" ref="F103">IF(LineærRegression_Valg[[#This Row],[Indenfor range]],INDEX(DataTitel_liste,LineærRegression_Valg[[#This Row],[Afhængig variabel ID]]),INDEX(DataTitel_liste,1))</f>
        <v>Eksempel 1 (interval)</v>
      </c>
      <c r="G103" s="45" t="str" cm="1">
        <f t="array" ref="G103">IF(LineærRegression_Valg[[#This Row],[Indenfor range]],IF(LineærRegression_Valg[[#This Row],[Intet overlap]],INDEX(DataTitel_liste,LineærRegression_Valg[[#This Row],[Uafhængig variabel ID]]),INDEX(DataTitel_liste,IF(LineærRegression_Valg[[#This Row],[Afhængig variabel ID]]=1,2,1))),$B$7)</f>
        <v>Eksempel 2 (interval)</v>
      </c>
      <c r="H103" s="45">
        <f>_xlfn.AGGREGATE(2,5,LineærRegression_Valg[[#This Row],[Tabel ID]])</f>
        <v>1</v>
      </c>
    </row>
    <row r="104" spans="1:8" x14ac:dyDescent="0.2">
      <c r="A104">
        <f>ROW(LineærRegression_Valg[[#This Row],[Tabel ID]])-ROW(LineærRegression_Valg[[#Headers],[Tabel ID]])</f>
        <v>94</v>
      </c>
      <c r="B104" s="45">
        <f>ROUNDDOWN((LineærRegression_Valg[[#This Row],[Tabel ID]]-1)/$B$5,0)+1</f>
        <v>24</v>
      </c>
      <c r="C104" s="45">
        <f t="shared" si="1"/>
        <v>2</v>
      </c>
      <c r="D104" s="45" t="b">
        <f>LineærRegression_Valg[[#This Row],[Afhængig variabel ID]]&lt;&gt;LineærRegression_Valg[[#This Row],[Uafhængig variabel ID]]</f>
        <v>1</v>
      </c>
      <c r="E104" t="b">
        <f>LineærRegression_Valg[[#This Row],[Afhængig variabel ID]]&lt;=$B$5</f>
        <v>0</v>
      </c>
      <c r="F104" t="str" cm="1">
        <f t="array" ref="F104">IF(LineærRegression_Valg[[#This Row],[Indenfor range]],INDEX(DataTitel_liste,LineærRegression_Valg[[#This Row],[Afhængig variabel ID]]),INDEX(DataTitel_liste,1))</f>
        <v>Eksempel 1 (interval)</v>
      </c>
      <c r="G104" s="45" t="str" cm="1">
        <f t="array" ref="G104">IF(LineærRegression_Valg[[#This Row],[Indenfor range]],IF(LineærRegression_Valg[[#This Row],[Intet overlap]],INDEX(DataTitel_liste,LineærRegression_Valg[[#This Row],[Uafhængig variabel ID]]),INDEX(DataTitel_liste,IF(LineærRegression_Valg[[#This Row],[Afhængig variabel ID]]=1,2,1))),$B$7)</f>
        <v>Eksempel 2 (interval)</v>
      </c>
      <c r="H104" s="45">
        <f>_xlfn.AGGREGATE(2,5,LineærRegression_Valg[[#This Row],[Tabel ID]])</f>
        <v>1</v>
      </c>
    </row>
    <row r="105" spans="1:8" x14ac:dyDescent="0.2">
      <c r="A105">
        <f>ROW(LineærRegression_Valg[[#This Row],[Tabel ID]])-ROW(LineærRegression_Valg[[#Headers],[Tabel ID]])</f>
        <v>95</v>
      </c>
      <c r="B105" s="45">
        <f>ROUNDDOWN((LineærRegression_Valg[[#This Row],[Tabel ID]]-1)/$B$5,0)+1</f>
        <v>24</v>
      </c>
      <c r="C105" s="45">
        <f t="shared" si="1"/>
        <v>3</v>
      </c>
      <c r="D105" s="45" t="b">
        <f>LineærRegression_Valg[[#This Row],[Afhængig variabel ID]]&lt;&gt;LineærRegression_Valg[[#This Row],[Uafhængig variabel ID]]</f>
        <v>1</v>
      </c>
      <c r="E105" t="b">
        <f>LineærRegression_Valg[[#This Row],[Afhængig variabel ID]]&lt;=$B$5</f>
        <v>0</v>
      </c>
      <c r="F105" t="str" cm="1">
        <f t="array" ref="F105">IF(LineærRegression_Valg[[#This Row],[Indenfor range]],INDEX(DataTitel_liste,LineærRegression_Valg[[#This Row],[Afhængig variabel ID]]),INDEX(DataTitel_liste,1))</f>
        <v>Eksempel 1 (interval)</v>
      </c>
      <c r="G105" s="45" t="str" cm="1">
        <f t="array" ref="G105">IF(LineærRegression_Valg[[#This Row],[Indenfor range]],IF(LineærRegression_Valg[[#This Row],[Intet overlap]],INDEX(DataTitel_liste,LineærRegression_Valg[[#This Row],[Uafhængig variabel ID]]),INDEX(DataTitel_liste,IF(LineærRegression_Valg[[#This Row],[Afhængig variabel ID]]=1,2,1))),$B$7)</f>
        <v>Eksempel 2 (interval)</v>
      </c>
      <c r="H105" s="45">
        <f>_xlfn.AGGREGATE(2,5,LineærRegression_Valg[[#This Row],[Tabel ID]])</f>
        <v>1</v>
      </c>
    </row>
    <row r="106" spans="1:8" x14ac:dyDescent="0.2">
      <c r="A106">
        <f>ROW(LineærRegression_Valg[[#This Row],[Tabel ID]])-ROW(LineærRegression_Valg[[#Headers],[Tabel ID]])</f>
        <v>96</v>
      </c>
      <c r="B106" s="45">
        <f>ROUNDDOWN((LineærRegression_Valg[[#This Row],[Tabel ID]]-1)/$B$5,0)+1</f>
        <v>24</v>
      </c>
      <c r="C106" s="45">
        <f t="shared" si="1"/>
        <v>4</v>
      </c>
      <c r="D106" s="45" t="b">
        <f>LineærRegression_Valg[[#This Row],[Afhængig variabel ID]]&lt;&gt;LineærRegression_Valg[[#This Row],[Uafhængig variabel ID]]</f>
        <v>1</v>
      </c>
      <c r="E106" t="b">
        <f>LineærRegression_Valg[[#This Row],[Afhængig variabel ID]]&lt;=$B$5</f>
        <v>0</v>
      </c>
      <c r="F106" t="str" cm="1">
        <f t="array" ref="F106">IF(LineærRegression_Valg[[#This Row],[Indenfor range]],INDEX(DataTitel_liste,LineærRegression_Valg[[#This Row],[Afhængig variabel ID]]),INDEX(DataTitel_liste,1))</f>
        <v>Eksempel 1 (interval)</v>
      </c>
      <c r="G106" s="45" t="str" cm="1">
        <f t="array" ref="G106">IF(LineærRegression_Valg[[#This Row],[Indenfor range]],IF(LineærRegression_Valg[[#This Row],[Intet overlap]],INDEX(DataTitel_liste,LineærRegression_Valg[[#This Row],[Uafhængig variabel ID]]),INDEX(DataTitel_liste,IF(LineærRegression_Valg[[#This Row],[Afhængig variabel ID]]=1,2,1))),$B$7)</f>
        <v>Eksempel 2 (interval)</v>
      </c>
      <c r="H106" s="45">
        <f>_xlfn.AGGREGATE(2,5,LineærRegression_Valg[[#This Row],[Tabel ID]])</f>
        <v>1</v>
      </c>
    </row>
    <row r="107" spans="1:8" x14ac:dyDescent="0.2">
      <c r="A107">
        <f>ROW(LineærRegression_Valg[[#This Row],[Tabel ID]])-ROW(LineærRegression_Valg[[#Headers],[Tabel ID]])</f>
        <v>97</v>
      </c>
      <c r="B107" s="45">
        <f>ROUNDDOWN((LineærRegression_Valg[[#This Row],[Tabel ID]]-1)/$B$5,0)+1</f>
        <v>25</v>
      </c>
      <c r="C107" s="45">
        <f t="shared" si="1"/>
        <v>1</v>
      </c>
      <c r="D107" s="45" t="b">
        <f>LineærRegression_Valg[[#This Row],[Afhængig variabel ID]]&lt;&gt;LineærRegression_Valg[[#This Row],[Uafhængig variabel ID]]</f>
        <v>1</v>
      </c>
      <c r="E107" t="b">
        <f>LineærRegression_Valg[[#This Row],[Afhængig variabel ID]]&lt;=$B$5</f>
        <v>0</v>
      </c>
      <c r="F107" t="str" cm="1">
        <f t="array" ref="F107">IF(LineærRegression_Valg[[#This Row],[Indenfor range]],INDEX(DataTitel_liste,LineærRegression_Valg[[#This Row],[Afhængig variabel ID]]),INDEX(DataTitel_liste,1))</f>
        <v>Eksempel 1 (interval)</v>
      </c>
      <c r="G107" s="45" t="str" cm="1">
        <f t="array" ref="G107">IF(LineærRegression_Valg[[#This Row],[Indenfor range]],IF(LineærRegression_Valg[[#This Row],[Intet overlap]],INDEX(DataTitel_liste,LineærRegression_Valg[[#This Row],[Uafhængig variabel ID]]),INDEX(DataTitel_liste,IF(LineærRegression_Valg[[#This Row],[Afhængig variabel ID]]=1,2,1))),$B$7)</f>
        <v>Eksempel 2 (interval)</v>
      </c>
      <c r="H107" s="45">
        <f>_xlfn.AGGREGATE(2,5,LineærRegression_Valg[[#This Row],[Tabel ID]])</f>
        <v>1</v>
      </c>
    </row>
    <row r="108" spans="1:8" x14ac:dyDescent="0.2">
      <c r="A108">
        <f>ROW(LineærRegression_Valg[[#This Row],[Tabel ID]])-ROW(LineærRegression_Valg[[#Headers],[Tabel ID]])</f>
        <v>98</v>
      </c>
      <c r="B108" s="45">
        <f>ROUNDDOWN((LineærRegression_Valg[[#This Row],[Tabel ID]]-1)/$B$5,0)+1</f>
        <v>25</v>
      </c>
      <c r="C108" s="45">
        <f t="shared" si="1"/>
        <v>2</v>
      </c>
      <c r="D108" s="45" t="b">
        <f>LineærRegression_Valg[[#This Row],[Afhængig variabel ID]]&lt;&gt;LineærRegression_Valg[[#This Row],[Uafhængig variabel ID]]</f>
        <v>1</v>
      </c>
      <c r="E108" t="b">
        <f>LineærRegression_Valg[[#This Row],[Afhængig variabel ID]]&lt;=$B$5</f>
        <v>0</v>
      </c>
      <c r="F108" t="str" cm="1">
        <f t="array" ref="F108">IF(LineærRegression_Valg[[#This Row],[Indenfor range]],INDEX(DataTitel_liste,LineærRegression_Valg[[#This Row],[Afhængig variabel ID]]),INDEX(DataTitel_liste,1))</f>
        <v>Eksempel 1 (interval)</v>
      </c>
      <c r="G108" s="45" t="str" cm="1">
        <f t="array" ref="G108">IF(LineærRegression_Valg[[#This Row],[Indenfor range]],IF(LineærRegression_Valg[[#This Row],[Intet overlap]],INDEX(DataTitel_liste,LineærRegression_Valg[[#This Row],[Uafhængig variabel ID]]),INDEX(DataTitel_liste,IF(LineærRegression_Valg[[#This Row],[Afhængig variabel ID]]=1,2,1))),$B$7)</f>
        <v>Eksempel 2 (interval)</v>
      </c>
      <c r="H108" s="45">
        <f>_xlfn.AGGREGATE(2,5,LineærRegression_Valg[[#This Row],[Tabel ID]])</f>
        <v>1</v>
      </c>
    </row>
    <row r="109" spans="1:8" x14ac:dyDescent="0.2">
      <c r="A109">
        <f>ROW(LineærRegression_Valg[[#This Row],[Tabel ID]])-ROW(LineærRegression_Valg[[#Headers],[Tabel ID]])</f>
        <v>99</v>
      </c>
      <c r="B109" s="45">
        <f>ROUNDDOWN((LineærRegression_Valg[[#This Row],[Tabel ID]]-1)/$B$5,0)+1</f>
        <v>25</v>
      </c>
      <c r="C109" s="45">
        <f t="shared" si="1"/>
        <v>3</v>
      </c>
      <c r="D109" s="45" t="b">
        <f>LineærRegression_Valg[[#This Row],[Afhængig variabel ID]]&lt;&gt;LineærRegression_Valg[[#This Row],[Uafhængig variabel ID]]</f>
        <v>1</v>
      </c>
      <c r="E109" t="b">
        <f>LineærRegression_Valg[[#This Row],[Afhængig variabel ID]]&lt;=$B$5</f>
        <v>0</v>
      </c>
      <c r="F109" t="str" cm="1">
        <f t="array" ref="F109">IF(LineærRegression_Valg[[#This Row],[Indenfor range]],INDEX(DataTitel_liste,LineærRegression_Valg[[#This Row],[Afhængig variabel ID]]),INDEX(DataTitel_liste,1))</f>
        <v>Eksempel 1 (interval)</v>
      </c>
      <c r="G109" s="45" t="str" cm="1">
        <f t="array" ref="G109">IF(LineærRegression_Valg[[#This Row],[Indenfor range]],IF(LineærRegression_Valg[[#This Row],[Intet overlap]],INDEX(DataTitel_liste,LineærRegression_Valg[[#This Row],[Uafhængig variabel ID]]),INDEX(DataTitel_liste,IF(LineærRegression_Valg[[#This Row],[Afhængig variabel ID]]=1,2,1))),$B$7)</f>
        <v>Eksempel 2 (interval)</v>
      </c>
      <c r="H109" s="45">
        <f>_xlfn.AGGREGATE(2,5,LineærRegression_Valg[[#This Row],[Tabel ID]])</f>
        <v>1</v>
      </c>
    </row>
    <row r="110" spans="1:8" x14ac:dyDescent="0.2">
      <c r="A110">
        <f>ROW(LineærRegression_Valg[[#This Row],[Tabel ID]])-ROW(LineærRegression_Valg[[#Headers],[Tabel ID]])</f>
        <v>100</v>
      </c>
      <c r="B110" s="45">
        <f>ROUNDDOWN((LineærRegression_Valg[[#This Row],[Tabel ID]]-1)/$B$5,0)+1</f>
        <v>25</v>
      </c>
      <c r="C110" s="45">
        <f t="shared" si="1"/>
        <v>4</v>
      </c>
      <c r="D110" s="45" t="b">
        <f>LineærRegression_Valg[[#This Row],[Afhængig variabel ID]]&lt;&gt;LineærRegression_Valg[[#This Row],[Uafhængig variabel ID]]</f>
        <v>1</v>
      </c>
      <c r="E110" t="b">
        <f>LineærRegression_Valg[[#This Row],[Afhængig variabel ID]]&lt;=$B$5</f>
        <v>0</v>
      </c>
      <c r="F110" t="str" cm="1">
        <f t="array" ref="F110">IF(LineærRegression_Valg[[#This Row],[Indenfor range]],INDEX(DataTitel_liste,LineærRegression_Valg[[#This Row],[Afhængig variabel ID]]),INDEX(DataTitel_liste,1))</f>
        <v>Eksempel 1 (interval)</v>
      </c>
      <c r="G110" s="45" t="str" cm="1">
        <f t="array" ref="G110">IF(LineærRegression_Valg[[#This Row],[Indenfor range]],IF(LineærRegression_Valg[[#This Row],[Intet overlap]],INDEX(DataTitel_liste,LineærRegression_Valg[[#This Row],[Uafhængig variabel ID]]),INDEX(DataTitel_liste,IF(LineærRegression_Valg[[#This Row],[Afhængig variabel ID]]=1,2,1))),$B$7)</f>
        <v>Eksempel 2 (interval)</v>
      </c>
      <c r="H110" s="45">
        <f>_xlfn.AGGREGATE(2,5,LineærRegression_Valg[[#This Row],[Tabel ID]])</f>
        <v>1</v>
      </c>
    </row>
    <row r="111" spans="1:8" x14ac:dyDescent="0.2">
      <c r="A111">
        <f>ROW(LineærRegression_Valg[[#This Row],[Tabel ID]])-ROW(LineærRegression_Valg[[#Headers],[Tabel ID]])</f>
        <v>101</v>
      </c>
      <c r="B111" s="45">
        <f>ROUNDDOWN((LineærRegression_Valg[[#This Row],[Tabel ID]]-1)/$B$5,0)+1</f>
        <v>26</v>
      </c>
      <c r="C111" s="45">
        <f t="shared" si="1"/>
        <v>1</v>
      </c>
      <c r="D111" s="45" t="b">
        <f>LineærRegression_Valg[[#This Row],[Afhængig variabel ID]]&lt;&gt;LineærRegression_Valg[[#This Row],[Uafhængig variabel ID]]</f>
        <v>1</v>
      </c>
      <c r="E111" t="b">
        <f>LineærRegression_Valg[[#This Row],[Afhængig variabel ID]]&lt;=$B$5</f>
        <v>0</v>
      </c>
      <c r="F111" t="str" cm="1">
        <f t="array" ref="F111">IF(LineærRegression_Valg[[#This Row],[Indenfor range]],INDEX(DataTitel_liste,LineærRegression_Valg[[#This Row],[Afhængig variabel ID]]),INDEX(DataTitel_liste,1))</f>
        <v>Eksempel 1 (interval)</v>
      </c>
      <c r="G111" s="45" t="str" cm="1">
        <f t="array" ref="G111">IF(LineærRegression_Valg[[#This Row],[Indenfor range]],IF(LineærRegression_Valg[[#This Row],[Intet overlap]],INDEX(DataTitel_liste,LineærRegression_Valg[[#This Row],[Uafhængig variabel ID]]),INDEX(DataTitel_liste,IF(LineærRegression_Valg[[#This Row],[Afhængig variabel ID]]=1,2,1))),$B$7)</f>
        <v>Eksempel 2 (interval)</v>
      </c>
      <c r="H111" s="45">
        <f>_xlfn.AGGREGATE(2,5,LineærRegression_Valg[[#This Row],[Tabel ID]])</f>
        <v>1</v>
      </c>
    </row>
    <row r="112" spans="1:8" x14ac:dyDescent="0.2">
      <c r="A112">
        <f>ROW(LineærRegression_Valg[[#This Row],[Tabel ID]])-ROW(LineærRegression_Valg[[#Headers],[Tabel ID]])</f>
        <v>102</v>
      </c>
      <c r="B112" s="45">
        <f>ROUNDDOWN((LineærRegression_Valg[[#This Row],[Tabel ID]]-1)/$B$5,0)+1</f>
        <v>26</v>
      </c>
      <c r="C112" s="45">
        <f t="shared" si="1"/>
        <v>2</v>
      </c>
      <c r="D112" s="45" t="b">
        <f>LineærRegression_Valg[[#This Row],[Afhængig variabel ID]]&lt;&gt;LineærRegression_Valg[[#This Row],[Uafhængig variabel ID]]</f>
        <v>1</v>
      </c>
      <c r="E112" t="b">
        <f>LineærRegression_Valg[[#This Row],[Afhængig variabel ID]]&lt;=$B$5</f>
        <v>0</v>
      </c>
      <c r="F112" t="str" cm="1">
        <f t="array" ref="F112">IF(LineærRegression_Valg[[#This Row],[Indenfor range]],INDEX(DataTitel_liste,LineærRegression_Valg[[#This Row],[Afhængig variabel ID]]),INDEX(DataTitel_liste,1))</f>
        <v>Eksempel 1 (interval)</v>
      </c>
      <c r="G112" s="45" t="str" cm="1">
        <f t="array" ref="G112">IF(LineærRegression_Valg[[#This Row],[Indenfor range]],IF(LineærRegression_Valg[[#This Row],[Intet overlap]],INDEX(DataTitel_liste,LineærRegression_Valg[[#This Row],[Uafhængig variabel ID]]),INDEX(DataTitel_liste,IF(LineærRegression_Valg[[#This Row],[Afhængig variabel ID]]=1,2,1))),$B$7)</f>
        <v>Eksempel 2 (interval)</v>
      </c>
      <c r="H112" s="45">
        <f>_xlfn.AGGREGATE(2,5,LineærRegression_Valg[[#This Row],[Tabel ID]])</f>
        <v>1</v>
      </c>
    </row>
    <row r="113" spans="1:8" x14ac:dyDescent="0.2">
      <c r="A113">
        <f>ROW(LineærRegression_Valg[[#This Row],[Tabel ID]])-ROW(LineærRegression_Valg[[#Headers],[Tabel ID]])</f>
        <v>103</v>
      </c>
      <c r="B113" s="45">
        <f>ROUNDDOWN((LineærRegression_Valg[[#This Row],[Tabel ID]]-1)/$B$5,0)+1</f>
        <v>26</v>
      </c>
      <c r="C113" s="45">
        <f t="shared" si="1"/>
        <v>3</v>
      </c>
      <c r="D113" s="45" t="b">
        <f>LineærRegression_Valg[[#This Row],[Afhængig variabel ID]]&lt;&gt;LineærRegression_Valg[[#This Row],[Uafhængig variabel ID]]</f>
        <v>1</v>
      </c>
      <c r="E113" t="b">
        <f>LineærRegression_Valg[[#This Row],[Afhængig variabel ID]]&lt;=$B$5</f>
        <v>0</v>
      </c>
      <c r="F113" t="str" cm="1">
        <f t="array" ref="F113">IF(LineærRegression_Valg[[#This Row],[Indenfor range]],INDEX(DataTitel_liste,LineærRegression_Valg[[#This Row],[Afhængig variabel ID]]),INDEX(DataTitel_liste,1))</f>
        <v>Eksempel 1 (interval)</v>
      </c>
      <c r="G113" s="45" t="str" cm="1">
        <f t="array" ref="G113">IF(LineærRegression_Valg[[#This Row],[Indenfor range]],IF(LineærRegression_Valg[[#This Row],[Intet overlap]],INDEX(DataTitel_liste,LineærRegression_Valg[[#This Row],[Uafhængig variabel ID]]),INDEX(DataTitel_liste,IF(LineærRegression_Valg[[#This Row],[Afhængig variabel ID]]=1,2,1))),$B$7)</f>
        <v>Eksempel 2 (interval)</v>
      </c>
      <c r="H113" s="45">
        <f>_xlfn.AGGREGATE(2,5,LineærRegression_Valg[[#This Row],[Tabel ID]])</f>
        <v>1</v>
      </c>
    </row>
    <row r="114" spans="1:8" x14ac:dyDescent="0.2">
      <c r="A114">
        <f>ROW(LineærRegression_Valg[[#This Row],[Tabel ID]])-ROW(LineærRegression_Valg[[#Headers],[Tabel ID]])</f>
        <v>104</v>
      </c>
      <c r="B114" s="45">
        <f>ROUNDDOWN((LineærRegression_Valg[[#This Row],[Tabel ID]]-1)/$B$5,0)+1</f>
        <v>26</v>
      </c>
      <c r="C114" s="45">
        <f t="shared" si="1"/>
        <v>4</v>
      </c>
      <c r="D114" s="45" t="b">
        <f>LineærRegression_Valg[[#This Row],[Afhængig variabel ID]]&lt;&gt;LineærRegression_Valg[[#This Row],[Uafhængig variabel ID]]</f>
        <v>1</v>
      </c>
      <c r="E114" t="b">
        <f>LineærRegression_Valg[[#This Row],[Afhængig variabel ID]]&lt;=$B$5</f>
        <v>0</v>
      </c>
      <c r="F114" t="str" cm="1">
        <f t="array" ref="F114">IF(LineærRegression_Valg[[#This Row],[Indenfor range]],INDEX(DataTitel_liste,LineærRegression_Valg[[#This Row],[Afhængig variabel ID]]),INDEX(DataTitel_liste,1))</f>
        <v>Eksempel 1 (interval)</v>
      </c>
      <c r="G114" s="45" t="str" cm="1">
        <f t="array" ref="G114">IF(LineærRegression_Valg[[#This Row],[Indenfor range]],IF(LineærRegression_Valg[[#This Row],[Intet overlap]],INDEX(DataTitel_liste,LineærRegression_Valg[[#This Row],[Uafhængig variabel ID]]),INDEX(DataTitel_liste,IF(LineærRegression_Valg[[#This Row],[Afhængig variabel ID]]=1,2,1))),$B$7)</f>
        <v>Eksempel 2 (interval)</v>
      </c>
      <c r="H114" s="45">
        <f>_xlfn.AGGREGATE(2,5,LineærRegression_Valg[[#This Row],[Tabel ID]])</f>
        <v>1</v>
      </c>
    </row>
    <row r="115" spans="1:8" x14ac:dyDescent="0.2">
      <c r="A115">
        <f>ROW(LineærRegression_Valg[[#This Row],[Tabel ID]])-ROW(LineærRegression_Valg[[#Headers],[Tabel ID]])</f>
        <v>105</v>
      </c>
      <c r="B115" s="45">
        <f>ROUNDDOWN((LineærRegression_Valg[[#This Row],[Tabel ID]]-1)/$B$5,0)+1</f>
        <v>27</v>
      </c>
      <c r="C115" s="45">
        <f t="shared" si="1"/>
        <v>1</v>
      </c>
      <c r="D115" s="45" t="b">
        <f>LineærRegression_Valg[[#This Row],[Afhængig variabel ID]]&lt;&gt;LineærRegression_Valg[[#This Row],[Uafhængig variabel ID]]</f>
        <v>1</v>
      </c>
      <c r="E115" t="b">
        <f>LineærRegression_Valg[[#This Row],[Afhængig variabel ID]]&lt;=$B$5</f>
        <v>0</v>
      </c>
      <c r="F115" t="str" cm="1">
        <f t="array" ref="F115">IF(LineærRegression_Valg[[#This Row],[Indenfor range]],INDEX(DataTitel_liste,LineærRegression_Valg[[#This Row],[Afhængig variabel ID]]),INDEX(DataTitel_liste,1))</f>
        <v>Eksempel 1 (interval)</v>
      </c>
      <c r="G115" s="45" t="str" cm="1">
        <f t="array" ref="G115">IF(LineærRegression_Valg[[#This Row],[Indenfor range]],IF(LineærRegression_Valg[[#This Row],[Intet overlap]],INDEX(DataTitel_liste,LineærRegression_Valg[[#This Row],[Uafhængig variabel ID]]),INDEX(DataTitel_liste,IF(LineærRegression_Valg[[#This Row],[Afhængig variabel ID]]=1,2,1))),$B$7)</f>
        <v>Eksempel 2 (interval)</v>
      </c>
      <c r="H115" s="45">
        <f>_xlfn.AGGREGATE(2,5,LineærRegression_Valg[[#This Row],[Tabel ID]])</f>
        <v>1</v>
      </c>
    </row>
    <row r="116" spans="1:8" x14ac:dyDescent="0.2">
      <c r="A116">
        <f>ROW(LineærRegression_Valg[[#This Row],[Tabel ID]])-ROW(LineærRegression_Valg[[#Headers],[Tabel ID]])</f>
        <v>106</v>
      </c>
      <c r="B116" s="45">
        <f>ROUNDDOWN((LineærRegression_Valg[[#This Row],[Tabel ID]]-1)/$B$5,0)+1</f>
        <v>27</v>
      </c>
      <c r="C116" s="45">
        <f t="shared" si="1"/>
        <v>2</v>
      </c>
      <c r="D116" s="45" t="b">
        <f>LineærRegression_Valg[[#This Row],[Afhængig variabel ID]]&lt;&gt;LineærRegression_Valg[[#This Row],[Uafhængig variabel ID]]</f>
        <v>1</v>
      </c>
      <c r="E116" t="b">
        <f>LineærRegression_Valg[[#This Row],[Afhængig variabel ID]]&lt;=$B$5</f>
        <v>0</v>
      </c>
      <c r="F116" t="str" cm="1">
        <f t="array" ref="F116">IF(LineærRegression_Valg[[#This Row],[Indenfor range]],INDEX(DataTitel_liste,LineærRegression_Valg[[#This Row],[Afhængig variabel ID]]),INDEX(DataTitel_liste,1))</f>
        <v>Eksempel 1 (interval)</v>
      </c>
      <c r="G116" s="45" t="str" cm="1">
        <f t="array" ref="G116">IF(LineærRegression_Valg[[#This Row],[Indenfor range]],IF(LineærRegression_Valg[[#This Row],[Intet overlap]],INDEX(DataTitel_liste,LineærRegression_Valg[[#This Row],[Uafhængig variabel ID]]),INDEX(DataTitel_liste,IF(LineærRegression_Valg[[#This Row],[Afhængig variabel ID]]=1,2,1))),$B$7)</f>
        <v>Eksempel 2 (interval)</v>
      </c>
      <c r="H116" s="45">
        <f>_xlfn.AGGREGATE(2,5,LineærRegression_Valg[[#This Row],[Tabel ID]])</f>
        <v>1</v>
      </c>
    </row>
    <row r="117" spans="1:8" x14ac:dyDescent="0.2">
      <c r="A117">
        <f>ROW(LineærRegression_Valg[[#This Row],[Tabel ID]])-ROW(LineærRegression_Valg[[#Headers],[Tabel ID]])</f>
        <v>107</v>
      </c>
      <c r="B117" s="45">
        <f>ROUNDDOWN((LineærRegression_Valg[[#This Row],[Tabel ID]]-1)/$B$5,0)+1</f>
        <v>27</v>
      </c>
      <c r="C117" s="45">
        <f t="shared" si="1"/>
        <v>3</v>
      </c>
      <c r="D117" s="45" t="b">
        <f>LineærRegression_Valg[[#This Row],[Afhængig variabel ID]]&lt;&gt;LineærRegression_Valg[[#This Row],[Uafhængig variabel ID]]</f>
        <v>1</v>
      </c>
      <c r="E117" t="b">
        <f>LineærRegression_Valg[[#This Row],[Afhængig variabel ID]]&lt;=$B$5</f>
        <v>0</v>
      </c>
      <c r="F117" t="str" cm="1">
        <f t="array" ref="F117">IF(LineærRegression_Valg[[#This Row],[Indenfor range]],INDEX(DataTitel_liste,LineærRegression_Valg[[#This Row],[Afhængig variabel ID]]),INDEX(DataTitel_liste,1))</f>
        <v>Eksempel 1 (interval)</v>
      </c>
      <c r="G117" s="45" t="str" cm="1">
        <f t="array" ref="G117">IF(LineærRegression_Valg[[#This Row],[Indenfor range]],IF(LineærRegression_Valg[[#This Row],[Intet overlap]],INDEX(DataTitel_liste,LineærRegression_Valg[[#This Row],[Uafhængig variabel ID]]),INDEX(DataTitel_liste,IF(LineærRegression_Valg[[#This Row],[Afhængig variabel ID]]=1,2,1))),$B$7)</f>
        <v>Eksempel 2 (interval)</v>
      </c>
      <c r="H117" s="45">
        <f>_xlfn.AGGREGATE(2,5,LineærRegression_Valg[[#This Row],[Tabel ID]])</f>
        <v>1</v>
      </c>
    </row>
    <row r="118" spans="1:8" x14ac:dyDescent="0.2">
      <c r="A118">
        <f>ROW(LineærRegression_Valg[[#This Row],[Tabel ID]])-ROW(LineærRegression_Valg[[#Headers],[Tabel ID]])</f>
        <v>108</v>
      </c>
      <c r="B118" s="45">
        <f>ROUNDDOWN((LineærRegression_Valg[[#This Row],[Tabel ID]]-1)/$B$5,0)+1</f>
        <v>27</v>
      </c>
      <c r="C118" s="45">
        <f t="shared" si="1"/>
        <v>4</v>
      </c>
      <c r="D118" s="45" t="b">
        <f>LineærRegression_Valg[[#This Row],[Afhængig variabel ID]]&lt;&gt;LineærRegression_Valg[[#This Row],[Uafhængig variabel ID]]</f>
        <v>1</v>
      </c>
      <c r="E118" t="b">
        <f>LineærRegression_Valg[[#This Row],[Afhængig variabel ID]]&lt;=$B$5</f>
        <v>0</v>
      </c>
      <c r="F118" t="str" cm="1">
        <f t="array" ref="F118">IF(LineærRegression_Valg[[#This Row],[Indenfor range]],INDEX(DataTitel_liste,LineærRegression_Valg[[#This Row],[Afhængig variabel ID]]),INDEX(DataTitel_liste,1))</f>
        <v>Eksempel 1 (interval)</v>
      </c>
      <c r="G118" s="45" t="str" cm="1">
        <f t="array" ref="G118">IF(LineærRegression_Valg[[#This Row],[Indenfor range]],IF(LineærRegression_Valg[[#This Row],[Intet overlap]],INDEX(DataTitel_liste,LineærRegression_Valg[[#This Row],[Uafhængig variabel ID]]),INDEX(DataTitel_liste,IF(LineærRegression_Valg[[#This Row],[Afhængig variabel ID]]=1,2,1))),$B$7)</f>
        <v>Eksempel 2 (interval)</v>
      </c>
      <c r="H118" s="45">
        <f>_xlfn.AGGREGATE(2,5,LineærRegression_Valg[[#This Row],[Tabel ID]])</f>
        <v>1</v>
      </c>
    </row>
    <row r="119" spans="1:8" x14ac:dyDescent="0.2">
      <c r="A119">
        <f>ROW(LineærRegression_Valg[[#This Row],[Tabel ID]])-ROW(LineærRegression_Valg[[#Headers],[Tabel ID]])</f>
        <v>109</v>
      </c>
      <c r="B119" s="45">
        <f>ROUNDDOWN((LineærRegression_Valg[[#This Row],[Tabel ID]]-1)/$B$5,0)+1</f>
        <v>28</v>
      </c>
      <c r="C119" s="45">
        <f t="shared" si="1"/>
        <v>1</v>
      </c>
      <c r="D119" s="45" t="b">
        <f>LineærRegression_Valg[[#This Row],[Afhængig variabel ID]]&lt;&gt;LineærRegression_Valg[[#This Row],[Uafhængig variabel ID]]</f>
        <v>1</v>
      </c>
      <c r="E119" t="b">
        <f>LineærRegression_Valg[[#This Row],[Afhængig variabel ID]]&lt;=$B$5</f>
        <v>0</v>
      </c>
      <c r="F119" t="str" cm="1">
        <f t="array" ref="F119">IF(LineærRegression_Valg[[#This Row],[Indenfor range]],INDEX(DataTitel_liste,LineærRegression_Valg[[#This Row],[Afhængig variabel ID]]),INDEX(DataTitel_liste,1))</f>
        <v>Eksempel 1 (interval)</v>
      </c>
      <c r="G119" s="45" t="str" cm="1">
        <f t="array" ref="G119">IF(LineærRegression_Valg[[#This Row],[Indenfor range]],IF(LineærRegression_Valg[[#This Row],[Intet overlap]],INDEX(DataTitel_liste,LineærRegression_Valg[[#This Row],[Uafhængig variabel ID]]),INDEX(DataTitel_liste,IF(LineærRegression_Valg[[#This Row],[Afhængig variabel ID]]=1,2,1))),$B$7)</f>
        <v>Eksempel 2 (interval)</v>
      </c>
      <c r="H119" s="45">
        <f>_xlfn.AGGREGATE(2,5,LineærRegression_Valg[[#This Row],[Tabel ID]])</f>
        <v>1</v>
      </c>
    </row>
    <row r="120" spans="1:8" x14ac:dyDescent="0.2">
      <c r="A120">
        <f>ROW(LineærRegression_Valg[[#This Row],[Tabel ID]])-ROW(LineærRegression_Valg[[#Headers],[Tabel ID]])</f>
        <v>110</v>
      </c>
      <c r="B120" s="45">
        <f>ROUNDDOWN((LineærRegression_Valg[[#This Row],[Tabel ID]]-1)/$B$5,0)+1</f>
        <v>28</v>
      </c>
      <c r="C120" s="45">
        <f t="shared" si="1"/>
        <v>2</v>
      </c>
      <c r="D120" s="45" t="b">
        <f>LineærRegression_Valg[[#This Row],[Afhængig variabel ID]]&lt;&gt;LineærRegression_Valg[[#This Row],[Uafhængig variabel ID]]</f>
        <v>1</v>
      </c>
      <c r="E120" t="b">
        <f>LineærRegression_Valg[[#This Row],[Afhængig variabel ID]]&lt;=$B$5</f>
        <v>0</v>
      </c>
      <c r="F120" t="str" cm="1">
        <f t="array" ref="F120">IF(LineærRegression_Valg[[#This Row],[Indenfor range]],INDEX(DataTitel_liste,LineærRegression_Valg[[#This Row],[Afhængig variabel ID]]),INDEX(DataTitel_liste,1))</f>
        <v>Eksempel 1 (interval)</v>
      </c>
      <c r="G120" s="45" t="str" cm="1">
        <f t="array" ref="G120">IF(LineærRegression_Valg[[#This Row],[Indenfor range]],IF(LineærRegression_Valg[[#This Row],[Intet overlap]],INDEX(DataTitel_liste,LineærRegression_Valg[[#This Row],[Uafhængig variabel ID]]),INDEX(DataTitel_liste,IF(LineærRegression_Valg[[#This Row],[Afhængig variabel ID]]=1,2,1))),$B$7)</f>
        <v>Eksempel 2 (interval)</v>
      </c>
      <c r="H120" s="45">
        <f>_xlfn.AGGREGATE(2,5,LineærRegression_Valg[[#This Row],[Tabel ID]])</f>
        <v>1</v>
      </c>
    </row>
    <row r="121" spans="1:8" x14ac:dyDescent="0.2">
      <c r="A121">
        <f>ROW(LineærRegression_Valg[[#This Row],[Tabel ID]])-ROW(LineærRegression_Valg[[#Headers],[Tabel ID]])</f>
        <v>111</v>
      </c>
      <c r="B121" s="45">
        <f>ROUNDDOWN((LineærRegression_Valg[[#This Row],[Tabel ID]]-1)/$B$5,0)+1</f>
        <v>28</v>
      </c>
      <c r="C121" s="45">
        <f t="shared" si="1"/>
        <v>3</v>
      </c>
      <c r="D121" s="45" t="b">
        <f>LineærRegression_Valg[[#This Row],[Afhængig variabel ID]]&lt;&gt;LineærRegression_Valg[[#This Row],[Uafhængig variabel ID]]</f>
        <v>1</v>
      </c>
      <c r="E121" t="b">
        <f>LineærRegression_Valg[[#This Row],[Afhængig variabel ID]]&lt;=$B$5</f>
        <v>0</v>
      </c>
      <c r="F121" t="str" cm="1">
        <f t="array" ref="F121">IF(LineærRegression_Valg[[#This Row],[Indenfor range]],INDEX(DataTitel_liste,LineærRegression_Valg[[#This Row],[Afhængig variabel ID]]),INDEX(DataTitel_liste,1))</f>
        <v>Eksempel 1 (interval)</v>
      </c>
      <c r="G121" s="45" t="str" cm="1">
        <f t="array" ref="G121">IF(LineærRegression_Valg[[#This Row],[Indenfor range]],IF(LineærRegression_Valg[[#This Row],[Intet overlap]],INDEX(DataTitel_liste,LineærRegression_Valg[[#This Row],[Uafhængig variabel ID]]),INDEX(DataTitel_liste,IF(LineærRegression_Valg[[#This Row],[Afhængig variabel ID]]=1,2,1))),$B$7)</f>
        <v>Eksempel 2 (interval)</v>
      </c>
      <c r="H121" s="45">
        <f>_xlfn.AGGREGATE(2,5,LineærRegression_Valg[[#This Row],[Tabel ID]])</f>
        <v>1</v>
      </c>
    </row>
    <row r="122" spans="1:8" x14ac:dyDescent="0.2">
      <c r="A122">
        <f>ROW(LineærRegression_Valg[[#This Row],[Tabel ID]])-ROW(LineærRegression_Valg[[#Headers],[Tabel ID]])</f>
        <v>112</v>
      </c>
      <c r="B122" s="45">
        <f>ROUNDDOWN((LineærRegression_Valg[[#This Row],[Tabel ID]]-1)/$B$5,0)+1</f>
        <v>28</v>
      </c>
      <c r="C122" s="45">
        <f t="shared" si="1"/>
        <v>4</v>
      </c>
      <c r="D122" s="45" t="b">
        <f>LineærRegression_Valg[[#This Row],[Afhængig variabel ID]]&lt;&gt;LineærRegression_Valg[[#This Row],[Uafhængig variabel ID]]</f>
        <v>1</v>
      </c>
      <c r="E122" t="b">
        <f>LineærRegression_Valg[[#This Row],[Afhængig variabel ID]]&lt;=$B$5</f>
        <v>0</v>
      </c>
      <c r="F122" t="str" cm="1">
        <f t="array" ref="F122">IF(LineærRegression_Valg[[#This Row],[Indenfor range]],INDEX(DataTitel_liste,LineærRegression_Valg[[#This Row],[Afhængig variabel ID]]),INDEX(DataTitel_liste,1))</f>
        <v>Eksempel 1 (interval)</v>
      </c>
      <c r="G122" s="45" t="str" cm="1">
        <f t="array" ref="G122">IF(LineærRegression_Valg[[#This Row],[Indenfor range]],IF(LineærRegression_Valg[[#This Row],[Intet overlap]],INDEX(DataTitel_liste,LineærRegression_Valg[[#This Row],[Uafhængig variabel ID]]),INDEX(DataTitel_liste,IF(LineærRegression_Valg[[#This Row],[Afhængig variabel ID]]=1,2,1))),$B$7)</f>
        <v>Eksempel 2 (interval)</v>
      </c>
      <c r="H122" s="45">
        <f>_xlfn.AGGREGATE(2,5,LineærRegression_Valg[[#This Row],[Tabel ID]])</f>
        <v>1</v>
      </c>
    </row>
    <row r="123" spans="1:8" x14ac:dyDescent="0.2">
      <c r="A123">
        <f>ROW(LineærRegression_Valg[[#This Row],[Tabel ID]])-ROW(LineærRegression_Valg[[#Headers],[Tabel ID]])</f>
        <v>113</v>
      </c>
      <c r="B123" s="45">
        <f>ROUNDDOWN((LineærRegression_Valg[[#This Row],[Tabel ID]]-1)/$B$5,0)+1</f>
        <v>29</v>
      </c>
      <c r="C123" s="45">
        <f t="shared" si="1"/>
        <v>1</v>
      </c>
      <c r="D123" s="45" t="b">
        <f>LineærRegression_Valg[[#This Row],[Afhængig variabel ID]]&lt;&gt;LineærRegression_Valg[[#This Row],[Uafhængig variabel ID]]</f>
        <v>1</v>
      </c>
      <c r="E123" t="b">
        <f>LineærRegression_Valg[[#This Row],[Afhængig variabel ID]]&lt;=$B$5</f>
        <v>0</v>
      </c>
      <c r="F123" t="str" cm="1">
        <f t="array" ref="F123">IF(LineærRegression_Valg[[#This Row],[Indenfor range]],INDEX(DataTitel_liste,LineærRegression_Valg[[#This Row],[Afhængig variabel ID]]),INDEX(DataTitel_liste,1))</f>
        <v>Eksempel 1 (interval)</v>
      </c>
      <c r="G123" s="45" t="str" cm="1">
        <f t="array" ref="G123">IF(LineærRegression_Valg[[#This Row],[Indenfor range]],IF(LineærRegression_Valg[[#This Row],[Intet overlap]],INDEX(DataTitel_liste,LineærRegression_Valg[[#This Row],[Uafhængig variabel ID]]),INDEX(DataTitel_liste,IF(LineærRegression_Valg[[#This Row],[Afhængig variabel ID]]=1,2,1))),$B$7)</f>
        <v>Eksempel 2 (interval)</v>
      </c>
      <c r="H123" s="45">
        <f>_xlfn.AGGREGATE(2,5,LineærRegression_Valg[[#This Row],[Tabel ID]])</f>
        <v>1</v>
      </c>
    </row>
    <row r="124" spans="1:8" x14ac:dyDescent="0.2">
      <c r="A124">
        <f>ROW(LineærRegression_Valg[[#This Row],[Tabel ID]])-ROW(LineærRegression_Valg[[#Headers],[Tabel ID]])</f>
        <v>114</v>
      </c>
      <c r="B124" s="45">
        <f>ROUNDDOWN((LineærRegression_Valg[[#This Row],[Tabel ID]]-1)/$B$5,0)+1</f>
        <v>29</v>
      </c>
      <c r="C124" s="45">
        <f t="shared" si="1"/>
        <v>2</v>
      </c>
      <c r="D124" s="45" t="b">
        <f>LineærRegression_Valg[[#This Row],[Afhængig variabel ID]]&lt;&gt;LineærRegression_Valg[[#This Row],[Uafhængig variabel ID]]</f>
        <v>1</v>
      </c>
      <c r="E124" t="b">
        <f>LineærRegression_Valg[[#This Row],[Afhængig variabel ID]]&lt;=$B$5</f>
        <v>0</v>
      </c>
      <c r="F124" t="str" cm="1">
        <f t="array" ref="F124">IF(LineærRegression_Valg[[#This Row],[Indenfor range]],INDEX(DataTitel_liste,LineærRegression_Valg[[#This Row],[Afhængig variabel ID]]),INDEX(DataTitel_liste,1))</f>
        <v>Eksempel 1 (interval)</v>
      </c>
      <c r="G124" s="45" t="str" cm="1">
        <f t="array" ref="G124">IF(LineærRegression_Valg[[#This Row],[Indenfor range]],IF(LineærRegression_Valg[[#This Row],[Intet overlap]],INDEX(DataTitel_liste,LineærRegression_Valg[[#This Row],[Uafhængig variabel ID]]),INDEX(DataTitel_liste,IF(LineærRegression_Valg[[#This Row],[Afhængig variabel ID]]=1,2,1))),$B$7)</f>
        <v>Eksempel 2 (interval)</v>
      </c>
      <c r="H124" s="45">
        <f>_xlfn.AGGREGATE(2,5,LineærRegression_Valg[[#This Row],[Tabel ID]])</f>
        <v>1</v>
      </c>
    </row>
    <row r="125" spans="1:8" x14ac:dyDescent="0.2">
      <c r="A125">
        <f>ROW(LineærRegression_Valg[[#This Row],[Tabel ID]])-ROW(LineærRegression_Valg[[#Headers],[Tabel ID]])</f>
        <v>115</v>
      </c>
      <c r="B125" s="45">
        <f>ROUNDDOWN((LineærRegression_Valg[[#This Row],[Tabel ID]]-1)/$B$5,0)+1</f>
        <v>29</v>
      </c>
      <c r="C125" s="45">
        <f t="shared" si="1"/>
        <v>3</v>
      </c>
      <c r="D125" s="45" t="b">
        <f>LineærRegression_Valg[[#This Row],[Afhængig variabel ID]]&lt;&gt;LineærRegression_Valg[[#This Row],[Uafhængig variabel ID]]</f>
        <v>1</v>
      </c>
      <c r="E125" t="b">
        <f>LineærRegression_Valg[[#This Row],[Afhængig variabel ID]]&lt;=$B$5</f>
        <v>0</v>
      </c>
      <c r="F125" t="str" cm="1">
        <f t="array" ref="F125">IF(LineærRegression_Valg[[#This Row],[Indenfor range]],INDEX(DataTitel_liste,LineærRegression_Valg[[#This Row],[Afhængig variabel ID]]),INDEX(DataTitel_liste,1))</f>
        <v>Eksempel 1 (interval)</v>
      </c>
      <c r="G125" s="45" t="str" cm="1">
        <f t="array" ref="G125">IF(LineærRegression_Valg[[#This Row],[Indenfor range]],IF(LineærRegression_Valg[[#This Row],[Intet overlap]],INDEX(DataTitel_liste,LineærRegression_Valg[[#This Row],[Uafhængig variabel ID]]),INDEX(DataTitel_liste,IF(LineærRegression_Valg[[#This Row],[Afhængig variabel ID]]=1,2,1))),$B$7)</f>
        <v>Eksempel 2 (interval)</v>
      </c>
      <c r="H125" s="45">
        <f>_xlfn.AGGREGATE(2,5,LineærRegression_Valg[[#This Row],[Tabel ID]])</f>
        <v>1</v>
      </c>
    </row>
    <row r="126" spans="1:8" x14ac:dyDescent="0.2">
      <c r="A126">
        <f>ROW(LineærRegression_Valg[[#This Row],[Tabel ID]])-ROW(LineærRegression_Valg[[#Headers],[Tabel ID]])</f>
        <v>116</v>
      </c>
      <c r="B126" s="45">
        <f>ROUNDDOWN((LineærRegression_Valg[[#This Row],[Tabel ID]]-1)/$B$5,0)+1</f>
        <v>29</v>
      </c>
      <c r="C126" s="45">
        <f t="shared" si="1"/>
        <v>4</v>
      </c>
      <c r="D126" s="45" t="b">
        <f>LineærRegression_Valg[[#This Row],[Afhængig variabel ID]]&lt;&gt;LineærRegression_Valg[[#This Row],[Uafhængig variabel ID]]</f>
        <v>1</v>
      </c>
      <c r="E126" t="b">
        <f>LineærRegression_Valg[[#This Row],[Afhængig variabel ID]]&lt;=$B$5</f>
        <v>0</v>
      </c>
      <c r="F126" t="str" cm="1">
        <f t="array" ref="F126">IF(LineærRegression_Valg[[#This Row],[Indenfor range]],INDEX(DataTitel_liste,LineærRegression_Valg[[#This Row],[Afhængig variabel ID]]),INDEX(DataTitel_liste,1))</f>
        <v>Eksempel 1 (interval)</v>
      </c>
      <c r="G126" s="45" t="str" cm="1">
        <f t="array" ref="G126">IF(LineærRegression_Valg[[#This Row],[Indenfor range]],IF(LineærRegression_Valg[[#This Row],[Intet overlap]],INDEX(DataTitel_liste,LineærRegression_Valg[[#This Row],[Uafhængig variabel ID]]),INDEX(DataTitel_liste,IF(LineærRegression_Valg[[#This Row],[Afhængig variabel ID]]=1,2,1))),$B$7)</f>
        <v>Eksempel 2 (interval)</v>
      </c>
      <c r="H126" s="45">
        <f>_xlfn.AGGREGATE(2,5,LineærRegression_Valg[[#This Row],[Tabel ID]])</f>
        <v>1</v>
      </c>
    </row>
    <row r="127" spans="1:8" x14ac:dyDescent="0.2">
      <c r="A127">
        <f>ROW(LineærRegression_Valg[[#This Row],[Tabel ID]])-ROW(LineærRegression_Valg[[#Headers],[Tabel ID]])</f>
        <v>117</v>
      </c>
      <c r="B127" s="45">
        <f>ROUNDDOWN((LineærRegression_Valg[[#This Row],[Tabel ID]]-1)/$B$5,0)+1</f>
        <v>30</v>
      </c>
      <c r="C127" s="45">
        <f t="shared" si="1"/>
        <v>1</v>
      </c>
      <c r="D127" s="45" t="b">
        <f>LineærRegression_Valg[[#This Row],[Afhængig variabel ID]]&lt;&gt;LineærRegression_Valg[[#This Row],[Uafhængig variabel ID]]</f>
        <v>1</v>
      </c>
      <c r="E127" t="b">
        <f>LineærRegression_Valg[[#This Row],[Afhængig variabel ID]]&lt;=$B$5</f>
        <v>0</v>
      </c>
      <c r="F127" t="str" cm="1">
        <f t="array" ref="F127">IF(LineærRegression_Valg[[#This Row],[Indenfor range]],INDEX(DataTitel_liste,LineærRegression_Valg[[#This Row],[Afhængig variabel ID]]),INDEX(DataTitel_liste,1))</f>
        <v>Eksempel 1 (interval)</v>
      </c>
      <c r="G127" s="45" t="str" cm="1">
        <f t="array" ref="G127">IF(LineærRegression_Valg[[#This Row],[Indenfor range]],IF(LineærRegression_Valg[[#This Row],[Intet overlap]],INDEX(DataTitel_liste,LineærRegression_Valg[[#This Row],[Uafhængig variabel ID]]),INDEX(DataTitel_liste,IF(LineærRegression_Valg[[#This Row],[Afhængig variabel ID]]=1,2,1))),$B$7)</f>
        <v>Eksempel 2 (interval)</v>
      </c>
      <c r="H127" s="45">
        <f>_xlfn.AGGREGATE(2,5,LineærRegression_Valg[[#This Row],[Tabel ID]])</f>
        <v>1</v>
      </c>
    </row>
    <row r="128" spans="1:8" x14ac:dyDescent="0.2">
      <c r="A128">
        <f>ROW(LineærRegression_Valg[[#This Row],[Tabel ID]])-ROW(LineærRegression_Valg[[#Headers],[Tabel ID]])</f>
        <v>118</v>
      </c>
      <c r="B128" s="45">
        <f>ROUNDDOWN((LineærRegression_Valg[[#This Row],[Tabel ID]]-1)/$B$5,0)+1</f>
        <v>30</v>
      </c>
      <c r="C128" s="45">
        <f t="shared" si="1"/>
        <v>2</v>
      </c>
      <c r="D128" s="45" t="b">
        <f>LineærRegression_Valg[[#This Row],[Afhængig variabel ID]]&lt;&gt;LineærRegression_Valg[[#This Row],[Uafhængig variabel ID]]</f>
        <v>1</v>
      </c>
      <c r="E128" t="b">
        <f>LineærRegression_Valg[[#This Row],[Afhængig variabel ID]]&lt;=$B$5</f>
        <v>0</v>
      </c>
      <c r="F128" t="str" cm="1">
        <f t="array" ref="F128">IF(LineærRegression_Valg[[#This Row],[Indenfor range]],INDEX(DataTitel_liste,LineærRegression_Valg[[#This Row],[Afhængig variabel ID]]),INDEX(DataTitel_liste,1))</f>
        <v>Eksempel 1 (interval)</v>
      </c>
      <c r="G128" s="45" t="str" cm="1">
        <f t="array" ref="G128">IF(LineærRegression_Valg[[#This Row],[Indenfor range]],IF(LineærRegression_Valg[[#This Row],[Intet overlap]],INDEX(DataTitel_liste,LineærRegression_Valg[[#This Row],[Uafhængig variabel ID]]),INDEX(DataTitel_liste,IF(LineærRegression_Valg[[#This Row],[Afhængig variabel ID]]=1,2,1))),$B$7)</f>
        <v>Eksempel 2 (interval)</v>
      </c>
      <c r="H128" s="45">
        <f>_xlfn.AGGREGATE(2,5,LineærRegression_Valg[[#This Row],[Tabel ID]])</f>
        <v>1</v>
      </c>
    </row>
    <row r="129" spans="1:8" x14ac:dyDescent="0.2">
      <c r="A129">
        <f>ROW(LineærRegression_Valg[[#This Row],[Tabel ID]])-ROW(LineærRegression_Valg[[#Headers],[Tabel ID]])</f>
        <v>119</v>
      </c>
      <c r="B129" s="45">
        <f>ROUNDDOWN((LineærRegression_Valg[[#This Row],[Tabel ID]]-1)/$B$5,0)+1</f>
        <v>30</v>
      </c>
      <c r="C129" s="45">
        <f t="shared" si="1"/>
        <v>3</v>
      </c>
      <c r="D129" s="45" t="b">
        <f>LineærRegression_Valg[[#This Row],[Afhængig variabel ID]]&lt;&gt;LineærRegression_Valg[[#This Row],[Uafhængig variabel ID]]</f>
        <v>1</v>
      </c>
      <c r="E129" t="b">
        <f>LineærRegression_Valg[[#This Row],[Afhængig variabel ID]]&lt;=$B$5</f>
        <v>0</v>
      </c>
      <c r="F129" t="str" cm="1">
        <f t="array" ref="F129">IF(LineærRegression_Valg[[#This Row],[Indenfor range]],INDEX(DataTitel_liste,LineærRegression_Valg[[#This Row],[Afhængig variabel ID]]),INDEX(DataTitel_liste,1))</f>
        <v>Eksempel 1 (interval)</v>
      </c>
      <c r="G129" s="45" t="str" cm="1">
        <f t="array" ref="G129">IF(LineærRegression_Valg[[#This Row],[Indenfor range]],IF(LineærRegression_Valg[[#This Row],[Intet overlap]],INDEX(DataTitel_liste,LineærRegression_Valg[[#This Row],[Uafhængig variabel ID]]),INDEX(DataTitel_liste,IF(LineærRegression_Valg[[#This Row],[Afhængig variabel ID]]=1,2,1))),$B$7)</f>
        <v>Eksempel 2 (interval)</v>
      </c>
      <c r="H129" s="45">
        <f>_xlfn.AGGREGATE(2,5,LineærRegression_Valg[[#This Row],[Tabel ID]])</f>
        <v>1</v>
      </c>
    </row>
    <row r="130" spans="1:8" x14ac:dyDescent="0.2">
      <c r="A130">
        <f>ROW(LineærRegression_Valg[[#This Row],[Tabel ID]])-ROW(LineærRegression_Valg[[#Headers],[Tabel ID]])</f>
        <v>120</v>
      </c>
      <c r="B130" s="45">
        <f>ROUNDDOWN((LineærRegression_Valg[[#This Row],[Tabel ID]]-1)/$B$5,0)+1</f>
        <v>30</v>
      </c>
      <c r="C130" s="45">
        <f t="shared" si="1"/>
        <v>4</v>
      </c>
      <c r="D130" s="45" t="b">
        <f>LineærRegression_Valg[[#This Row],[Afhængig variabel ID]]&lt;&gt;LineærRegression_Valg[[#This Row],[Uafhængig variabel ID]]</f>
        <v>1</v>
      </c>
      <c r="E130" t="b">
        <f>LineærRegression_Valg[[#This Row],[Afhængig variabel ID]]&lt;=$B$5</f>
        <v>0</v>
      </c>
      <c r="F130" t="str" cm="1">
        <f t="array" ref="F130">IF(LineærRegression_Valg[[#This Row],[Indenfor range]],INDEX(DataTitel_liste,LineærRegression_Valg[[#This Row],[Afhængig variabel ID]]),INDEX(DataTitel_liste,1))</f>
        <v>Eksempel 1 (interval)</v>
      </c>
      <c r="G130" s="45" t="str" cm="1">
        <f t="array" ref="G130">IF(LineærRegression_Valg[[#This Row],[Indenfor range]],IF(LineærRegression_Valg[[#This Row],[Intet overlap]],INDEX(DataTitel_liste,LineærRegression_Valg[[#This Row],[Uafhængig variabel ID]]),INDEX(DataTitel_liste,IF(LineærRegression_Valg[[#This Row],[Afhængig variabel ID]]=1,2,1))),$B$7)</f>
        <v>Eksempel 2 (interval)</v>
      </c>
      <c r="H130" s="45">
        <f>_xlfn.AGGREGATE(2,5,LineærRegression_Valg[[#This Row],[Tabel ID]])</f>
        <v>1</v>
      </c>
    </row>
    <row r="131" spans="1:8" x14ac:dyDescent="0.2">
      <c r="A131">
        <f>ROW(LineærRegression_Valg[[#This Row],[Tabel ID]])-ROW(LineærRegression_Valg[[#Headers],[Tabel ID]])</f>
        <v>121</v>
      </c>
      <c r="B131" s="45">
        <f>ROUNDDOWN((LineærRegression_Valg[[#This Row],[Tabel ID]]-1)/$B$5,0)+1</f>
        <v>31</v>
      </c>
      <c r="C131" s="45">
        <f t="shared" si="1"/>
        <v>1</v>
      </c>
      <c r="D131" s="45" t="b">
        <f>LineærRegression_Valg[[#This Row],[Afhængig variabel ID]]&lt;&gt;LineærRegression_Valg[[#This Row],[Uafhængig variabel ID]]</f>
        <v>1</v>
      </c>
      <c r="E131" t="b">
        <f>LineærRegression_Valg[[#This Row],[Afhængig variabel ID]]&lt;=$B$5</f>
        <v>0</v>
      </c>
      <c r="F131" t="str" cm="1">
        <f t="array" ref="F131">IF(LineærRegression_Valg[[#This Row],[Indenfor range]],INDEX(DataTitel_liste,LineærRegression_Valg[[#This Row],[Afhængig variabel ID]]),INDEX(DataTitel_liste,1))</f>
        <v>Eksempel 1 (interval)</v>
      </c>
      <c r="G131" s="45" t="str" cm="1">
        <f t="array" ref="G131">IF(LineærRegression_Valg[[#This Row],[Indenfor range]],IF(LineærRegression_Valg[[#This Row],[Intet overlap]],INDEX(DataTitel_liste,LineærRegression_Valg[[#This Row],[Uafhængig variabel ID]]),INDEX(DataTitel_liste,IF(LineærRegression_Valg[[#This Row],[Afhængig variabel ID]]=1,2,1))),$B$7)</f>
        <v>Eksempel 2 (interval)</v>
      </c>
      <c r="H131" s="45">
        <f>_xlfn.AGGREGATE(2,5,LineærRegression_Valg[[#This Row],[Tabel ID]])</f>
        <v>1</v>
      </c>
    </row>
    <row r="132" spans="1:8" x14ac:dyDescent="0.2">
      <c r="A132">
        <f>ROW(LineærRegression_Valg[[#This Row],[Tabel ID]])-ROW(LineærRegression_Valg[[#Headers],[Tabel ID]])</f>
        <v>122</v>
      </c>
      <c r="B132" s="45">
        <f>ROUNDDOWN((LineærRegression_Valg[[#This Row],[Tabel ID]]-1)/$B$5,0)+1</f>
        <v>31</v>
      </c>
      <c r="C132" s="45">
        <f t="shared" si="1"/>
        <v>2</v>
      </c>
      <c r="D132" s="45" t="b">
        <f>LineærRegression_Valg[[#This Row],[Afhængig variabel ID]]&lt;&gt;LineærRegression_Valg[[#This Row],[Uafhængig variabel ID]]</f>
        <v>1</v>
      </c>
      <c r="E132" t="b">
        <f>LineærRegression_Valg[[#This Row],[Afhængig variabel ID]]&lt;=$B$5</f>
        <v>0</v>
      </c>
      <c r="F132" t="str" cm="1">
        <f t="array" ref="F132">IF(LineærRegression_Valg[[#This Row],[Indenfor range]],INDEX(DataTitel_liste,LineærRegression_Valg[[#This Row],[Afhængig variabel ID]]),INDEX(DataTitel_liste,1))</f>
        <v>Eksempel 1 (interval)</v>
      </c>
      <c r="G132" s="45" t="str" cm="1">
        <f t="array" ref="G132">IF(LineærRegression_Valg[[#This Row],[Indenfor range]],IF(LineærRegression_Valg[[#This Row],[Intet overlap]],INDEX(DataTitel_liste,LineærRegression_Valg[[#This Row],[Uafhængig variabel ID]]),INDEX(DataTitel_liste,IF(LineærRegression_Valg[[#This Row],[Afhængig variabel ID]]=1,2,1))),$B$7)</f>
        <v>Eksempel 2 (interval)</v>
      </c>
      <c r="H132" s="45">
        <f>_xlfn.AGGREGATE(2,5,LineærRegression_Valg[[#This Row],[Tabel ID]])</f>
        <v>1</v>
      </c>
    </row>
    <row r="133" spans="1:8" x14ac:dyDescent="0.2">
      <c r="A133">
        <f>ROW(LineærRegression_Valg[[#This Row],[Tabel ID]])-ROW(LineærRegression_Valg[[#Headers],[Tabel ID]])</f>
        <v>123</v>
      </c>
      <c r="B133" s="45">
        <f>ROUNDDOWN((LineærRegression_Valg[[#This Row],[Tabel ID]]-1)/$B$5,0)+1</f>
        <v>31</v>
      </c>
      <c r="C133" s="45">
        <f t="shared" si="1"/>
        <v>3</v>
      </c>
      <c r="D133" s="45" t="b">
        <f>LineærRegression_Valg[[#This Row],[Afhængig variabel ID]]&lt;&gt;LineærRegression_Valg[[#This Row],[Uafhængig variabel ID]]</f>
        <v>1</v>
      </c>
      <c r="E133" t="b">
        <f>LineærRegression_Valg[[#This Row],[Afhængig variabel ID]]&lt;=$B$5</f>
        <v>0</v>
      </c>
      <c r="F133" t="str" cm="1">
        <f t="array" ref="F133">IF(LineærRegression_Valg[[#This Row],[Indenfor range]],INDEX(DataTitel_liste,LineærRegression_Valg[[#This Row],[Afhængig variabel ID]]),INDEX(DataTitel_liste,1))</f>
        <v>Eksempel 1 (interval)</v>
      </c>
      <c r="G133" s="45" t="str" cm="1">
        <f t="array" ref="G133">IF(LineærRegression_Valg[[#This Row],[Indenfor range]],IF(LineærRegression_Valg[[#This Row],[Intet overlap]],INDEX(DataTitel_liste,LineærRegression_Valg[[#This Row],[Uafhængig variabel ID]]),INDEX(DataTitel_liste,IF(LineærRegression_Valg[[#This Row],[Afhængig variabel ID]]=1,2,1))),$B$7)</f>
        <v>Eksempel 2 (interval)</v>
      </c>
      <c r="H133" s="45">
        <f>_xlfn.AGGREGATE(2,5,LineærRegression_Valg[[#This Row],[Tabel ID]])</f>
        <v>1</v>
      </c>
    </row>
    <row r="134" spans="1:8" x14ac:dyDescent="0.2">
      <c r="A134">
        <f>ROW(LineærRegression_Valg[[#This Row],[Tabel ID]])-ROW(LineærRegression_Valg[[#Headers],[Tabel ID]])</f>
        <v>124</v>
      </c>
      <c r="B134" s="45">
        <f>ROUNDDOWN((LineærRegression_Valg[[#This Row],[Tabel ID]]-1)/$B$5,0)+1</f>
        <v>31</v>
      </c>
      <c r="C134" s="45">
        <f t="shared" si="1"/>
        <v>4</v>
      </c>
      <c r="D134" s="45" t="b">
        <f>LineærRegression_Valg[[#This Row],[Afhængig variabel ID]]&lt;&gt;LineærRegression_Valg[[#This Row],[Uafhængig variabel ID]]</f>
        <v>1</v>
      </c>
      <c r="E134" t="b">
        <f>LineærRegression_Valg[[#This Row],[Afhængig variabel ID]]&lt;=$B$5</f>
        <v>0</v>
      </c>
      <c r="F134" t="str" cm="1">
        <f t="array" ref="F134">IF(LineærRegression_Valg[[#This Row],[Indenfor range]],INDEX(DataTitel_liste,LineærRegression_Valg[[#This Row],[Afhængig variabel ID]]),INDEX(DataTitel_liste,1))</f>
        <v>Eksempel 1 (interval)</v>
      </c>
      <c r="G134" s="45" t="str" cm="1">
        <f t="array" ref="G134">IF(LineærRegression_Valg[[#This Row],[Indenfor range]],IF(LineærRegression_Valg[[#This Row],[Intet overlap]],INDEX(DataTitel_liste,LineærRegression_Valg[[#This Row],[Uafhængig variabel ID]]),INDEX(DataTitel_liste,IF(LineærRegression_Valg[[#This Row],[Afhængig variabel ID]]=1,2,1))),$B$7)</f>
        <v>Eksempel 2 (interval)</v>
      </c>
      <c r="H134" s="45">
        <f>_xlfn.AGGREGATE(2,5,LineærRegression_Valg[[#This Row],[Tabel ID]])</f>
        <v>1</v>
      </c>
    </row>
    <row r="135" spans="1:8" x14ac:dyDescent="0.2">
      <c r="A135">
        <f>ROW(LineærRegression_Valg[[#This Row],[Tabel ID]])-ROW(LineærRegression_Valg[[#Headers],[Tabel ID]])</f>
        <v>125</v>
      </c>
      <c r="B135" s="45">
        <f>ROUNDDOWN((LineærRegression_Valg[[#This Row],[Tabel ID]]-1)/$B$5,0)+1</f>
        <v>32</v>
      </c>
      <c r="C135" s="45">
        <f t="shared" si="1"/>
        <v>1</v>
      </c>
      <c r="D135" s="45" t="b">
        <f>LineærRegression_Valg[[#This Row],[Afhængig variabel ID]]&lt;&gt;LineærRegression_Valg[[#This Row],[Uafhængig variabel ID]]</f>
        <v>1</v>
      </c>
      <c r="E135" t="b">
        <f>LineærRegression_Valg[[#This Row],[Afhængig variabel ID]]&lt;=$B$5</f>
        <v>0</v>
      </c>
      <c r="F135" t="str" cm="1">
        <f t="array" ref="F135">IF(LineærRegression_Valg[[#This Row],[Indenfor range]],INDEX(DataTitel_liste,LineærRegression_Valg[[#This Row],[Afhængig variabel ID]]),INDEX(DataTitel_liste,1))</f>
        <v>Eksempel 1 (interval)</v>
      </c>
      <c r="G135" s="45" t="str" cm="1">
        <f t="array" ref="G135">IF(LineærRegression_Valg[[#This Row],[Indenfor range]],IF(LineærRegression_Valg[[#This Row],[Intet overlap]],INDEX(DataTitel_liste,LineærRegression_Valg[[#This Row],[Uafhængig variabel ID]]),INDEX(DataTitel_liste,IF(LineærRegression_Valg[[#This Row],[Afhængig variabel ID]]=1,2,1))),$B$7)</f>
        <v>Eksempel 2 (interval)</v>
      </c>
      <c r="H135" s="45">
        <f>_xlfn.AGGREGATE(2,5,LineærRegression_Valg[[#This Row],[Tabel ID]])</f>
        <v>1</v>
      </c>
    </row>
    <row r="136" spans="1:8" x14ac:dyDescent="0.2">
      <c r="A136">
        <f>ROW(LineærRegression_Valg[[#This Row],[Tabel ID]])-ROW(LineærRegression_Valg[[#Headers],[Tabel ID]])</f>
        <v>126</v>
      </c>
      <c r="B136" s="45">
        <f>ROUNDDOWN((LineærRegression_Valg[[#This Row],[Tabel ID]]-1)/$B$5,0)+1</f>
        <v>32</v>
      </c>
      <c r="C136" s="45">
        <f t="shared" si="1"/>
        <v>2</v>
      </c>
      <c r="D136" s="45" t="b">
        <f>LineærRegression_Valg[[#This Row],[Afhængig variabel ID]]&lt;&gt;LineærRegression_Valg[[#This Row],[Uafhængig variabel ID]]</f>
        <v>1</v>
      </c>
      <c r="E136" t="b">
        <f>LineærRegression_Valg[[#This Row],[Afhængig variabel ID]]&lt;=$B$5</f>
        <v>0</v>
      </c>
      <c r="F136" t="str" cm="1">
        <f t="array" ref="F136">IF(LineærRegression_Valg[[#This Row],[Indenfor range]],INDEX(DataTitel_liste,LineærRegression_Valg[[#This Row],[Afhængig variabel ID]]),INDEX(DataTitel_liste,1))</f>
        <v>Eksempel 1 (interval)</v>
      </c>
      <c r="G136" s="45" t="str" cm="1">
        <f t="array" ref="G136">IF(LineærRegression_Valg[[#This Row],[Indenfor range]],IF(LineærRegression_Valg[[#This Row],[Intet overlap]],INDEX(DataTitel_liste,LineærRegression_Valg[[#This Row],[Uafhængig variabel ID]]),INDEX(DataTitel_liste,IF(LineærRegression_Valg[[#This Row],[Afhængig variabel ID]]=1,2,1))),$B$7)</f>
        <v>Eksempel 2 (interval)</v>
      </c>
      <c r="H136" s="45">
        <f>_xlfn.AGGREGATE(2,5,LineærRegression_Valg[[#This Row],[Tabel ID]])</f>
        <v>1</v>
      </c>
    </row>
    <row r="137" spans="1:8" x14ac:dyDescent="0.2">
      <c r="A137">
        <f>ROW(LineærRegression_Valg[[#This Row],[Tabel ID]])-ROW(LineærRegression_Valg[[#Headers],[Tabel ID]])</f>
        <v>127</v>
      </c>
      <c r="B137" s="45">
        <f>ROUNDDOWN((LineærRegression_Valg[[#This Row],[Tabel ID]]-1)/$B$5,0)+1</f>
        <v>32</v>
      </c>
      <c r="C137" s="45">
        <f t="shared" si="1"/>
        <v>3</v>
      </c>
      <c r="D137" s="45" t="b">
        <f>LineærRegression_Valg[[#This Row],[Afhængig variabel ID]]&lt;&gt;LineærRegression_Valg[[#This Row],[Uafhængig variabel ID]]</f>
        <v>1</v>
      </c>
      <c r="E137" t="b">
        <f>LineærRegression_Valg[[#This Row],[Afhængig variabel ID]]&lt;=$B$5</f>
        <v>0</v>
      </c>
      <c r="F137" t="str" cm="1">
        <f t="array" ref="F137">IF(LineærRegression_Valg[[#This Row],[Indenfor range]],INDEX(DataTitel_liste,LineærRegression_Valg[[#This Row],[Afhængig variabel ID]]),INDEX(DataTitel_liste,1))</f>
        <v>Eksempel 1 (interval)</v>
      </c>
      <c r="G137" s="45" t="str" cm="1">
        <f t="array" ref="G137">IF(LineærRegression_Valg[[#This Row],[Indenfor range]],IF(LineærRegression_Valg[[#This Row],[Intet overlap]],INDEX(DataTitel_liste,LineærRegression_Valg[[#This Row],[Uafhængig variabel ID]]),INDEX(DataTitel_liste,IF(LineærRegression_Valg[[#This Row],[Afhængig variabel ID]]=1,2,1))),$B$7)</f>
        <v>Eksempel 2 (interval)</v>
      </c>
      <c r="H137" s="45">
        <f>_xlfn.AGGREGATE(2,5,LineærRegression_Valg[[#This Row],[Tabel ID]])</f>
        <v>1</v>
      </c>
    </row>
    <row r="138" spans="1:8" x14ac:dyDescent="0.2">
      <c r="A138">
        <f>ROW(LineærRegression_Valg[[#This Row],[Tabel ID]])-ROW(LineærRegression_Valg[[#Headers],[Tabel ID]])</f>
        <v>128</v>
      </c>
      <c r="B138" s="45">
        <f>ROUNDDOWN((LineærRegression_Valg[[#This Row],[Tabel ID]]-1)/$B$5,0)+1</f>
        <v>32</v>
      </c>
      <c r="C138" s="45">
        <f t="shared" si="1"/>
        <v>4</v>
      </c>
      <c r="D138" s="45" t="b">
        <f>LineærRegression_Valg[[#This Row],[Afhængig variabel ID]]&lt;&gt;LineærRegression_Valg[[#This Row],[Uafhængig variabel ID]]</f>
        <v>1</v>
      </c>
      <c r="E138" t="b">
        <f>LineærRegression_Valg[[#This Row],[Afhængig variabel ID]]&lt;=$B$5</f>
        <v>0</v>
      </c>
      <c r="F138" t="str" cm="1">
        <f t="array" ref="F138">IF(LineærRegression_Valg[[#This Row],[Indenfor range]],INDEX(DataTitel_liste,LineærRegression_Valg[[#This Row],[Afhængig variabel ID]]),INDEX(DataTitel_liste,1))</f>
        <v>Eksempel 1 (interval)</v>
      </c>
      <c r="G138" s="45" t="str" cm="1">
        <f t="array" ref="G138">IF(LineærRegression_Valg[[#This Row],[Indenfor range]],IF(LineærRegression_Valg[[#This Row],[Intet overlap]],INDEX(DataTitel_liste,LineærRegression_Valg[[#This Row],[Uafhængig variabel ID]]),INDEX(DataTitel_liste,IF(LineærRegression_Valg[[#This Row],[Afhængig variabel ID]]=1,2,1))),$B$7)</f>
        <v>Eksempel 2 (interval)</v>
      </c>
      <c r="H138" s="45">
        <f>_xlfn.AGGREGATE(2,5,LineærRegression_Valg[[#This Row],[Tabel ID]])</f>
        <v>1</v>
      </c>
    </row>
    <row r="139" spans="1:8" x14ac:dyDescent="0.2">
      <c r="A139">
        <f>ROW(LineærRegression_Valg[[#This Row],[Tabel ID]])-ROW(LineærRegression_Valg[[#Headers],[Tabel ID]])</f>
        <v>129</v>
      </c>
      <c r="B139" s="45">
        <f>ROUNDDOWN((LineærRegression_Valg[[#This Row],[Tabel ID]]-1)/$B$5,0)+1</f>
        <v>33</v>
      </c>
      <c r="C139" s="45">
        <f t="shared" ref="C139:C202" si="2">MOD(A139-1,$B$5)+1</f>
        <v>1</v>
      </c>
      <c r="D139" s="45" t="b">
        <f>LineærRegression_Valg[[#This Row],[Afhængig variabel ID]]&lt;&gt;LineærRegression_Valg[[#This Row],[Uafhængig variabel ID]]</f>
        <v>1</v>
      </c>
      <c r="E139" t="b">
        <f>LineærRegression_Valg[[#This Row],[Afhængig variabel ID]]&lt;=$B$5</f>
        <v>0</v>
      </c>
      <c r="F139" t="str" cm="1">
        <f t="array" ref="F139">IF(LineærRegression_Valg[[#This Row],[Indenfor range]],INDEX(DataTitel_liste,LineærRegression_Valg[[#This Row],[Afhængig variabel ID]]),INDEX(DataTitel_liste,1))</f>
        <v>Eksempel 1 (interval)</v>
      </c>
      <c r="G139" s="45" t="str" cm="1">
        <f t="array" ref="G139">IF(LineærRegression_Valg[[#This Row],[Indenfor range]],IF(LineærRegression_Valg[[#This Row],[Intet overlap]],INDEX(DataTitel_liste,LineærRegression_Valg[[#This Row],[Uafhængig variabel ID]]),INDEX(DataTitel_liste,IF(LineærRegression_Valg[[#This Row],[Afhængig variabel ID]]=1,2,1))),$B$7)</f>
        <v>Eksempel 2 (interval)</v>
      </c>
      <c r="H139" s="45">
        <f>_xlfn.AGGREGATE(2,5,LineærRegression_Valg[[#This Row],[Tabel ID]])</f>
        <v>1</v>
      </c>
    </row>
    <row r="140" spans="1:8" x14ac:dyDescent="0.2">
      <c r="A140">
        <f>ROW(LineærRegression_Valg[[#This Row],[Tabel ID]])-ROW(LineærRegression_Valg[[#Headers],[Tabel ID]])</f>
        <v>130</v>
      </c>
      <c r="B140" s="45">
        <f>ROUNDDOWN((LineærRegression_Valg[[#This Row],[Tabel ID]]-1)/$B$5,0)+1</f>
        <v>33</v>
      </c>
      <c r="C140" s="45">
        <f t="shared" si="2"/>
        <v>2</v>
      </c>
      <c r="D140" s="45" t="b">
        <f>LineærRegression_Valg[[#This Row],[Afhængig variabel ID]]&lt;&gt;LineærRegression_Valg[[#This Row],[Uafhængig variabel ID]]</f>
        <v>1</v>
      </c>
      <c r="E140" t="b">
        <f>LineærRegression_Valg[[#This Row],[Afhængig variabel ID]]&lt;=$B$5</f>
        <v>0</v>
      </c>
      <c r="F140" t="str" cm="1">
        <f t="array" ref="F140">IF(LineærRegression_Valg[[#This Row],[Indenfor range]],INDEX(DataTitel_liste,LineærRegression_Valg[[#This Row],[Afhængig variabel ID]]),INDEX(DataTitel_liste,1))</f>
        <v>Eksempel 1 (interval)</v>
      </c>
      <c r="G140" s="45" t="str" cm="1">
        <f t="array" ref="G140">IF(LineærRegression_Valg[[#This Row],[Indenfor range]],IF(LineærRegression_Valg[[#This Row],[Intet overlap]],INDEX(DataTitel_liste,LineærRegression_Valg[[#This Row],[Uafhængig variabel ID]]),INDEX(DataTitel_liste,IF(LineærRegression_Valg[[#This Row],[Afhængig variabel ID]]=1,2,1))),$B$7)</f>
        <v>Eksempel 2 (interval)</v>
      </c>
      <c r="H140" s="45">
        <f>_xlfn.AGGREGATE(2,5,LineærRegression_Valg[[#This Row],[Tabel ID]])</f>
        <v>1</v>
      </c>
    </row>
    <row r="141" spans="1:8" x14ac:dyDescent="0.2">
      <c r="A141">
        <f>ROW(LineærRegression_Valg[[#This Row],[Tabel ID]])-ROW(LineærRegression_Valg[[#Headers],[Tabel ID]])</f>
        <v>131</v>
      </c>
      <c r="B141" s="45">
        <f>ROUNDDOWN((LineærRegression_Valg[[#This Row],[Tabel ID]]-1)/$B$5,0)+1</f>
        <v>33</v>
      </c>
      <c r="C141" s="45">
        <f t="shared" si="2"/>
        <v>3</v>
      </c>
      <c r="D141" s="45" t="b">
        <f>LineærRegression_Valg[[#This Row],[Afhængig variabel ID]]&lt;&gt;LineærRegression_Valg[[#This Row],[Uafhængig variabel ID]]</f>
        <v>1</v>
      </c>
      <c r="E141" t="b">
        <f>LineærRegression_Valg[[#This Row],[Afhængig variabel ID]]&lt;=$B$5</f>
        <v>0</v>
      </c>
      <c r="F141" t="str" cm="1">
        <f t="array" ref="F141">IF(LineærRegression_Valg[[#This Row],[Indenfor range]],INDEX(DataTitel_liste,LineærRegression_Valg[[#This Row],[Afhængig variabel ID]]),INDEX(DataTitel_liste,1))</f>
        <v>Eksempel 1 (interval)</v>
      </c>
      <c r="G141" s="45" t="str" cm="1">
        <f t="array" ref="G141">IF(LineærRegression_Valg[[#This Row],[Indenfor range]],IF(LineærRegression_Valg[[#This Row],[Intet overlap]],INDEX(DataTitel_liste,LineærRegression_Valg[[#This Row],[Uafhængig variabel ID]]),INDEX(DataTitel_liste,IF(LineærRegression_Valg[[#This Row],[Afhængig variabel ID]]=1,2,1))),$B$7)</f>
        <v>Eksempel 2 (interval)</v>
      </c>
      <c r="H141" s="45">
        <f>_xlfn.AGGREGATE(2,5,LineærRegression_Valg[[#This Row],[Tabel ID]])</f>
        <v>1</v>
      </c>
    </row>
    <row r="142" spans="1:8" x14ac:dyDescent="0.2">
      <c r="A142">
        <f>ROW(LineærRegression_Valg[[#This Row],[Tabel ID]])-ROW(LineærRegression_Valg[[#Headers],[Tabel ID]])</f>
        <v>132</v>
      </c>
      <c r="B142" s="45">
        <f>ROUNDDOWN((LineærRegression_Valg[[#This Row],[Tabel ID]]-1)/$B$5,0)+1</f>
        <v>33</v>
      </c>
      <c r="C142" s="45">
        <f t="shared" si="2"/>
        <v>4</v>
      </c>
      <c r="D142" s="45" t="b">
        <f>LineærRegression_Valg[[#This Row],[Afhængig variabel ID]]&lt;&gt;LineærRegression_Valg[[#This Row],[Uafhængig variabel ID]]</f>
        <v>1</v>
      </c>
      <c r="E142" t="b">
        <f>LineærRegression_Valg[[#This Row],[Afhængig variabel ID]]&lt;=$B$5</f>
        <v>0</v>
      </c>
      <c r="F142" t="str" cm="1">
        <f t="array" ref="F142">IF(LineærRegression_Valg[[#This Row],[Indenfor range]],INDEX(DataTitel_liste,LineærRegression_Valg[[#This Row],[Afhængig variabel ID]]),INDEX(DataTitel_liste,1))</f>
        <v>Eksempel 1 (interval)</v>
      </c>
      <c r="G142" s="45" t="str" cm="1">
        <f t="array" ref="G142">IF(LineærRegression_Valg[[#This Row],[Indenfor range]],IF(LineærRegression_Valg[[#This Row],[Intet overlap]],INDEX(DataTitel_liste,LineærRegression_Valg[[#This Row],[Uafhængig variabel ID]]),INDEX(DataTitel_liste,IF(LineærRegression_Valg[[#This Row],[Afhængig variabel ID]]=1,2,1))),$B$7)</f>
        <v>Eksempel 2 (interval)</v>
      </c>
      <c r="H142" s="45">
        <f>_xlfn.AGGREGATE(2,5,LineærRegression_Valg[[#This Row],[Tabel ID]])</f>
        <v>1</v>
      </c>
    </row>
    <row r="143" spans="1:8" x14ac:dyDescent="0.2">
      <c r="A143">
        <f>ROW(LineærRegression_Valg[[#This Row],[Tabel ID]])-ROW(LineærRegression_Valg[[#Headers],[Tabel ID]])</f>
        <v>133</v>
      </c>
      <c r="B143" s="45">
        <f>ROUNDDOWN((LineærRegression_Valg[[#This Row],[Tabel ID]]-1)/$B$5,0)+1</f>
        <v>34</v>
      </c>
      <c r="C143" s="45">
        <f t="shared" si="2"/>
        <v>1</v>
      </c>
      <c r="D143" s="45" t="b">
        <f>LineærRegression_Valg[[#This Row],[Afhængig variabel ID]]&lt;&gt;LineærRegression_Valg[[#This Row],[Uafhængig variabel ID]]</f>
        <v>1</v>
      </c>
      <c r="E143" t="b">
        <f>LineærRegression_Valg[[#This Row],[Afhængig variabel ID]]&lt;=$B$5</f>
        <v>0</v>
      </c>
      <c r="F143" t="str" cm="1">
        <f t="array" ref="F143">IF(LineærRegression_Valg[[#This Row],[Indenfor range]],INDEX(DataTitel_liste,LineærRegression_Valg[[#This Row],[Afhængig variabel ID]]),INDEX(DataTitel_liste,1))</f>
        <v>Eksempel 1 (interval)</v>
      </c>
      <c r="G143" s="45" t="str" cm="1">
        <f t="array" ref="G143">IF(LineærRegression_Valg[[#This Row],[Indenfor range]],IF(LineærRegression_Valg[[#This Row],[Intet overlap]],INDEX(DataTitel_liste,LineærRegression_Valg[[#This Row],[Uafhængig variabel ID]]),INDEX(DataTitel_liste,IF(LineærRegression_Valg[[#This Row],[Afhængig variabel ID]]=1,2,1))),$B$7)</f>
        <v>Eksempel 2 (interval)</v>
      </c>
      <c r="H143" s="45">
        <f>_xlfn.AGGREGATE(2,5,LineærRegression_Valg[[#This Row],[Tabel ID]])</f>
        <v>1</v>
      </c>
    </row>
    <row r="144" spans="1:8" x14ac:dyDescent="0.2">
      <c r="A144">
        <f>ROW(LineærRegression_Valg[[#This Row],[Tabel ID]])-ROW(LineærRegression_Valg[[#Headers],[Tabel ID]])</f>
        <v>134</v>
      </c>
      <c r="B144" s="45">
        <f>ROUNDDOWN((LineærRegression_Valg[[#This Row],[Tabel ID]]-1)/$B$5,0)+1</f>
        <v>34</v>
      </c>
      <c r="C144" s="45">
        <f t="shared" si="2"/>
        <v>2</v>
      </c>
      <c r="D144" s="45" t="b">
        <f>LineærRegression_Valg[[#This Row],[Afhængig variabel ID]]&lt;&gt;LineærRegression_Valg[[#This Row],[Uafhængig variabel ID]]</f>
        <v>1</v>
      </c>
      <c r="E144" t="b">
        <f>LineærRegression_Valg[[#This Row],[Afhængig variabel ID]]&lt;=$B$5</f>
        <v>0</v>
      </c>
      <c r="F144" t="str" cm="1">
        <f t="array" ref="F144">IF(LineærRegression_Valg[[#This Row],[Indenfor range]],INDEX(DataTitel_liste,LineærRegression_Valg[[#This Row],[Afhængig variabel ID]]),INDEX(DataTitel_liste,1))</f>
        <v>Eksempel 1 (interval)</v>
      </c>
      <c r="G144" s="45" t="str" cm="1">
        <f t="array" ref="G144">IF(LineærRegression_Valg[[#This Row],[Indenfor range]],IF(LineærRegression_Valg[[#This Row],[Intet overlap]],INDEX(DataTitel_liste,LineærRegression_Valg[[#This Row],[Uafhængig variabel ID]]),INDEX(DataTitel_liste,IF(LineærRegression_Valg[[#This Row],[Afhængig variabel ID]]=1,2,1))),$B$7)</f>
        <v>Eksempel 2 (interval)</v>
      </c>
      <c r="H144" s="45">
        <f>_xlfn.AGGREGATE(2,5,LineærRegression_Valg[[#This Row],[Tabel ID]])</f>
        <v>1</v>
      </c>
    </row>
    <row r="145" spans="1:8" x14ac:dyDescent="0.2">
      <c r="A145">
        <f>ROW(LineærRegression_Valg[[#This Row],[Tabel ID]])-ROW(LineærRegression_Valg[[#Headers],[Tabel ID]])</f>
        <v>135</v>
      </c>
      <c r="B145" s="45">
        <f>ROUNDDOWN((LineærRegression_Valg[[#This Row],[Tabel ID]]-1)/$B$5,0)+1</f>
        <v>34</v>
      </c>
      <c r="C145" s="45">
        <f t="shared" si="2"/>
        <v>3</v>
      </c>
      <c r="D145" s="45" t="b">
        <f>LineærRegression_Valg[[#This Row],[Afhængig variabel ID]]&lt;&gt;LineærRegression_Valg[[#This Row],[Uafhængig variabel ID]]</f>
        <v>1</v>
      </c>
      <c r="E145" t="b">
        <f>LineærRegression_Valg[[#This Row],[Afhængig variabel ID]]&lt;=$B$5</f>
        <v>0</v>
      </c>
      <c r="F145" t="str" cm="1">
        <f t="array" ref="F145">IF(LineærRegression_Valg[[#This Row],[Indenfor range]],INDEX(DataTitel_liste,LineærRegression_Valg[[#This Row],[Afhængig variabel ID]]),INDEX(DataTitel_liste,1))</f>
        <v>Eksempel 1 (interval)</v>
      </c>
      <c r="G145" s="45" t="str" cm="1">
        <f t="array" ref="G145">IF(LineærRegression_Valg[[#This Row],[Indenfor range]],IF(LineærRegression_Valg[[#This Row],[Intet overlap]],INDEX(DataTitel_liste,LineærRegression_Valg[[#This Row],[Uafhængig variabel ID]]),INDEX(DataTitel_liste,IF(LineærRegression_Valg[[#This Row],[Afhængig variabel ID]]=1,2,1))),$B$7)</f>
        <v>Eksempel 2 (interval)</v>
      </c>
      <c r="H145" s="45">
        <f>_xlfn.AGGREGATE(2,5,LineærRegression_Valg[[#This Row],[Tabel ID]])</f>
        <v>1</v>
      </c>
    </row>
    <row r="146" spans="1:8" x14ac:dyDescent="0.2">
      <c r="A146">
        <f>ROW(LineærRegression_Valg[[#This Row],[Tabel ID]])-ROW(LineærRegression_Valg[[#Headers],[Tabel ID]])</f>
        <v>136</v>
      </c>
      <c r="B146" s="45">
        <f>ROUNDDOWN((LineærRegression_Valg[[#This Row],[Tabel ID]]-1)/$B$5,0)+1</f>
        <v>34</v>
      </c>
      <c r="C146" s="45">
        <f t="shared" si="2"/>
        <v>4</v>
      </c>
      <c r="D146" s="45" t="b">
        <f>LineærRegression_Valg[[#This Row],[Afhængig variabel ID]]&lt;&gt;LineærRegression_Valg[[#This Row],[Uafhængig variabel ID]]</f>
        <v>1</v>
      </c>
      <c r="E146" t="b">
        <f>LineærRegression_Valg[[#This Row],[Afhængig variabel ID]]&lt;=$B$5</f>
        <v>0</v>
      </c>
      <c r="F146" t="str" cm="1">
        <f t="array" ref="F146">IF(LineærRegression_Valg[[#This Row],[Indenfor range]],INDEX(DataTitel_liste,LineærRegression_Valg[[#This Row],[Afhængig variabel ID]]),INDEX(DataTitel_liste,1))</f>
        <v>Eksempel 1 (interval)</v>
      </c>
      <c r="G146" s="45" t="str" cm="1">
        <f t="array" ref="G146">IF(LineærRegression_Valg[[#This Row],[Indenfor range]],IF(LineærRegression_Valg[[#This Row],[Intet overlap]],INDEX(DataTitel_liste,LineærRegression_Valg[[#This Row],[Uafhængig variabel ID]]),INDEX(DataTitel_liste,IF(LineærRegression_Valg[[#This Row],[Afhængig variabel ID]]=1,2,1))),$B$7)</f>
        <v>Eksempel 2 (interval)</v>
      </c>
      <c r="H146" s="45">
        <f>_xlfn.AGGREGATE(2,5,LineærRegression_Valg[[#This Row],[Tabel ID]])</f>
        <v>1</v>
      </c>
    </row>
    <row r="147" spans="1:8" x14ac:dyDescent="0.2">
      <c r="A147">
        <f>ROW(LineærRegression_Valg[[#This Row],[Tabel ID]])-ROW(LineærRegression_Valg[[#Headers],[Tabel ID]])</f>
        <v>137</v>
      </c>
      <c r="B147" s="45">
        <f>ROUNDDOWN((LineærRegression_Valg[[#This Row],[Tabel ID]]-1)/$B$5,0)+1</f>
        <v>35</v>
      </c>
      <c r="C147" s="45">
        <f t="shared" si="2"/>
        <v>1</v>
      </c>
      <c r="D147" s="45" t="b">
        <f>LineærRegression_Valg[[#This Row],[Afhængig variabel ID]]&lt;&gt;LineærRegression_Valg[[#This Row],[Uafhængig variabel ID]]</f>
        <v>1</v>
      </c>
      <c r="E147" t="b">
        <f>LineærRegression_Valg[[#This Row],[Afhængig variabel ID]]&lt;=$B$5</f>
        <v>0</v>
      </c>
      <c r="F147" t="str" cm="1">
        <f t="array" ref="F147">IF(LineærRegression_Valg[[#This Row],[Indenfor range]],INDEX(DataTitel_liste,LineærRegression_Valg[[#This Row],[Afhængig variabel ID]]),INDEX(DataTitel_liste,1))</f>
        <v>Eksempel 1 (interval)</v>
      </c>
      <c r="G147" s="45" t="str" cm="1">
        <f t="array" ref="G147">IF(LineærRegression_Valg[[#This Row],[Indenfor range]],IF(LineærRegression_Valg[[#This Row],[Intet overlap]],INDEX(DataTitel_liste,LineærRegression_Valg[[#This Row],[Uafhængig variabel ID]]),INDEX(DataTitel_liste,IF(LineærRegression_Valg[[#This Row],[Afhængig variabel ID]]=1,2,1))),$B$7)</f>
        <v>Eksempel 2 (interval)</v>
      </c>
      <c r="H147" s="45">
        <f>_xlfn.AGGREGATE(2,5,LineærRegression_Valg[[#This Row],[Tabel ID]])</f>
        <v>1</v>
      </c>
    </row>
    <row r="148" spans="1:8" x14ac:dyDescent="0.2">
      <c r="A148">
        <f>ROW(LineærRegression_Valg[[#This Row],[Tabel ID]])-ROW(LineærRegression_Valg[[#Headers],[Tabel ID]])</f>
        <v>138</v>
      </c>
      <c r="B148" s="45">
        <f>ROUNDDOWN((LineærRegression_Valg[[#This Row],[Tabel ID]]-1)/$B$5,0)+1</f>
        <v>35</v>
      </c>
      <c r="C148" s="45">
        <f t="shared" si="2"/>
        <v>2</v>
      </c>
      <c r="D148" s="45" t="b">
        <f>LineærRegression_Valg[[#This Row],[Afhængig variabel ID]]&lt;&gt;LineærRegression_Valg[[#This Row],[Uafhængig variabel ID]]</f>
        <v>1</v>
      </c>
      <c r="E148" t="b">
        <f>LineærRegression_Valg[[#This Row],[Afhængig variabel ID]]&lt;=$B$5</f>
        <v>0</v>
      </c>
      <c r="F148" t="str" cm="1">
        <f t="array" ref="F148">IF(LineærRegression_Valg[[#This Row],[Indenfor range]],INDEX(DataTitel_liste,LineærRegression_Valg[[#This Row],[Afhængig variabel ID]]),INDEX(DataTitel_liste,1))</f>
        <v>Eksempel 1 (interval)</v>
      </c>
      <c r="G148" s="45" t="str" cm="1">
        <f t="array" ref="G148">IF(LineærRegression_Valg[[#This Row],[Indenfor range]],IF(LineærRegression_Valg[[#This Row],[Intet overlap]],INDEX(DataTitel_liste,LineærRegression_Valg[[#This Row],[Uafhængig variabel ID]]),INDEX(DataTitel_liste,IF(LineærRegression_Valg[[#This Row],[Afhængig variabel ID]]=1,2,1))),$B$7)</f>
        <v>Eksempel 2 (interval)</v>
      </c>
      <c r="H148" s="45">
        <f>_xlfn.AGGREGATE(2,5,LineærRegression_Valg[[#This Row],[Tabel ID]])</f>
        <v>1</v>
      </c>
    </row>
    <row r="149" spans="1:8" x14ac:dyDescent="0.2">
      <c r="A149">
        <f>ROW(LineærRegression_Valg[[#This Row],[Tabel ID]])-ROW(LineærRegression_Valg[[#Headers],[Tabel ID]])</f>
        <v>139</v>
      </c>
      <c r="B149" s="45">
        <f>ROUNDDOWN((LineærRegression_Valg[[#This Row],[Tabel ID]]-1)/$B$5,0)+1</f>
        <v>35</v>
      </c>
      <c r="C149" s="45">
        <f t="shared" si="2"/>
        <v>3</v>
      </c>
      <c r="D149" s="45" t="b">
        <f>LineærRegression_Valg[[#This Row],[Afhængig variabel ID]]&lt;&gt;LineærRegression_Valg[[#This Row],[Uafhængig variabel ID]]</f>
        <v>1</v>
      </c>
      <c r="E149" t="b">
        <f>LineærRegression_Valg[[#This Row],[Afhængig variabel ID]]&lt;=$B$5</f>
        <v>0</v>
      </c>
      <c r="F149" t="str" cm="1">
        <f t="array" ref="F149">IF(LineærRegression_Valg[[#This Row],[Indenfor range]],INDEX(DataTitel_liste,LineærRegression_Valg[[#This Row],[Afhængig variabel ID]]),INDEX(DataTitel_liste,1))</f>
        <v>Eksempel 1 (interval)</v>
      </c>
      <c r="G149" s="45" t="str" cm="1">
        <f t="array" ref="G149">IF(LineærRegression_Valg[[#This Row],[Indenfor range]],IF(LineærRegression_Valg[[#This Row],[Intet overlap]],INDEX(DataTitel_liste,LineærRegression_Valg[[#This Row],[Uafhængig variabel ID]]),INDEX(DataTitel_liste,IF(LineærRegression_Valg[[#This Row],[Afhængig variabel ID]]=1,2,1))),$B$7)</f>
        <v>Eksempel 2 (interval)</v>
      </c>
      <c r="H149" s="45">
        <f>_xlfn.AGGREGATE(2,5,LineærRegression_Valg[[#This Row],[Tabel ID]])</f>
        <v>1</v>
      </c>
    </row>
    <row r="150" spans="1:8" x14ac:dyDescent="0.2">
      <c r="A150">
        <f>ROW(LineærRegression_Valg[[#This Row],[Tabel ID]])-ROW(LineærRegression_Valg[[#Headers],[Tabel ID]])</f>
        <v>140</v>
      </c>
      <c r="B150" s="45">
        <f>ROUNDDOWN((LineærRegression_Valg[[#This Row],[Tabel ID]]-1)/$B$5,0)+1</f>
        <v>35</v>
      </c>
      <c r="C150" s="45">
        <f t="shared" si="2"/>
        <v>4</v>
      </c>
      <c r="D150" s="45" t="b">
        <f>LineærRegression_Valg[[#This Row],[Afhængig variabel ID]]&lt;&gt;LineærRegression_Valg[[#This Row],[Uafhængig variabel ID]]</f>
        <v>1</v>
      </c>
      <c r="E150" t="b">
        <f>LineærRegression_Valg[[#This Row],[Afhængig variabel ID]]&lt;=$B$5</f>
        <v>0</v>
      </c>
      <c r="F150" t="str" cm="1">
        <f t="array" ref="F150">IF(LineærRegression_Valg[[#This Row],[Indenfor range]],INDEX(DataTitel_liste,LineærRegression_Valg[[#This Row],[Afhængig variabel ID]]),INDEX(DataTitel_liste,1))</f>
        <v>Eksempel 1 (interval)</v>
      </c>
      <c r="G150" s="45" t="str" cm="1">
        <f t="array" ref="G150">IF(LineærRegression_Valg[[#This Row],[Indenfor range]],IF(LineærRegression_Valg[[#This Row],[Intet overlap]],INDEX(DataTitel_liste,LineærRegression_Valg[[#This Row],[Uafhængig variabel ID]]),INDEX(DataTitel_liste,IF(LineærRegression_Valg[[#This Row],[Afhængig variabel ID]]=1,2,1))),$B$7)</f>
        <v>Eksempel 2 (interval)</v>
      </c>
      <c r="H150" s="45">
        <f>_xlfn.AGGREGATE(2,5,LineærRegression_Valg[[#This Row],[Tabel ID]])</f>
        <v>1</v>
      </c>
    </row>
    <row r="151" spans="1:8" x14ac:dyDescent="0.2">
      <c r="A151">
        <f>ROW(LineærRegression_Valg[[#This Row],[Tabel ID]])-ROW(LineærRegression_Valg[[#Headers],[Tabel ID]])</f>
        <v>141</v>
      </c>
      <c r="B151" s="45">
        <f>ROUNDDOWN((LineærRegression_Valg[[#This Row],[Tabel ID]]-1)/$B$5,0)+1</f>
        <v>36</v>
      </c>
      <c r="C151" s="45">
        <f t="shared" si="2"/>
        <v>1</v>
      </c>
      <c r="D151" s="45" t="b">
        <f>LineærRegression_Valg[[#This Row],[Afhængig variabel ID]]&lt;&gt;LineærRegression_Valg[[#This Row],[Uafhængig variabel ID]]</f>
        <v>1</v>
      </c>
      <c r="E151" t="b">
        <f>LineærRegression_Valg[[#This Row],[Afhængig variabel ID]]&lt;=$B$5</f>
        <v>0</v>
      </c>
      <c r="F151" t="str" cm="1">
        <f t="array" ref="F151">IF(LineærRegression_Valg[[#This Row],[Indenfor range]],INDEX(DataTitel_liste,LineærRegression_Valg[[#This Row],[Afhængig variabel ID]]),INDEX(DataTitel_liste,1))</f>
        <v>Eksempel 1 (interval)</v>
      </c>
      <c r="G151" s="45" t="str" cm="1">
        <f t="array" ref="G151">IF(LineærRegression_Valg[[#This Row],[Indenfor range]],IF(LineærRegression_Valg[[#This Row],[Intet overlap]],INDEX(DataTitel_liste,LineærRegression_Valg[[#This Row],[Uafhængig variabel ID]]),INDEX(DataTitel_liste,IF(LineærRegression_Valg[[#This Row],[Afhængig variabel ID]]=1,2,1))),$B$7)</f>
        <v>Eksempel 2 (interval)</v>
      </c>
      <c r="H151" s="45">
        <f>_xlfn.AGGREGATE(2,5,LineærRegression_Valg[[#This Row],[Tabel ID]])</f>
        <v>1</v>
      </c>
    </row>
    <row r="152" spans="1:8" x14ac:dyDescent="0.2">
      <c r="A152">
        <f>ROW(LineærRegression_Valg[[#This Row],[Tabel ID]])-ROW(LineærRegression_Valg[[#Headers],[Tabel ID]])</f>
        <v>142</v>
      </c>
      <c r="B152" s="45">
        <f>ROUNDDOWN((LineærRegression_Valg[[#This Row],[Tabel ID]]-1)/$B$5,0)+1</f>
        <v>36</v>
      </c>
      <c r="C152" s="45">
        <f t="shared" si="2"/>
        <v>2</v>
      </c>
      <c r="D152" s="45" t="b">
        <f>LineærRegression_Valg[[#This Row],[Afhængig variabel ID]]&lt;&gt;LineærRegression_Valg[[#This Row],[Uafhængig variabel ID]]</f>
        <v>1</v>
      </c>
      <c r="E152" t="b">
        <f>LineærRegression_Valg[[#This Row],[Afhængig variabel ID]]&lt;=$B$5</f>
        <v>0</v>
      </c>
      <c r="F152" t="str" cm="1">
        <f t="array" ref="F152">IF(LineærRegression_Valg[[#This Row],[Indenfor range]],INDEX(DataTitel_liste,LineærRegression_Valg[[#This Row],[Afhængig variabel ID]]),INDEX(DataTitel_liste,1))</f>
        <v>Eksempel 1 (interval)</v>
      </c>
      <c r="G152" s="45" t="str" cm="1">
        <f t="array" ref="G152">IF(LineærRegression_Valg[[#This Row],[Indenfor range]],IF(LineærRegression_Valg[[#This Row],[Intet overlap]],INDEX(DataTitel_liste,LineærRegression_Valg[[#This Row],[Uafhængig variabel ID]]),INDEX(DataTitel_liste,IF(LineærRegression_Valg[[#This Row],[Afhængig variabel ID]]=1,2,1))),$B$7)</f>
        <v>Eksempel 2 (interval)</v>
      </c>
      <c r="H152" s="45">
        <f>_xlfn.AGGREGATE(2,5,LineærRegression_Valg[[#This Row],[Tabel ID]])</f>
        <v>1</v>
      </c>
    </row>
    <row r="153" spans="1:8" x14ac:dyDescent="0.2">
      <c r="A153">
        <f>ROW(LineærRegression_Valg[[#This Row],[Tabel ID]])-ROW(LineærRegression_Valg[[#Headers],[Tabel ID]])</f>
        <v>143</v>
      </c>
      <c r="B153" s="45">
        <f>ROUNDDOWN((LineærRegression_Valg[[#This Row],[Tabel ID]]-1)/$B$5,0)+1</f>
        <v>36</v>
      </c>
      <c r="C153" s="45">
        <f t="shared" si="2"/>
        <v>3</v>
      </c>
      <c r="D153" s="45" t="b">
        <f>LineærRegression_Valg[[#This Row],[Afhængig variabel ID]]&lt;&gt;LineærRegression_Valg[[#This Row],[Uafhængig variabel ID]]</f>
        <v>1</v>
      </c>
      <c r="E153" t="b">
        <f>LineærRegression_Valg[[#This Row],[Afhængig variabel ID]]&lt;=$B$5</f>
        <v>0</v>
      </c>
      <c r="F153" t="str" cm="1">
        <f t="array" ref="F153">IF(LineærRegression_Valg[[#This Row],[Indenfor range]],INDEX(DataTitel_liste,LineærRegression_Valg[[#This Row],[Afhængig variabel ID]]),INDEX(DataTitel_liste,1))</f>
        <v>Eksempel 1 (interval)</v>
      </c>
      <c r="G153" s="45" t="str" cm="1">
        <f t="array" ref="G153">IF(LineærRegression_Valg[[#This Row],[Indenfor range]],IF(LineærRegression_Valg[[#This Row],[Intet overlap]],INDEX(DataTitel_liste,LineærRegression_Valg[[#This Row],[Uafhængig variabel ID]]),INDEX(DataTitel_liste,IF(LineærRegression_Valg[[#This Row],[Afhængig variabel ID]]=1,2,1))),$B$7)</f>
        <v>Eksempel 2 (interval)</v>
      </c>
      <c r="H153" s="45">
        <f>_xlfn.AGGREGATE(2,5,LineærRegression_Valg[[#This Row],[Tabel ID]])</f>
        <v>1</v>
      </c>
    </row>
    <row r="154" spans="1:8" x14ac:dyDescent="0.2">
      <c r="A154">
        <f>ROW(LineærRegression_Valg[[#This Row],[Tabel ID]])-ROW(LineærRegression_Valg[[#Headers],[Tabel ID]])</f>
        <v>144</v>
      </c>
      <c r="B154" s="45">
        <f>ROUNDDOWN((LineærRegression_Valg[[#This Row],[Tabel ID]]-1)/$B$5,0)+1</f>
        <v>36</v>
      </c>
      <c r="C154" s="45">
        <f t="shared" si="2"/>
        <v>4</v>
      </c>
      <c r="D154" s="45" t="b">
        <f>LineærRegression_Valg[[#This Row],[Afhængig variabel ID]]&lt;&gt;LineærRegression_Valg[[#This Row],[Uafhængig variabel ID]]</f>
        <v>1</v>
      </c>
      <c r="E154" t="b">
        <f>LineærRegression_Valg[[#This Row],[Afhængig variabel ID]]&lt;=$B$5</f>
        <v>0</v>
      </c>
      <c r="F154" t="str" cm="1">
        <f t="array" ref="F154">IF(LineærRegression_Valg[[#This Row],[Indenfor range]],INDEX(DataTitel_liste,LineærRegression_Valg[[#This Row],[Afhængig variabel ID]]),INDEX(DataTitel_liste,1))</f>
        <v>Eksempel 1 (interval)</v>
      </c>
      <c r="G154" s="45" t="str" cm="1">
        <f t="array" ref="G154">IF(LineærRegression_Valg[[#This Row],[Indenfor range]],IF(LineærRegression_Valg[[#This Row],[Intet overlap]],INDEX(DataTitel_liste,LineærRegression_Valg[[#This Row],[Uafhængig variabel ID]]),INDEX(DataTitel_liste,IF(LineærRegression_Valg[[#This Row],[Afhængig variabel ID]]=1,2,1))),$B$7)</f>
        <v>Eksempel 2 (interval)</v>
      </c>
      <c r="H154" s="45">
        <f>_xlfn.AGGREGATE(2,5,LineærRegression_Valg[[#This Row],[Tabel ID]])</f>
        <v>1</v>
      </c>
    </row>
    <row r="155" spans="1:8" x14ac:dyDescent="0.2">
      <c r="A155">
        <f>ROW(LineærRegression_Valg[[#This Row],[Tabel ID]])-ROW(LineærRegression_Valg[[#Headers],[Tabel ID]])</f>
        <v>145</v>
      </c>
      <c r="B155" s="45">
        <f>ROUNDDOWN((LineærRegression_Valg[[#This Row],[Tabel ID]]-1)/$B$5,0)+1</f>
        <v>37</v>
      </c>
      <c r="C155" s="45">
        <f t="shared" si="2"/>
        <v>1</v>
      </c>
      <c r="D155" s="45" t="b">
        <f>LineærRegression_Valg[[#This Row],[Afhængig variabel ID]]&lt;&gt;LineærRegression_Valg[[#This Row],[Uafhængig variabel ID]]</f>
        <v>1</v>
      </c>
      <c r="E155" t="b">
        <f>LineærRegression_Valg[[#This Row],[Afhængig variabel ID]]&lt;=$B$5</f>
        <v>0</v>
      </c>
      <c r="F155" t="str" cm="1">
        <f t="array" ref="F155">IF(LineærRegression_Valg[[#This Row],[Indenfor range]],INDEX(DataTitel_liste,LineærRegression_Valg[[#This Row],[Afhængig variabel ID]]),INDEX(DataTitel_liste,1))</f>
        <v>Eksempel 1 (interval)</v>
      </c>
      <c r="G155" s="45" t="str" cm="1">
        <f t="array" ref="G155">IF(LineærRegression_Valg[[#This Row],[Indenfor range]],IF(LineærRegression_Valg[[#This Row],[Intet overlap]],INDEX(DataTitel_liste,LineærRegression_Valg[[#This Row],[Uafhængig variabel ID]]),INDEX(DataTitel_liste,IF(LineærRegression_Valg[[#This Row],[Afhængig variabel ID]]=1,2,1))),$B$7)</f>
        <v>Eksempel 2 (interval)</v>
      </c>
      <c r="H155" s="45">
        <f>_xlfn.AGGREGATE(2,5,LineærRegression_Valg[[#This Row],[Tabel ID]])</f>
        <v>1</v>
      </c>
    </row>
    <row r="156" spans="1:8" x14ac:dyDescent="0.2">
      <c r="A156">
        <f>ROW(LineærRegression_Valg[[#This Row],[Tabel ID]])-ROW(LineærRegression_Valg[[#Headers],[Tabel ID]])</f>
        <v>146</v>
      </c>
      <c r="B156" s="45">
        <f>ROUNDDOWN((LineærRegression_Valg[[#This Row],[Tabel ID]]-1)/$B$5,0)+1</f>
        <v>37</v>
      </c>
      <c r="C156" s="45">
        <f t="shared" si="2"/>
        <v>2</v>
      </c>
      <c r="D156" s="45" t="b">
        <f>LineærRegression_Valg[[#This Row],[Afhængig variabel ID]]&lt;&gt;LineærRegression_Valg[[#This Row],[Uafhængig variabel ID]]</f>
        <v>1</v>
      </c>
      <c r="E156" t="b">
        <f>LineærRegression_Valg[[#This Row],[Afhængig variabel ID]]&lt;=$B$5</f>
        <v>0</v>
      </c>
      <c r="F156" t="str" cm="1">
        <f t="array" ref="F156">IF(LineærRegression_Valg[[#This Row],[Indenfor range]],INDEX(DataTitel_liste,LineærRegression_Valg[[#This Row],[Afhængig variabel ID]]),INDEX(DataTitel_liste,1))</f>
        <v>Eksempel 1 (interval)</v>
      </c>
      <c r="G156" s="45" t="str" cm="1">
        <f t="array" ref="G156">IF(LineærRegression_Valg[[#This Row],[Indenfor range]],IF(LineærRegression_Valg[[#This Row],[Intet overlap]],INDEX(DataTitel_liste,LineærRegression_Valg[[#This Row],[Uafhængig variabel ID]]),INDEX(DataTitel_liste,IF(LineærRegression_Valg[[#This Row],[Afhængig variabel ID]]=1,2,1))),$B$7)</f>
        <v>Eksempel 2 (interval)</v>
      </c>
      <c r="H156" s="45">
        <f>_xlfn.AGGREGATE(2,5,LineærRegression_Valg[[#This Row],[Tabel ID]])</f>
        <v>1</v>
      </c>
    </row>
    <row r="157" spans="1:8" x14ac:dyDescent="0.2">
      <c r="A157">
        <f>ROW(LineærRegression_Valg[[#This Row],[Tabel ID]])-ROW(LineærRegression_Valg[[#Headers],[Tabel ID]])</f>
        <v>147</v>
      </c>
      <c r="B157" s="45">
        <f>ROUNDDOWN((LineærRegression_Valg[[#This Row],[Tabel ID]]-1)/$B$5,0)+1</f>
        <v>37</v>
      </c>
      <c r="C157" s="45">
        <f t="shared" si="2"/>
        <v>3</v>
      </c>
      <c r="D157" s="45" t="b">
        <f>LineærRegression_Valg[[#This Row],[Afhængig variabel ID]]&lt;&gt;LineærRegression_Valg[[#This Row],[Uafhængig variabel ID]]</f>
        <v>1</v>
      </c>
      <c r="E157" t="b">
        <f>LineærRegression_Valg[[#This Row],[Afhængig variabel ID]]&lt;=$B$5</f>
        <v>0</v>
      </c>
      <c r="F157" t="str" cm="1">
        <f t="array" ref="F157">IF(LineærRegression_Valg[[#This Row],[Indenfor range]],INDEX(DataTitel_liste,LineærRegression_Valg[[#This Row],[Afhængig variabel ID]]),INDEX(DataTitel_liste,1))</f>
        <v>Eksempel 1 (interval)</v>
      </c>
      <c r="G157" s="45" t="str" cm="1">
        <f t="array" ref="G157">IF(LineærRegression_Valg[[#This Row],[Indenfor range]],IF(LineærRegression_Valg[[#This Row],[Intet overlap]],INDEX(DataTitel_liste,LineærRegression_Valg[[#This Row],[Uafhængig variabel ID]]),INDEX(DataTitel_liste,IF(LineærRegression_Valg[[#This Row],[Afhængig variabel ID]]=1,2,1))),$B$7)</f>
        <v>Eksempel 2 (interval)</v>
      </c>
      <c r="H157" s="45">
        <f>_xlfn.AGGREGATE(2,5,LineærRegression_Valg[[#This Row],[Tabel ID]])</f>
        <v>1</v>
      </c>
    </row>
    <row r="158" spans="1:8" x14ac:dyDescent="0.2">
      <c r="A158">
        <f>ROW(LineærRegression_Valg[[#This Row],[Tabel ID]])-ROW(LineærRegression_Valg[[#Headers],[Tabel ID]])</f>
        <v>148</v>
      </c>
      <c r="B158" s="45">
        <f>ROUNDDOWN((LineærRegression_Valg[[#This Row],[Tabel ID]]-1)/$B$5,0)+1</f>
        <v>37</v>
      </c>
      <c r="C158" s="45">
        <f t="shared" si="2"/>
        <v>4</v>
      </c>
      <c r="D158" s="45" t="b">
        <f>LineærRegression_Valg[[#This Row],[Afhængig variabel ID]]&lt;&gt;LineærRegression_Valg[[#This Row],[Uafhængig variabel ID]]</f>
        <v>1</v>
      </c>
      <c r="E158" t="b">
        <f>LineærRegression_Valg[[#This Row],[Afhængig variabel ID]]&lt;=$B$5</f>
        <v>0</v>
      </c>
      <c r="F158" t="str" cm="1">
        <f t="array" ref="F158">IF(LineærRegression_Valg[[#This Row],[Indenfor range]],INDEX(DataTitel_liste,LineærRegression_Valg[[#This Row],[Afhængig variabel ID]]),INDEX(DataTitel_liste,1))</f>
        <v>Eksempel 1 (interval)</v>
      </c>
      <c r="G158" s="45" t="str" cm="1">
        <f t="array" ref="G158">IF(LineærRegression_Valg[[#This Row],[Indenfor range]],IF(LineærRegression_Valg[[#This Row],[Intet overlap]],INDEX(DataTitel_liste,LineærRegression_Valg[[#This Row],[Uafhængig variabel ID]]),INDEX(DataTitel_liste,IF(LineærRegression_Valg[[#This Row],[Afhængig variabel ID]]=1,2,1))),$B$7)</f>
        <v>Eksempel 2 (interval)</v>
      </c>
      <c r="H158" s="45">
        <f>_xlfn.AGGREGATE(2,5,LineærRegression_Valg[[#This Row],[Tabel ID]])</f>
        <v>1</v>
      </c>
    </row>
    <row r="159" spans="1:8" x14ac:dyDescent="0.2">
      <c r="A159">
        <f>ROW(LineærRegression_Valg[[#This Row],[Tabel ID]])-ROW(LineærRegression_Valg[[#Headers],[Tabel ID]])</f>
        <v>149</v>
      </c>
      <c r="B159" s="45">
        <f>ROUNDDOWN((LineærRegression_Valg[[#This Row],[Tabel ID]]-1)/$B$5,0)+1</f>
        <v>38</v>
      </c>
      <c r="C159" s="45">
        <f t="shared" si="2"/>
        <v>1</v>
      </c>
      <c r="D159" s="45" t="b">
        <f>LineærRegression_Valg[[#This Row],[Afhængig variabel ID]]&lt;&gt;LineærRegression_Valg[[#This Row],[Uafhængig variabel ID]]</f>
        <v>1</v>
      </c>
      <c r="E159" t="b">
        <f>LineærRegression_Valg[[#This Row],[Afhængig variabel ID]]&lt;=$B$5</f>
        <v>0</v>
      </c>
      <c r="F159" t="str" cm="1">
        <f t="array" ref="F159">IF(LineærRegression_Valg[[#This Row],[Indenfor range]],INDEX(DataTitel_liste,LineærRegression_Valg[[#This Row],[Afhængig variabel ID]]),INDEX(DataTitel_liste,1))</f>
        <v>Eksempel 1 (interval)</v>
      </c>
      <c r="G159" s="45" t="str" cm="1">
        <f t="array" ref="G159">IF(LineærRegression_Valg[[#This Row],[Indenfor range]],IF(LineærRegression_Valg[[#This Row],[Intet overlap]],INDEX(DataTitel_liste,LineærRegression_Valg[[#This Row],[Uafhængig variabel ID]]),INDEX(DataTitel_liste,IF(LineærRegression_Valg[[#This Row],[Afhængig variabel ID]]=1,2,1))),$B$7)</f>
        <v>Eksempel 2 (interval)</v>
      </c>
      <c r="H159" s="45">
        <f>_xlfn.AGGREGATE(2,5,LineærRegression_Valg[[#This Row],[Tabel ID]])</f>
        <v>1</v>
      </c>
    </row>
    <row r="160" spans="1:8" x14ac:dyDescent="0.2">
      <c r="A160">
        <f>ROW(LineærRegression_Valg[[#This Row],[Tabel ID]])-ROW(LineærRegression_Valg[[#Headers],[Tabel ID]])</f>
        <v>150</v>
      </c>
      <c r="B160" s="45">
        <f>ROUNDDOWN((LineærRegression_Valg[[#This Row],[Tabel ID]]-1)/$B$5,0)+1</f>
        <v>38</v>
      </c>
      <c r="C160" s="45">
        <f t="shared" si="2"/>
        <v>2</v>
      </c>
      <c r="D160" s="45" t="b">
        <f>LineærRegression_Valg[[#This Row],[Afhængig variabel ID]]&lt;&gt;LineærRegression_Valg[[#This Row],[Uafhængig variabel ID]]</f>
        <v>1</v>
      </c>
      <c r="E160" t="b">
        <f>LineærRegression_Valg[[#This Row],[Afhængig variabel ID]]&lt;=$B$5</f>
        <v>0</v>
      </c>
      <c r="F160" t="str" cm="1">
        <f t="array" ref="F160">IF(LineærRegression_Valg[[#This Row],[Indenfor range]],INDEX(DataTitel_liste,LineærRegression_Valg[[#This Row],[Afhængig variabel ID]]),INDEX(DataTitel_liste,1))</f>
        <v>Eksempel 1 (interval)</v>
      </c>
      <c r="G160" s="45" t="str" cm="1">
        <f t="array" ref="G160">IF(LineærRegression_Valg[[#This Row],[Indenfor range]],IF(LineærRegression_Valg[[#This Row],[Intet overlap]],INDEX(DataTitel_liste,LineærRegression_Valg[[#This Row],[Uafhængig variabel ID]]),INDEX(DataTitel_liste,IF(LineærRegression_Valg[[#This Row],[Afhængig variabel ID]]=1,2,1))),$B$7)</f>
        <v>Eksempel 2 (interval)</v>
      </c>
      <c r="H160" s="45">
        <f>_xlfn.AGGREGATE(2,5,LineærRegression_Valg[[#This Row],[Tabel ID]])</f>
        <v>1</v>
      </c>
    </row>
    <row r="161" spans="1:8" x14ac:dyDescent="0.2">
      <c r="A161">
        <f>ROW(LineærRegression_Valg[[#This Row],[Tabel ID]])-ROW(LineærRegression_Valg[[#Headers],[Tabel ID]])</f>
        <v>151</v>
      </c>
      <c r="B161" s="45">
        <f>ROUNDDOWN((LineærRegression_Valg[[#This Row],[Tabel ID]]-1)/$B$5,0)+1</f>
        <v>38</v>
      </c>
      <c r="C161" s="45">
        <f t="shared" si="2"/>
        <v>3</v>
      </c>
      <c r="D161" s="45" t="b">
        <f>LineærRegression_Valg[[#This Row],[Afhængig variabel ID]]&lt;&gt;LineærRegression_Valg[[#This Row],[Uafhængig variabel ID]]</f>
        <v>1</v>
      </c>
      <c r="E161" t="b">
        <f>LineærRegression_Valg[[#This Row],[Afhængig variabel ID]]&lt;=$B$5</f>
        <v>0</v>
      </c>
      <c r="F161" t="str" cm="1">
        <f t="array" ref="F161">IF(LineærRegression_Valg[[#This Row],[Indenfor range]],INDEX(DataTitel_liste,LineærRegression_Valg[[#This Row],[Afhængig variabel ID]]),INDEX(DataTitel_liste,1))</f>
        <v>Eksempel 1 (interval)</v>
      </c>
      <c r="G161" s="45" t="str" cm="1">
        <f t="array" ref="G161">IF(LineærRegression_Valg[[#This Row],[Indenfor range]],IF(LineærRegression_Valg[[#This Row],[Intet overlap]],INDEX(DataTitel_liste,LineærRegression_Valg[[#This Row],[Uafhængig variabel ID]]),INDEX(DataTitel_liste,IF(LineærRegression_Valg[[#This Row],[Afhængig variabel ID]]=1,2,1))),$B$7)</f>
        <v>Eksempel 2 (interval)</v>
      </c>
      <c r="H161" s="45">
        <f>_xlfn.AGGREGATE(2,5,LineærRegression_Valg[[#This Row],[Tabel ID]])</f>
        <v>1</v>
      </c>
    </row>
    <row r="162" spans="1:8" x14ac:dyDescent="0.2">
      <c r="A162">
        <f>ROW(LineærRegression_Valg[[#This Row],[Tabel ID]])-ROW(LineærRegression_Valg[[#Headers],[Tabel ID]])</f>
        <v>152</v>
      </c>
      <c r="B162" s="45">
        <f>ROUNDDOWN((LineærRegression_Valg[[#This Row],[Tabel ID]]-1)/$B$5,0)+1</f>
        <v>38</v>
      </c>
      <c r="C162" s="45">
        <f t="shared" si="2"/>
        <v>4</v>
      </c>
      <c r="D162" s="45" t="b">
        <f>LineærRegression_Valg[[#This Row],[Afhængig variabel ID]]&lt;&gt;LineærRegression_Valg[[#This Row],[Uafhængig variabel ID]]</f>
        <v>1</v>
      </c>
      <c r="E162" t="b">
        <f>LineærRegression_Valg[[#This Row],[Afhængig variabel ID]]&lt;=$B$5</f>
        <v>0</v>
      </c>
      <c r="F162" t="str" cm="1">
        <f t="array" ref="F162">IF(LineærRegression_Valg[[#This Row],[Indenfor range]],INDEX(DataTitel_liste,LineærRegression_Valg[[#This Row],[Afhængig variabel ID]]),INDEX(DataTitel_liste,1))</f>
        <v>Eksempel 1 (interval)</v>
      </c>
      <c r="G162" s="45" t="str" cm="1">
        <f t="array" ref="G162">IF(LineærRegression_Valg[[#This Row],[Indenfor range]],IF(LineærRegression_Valg[[#This Row],[Intet overlap]],INDEX(DataTitel_liste,LineærRegression_Valg[[#This Row],[Uafhængig variabel ID]]),INDEX(DataTitel_liste,IF(LineærRegression_Valg[[#This Row],[Afhængig variabel ID]]=1,2,1))),$B$7)</f>
        <v>Eksempel 2 (interval)</v>
      </c>
      <c r="H162" s="45">
        <f>_xlfn.AGGREGATE(2,5,LineærRegression_Valg[[#This Row],[Tabel ID]])</f>
        <v>1</v>
      </c>
    </row>
    <row r="163" spans="1:8" x14ac:dyDescent="0.2">
      <c r="A163">
        <f>ROW(LineærRegression_Valg[[#This Row],[Tabel ID]])-ROW(LineærRegression_Valg[[#Headers],[Tabel ID]])</f>
        <v>153</v>
      </c>
      <c r="B163" s="45">
        <f>ROUNDDOWN((LineærRegression_Valg[[#This Row],[Tabel ID]]-1)/$B$5,0)+1</f>
        <v>39</v>
      </c>
      <c r="C163" s="45">
        <f t="shared" si="2"/>
        <v>1</v>
      </c>
      <c r="D163" s="45" t="b">
        <f>LineærRegression_Valg[[#This Row],[Afhængig variabel ID]]&lt;&gt;LineærRegression_Valg[[#This Row],[Uafhængig variabel ID]]</f>
        <v>1</v>
      </c>
      <c r="E163" t="b">
        <f>LineærRegression_Valg[[#This Row],[Afhængig variabel ID]]&lt;=$B$5</f>
        <v>0</v>
      </c>
      <c r="F163" t="str" cm="1">
        <f t="array" ref="F163">IF(LineærRegression_Valg[[#This Row],[Indenfor range]],INDEX(DataTitel_liste,LineærRegression_Valg[[#This Row],[Afhængig variabel ID]]),INDEX(DataTitel_liste,1))</f>
        <v>Eksempel 1 (interval)</v>
      </c>
      <c r="G163" s="45" t="str" cm="1">
        <f t="array" ref="G163">IF(LineærRegression_Valg[[#This Row],[Indenfor range]],IF(LineærRegression_Valg[[#This Row],[Intet overlap]],INDEX(DataTitel_liste,LineærRegression_Valg[[#This Row],[Uafhængig variabel ID]]),INDEX(DataTitel_liste,IF(LineærRegression_Valg[[#This Row],[Afhængig variabel ID]]=1,2,1))),$B$7)</f>
        <v>Eksempel 2 (interval)</v>
      </c>
      <c r="H163" s="45">
        <f>_xlfn.AGGREGATE(2,5,LineærRegression_Valg[[#This Row],[Tabel ID]])</f>
        <v>1</v>
      </c>
    </row>
    <row r="164" spans="1:8" x14ac:dyDescent="0.2">
      <c r="A164">
        <f>ROW(LineærRegression_Valg[[#This Row],[Tabel ID]])-ROW(LineærRegression_Valg[[#Headers],[Tabel ID]])</f>
        <v>154</v>
      </c>
      <c r="B164" s="45">
        <f>ROUNDDOWN((LineærRegression_Valg[[#This Row],[Tabel ID]]-1)/$B$5,0)+1</f>
        <v>39</v>
      </c>
      <c r="C164" s="45">
        <f t="shared" si="2"/>
        <v>2</v>
      </c>
      <c r="D164" s="45" t="b">
        <f>LineærRegression_Valg[[#This Row],[Afhængig variabel ID]]&lt;&gt;LineærRegression_Valg[[#This Row],[Uafhængig variabel ID]]</f>
        <v>1</v>
      </c>
      <c r="E164" t="b">
        <f>LineærRegression_Valg[[#This Row],[Afhængig variabel ID]]&lt;=$B$5</f>
        <v>0</v>
      </c>
      <c r="F164" t="str" cm="1">
        <f t="array" ref="F164">IF(LineærRegression_Valg[[#This Row],[Indenfor range]],INDEX(DataTitel_liste,LineærRegression_Valg[[#This Row],[Afhængig variabel ID]]),INDEX(DataTitel_liste,1))</f>
        <v>Eksempel 1 (interval)</v>
      </c>
      <c r="G164" s="45" t="str" cm="1">
        <f t="array" ref="G164">IF(LineærRegression_Valg[[#This Row],[Indenfor range]],IF(LineærRegression_Valg[[#This Row],[Intet overlap]],INDEX(DataTitel_liste,LineærRegression_Valg[[#This Row],[Uafhængig variabel ID]]),INDEX(DataTitel_liste,IF(LineærRegression_Valg[[#This Row],[Afhængig variabel ID]]=1,2,1))),$B$7)</f>
        <v>Eksempel 2 (interval)</v>
      </c>
      <c r="H164" s="45">
        <f>_xlfn.AGGREGATE(2,5,LineærRegression_Valg[[#This Row],[Tabel ID]])</f>
        <v>1</v>
      </c>
    </row>
    <row r="165" spans="1:8" x14ac:dyDescent="0.2">
      <c r="A165">
        <f>ROW(LineærRegression_Valg[[#This Row],[Tabel ID]])-ROW(LineærRegression_Valg[[#Headers],[Tabel ID]])</f>
        <v>155</v>
      </c>
      <c r="B165" s="45">
        <f>ROUNDDOWN((LineærRegression_Valg[[#This Row],[Tabel ID]]-1)/$B$5,0)+1</f>
        <v>39</v>
      </c>
      <c r="C165" s="45">
        <f t="shared" si="2"/>
        <v>3</v>
      </c>
      <c r="D165" s="45" t="b">
        <f>LineærRegression_Valg[[#This Row],[Afhængig variabel ID]]&lt;&gt;LineærRegression_Valg[[#This Row],[Uafhængig variabel ID]]</f>
        <v>1</v>
      </c>
      <c r="E165" t="b">
        <f>LineærRegression_Valg[[#This Row],[Afhængig variabel ID]]&lt;=$B$5</f>
        <v>0</v>
      </c>
      <c r="F165" t="str" cm="1">
        <f t="array" ref="F165">IF(LineærRegression_Valg[[#This Row],[Indenfor range]],INDEX(DataTitel_liste,LineærRegression_Valg[[#This Row],[Afhængig variabel ID]]),INDEX(DataTitel_liste,1))</f>
        <v>Eksempel 1 (interval)</v>
      </c>
      <c r="G165" s="45" t="str" cm="1">
        <f t="array" ref="G165">IF(LineærRegression_Valg[[#This Row],[Indenfor range]],IF(LineærRegression_Valg[[#This Row],[Intet overlap]],INDEX(DataTitel_liste,LineærRegression_Valg[[#This Row],[Uafhængig variabel ID]]),INDEX(DataTitel_liste,IF(LineærRegression_Valg[[#This Row],[Afhængig variabel ID]]=1,2,1))),$B$7)</f>
        <v>Eksempel 2 (interval)</v>
      </c>
      <c r="H165" s="45">
        <f>_xlfn.AGGREGATE(2,5,LineærRegression_Valg[[#This Row],[Tabel ID]])</f>
        <v>1</v>
      </c>
    </row>
    <row r="166" spans="1:8" x14ac:dyDescent="0.2">
      <c r="A166">
        <f>ROW(LineærRegression_Valg[[#This Row],[Tabel ID]])-ROW(LineærRegression_Valg[[#Headers],[Tabel ID]])</f>
        <v>156</v>
      </c>
      <c r="B166" s="45">
        <f>ROUNDDOWN((LineærRegression_Valg[[#This Row],[Tabel ID]]-1)/$B$5,0)+1</f>
        <v>39</v>
      </c>
      <c r="C166" s="45">
        <f t="shared" si="2"/>
        <v>4</v>
      </c>
      <c r="D166" s="45" t="b">
        <f>LineærRegression_Valg[[#This Row],[Afhængig variabel ID]]&lt;&gt;LineærRegression_Valg[[#This Row],[Uafhængig variabel ID]]</f>
        <v>1</v>
      </c>
      <c r="E166" t="b">
        <f>LineærRegression_Valg[[#This Row],[Afhængig variabel ID]]&lt;=$B$5</f>
        <v>0</v>
      </c>
      <c r="F166" t="str" cm="1">
        <f t="array" ref="F166">IF(LineærRegression_Valg[[#This Row],[Indenfor range]],INDEX(DataTitel_liste,LineærRegression_Valg[[#This Row],[Afhængig variabel ID]]),INDEX(DataTitel_liste,1))</f>
        <v>Eksempel 1 (interval)</v>
      </c>
      <c r="G166" s="45" t="str" cm="1">
        <f t="array" ref="G166">IF(LineærRegression_Valg[[#This Row],[Indenfor range]],IF(LineærRegression_Valg[[#This Row],[Intet overlap]],INDEX(DataTitel_liste,LineærRegression_Valg[[#This Row],[Uafhængig variabel ID]]),INDEX(DataTitel_liste,IF(LineærRegression_Valg[[#This Row],[Afhængig variabel ID]]=1,2,1))),$B$7)</f>
        <v>Eksempel 2 (interval)</v>
      </c>
      <c r="H166" s="45">
        <f>_xlfn.AGGREGATE(2,5,LineærRegression_Valg[[#This Row],[Tabel ID]])</f>
        <v>1</v>
      </c>
    </row>
    <row r="167" spans="1:8" x14ac:dyDescent="0.2">
      <c r="A167">
        <f>ROW(LineærRegression_Valg[[#This Row],[Tabel ID]])-ROW(LineærRegression_Valg[[#Headers],[Tabel ID]])</f>
        <v>157</v>
      </c>
      <c r="B167" s="45">
        <f>ROUNDDOWN((LineærRegression_Valg[[#This Row],[Tabel ID]]-1)/$B$5,0)+1</f>
        <v>40</v>
      </c>
      <c r="C167" s="45">
        <f t="shared" si="2"/>
        <v>1</v>
      </c>
      <c r="D167" s="45" t="b">
        <f>LineærRegression_Valg[[#This Row],[Afhængig variabel ID]]&lt;&gt;LineærRegression_Valg[[#This Row],[Uafhængig variabel ID]]</f>
        <v>1</v>
      </c>
      <c r="E167" t="b">
        <f>LineærRegression_Valg[[#This Row],[Afhængig variabel ID]]&lt;=$B$5</f>
        <v>0</v>
      </c>
      <c r="F167" t="str" cm="1">
        <f t="array" ref="F167">IF(LineærRegression_Valg[[#This Row],[Indenfor range]],INDEX(DataTitel_liste,LineærRegression_Valg[[#This Row],[Afhængig variabel ID]]),INDEX(DataTitel_liste,1))</f>
        <v>Eksempel 1 (interval)</v>
      </c>
      <c r="G167" s="45" t="str" cm="1">
        <f t="array" ref="G167">IF(LineærRegression_Valg[[#This Row],[Indenfor range]],IF(LineærRegression_Valg[[#This Row],[Intet overlap]],INDEX(DataTitel_liste,LineærRegression_Valg[[#This Row],[Uafhængig variabel ID]]),INDEX(DataTitel_liste,IF(LineærRegression_Valg[[#This Row],[Afhængig variabel ID]]=1,2,1))),$B$7)</f>
        <v>Eksempel 2 (interval)</v>
      </c>
      <c r="H167" s="45">
        <f>_xlfn.AGGREGATE(2,5,LineærRegression_Valg[[#This Row],[Tabel ID]])</f>
        <v>1</v>
      </c>
    </row>
    <row r="168" spans="1:8" x14ac:dyDescent="0.2">
      <c r="A168">
        <f>ROW(LineærRegression_Valg[[#This Row],[Tabel ID]])-ROW(LineærRegression_Valg[[#Headers],[Tabel ID]])</f>
        <v>158</v>
      </c>
      <c r="B168" s="45">
        <f>ROUNDDOWN((LineærRegression_Valg[[#This Row],[Tabel ID]]-1)/$B$5,0)+1</f>
        <v>40</v>
      </c>
      <c r="C168" s="45">
        <f t="shared" si="2"/>
        <v>2</v>
      </c>
      <c r="D168" s="45" t="b">
        <f>LineærRegression_Valg[[#This Row],[Afhængig variabel ID]]&lt;&gt;LineærRegression_Valg[[#This Row],[Uafhængig variabel ID]]</f>
        <v>1</v>
      </c>
      <c r="E168" t="b">
        <f>LineærRegression_Valg[[#This Row],[Afhængig variabel ID]]&lt;=$B$5</f>
        <v>0</v>
      </c>
      <c r="F168" t="str" cm="1">
        <f t="array" ref="F168">IF(LineærRegression_Valg[[#This Row],[Indenfor range]],INDEX(DataTitel_liste,LineærRegression_Valg[[#This Row],[Afhængig variabel ID]]),INDEX(DataTitel_liste,1))</f>
        <v>Eksempel 1 (interval)</v>
      </c>
      <c r="G168" s="45" t="str" cm="1">
        <f t="array" ref="G168">IF(LineærRegression_Valg[[#This Row],[Indenfor range]],IF(LineærRegression_Valg[[#This Row],[Intet overlap]],INDEX(DataTitel_liste,LineærRegression_Valg[[#This Row],[Uafhængig variabel ID]]),INDEX(DataTitel_liste,IF(LineærRegression_Valg[[#This Row],[Afhængig variabel ID]]=1,2,1))),$B$7)</f>
        <v>Eksempel 2 (interval)</v>
      </c>
      <c r="H168" s="45">
        <f>_xlfn.AGGREGATE(2,5,LineærRegression_Valg[[#This Row],[Tabel ID]])</f>
        <v>1</v>
      </c>
    </row>
    <row r="169" spans="1:8" x14ac:dyDescent="0.2">
      <c r="A169">
        <f>ROW(LineærRegression_Valg[[#This Row],[Tabel ID]])-ROW(LineærRegression_Valg[[#Headers],[Tabel ID]])</f>
        <v>159</v>
      </c>
      <c r="B169" s="45">
        <f>ROUNDDOWN((LineærRegression_Valg[[#This Row],[Tabel ID]]-1)/$B$5,0)+1</f>
        <v>40</v>
      </c>
      <c r="C169" s="45">
        <f t="shared" si="2"/>
        <v>3</v>
      </c>
      <c r="D169" s="45" t="b">
        <f>LineærRegression_Valg[[#This Row],[Afhængig variabel ID]]&lt;&gt;LineærRegression_Valg[[#This Row],[Uafhængig variabel ID]]</f>
        <v>1</v>
      </c>
      <c r="E169" t="b">
        <f>LineærRegression_Valg[[#This Row],[Afhængig variabel ID]]&lt;=$B$5</f>
        <v>0</v>
      </c>
      <c r="F169" t="str" cm="1">
        <f t="array" ref="F169">IF(LineærRegression_Valg[[#This Row],[Indenfor range]],INDEX(DataTitel_liste,LineærRegression_Valg[[#This Row],[Afhængig variabel ID]]),INDEX(DataTitel_liste,1))</f>
        <v>Eksempel 1 (interval)</v>
      </c>
      <c r="G169" s="45" t="str" cm="1">
        <f t="array" ref="G169">IF(LineærRegression_Valg[[#This Row],[Indenfor range]],IF(LineærRegression_Valg[[#This Row],[Intet overlap]],INDEX(DataTitel_liste,LineærRegression_Valg[[#This Row],[Uafhængig variabel ID]]),INDEX(DataTitel_liste,IF(LineærRegression_Valg[[#This Row],[Afhængig variabel ID]]=1,2,1))),$B$7)</f>
        <v>Eksempel 2 (interval)</v>
      </c>
      <c r="H169" s="45">
        <f>_xlfn.AGGREGATE(2,5,LineærRegression_Valg[[#This Row],[Tabel ID]])</f>
        <v>1</v>
      </c>
    </row>
    <row r="170" spans="1:8" x14ac:dyDescent="0.2">
      <c r="A170">
        <f>ROW(LineærRegression_Valg[[#This Row],[Tabel ID]])-ROW(LineærRegression_Valg[[#Headers],[Tabel ID]])</f>
        <v>160</v>
      </c>
      <c r="B170" s="45">
        <f>ROUNDDOWN((LineærRegression_Valg[[#This Row],[Tabel ID]]-1)/$B$5,0)+1</f>
        <v>40</v>
      </c>
      <c r="C170" s="45">
        <f t="shared" si="2"/>
        <v>4</v>
      </c>
      <c r="D170" s="45" t="b">
        <f>LineærRegression_Valg[[#This Row],[Afhængig variabel ID]]&lt;&gt;LineærRegression_Valg[[#This Row],[Uafhængig variabel ID]]</f>
        <v>1</v>
      </c>
      <c r="E170" t="b">
        <f>LineærRegression_Valg[[#This Row],[Afhængig variabel ID]]&lt;=$B$5</f>
        <v>0</v>
      </c>
      <c r="F170" t="str" cm="1">
        <f t="array" ref="F170">IF(LineærRegression_Valg[[#This Row],[Indenfor range]],INDEX(DataTitel_liste,LineærRegression_Valg[[#This Row],[Afhængig variabel ID]]),INDEX(DataTitel_liste,1))</f>
        <v>Eksempel 1 (interval)</v>
      </c>
      <c r="G170" s="45" t="str" cm="1">
        <f t="array" ref="G170">IF(LineærRegression_Valg[[#This Row],[Indenfor range]],IF(LineærRegression_Valg[[#This Row],[Intet overlap]],INDEX(DataTitel_liste,LineærRegression_Valg[[#This Row],[Uafhængig variabel ID]]),INDEX(DataTitel_liste,IF(LineærRegression_Valg[[#This Row],[Afhængig variabel ID]]=1,2,1))),$B$7)</f>
        <v>Eksempel 2 (interval)</v>
      </c>
      <c r="H170" s="45">
        <f>_xlfn.AGGREGATE(2,5,LineærRegression_Valg[[#This Row],[Tabel ID]])</f>
        <v>1</v>
      </c>
    </row>
    <row r="171" spans="1:8" x14ac:dyDescent="0.2">
      <c r="A171">
        <f>ROW(LineærRegression_Valg[[#This Row],[Tabel ID]])-ROW(LineærRegression_Valg[[#Headers],[Tabel ID]])</f>
        <v>161</v>
      </c>
      <c r="B171" s="45">
        <f>ROUNDDOWN((LineærRegression_Valg[[#This Row],[Tabel ID]]-1)/$B$5,0)+1</f>
        <v>41</v>
      </c>
      <c r="C171" s="45">
        <f t="shared" si="2"/>
        <v>1</v>
      </c>
      <c r="D171" s="45" t="b">
        <f>LineærRegression_Valg[[#This Row],[Afhængig variabel ID]]&lt;&gt;LineærRegression_Valg[[#This Row],[Uafhængig variabel ID]]</f>
        <v>1</v>
      </c>
      <c r="E171" t="b">
        <f>LineærRegression_Valg[[#This Row],[Afhængig variabel ID]]&lt;=$B$5</f>
        <v>0</v>
      </c>
      <c r="F171" t="str" cm="1">
        <f t="array" ref="F171">IF(LineærRegression_Valg[[#This Row],[Indenfor range]],INDEX(DataTitel_liste,LineærRegression_Valg[[#This Row],[Afhængig variabel ID]]),INDEX(DataTitel_liste,1))</f>
        <v>Eksempel 1 (interval)</v>
      </c>
      <c r="G171" s="45" t="str" cm="1">
        <f t="array" ref="G171">IF(LineærRegression_Valg[[#This Row],[Indenfor range]],IF(LineærRegression_Valg[[#This Row],[Intet overlap]],INDEX(DataTitel_liste,LineærRegression_Valg[[#This Row],[Uafhængig variabel ID]]),INDEX(DataTitel_liste,IF(LineærRegression_Valg[[#This Row],[Afhængig variabel ID]]=1,2,1))),$B$7)</f>
        <v>Eksempel 2 (interval)</v>
      </c>
      <c r="H171" s="45">
        <f>_xlfn.AGGREGATE(2,5,LineærRegression_Valg[[#This Row],[Tabel ID]])</f>
        <v>1</v>
      </c>
    </row>
    <row r="172" spans="1:8" x14ac:dyDescent="0.2">
      <c r="A172">
        <f>ROW(LineærRegression_Valg[[#This Row],[Tabel ID]])-ROW(LineærRegression_Valg[[#Headers],[Tabel ID]])</f>
        <v>162</v>
      </c>
      <c r="B172" s="45">
        <f>ROUNDDOWN((LineærRegression_Valg[[#This Row],[Tabel ID]]-1)/$B$5,0)+1</f>
        <v>41</v>
      </c>
      <c r="C172" s="45">
        <f t="shared" si="2"/>
        <v>2</v>
      </c>
      <c r="D172" s="45" t="b">
        <f>LineærRegression_Valg[[#This Row],[Afhængig variabel ID]]&lt;&gt;LineærRegression_Valg[[#This Row],[Uafhængig variabel ID]]</f>
        <v>1</v>
      </c>
      <c r="E172" t="b">
        <f>LineærRegression_Valg[[#This Row],[Afhængig variabel ID]]&lt;=$B$5</f>
        <v>0</v>
      </c>
      <c r="F172" t="str" cm="1">
        <f t="array" ref="F172">IF(LineærRegression_Valg[[#This Row],[Indenfor range]],INDEX(DataTitel_liste,LineærRegression_Valg[[#This Row],[Afhængig variabel ID]]),INDEX(DataTitel_liste,1))</f>
        <v>Eksempel 1 (interval)</v>
      </c>
      <c r="G172" s="45" t="str" cm="1">
        <f t="array" ref="G172">IF(LineærRegression_Valg[[#This Row],[Indenfor range]],IF(LineærRegression_Valg[[#This Row],[Intet overlap]],INDEX(DataTitel_liste,LineærRegression_Valg[[#This Row],[Uafhængig variabel ID]]),INDEX(DataTitel_liste,IF(LineærRegression_Valg[[#This Row],[Afhængig variabel ID]]=1,2,1))),$B$7)</f>
        <v>Eksempel 2 (interval)</v>
      </c>
      <c r="H172" s="45">
        <f>_xlfn.AGGREGATE(2,5,LineærRegression_Valg[[#This Row],[Tabel ID]])</f>
        <v>1</v>
      </c>
    </row>
    <row r="173" spans="1:8" x14ac:dyDescent="0.2">
      <c r="A173">
        <f>ROW(LineærRegression_Valg[[#This Row],[Tabel ID]])-ROW(LineærRegression_Valg[[#Headers],[Tabel ID]])</f>
        <v>163</v>
      </c>
      <c r="B173" s="45">
        <f>ROUNDDOWN((LineærRegression_Valg[[#This Row],[Tabel ID]]-1)/$B$5,0)+1</f>
        <v>41</v>
      </c>
      <c r="C173" s="45">
        <f t="shared" si="2"/>
        <v>3</v>
      </c>
      <c r="D173" s="45" t="b">
        <f>LineærRegression_Valg[[#This Row],[Afhængig variabel ID]]&lt;&gt;LineærRegression_Valg[[#This Row],[Uafhængig variabel ID]]</f>
        <v>1</v>
      </c>
      <c r="E173" t="b">
        <f>LineærRegression_Valg[[#This Row],[Afhængig variabel ID]]&lt;=$B$5</f>
        <v>0</v>
      </c>
      <c r="F173" t="str" cm="1">
        <f t="array" ref="F173">IF(LineærRegression_Valg[[#This Row],[Indenfor range]],INDEX(DataTitel_liste,LineærRegression_Valg[[#This Row],[Afhængig variabel ID]]),INDEX(DataTitel_liste,1))</f>
        <v>Eksempel 1 (interval)</v>
      </c>
      <c r="G173" s="45" t="str" cm="1">
        <f t="array" ref="G173">IF(LineærRegression_Valg[[#This Row],[Indenfor range]],IF(LineærRegression_Valg[[#This Row],[Intet overlap]],INDEX(DataTitel_liste,LineærRegression_Valg[[#This Row],[Uafhængig variabel ID]]),INDEX(DataTitel_liste,IF(LineærRegression_Valg[[#This Row],[Afhængig variabel ID]]=1,2,1))),$B$7)</f>
        <v>Eksempel 2 (interval)</v>
      </c>
      <c r="H173" s="45">
        <f>_xlfn.AGGREGATE(2,5,LineærRegression_Valg[[#This Row],[Tabel ID]])</f>
        <v>1</v>
      </c>
    </row>
    <row r="174" spans="1:8" x14ac:dyDescent="0.2">
      <c r="A174">
        <f>ROW(LineærRegression_Valg[[#This Row],[Tabel ID]])-ROW(LineærRegression_Valg[[#Headers],[Tabel ID]])</f>
        <v>164</v>
      </c>
      <c r="B174" s="45">
        <f>ROUNDDOWN((LineærRegression_Valg[[#This Row],[Tabel ID]]-1)/$B$5,0)+1</f>
        <v>41</v>
      </c>
      <c r="C174" s="45">
        <f t="shared" si="2"/>
        <v>4</v>
      </c>
      <c r="D174" s="45" t="b">
        <f>LineærRegression_Valg[[#This Row],[Afhængig variabel ID]]&lt;&gt;LineærRegression_Valg[[#This Row],[Uafhængig variabel ID]]</f>
        <v>1</v>
      </c>
      <c r="E174" t="b">
        <f>LineærRegression_Valg[[#This Row],[Afhængig variabel ID]]&lt;=$B$5</f>
        <v>0</v>
      </c>
      <c r="F174" t="str" cm="1">
        <f t="array" ref="F174">IF(LineærRegression_Valg[[#This Row],[Indenfor range]],INDEX(DataTitel_liste,LineærRegression_Valg[[#This Row],[Afhængig variabel ID]]),INDEX(DataTitel_liste,1))</f>
        <v>Eksempel 1 (interval)</v>
      </c>
      <c r="G174" s="45" t="str" cm="1">
        <f t="array" ref="G174">IF(LineærRegression_Valg[[#This Row],[Indenfor range]],IF(LineærRegression_Valg[[#This Row],[Intet overlap]],INDEX(DataTitel_liste,LineærRegression_Valg[[#This Row],[Uafhængig variabel ID]]),INDEX(DataTitel_liste,IF(LineærRegression_Valg[[#This Row],[Afhængig variabel ID]]=1,2,1))),$B$7)</f>
        <v>Eksempel 2 (interval)</v>
      </c>
      <c r="H174" s="45">
        <f>_xlfn.AGGREGATE(2,5,LineærRegression_Valg[[#This Row],[Tabel ID]])</f>
        <v>1</v>
      </c>
    </row>
    <row r="175" spans="1:8" x14ac:dyDescent="0.2">
      <c r="A175">
        <f>ROW(LineærRegression_Valg[[#This Row],[Tabel ID]])-ROW(LineærRegression_Valg[[#Headers],[Tabel ID]])</f>
        <v>165</v>
      </c>
      <c r="B175" s="45">
        <f>ROUNDDOWN((LineærRegression_Valg[[#This Row],[Tabel ID]]-1)/$B$5,0)+1</f>
        <v>42</v>
      </c>
      <c r="C175" s="45">
        <f t="shared" si="2"/>
        <v>1</v>
      </c>
      <c r="D175" s="45" t="b">
        <f>LineærRegression_Valg[[#This Row],[Afhængig variabel ID]]&lt;&gt;LineærRegression_Valg[[#This Row],[Uafhængig variabel ID]]</f>
        <v>1</v>
      </c>
      <c r="E175" t="b">
        <f>LineærRegression_Valg[[#This Row],[Afhængig variabel ID]]&lt;=$B$5</f>
        <v>0</v>
      </c>
      <c r="F175" t="str" cm="1">
        <f t="array" ref="F175">IF(LineærRegression_Valg[[#This Row],[Indenfor range]],INDEX(DataTitel_liste,LineærRegression_Valg[[#This Row],[Afhængig variabel ID]]),INDEX(DataTitel_liste,1))</f>
        <v>Eksempel 1 (interval)</v>
      </c>
      <c r="G175" s="45" t="str" cm="1">
        <f t="array" ref="G175">IF(LineærRegression_Valg[[#This Row],[Indenfor range]],IF(LineærRegression_Valg[[#This Row],[Intet overlap]],INDEX(DataTitel_liste,LineærRegression_Valg[[#This Row],[Uafhængig variabel ID]]),INDEX(DataTitel_liste,IF(LineærRegression_Valg[[#This Row],[Afhængig variabel ID]]=1,2,1))),$B$7)</f>
        <v>Eksempel 2 (interval)</v>
      </c>
      <c r="H175" s="45">
        <f>_xlfn.AGGREGATE(2,5,LineærRegression_Valg[[#This Row],[Tabel ID]])</f>
        <v>1</v>
      </c>
    </row>
    <row r="176" spans="1:8" x14ac:dyDescent="0.2">
      <c r="A176">
        <f>ROW(LineærRegression_Valg[[#This Row],[Tabel ID]])-ROW(LineærRegression_Valg[[#Headers],[Tabel ID]])</f>
        <v>166</v>
      </c>
      <c r="B176" s="45">
        <f>ROUNDDOWN((LineærRegression_Valg[[#This Row],[Tabel ID]]-1)/$B$5,0)+1</f>
        <v>42</v>
      </c>
      <c r="C176" s="45">
        <f t="shared" si="2"/>
        <v>2</v>
      </c>
      <c r="D176" s="45" t="b">
        <f>LineærRegression_Valg[[#This Row],[Afhængig variabel ID]]&lt;&gt;LineærRegression_Valg[[#This Row],[Uafhængig variabel ID]]</f>
        <v>1</v>
      </c>
      <c r="E176" t="b">
        <f>LineærRegression_Valg[[#This Row],[Afhængig variabel ID]]&lt;=$B$5</f>
        <v>0</v>
      </c>
      <c r="F176" t="str" cm="1">
        <f t="array" ref="F176">IF(LineærRegression_Valg[[#This Row],[Indenfor range]],INDEX(DataTitel_liste,LineærRegression_Valg[[#This Row],[Afhængig variabel ID]]),INDEX(DataTitel_liste,1))</f>
        <v>Eksempel 1 (interval)</v>
      </c>
      <c r="G176" s="45" t="str" cm="1">
        <f t="array" ref="G176">IF(LineærRegression_Valg[[#This Row],[Indenfor range]],IF(LineærRegression_Valg[[#This Row],[Intet overlap]],INDEX(DataTitel_liste,LineærRegression_Valg[[#This Row],[Uafhængig variabel ID]]),INDEX(DataTitel_liste,IF(LineærRegression_Valg[[#This Row],[Afhængig variabel ID]]=1,2,1))),$B$7)</f>
        <v>Eksempel 2 (interval)</v>
      </c>
      <c r="H176" s="45">
        <f>_xlfn.AGGREGATE(2,5,LineærRegression_Valg[[#This Row],[Tabel ID]])</f>
        <v>1</v>
      </c>
    </row>
    <row r="177" spans="1:8" x14ac:dyDescent="0.2">
      <c r="A177">
        <f>ROW(LineærRegression_Valg[[#This Row],[Tabel ID]])-ROW(LineærRegression_Valg[[#Headers],[Tabel ID]])</f>
        <v>167</v>
      </c>
      <c r="B177" s="45">
        <f>ROUNDDOWN((LineærRegression_Valg[[#This Row],[Tabel ID]]-1)/$B$5,0)+1</f>
        <v>42</v>
      </c>
      <c r="C177" s="45">
        <f t="shared" si="2"/>
        <v>3</v>
      </c>
      <c r="D177" s="45" t="b">
        <f>LineærRegression_Valg[[#This Row],[Afhængig variabel ID]]&lt;&gt;LineærRegression_Valg[[#This Row],[Uafhængig variabel ID]]</f>
        <v>1</v>
      </c>
      <c r="E177" t="b">
        <f>LineærRegression_Valg[[#This Row],[Afhængig variabel ID]]&lt;=$B$5</f>
        <v>0</v>
      </c>
      <c r="F177" t="str" cm="1">
        <f t="array" ref="F177">IF(LineærRegression_Valg[[#This Row],[Indenfor range]],INDEX(DataTitel_liste,LineærRegression_Valg[[#This Row],[Afhængig variabel ID]]),INDEX(DataTitel_liste,1))</f>
        <v>Eksempel 1 (interval)</v>
      </c>
      <c r="G177" s="45" t="str" cm="1">
        <f t="array" ref="G177">IF(LineærRegression_Valg[[#This Row],[Indenfor range]],IF(LineærRegression_Valg[[#This Row],[Intet overlap]],INDEX(DataTitel_liste,LineærRegression_Valg[[#This Row],[Uafhængig variabel ID]]),INDEX(DataTitel_liste,IF(LineærRegression_Valg[[#This Row],[Afhængig variabel ID]]=1,2,1))),$B$7)</f>
        <v>Eksempel 2 (interval)</v>
      </c>
      <c r="H177" s="45">
        <f>_xlfn.AGGREGATE(2,5,LineærRegression_Valg[[#This Row],[Tabel ID]])</f>
        <v>1</v>
      </c>
    </row>
    <row r="178" spans="1:8" x14ac:dyDescent="0.2">
      <c r="A178">
        <f>ROW(LineærRegression_Valg[[#This Row],[Tabel ID]])-ROW(LineærRegression_Valg[[#Headers],[Tabel ID]])</f>
        <v>168</v>
      </c>
      <c r="B178" s="45">
        <f>ROUNDDOWN((LineærRegression_Valg[[#This Row],[Tabel ID]]-1)/$B$5,0)+1</f>
        <v>42</v>
      </c>
      <c r="C178" s="45">
        <f t="shared" si="2"/>
        <v>4</v>
      </c>
      <c r="D178" s="45" t="b">
        <f>LineærRegression_Valg[[#This Row],[Afhængig variabel ID]]&lt;&gt;LineærRegression_Valg[[#This Row],[Uafhængig variabel ID]]</f>
        <v>1</v>
      </c>
      <c r="E178" t="b">
        <f>LineærRegression_Valg[[#This Row],[Afhængig variabel ID]]&lt;=$B$5</f>
        <v>0</v>
      </c>
      <c r="F178" t="str" cm="1">
        <f t="array" ref="F178">IF(LineærRegression_Valg[[#This Row],[Indenfor range]],INDEX(DataTitel_liste,LineærRegression_Valg[[#This Row],[Afhængig variabel ID]]),INDEX(DataTitel_liste,1))</f>
        <v>Eksempel 1 (interval)</v>
      </c>
      <c r="G178" s="45" t="str" cm="1">
        <f t="array" ref="G178">IF(LineærRegression_Valg[[#This Row],[Indenfor range]],IF(LineærRegression_Valg[[#This Row],[Intet overlap]],INDEX(DataTitel_liste,LineærRegression_Valg[[#This Row],[Uafhængig variabel ID]]),INDEX(DataTitel_liste,IF(LineærRegression_Valg[[#This Row],[Afhængig variabel ID]]=1,2,1))),$B$7)</f>
        <v>Eksempel 2 (interval)</v>
      </c>
      <c r="H178" s="45">
        <f>_xlfn.AGGREGATE(2,5,LineærRegression_Valg[[#This Row],[Tabel ID]])</f>
        <v>1</v>
      </c>
    </row>
    <row r="179" spans="1:8" x14ac:dyDescent="0.2">
      <c r="A179">
        <f>ROW(LineærRegression_Valg[[#This Row],[Tabel ID]])-ROW(LineærRegression_Valg[[#Headers],[Tabel ID]])</f>
        <v>169</v>
      </c>
      <c r="B179" s="45">
        <f>ROUNDDOWN((LineærRegression_Valg[[#This Row],[Tabel ID]]-1)/$B$5,0)+1</f>
        <v>43</v>
      </c>
      <c r="C179" s="45">
        <f t="shared" si="2"/>
        <v>1</v>
      </c>
      <c r="D179" s="45" t="b">
        <f>LineærRegression_Valg[[#This Row],[Afhængig variabel ID]]&lt;&gt;LineærRegression_Valg[[#This Row],[Uafhængig variabel ID]]</f>
        <v>1</v>
      </c>
      <c r="E179" t="b">
        <f>LineærRegression_Valg[[#This Row],[Afhængig variabel ID]]&lt;=$B$5</f>
        <v>0</v>
      </c>
      <c r="F179" t="str" cm="1">
        <f t="array" ref="F179">IF(LineærRegression_Valg[[#This Row],[Indenfor range]],INDEX(DataTitel_liste,LineærRegression_Valg[[#This Row],[Afhængig variabel ID]]),INDEX(DataTitel_liste,1))</f>
        <v>Eksempel 1 (interval)</v>
      </c>
      <c r="G179" s="45" t="str" cm="1">
        <f t="array" ref="G179">IF(LineærRegression_Valg[[#This Row],[Indenfor range]],IF(LineærRegression_Valg[[#This Row],[Intet overlap]],INDEX(DataTitel_liste,LineærRegression_Valg[[#This Row],[Uafhængig variabel ID]]),INDEX(DataTitel_liste,IF(LineærRegression_Valg[[#This Row],[Afhængig variabel ID]]=1,2,1))),$B$7)</f>
        <v>Eksempel 2 (interval)</v>
      </c>
      <c r="H179" s="45">
        <f>_xlfn.AGGREGATE(2,5,LineærRegression_Valg[[#This Row],[Tabel ID]])</f>
        <v>1</v>
      </c>
    </row>
    <row r="180" spans="1:8" x14ac:dyDescent="0.2">
      <c r="A180">
        <f>ROW(LineærRegression_Valg[[#This Row],[Tabel ID]])-ROW(LineærRegression_Valg[[#Headers],[Tabel ID]])</f>
        <v>170</v>
      </c>
      <c r="B180" s="45">
        <f>ROUNDDOWN((LineærRegression_Valg[[#This Row],[Tabel ID]]-1)/$B$5,0)+1</f>
        <v>43</v>
      </c>
      <c r="C180" s="45">
        <f t="shared" si="2"/>
        <v>2</v>
      </c>
      <c r="D180" s="45" t="b">
        <f>LineærRegression_Valg[[#This Row],[Afhængig variabel ID]]&lt;&gt;LineærRegression_Valg[[#This Row],[Uafhængig variabel ID]]</f>
        <v>1</v>
      </c>
      <c r="E180" t="b">
        <f>LineærRegression_Valg[[#This Row],[Afhængig variabel ID]]&lt;=$B$5</f>
        <v>0</v>
      </c>
      <c r="F180" t="str" cm="1">
        <f t="array" ref="F180">IF(LineærRegression_Valg[[#This Row],[Indenfor range]],INDEX(DataTitel_liste,LineærRegression_Valg[[#This Row],[Afhængig variabel ID]]),INDEX(DataTitel_liste,1))</f>
        <v>Eksempel 1 (interval)</v>
      </c>
      <c r="G180" s="45" t="str" cm="1">
        <f t="array" ref="G180">IF(LineærRegression_Valg[[#This Row],[Indenfor range]],IF(LineærRegression_Valg[[#This Row],[Intet overlap]],INDEX(DataTitel_liste,LineærRegression_Valg[[#This Row],[Uafhængig variabel ID]]),INDEX(DataTitel_liste,IF(LineærRegression_Valg[[#This Row],[Afhængig variabel ID]]=1,2,1))),$B$7)</f>
        <v>Eksempel 2 (interval)</v>
      </c>
      <c r="H180" s="45">
        <f>_xlfn.AGGREGATE(2,5,LineærRegression_Valg[[#This Row],[Tabel ID]])</f>
        <v>1</v>
      </c>
    </row>
    <row r="181" spans="1:8" x14ac:dyDescent="0.2">
      <c r="A181">
        <f>ROW(LineærRegression_Valg[[#This Row],[Tabel ID]])-ROW(LineærRegression_Valg[[#Headers],[Tabel ID]])</f>
        <v>171</v>
      </c>
      <c r="B181" s="45">
        <f>ROUNDDOWN((LineærRegression_Valg[[#This Row],[Tabel ID]]-1)/$B$5,0)+1</f>
        <v>43</v>
      </c>
      <c r="C181" s="45">
        <f t="shared" si="2"/>
        <v>3</v>
      </c>
      <c r="D181" s="45" t="b">
        <f>LineærRegression_Valg[[#This Row],[Afhængig variabel ID]]&lt;&gt;LineærRegression_Valg[[#This Row],[Uafhængig variabel ID]]</f>
        <v>1</v>
      </c>
      <c r="E181" t="b">
        <f>LineærRegression_Valg[[#This Row],[Afhængig variabel ID]]&lt;=$B$5</f>
        <v>0</v>
      </c>
      <c r="F181" t="str" cm="1">
        <f t="array" ref="F181">IF(LineærRegression_Valg[[#This Row],[Indenfor range]],INDEX(DataTitel_liste,LineærRegression_Valg[[#This Row],[Afhængig variabel ID]]),INDEX(DataTitel_liste,1))</f>
        <v>Eksempel 1 (interval)</v>
      </c>
      <c r="G181" s="45" t="str" cm="1">
        <f t="array" ref="G181">IF(LineærRegression_Valg[[#This Row],[Indenfor range]],IF(LineærRegression_Valg[[#This Row],[Intet overlap]],INDEX(DataTitel_liste,LineærRegression_Valg[[#This Row],[Uafhængig variabel ID]]),INDEX(DataTitel_liste,IF(LineærRegression_Valg[[#This Row],[Afhængig variabel ID]]=1,2,1))),$B$7)</f>
        <v>Eksempel 2 (interval)</v>
      </c>
      <c r="H181" s="45">
        <f>_xlfn.AGGREGATE(2,5,LineærRegression_Valg[[#This Row],[Tabel ID]])</f>
        <v>1</v>
      </c>
    </row>
    <row r="182" spans="1:8" x14ac:dyDescent="0.2">
      <c r="A182">
        <f>ROW(LineærRegression_Valg[[#This Row],[Tabel ID]])-ROW(LineærRegression_Valg[[#Headers],[Tabel ID]])</f>
        <v>172</v>
      </c>
      <c r="B182" s="45">
        <f>ROUNDDOWN((LineærRegression_Valg[[#This Row],[Tabel ID]]-1)/$B$5,0)+1</f>
        <v>43</v>
      </c>
      <c r="C182" s="45">
        <f t="shared" si="2"/>
        <v>4</v>
      </c>
      <c r="D182" s="45" t="b">
        <f>LineærRegression_Valg[[#This Row],[Afhængig variabel ID]]&lt;&gt;LineærRegression_Valg[[#This Row],[Uafhængig variabel ID]]</f>
        <v>1</v>
      </c>
      <c r="E182" t="b">
        <f>LineærRegression_Valg[[#This Row],[Afhængig variabel ID]]&lt;=$B$5</f>
        <v>0</v>
      </c>
      <c r="F182" t="str" cm="1">
        <f t="array" ref="F182">IF(LineærRegression_Valg[[#This Row],[Indenfor range]],INDEX(DataTitel_liste,LineærRegression_Valg[[#This Row],[Afhængig variabel ID]]),INDEX(DataTitel_liste,1))</f>
        <v>Eksempel 1 (interval)</v>
      </c>
      <c r="G182" s="45" t="str" cm="1">
        <f t="array" ref="G182">IF(LineærRegression_Valg[[#This Row],[Indenfor range]],IF(LineærRegression_Valg[[#This Row],[Intet overlap]],INDEX(DataTitel_liste,LineærRegression_Valg[[#This Row],[Uafhængig variabel ID]]),INDEX(DataTitel_liste,IF(LineærRegression_Valg[[#This Row],[Afhængig variabel ID]]=1,2,1))),$B$7)</f>
        <v>Eksempel 2 (interval)</v>
      </c>
      <c r="H182" s="45">
        <f>_xlfn.AGGREGATE(2,5,LineærRegression_Valg[[#This Row],[Tabel ID]])</f>
        <v>1</v>
      </c>
    </row>
    <row r="183" spans="1:8" x14ac:dyDescent="0.2">
      <c r="A183">
        <f>ROW(LineærRegression_Valg[[#This Row],[Tabel ID]])-ROW(LineærRegression_Valg[[#Headers],[Tabel ID]])</f>
        <v>173</v>
      </c>
      <c r="B183" s="45">
        <f>ROUNDDOWN((LineærRegression_Valg[[#This Row],[Tabel ID]]-1)/$B$5,0)+1</f>
        <v>44</v>
      </c>
      <c r="C183" s="45">
        <f t="shared" si="2"/>
        <v>1</v>
      </c>
      <c r="D183" s="45" t="b">
        <f>LineærRegression_Valg[[#This Row],[Afhængig variabel ID]]&lt;&gt;LineærRegression_Valg[[#This Row],[Uafhængig variabel ID]]</f>
        <v>1</v>
      </c>
      <c r="E183" t="b">
        <f>LineærRegression_Valg[[#This Row],[Afhængig variabel ID]]&lt;=$B$5</f>
        <v>0</v>
      </c>
      <c r="F183" t="str" cm="1">
        <f t="array" ref="F183">IF(LineærRegression_Valg[[#This Row],[Indenfor range]],INDEX(DataTitel_liste,LineærRegression_Valg[[#This Row],[Afhængig variabel ID]]),INDEX(DataTitel_liste,1))</f>
        <v>Eksempel 1 (interval)</v>
      </c>
      <c r="G183" s="45" t="str" cm="1">
        <f t="array" ref="G183">IF(LineærRegression_Valg[[#This Row],[Indenfor range]],IF(LineærRegression_Valg[[#This Row],[Intet overlap]],INDEX(DataTitel_liste,LineærRegression_Valg[[#This Row],[Uafhængig variabel ID]]),INDEX(DataTitel_liste,IF(LineærRegression_Valg[[#This Row],[Afhængig variabel ID]]=1,2,1))),$B$7)</f>
        <v>Eksempel 2 (interval)</v>
      </c>
      <c r="H183" s="45">
        <f>_xlfn.AGGREGATE(2,5,LineærRegression_Valg[[#This Row],[Tabel ID]])</f>
        <v>1</v>
      </c>
    </row>
    <row r="184" spans="1:8" x14ac:dyDescent="0.2">
      <c r="A184">
        <f>ROW(LineærRegression_Valg[[#This Row],[Tabel ID]])-ROW(LineærRegression_Valg[[#Headers],[Tabel ID]])</f>
        <v>174</v>
      </c>
      <c r="B184" s="45">
        <f>ROUNDDOWN((LineærRegression_Valg[[#This Row],[Tabel ID]]-1)/$B$5,0)+1</f>
        <v>44</v>
      </c>
      <c r="C184" s="45">
        <f t="shared" si="2"/>
        <v>2</v>
      </c>
      <c r="D184" s="45" t="b">
        <f>LineærRegression_Valg[[#This Row],[Afhængig variabel ID]]&lt;&gt;LineærRegression_Valg[[#This Row],[Uafhængig variabel ID]]</f>
        <v>1</v>
      </c>
      <c r="E184" t="b">
        <f>LineærRegression_Valg[[#This Row],[Afhængig variabel ID]]&lt;=$B$5</f>
        <v>0</v>
      </c>
      <c r="F184" t="str" cm="1">
        <f t="array" ref="F184">IF(LineærRegression_Valg[[#This Row],[Indenfor range]],INDEX(DataTitel_liste,LineærRegression_Valg[[#This Row],[Afhængig variabel ID]]),INDEX(DataTitel_liste,1))</f>
        <v>Eksempel 1 (interval)</v>
      </c>
      <c r="G184" s="45" t="str" cm="1">
        <f t="array" ref="G184">IF(LineærRegression_Valg[[#This Row],[Indenfor range]],IF(LineærRegression_Valg[[#This Row],[Intet overlap]],INDEX(DataTitel_liste,LineærRegression_Valg[[#This Row],[Uafhængig variabel ID]]),INDEX(DataTitel_liste,IF(LineærRegression_Valg[[#This Row],[Afhængig variabel ID]]=1,2,1))),$B$7)</f>
        <v>Eksempel 2 (interval)</v>
      </c>
      <c r="H184" s="45">
        <f>_xlfn.AGGREGATE(2,5,LineærRegression_Valg[[#This Row],[Tabel ID]])</f>
        <v>1</v>
      </c>
    </row>
    <row r="185" spans="1:8" x14ac:dyDescent="0.2">
      <c r="A185">
        <f>ROW(LineærRegression_Valg[[#This Row],[Tabel ID]])-ROW(LineærRegression_Valg[[#Headers],[Tabel ID]])</f>
        <v>175</v>
      </c>
      <c r="B185" s="45">
        <f>ROUNDDOWN((LineærRegression_Valg[[#This Row],[Tabel ID]]-1)/$B$5,0)+1</f>
        <v>44</v>
      </c>
      <c r="C185" s="45">
        <f t="shared" si="2"/>
        <v>3</v>
      </c>
      <c r="D185" s="45" t="b">
        <f>LineærRegression_Valg[[#This Row],[Afhængig variabel ID]]&lt;&gt;LineærRegression_Valg[[#This Row],[Uafhængig variabel ID]]</f>
        <v>1</v>
      </c>
      <c r="E185" t="b">
        <f>LineærRegression_Valg[[#This Row],[Afhængig variabel ID]]&lt;=$B$5</f>
        <v>0</v>
      </c>
      <c r="F185" t="str" cm="1">
        <f t="array" ref="F185">IF(LineærRegression_Valg[[#This Row],[Indenfor range]],INDEX(DataTitel_liste,LineærRegression_Valg[[#This Row],[Afhængig variabel ID]]),INDEX(DataTitel_liste,1))</f>
        <v>Eksempel 1 (interval)</v>
      </c>
      <c r="G185" s="45" t="str" cm="1">
        <f t="array" ref="G185">IF(LineærRegression_Valg[[#This Row],[Indenfor range]],IF(LineærRegression_Valg[[#This Row],[Intet overlap]],INDEX(DataTitel_liste,LineærRegression_Valg[[#This Row],[Uafhængig variabel ID]]),INDEX(DataTitel_liste,IF(LineærRegression_Valg[[#This Row],[Afhængig variabel ID]]=1,2,1))),$B$7)</f>
        <v>Eksempel 2 (interval)</v>
      </c>
      <c r="H185" s="45">
        <f>_xlfn.AGGREGATE(2,5,LineærRegression_Valg[[#This Row],[Tabel ID]])</f>
        <v>1</v>
      </c>
    </row>
    <row r="186" spans="1:8" x14ac:dyDescent="0.2">
      <c r="A186">
        <f>ROW(LineærRegression_Valg[[#This Row],[Tabel ID]])-ROW(LineærRegression_Valg[[#Headers],[Tabel ID]])</f>
        <v>176</v>
      </c>
      <c r="B186" s="45">
        <f>ROUNDDOWN((LineærRegression_Valg[[#This Row],[Tabel ID]]-1)/$B$5,0)+1</f>
        <v>44</v>
      </c>
      <c r="C186" s="45">
        <f t="shared" si="2"/>
        <v>4</v>
      </c>
      <c r="D186" s="45" t="b">
        <f>LineærRegression_Valg[[#This Row],[Afhængig variabel ID]]&lt;&gt;LineærRegression_Valg[[#This Row],[Uafhængig variabel ID]]</f>
        <v>1</v>
      </c>
      <c r="E186" t="b">
        <f>LineærRegression_Valg[[#This Row],[Afhængig variabel ID]]&lt;=$B$5</f>
        <v>0</v>
      </c>
      <c r="F186" t="str" cm="1">
        <f t="array" ref="F186">IF(LineærRegression_Valg[[#This Row],[Indenfor range]],INDEX(DataTitel_liste,LineærRegression_Valg[[#This Row],[Afhængig variabel ID]]),INDEX(DataTitel_liste,1))</f>
        <v>Eksempel 1 (interval)</v>
      </c>
      <c r="G186" s="45" t="str" cm="1">
        <f t="array" ref="G186">IF(LineærRegression_Valg[[#This Row],[Indenfor range]],IF(LineærRegression_Valg[[#This Row],[Intet overlap]],INDEX(DataTitel_liste,LineærRegression_Valg[[#This Row],[Uafhængig variabel ID]]),INDEX(DataTitel_liste,IF(LineærRegression_Valg[[#This Row],[Afhængig variabel ID]]=1,2,1))),$B$7)</f>
        <v>Eksempel 2 (interval)</v>
      </c>
      <c r="H186" s="45">
        <f>_xlfn.AGGREGATE(2,5,LineærRegression_Valg[[#This Row],[Tabel ID]])</f>
        <v>1</v>
      </c>
    </row>
    <row r="187" spans="1:8" x14ac:dyDescent="0.2">
      <c r="A187">
        <f>ROW(LineærRegression_Valg[[#This Row],[Tabel ID]])-ROW(LineærRegression_Valg[[#Headers],[Tabel ID]])</f>
        <v>177</v>
      </c>
      <c r="B187" s="45">
        <f>ROUNDDOWN((LineærRegression_Valg[[#This Row],[Tabel ID]]-1)/$B$5,0)+1</f>
        <v>45</v>
      </c>
      <c r="C187" s="45">
        <f t="shared" si="2"/>
        <v>1</v>
      </c>
      <c r="D187" s="45" t="b">
        <f>LineærRegression_Valg[[#This Row],[Afhængig variabel ID]]&lt;&gt;LineærRegression_Valg[[#This Row],[Uafhængig variabel ID]]</f>
        <v>1</v>
      </c>
      <c r="E187" t="b">
        <f>LineærRegression_Valg[[#This Row],[Afhængig variabel ID]]&lt;=$B$5</f>
        <v>0</v>
      </c>
      <c r="F187" t="str" cm="1">
        <f t="array" ref="F187">IF(LineærRegression_Valg[[#This Row],[Indenfor range]],INDEX(DataTitel_liste,LineærRegression_Valg[[#This Row],[Afhængig variabel ID]]),INDEX(DataTitel_liste,1))</f>
        <v>Eksempel 1 (interval)</v>
      </c>
      <c r="G187" s="45" t="str" cm="1">
        <f t="array" ref="G187">IF(LineærRegression_Valg[[#This Row],[Indenfor range]],IF(LineærRegression_Valg[[#This Row],[Intet overlap]],INDEX(DataTitel_liste,LineærRegression_Valg[[#This Row],[Uafhængig variabel ID]]),INDEX(DataTitel_liste,IF(LineærRegression_Valg[[#This Row],[Afhængig variabel ID]]=1,2,1))),$B$7)</f>
        <v>Eksempel 2 (interval)</v>
      </c>
      <c r="H187" s="45">
        <f>_xlfn.AGGREGATE(2,5,LineærRegression_Valg[[#This Row],[Tabel ID]])</f>
        <v>1</v>
      </c>
    </row>
    <row r="188" spans="1:8" x14ac:dyDescent="0.2">
      <c r="A188">
        <f>ROW(LineærRegression_Valg[[#This Row],[Tabel ID]])-ROW(LineærRegression_Valg[[#Headers],[Tabel ID]])</f>
        <v>178</v>
      </c>
      <c r="B188" s="45">
        <f>ROUNDDOWN((LineærRegression_Valg[[#This Row],[Tabel ID]]-1)/$B$5,0)+1</f>
        <v>45</v>
      </c>
      <c r="C188" s="45">
        <f t="shared" si="2"/>
        <v>2</v>
      </c>
      <c r="D188" s="45" t="b">
        <f>LineærRegression_Valg[[#This Row],[Afhængig variabel ID]]&lt;&gt;LineærRegression_Valg[[#This Row],[Uafhængig variabel ID]]</f>
        <v>1</v>
      </c>
      <c r="E188" t="b">
        <f>LineærRegression_Valg[[#This Row],[Afhængig variabel ID]]&lt;=$B$5</f>
        <v>0</v>
      </c>
      <c r="F188" t="str" cm="1">
        <f t="array" ref="F188">IF(LineærRegression_Valg[[#This Row],[Indenfor range]],INDEX(DataTitel_liste,LineærRegression_Valg[[#This Row],[Afhængig variabel ID]]),INDEX(DataTitel_liste,1))</f>
        <v>Eksempel 1 (interval)</v>
      </c>
      <c r="G188" s="45" t="str" cm="1">
        <f t="array" ref="G188">IF(LineærRegression_Valg[[#This Row],[Indenfor range]],IF(LineærRegression_Valg[[#This Row],[Intet overlap]],INDEX(DataTitel_liste,LineærRegression_Valg[[#This Row],[Uafhængig variabel ID]]),INDEX(DataTitel_liste,IF(LineærRegression_Valg[[#This Row],[Afhængig variabel ID]]=1,2,1))),$B$7)</f>
        <v>Eksempel 2 (interval)</v>
      </c>
      <c r="H188" s="45">
        <f>_xlfn.AGGREGATE(2,5,LineærRegression_Valg[[#This Row],[Tabel ID]])</f>
        <v>1</v>
      </c>
    </row>
    <row r="189" spans="1:8" x14ac:dyDescent="0.2">
      <c r="A189">
        <f>ROW(LineærRegression_Valg[[#This Row],[Tabel ID]])-ROW(LineærRegression_Valg[[#Headers],[Tabel ID]])</f>
        <v>179</v>
      </c>
      <c r="B189" s="45">
        <f>ROUNDDOWN((LineærRegression_Valg[[#This Row],[Tabel ID]]-1)/$B$5,0)+1</f>
        <v>45</v>
      </c>
      <c r="C189" s="45">
        <f t="shared" si="2"/>
        <v>3</v>
      </c>
      <c r="D189" s="45" t="b">
        <f>LineærRegression_Valg[[#This Row],[Afhængig variabel ID]]&lt;&gt;LineærRegression_Valg[[#This Row],[Uafhængig variabel ID]]</f>
        <v>1</v>
      </c>
      <c r="E189" t="b">
        <f>LineærRegression_Valg[[#This Row],[Afhængig variabel ID]]&lt;=$B$5</f>
        <v>0</v>
      </c>
      <c r="F189" t="str" cm="1">
        <f t="array" ref="F189">IF(LineærRegression_Valg[[#This Row],[Indenfor range]],INDEX(DataTitel_liste,LineærRegression_Valg[[#This Row],[Afhængig variabel ID]]),INDEX(DataTitel_liste,1))</f>
        <v>Eksempel 1 (interval)</v>
      </c>
      <c r="G189" s="45" t="str" cm="1">
        <f t="array" ref="G189">IF(LineærRegression_Valg[[#This Row],[Indenfor range]],IF(LineærRegression_Valg[[#This Row],[Intet overlap]],INDEX(DataTitel_liste,LineærRegression_Valg[[#This Row],[Uafhængig variabel ID]]),INDEX(DataTitel_liste,IF(LineærRegression_Valg[[#This Row],[Afhængig variabel ID]]=1,2,1))),$B$7)</f>
        <v>Eksempel 2 (interval)</v>
      </c>
      <c r="H189" s="45">
        <f>_xlfn.AGGREGATE(2,5,LineærRegression_Valg[[#This Row],[Tabel ID]])</f>
        <v>1</v>
      </c>
    </row>
    <row r="190" spans="1:8" x14ac:dyDescent="0.2">
      <c r="A190">
        <f>ROW(LineærRegression_Valg[[#This Row],[Tabel ID]])-ROW(LineærRegression_Valg[[#Headers],[Tabel ID]])</f>
        <v>180</v>
      </c>
      <c r="B190" s="45">
        <f>ROUNDDOWN((LineærRegression_Valg[[#This Row],[Tabel ID]]-1)/$B$5,0)+1</f>
        <v>45</v>
      </c>
      <c r="C190" s="45">
        <f t="shared" si="2"/>
        <v>4</v>
      </c>
      <c r="D190" s="45" t="b">
        <f>LineærRegression_Valg[[#This Row],[Afhængig variabel ID]]&lt;&gt;LineærRegression_Valg[[#This Row],[Uafhængig variabel ID]]</f>
        <v>1</v>
      </c>
      <c r="E190" t="b">
        <f>LineærRegression_Valg[[#This Row],[Afhængig variabel ID]]&lt;=$B$5</f>
        <v>0</v>
      </c>
      <c r="F190" t="str" cm="1">
        <f t="array" ref="F190">IF(LineærRegression_Valg[[#This Row],[Indenfor range]],INDEX(DataTitel_liste,LineærRegression_Valg[[#This Row],[Afhængig variabel ID]]),INDEX(DataTitel_liste,1))</f>
        <v>Eksempel 1 (interval)</v>
      </c>
      <c r="G190" s="45" t="str" cm="1">
        <f t="array" ref="G190">IF(LineærRegression_Valg[[#This Row],[Indenfor range]],IF(LineærRegression_Valg[[#This Row],[Intet overlap]],INDEX(DataTitel_liste,LineærRegression_Valg[[#This Row],[Uafhængig variabel ID]]),INDEX(DataTitel_liste,IF(LineærRegression_Valg[[#This Row],[Afhængig variabel ID]]=1,2,1))),$B$7)</f>
        <v>Eksempel 2 (interval)</v>
      </c>
      <c r="H190" s="45">
        <f>_xlfn.AGGREGATE(2,5,LineærRegression_Valg[[#This Row],[Tabel ID]])</f>
        <v>1</v>
      </c>
    </row>
    <row r="191" spans="1:8" x14ac:dyDescent="0.2">
      <c r="A191">
        <f>ROW(LineærRegression_Valg[[#This Row],[Tabel ID]])-ROW(LineærRegression_Valg[[#Headers],[Tabel ID]])</f>
        <v>181</v>
      </c>
      <c r="B191" s="45">
        <f>ROUNDDOWN((LineærRegression_Valg[[#This Row],[Tabel ID]]-1)/$B$5,0)+1</f>
        <v>46</v>
      </c>
      <c r="C191" s="45">
        <f t="shared" si="2"/>
        <v>1</v>
      </c>
      <c r="D191" s="45" t="b">
        <f>LineærRegression_Valg[[#This Row],[Afhængig variabel ID]]&lt;&gt;LineærRegression_Valg[[#This Row],[Uafhængig variabel ID]]</f>
        <v>1</v>
      </c>
      <c r="E191" t="b">
        <f>LineærRegression_Valg[[#This Row],[Afhængig variabel ID]]&lt;=$B$5</f>
        <v>0</v>
      </c>
      <c r="F191" t="str" cm="1">
        <f t="array" ref="F191">IF(LineærRegression_Valg[[#This Row],[Indenfor range]],INDEX(DataTitel_liste,LineærRegression_Valg[[#This Row],[Afhængig variabel ID]]),INDEX(DataTitel_liste,1))</f>
        <v>Eksempel 1 (interval)</v>
      </c>
      <c r="G191" s="45" t="str" cm="1">
        <f t="array" ref="G191">IF(LineærRegression_Valg[[#This Row],[Indenfor range]],IF(LineærRegression_Valg[[#This Row],[Intet overlap]],INDEX(DataTitel_liste,LineærRegression_Valg[[#This Row],[Uafhængig variabel ID]]),INDEX(DataTitel_liste,IF(LineærRegression_Valg[[#This Row],[Afhængig variabel ID]]=1,2,1))),$B$7)</f>
        <v>Eksempel 2 (interval)</v>
      </c>
      <c r="H191" s="45">
        <f>_xlfn.AGGREGATE(2,5,LineærRegression_Valg[[#This Row],[Tabel ID]])</f>
        <v>1</v>
      </c>
    </row>
    <row r="192" spans="1:8" x14ac:dyDescent="0.2">
      <c r="A192">
        <f>ROW(LineærRegression_Valg[[#This Row],[Tabel ID]])-ROW(LineærRegression_Valg[[#Headers],[Tabel ID]])</f>
        <v>182</v>
      </c>
      <c r="B192" s="45">
        <f>ROUNDDOWN((LineærRegression_Valg[[#This Row],[Tabel ID]]-1)/$B$5,0)+1</f>
        <v>46</v>
      </c>
      <c r="C192" s="45">
        <f t="shared" si="2"/>
        <v>2</v>
      </c>
      <c r="D192" s="45" t="b">
        <f>LineærRegression_Valg[[#This Row],[Afhængig variabel ID]]&lt;&gt;LineærRegression_Valg[[#This Row],[Uafhængig variabel ID]]</f>
        <v>1</v>
      </c>
      <c r="E192" t="b">
        <f>LineærRegression_Valg[[#This Row],[Afhængig variabel ID]]&lt;=$B$5</f>
        <v>0</v>
      </c>
      <c r="F192" t="str" cm="1">
        <f t="array" ref="F192">IF(LineærRegression_Valg[[#This Row],[Indenfor range]],INDEX(DataTitel_liste,LineærRegression_Valg[[#This Row],[Afhængig variabel ID]]),INDEX(DataTitel_liste,1))</f>
        <v>Eksempel 1 (interval)</v>
      </c>
      <c r="G192" s="45" t="str" cm="1">
        <f t="array" ref="G192">IF(LineærRegression_Valg[[#This Row],[Indenfor range]],IF(LineærRegression_Valg[[#This Row],[Intet overlap]],INDEX(DataTitel_liste,LineærRegression_Valg[[#This Row],[Uafhængig variabel ID]]),INDEX(DataTitel_liste,IF(LineærRegression_Valg[[#This Row],[Afhængig variabel ID]]=1,2,1))),$B$7)</f>
        <v>Eksempel 2 (interval)</v>
      </c>
      <c r="H192" s="45">
        <f>_xlfn.AGGREGATE(2,5,LineærRegression_Valg[[#This Row],[Tabel ID]])</f>
        <v>1</v>
      </c>
    </row>
    <row r="193" spans="1:8" x14ac:dyDescent="0.2">
      <c r="A193">
        <f>ROW(LineærRegression_Valg[[#This Row],[Tabel ID]])-ROW(LineærRegression_Valg[[#Headers],[Tabel ID]])</f>
        <v>183</v>
      </c>
      <c r="B193" s="45">
        <f>ROUNDDOWN((LineærRegression_Valg[[#This Row],[Tabel ID]]-1)/$B$5,0)+1</f>
        <v>46</v>
      </c>
      <c r="C193" s="45">
        <f t="shared" si="2"/>
        <v>3</v>
      </c>
      <c r="D193" s="45" t="b">
        <f>LineærRegression_Valg[[#This Row],[Afhængig variabel ID]]&lt;&gt;LineærRegression_Valg[[#This Row],[Uafhængig variabel ID]]</f>
        <v>1</v>
      </c>
      <c r="E193" t="b">
        <f>LineærRegression_Valg[[#This Row],[Afhængig variabel ID]]&lt;=$B$5</f>
        <v>0</v>
      </c>
      <c r="F193" t="str" cm="1">
        <f t="array" ref="F193">IF(LineærRegression_Valg[[#This Row],[Indenfor range]],INDEX(DataTitel_liste,LineærRegression_Valg[[#This Row],[Afhængig variabel ID]]),INDEX(DataTitel_liste,1))</f>
        <v>Eksempel 1 (interval)</v>
      </c>
      <c r="G193" s="45" t="str" cm="1">
        <f t="array" ref="G193">IF(LineærRegression_Valg[[#This Row],[Indenfor range]],IF(LineærRegression_Valg[[#This Row],[Intet overlap]],INDEX(DataTitel_liste,LineærRegression_Valg[[#This Row],[Uafhængig variabel ID]]),INDEX(DataTitel_liste,IF(LineærRegression_Valg[[#This Row],[Afhængig variabel ID]]=1,2,1))),$B$7)</f>
        <v>Eksempel 2 (interval)</v>
      </c>
      <c r="H193" s="45">
        <f>_xlfn.AGGREGATE(2,5,LineærRegression_Valg[[#This Row],[Tabel ID]])</f>
        <v>1</v>
      </c>
    </row>
    <row r="194" spans="1:8" x14ac:dyDescent="0.2">
      <c r="A194">
        <f>ROW(LineærRegression_Valg[[#This Row],[Tabel ID]])-ROW(LineærRegression_Valg[[#Headers],[Tabel ID]])</f>
        <v>184</v>
      </c>
      <c r="B194" s="45">
        <f>ROUNDDOWN((LineærRegression_Valg[[#This Row],[Tabel ID]]-1)/$B$5,0)+1</f>
        <v>46</v>
      </c>
      <c r="C194" s="45">
        <f t="shared" si="2"/>
        <v>4</v>
      </c>
      <c r="D194" s="45" t="b">
        <f>LineærRegression_Valg[[#This Row],[Afhængig variabel ID]]&lt;&gt;LineærRegression_Valg[[#This Row],[Uafhængig variabel ID]]</f>
        <v>1</v>
      </c>
      <c r="E194" t="b">
        <f>LineærRegression_Valg[[#This Row],[Afhængig variabel ID]]&lt;=$B$5</f>
        <v>0</v>
      </c>
      <c r="F194" t="str" cm="1">
        <f t="array" ref="F194">IF(LineærRegression_Valg[[#This Row],[Indenfor range]],INDEX(DataTitel_liste,LineærRegression_Valg[[#This Row],[Afhængig variabel ID]]),INDEX(DataTitel_liste,1))</f>
        <v>Eksempel 1 (interval)</v>
      </c>
      <c r="G194" s="45" t="str" cm="1">
        <f t="array" ref="G194">IF(LineærRegression_Valg[[#This Row],[Indenfor range]],IF(LineærRegression_Valg[[#This Row],[Intet overlap]],INDEX(DataTitel_liste,LineærRegression_Valg[[#This Row],[Uafhængig variabel ID]]),INDEX(DataTitel_liste,IF(LineærRegression_Valg[[#This Row],[Afhængig variabel ID]]=1,2,1))),$B$7)</f>
        <v>Eksempel 2 (interval)</v>
      </c>
      <c r="H194" s="45">
        <f>_xlfn.AGGREGATE(2,5,LineærRegression_Valg[[#This Row],[Tabel ID]])</f>
        <v>1</v>
      </c>
    </row>
    <row r="195" spans="1:8" x14ac:dyDescent="0.2">
      <c r="A195">
        <f>ROW(LineærRegression_Valg[[#This Row],[Tabel ID]])-ROW(LineærRegression_Valg[[#Headers],[Tabel ID]])</f>
        <v>185</v>
      </c>
      <c r="B195" s="45">
        <f>ROUNDDOWN((LineærRegression_Valg[[#This Row],[Tabel ID]]-1)/$B$5,0)+1</f>
        <v>47</v>
      </c>
      <c r="C195" s="45">
        <f t="shared" si="2"/>
        <v>1</v>
      </c>
      <c r="D195" s="45" t="b">
        <f>LineærRegression_Valg[[#This Row],[Afhængig variabel ID]]&lt;&gt;LineærRegression_Valg[[#This Row],[Uafhængig variabel ID]]</f>
        <v>1</v>
      </c>
      <c r="E195" t="b">
        <f>LineærRegression_Valg[[#This Row],[Afhængig variabel ID]]&lt;=$B$5</f>
        <v>0</v>
      </c>
      <c r="F195" t="str" cm="1">
        <f t="array" ref="F195">IF(LineærRegression_Valg[[#This Row],[Indenfor range]],INDEX(DataTitel_liste,LineærRegression_Valg[[#This Row],[Afhængig variabel ID]]),INDEX(DataTitel_liste,1))</f>
        <v>Eksempel 1 (interval)</v>
      </c>
      <c r="G195" s="45" t="str" cm="1">
        <f t="array" ref="G195">IF(LineærRegression_Valg[[#This Row],[Indenfor range]],IF(LineærRegression_Valg[[#This Row],[Intet overlap]],INDEX(DataTitel_liste,LineærRegression_Valg[[#This Row],[Uafhængig variabel ID]]),INDEX(DataTitel_liste,IF(LineærRegression_Valg[[#This Row],[Afhængig variabel ID]]=1,2,1))),$B$7)</f>
        <v>Eksempel 2 (interval)</v>
      </c>
      <c r="H195" s="45">
        <f>_xlfn.AGGREGATE(2,5,LineærRegression_Valg[[#This Row],[Tabel ID]])</f>
        <v>1</v>
      </c>
    </row>
    <row r="196" spans="1:8" x14ac:dyDescent="0.2">
      <c r="A196">
        <f>ROW(LineærRegression_Valg[[#This Row],[Tabel ID]])-ROW(LineærRegression_Valg[[#Headers],[Tabel ID]])</f>
        <v>186</v>
      </c>
      <c r="B196" s="45">
        <f>ROUNDDOWN((LineærRegression_Valg[[#This Row],[Tabel ID]]-1)/$B$5,0)+1</f>
        <v>47</v>
      </c>
      <c r="C196" s="45">
        <f t="shared" si="2"/>
        <v>2</v>
      </c>
      <c r="D196" s="45" t="b">
        <f>LineærRegression_Valg[[#This Row],[Afhængig variabel ID]]&lt;&gt;LineærRegression_Valg[[#This Row],[Uafhængig variabel ID]]</f>
        <v>1</v>
      </c>
      <c r="E196" t="b">
        <f>LineærRegression_Valg[[#This Row],[Afhængig variabel ID]]&lt;=$B$5</f>
        <v>0</v>
      </c>
      <c r="F196" t="str" cm="1">
        <f t="array" ref="F196">IF(LineærRegression_Valg[[#This Row],[Indenfor range]],INDEX(DataTitel_liste,LineærRegression_Valg[[#This Row],[Afhængig variabel ID]]),INDEX(DataTitel_liste,1))</f>
        <v>Eksempel 1 (interval)</v>
      </c>
      <c r="G196" s="45" t="str" cm="1">
        <f t="array" ref="G196">IF(LineærRegression_Valg[[#This Row],[Indenfor range]],IF(LineærRegression_Valg[[#This Row],[Intet overlap]],INDEX(DataTitel_liste,LineærRegression_Valg[[#This Row],[Uafhængig variabel ID]]),INDEX(DataTitel_liste,IF(LineærRegression_Valg[[#This Row],[Afhængig variabel ID]]=1,2,1))),$B$7)</f>
        <v>Eksempel 2 (interval)</v>
      </c>
      <c r="H196" s="45">
        <f>_xlfn.AGGREGATE(2,5,LineærRegression_Valg[[#This Row],[Tabel ID]])</f>
        <v>1</v>
      </c>
    </row>
    <row r="197" spans="1:8" x14ac:dyDescent="0.2">
      <c r="A197">
        <f>ROW(LineærRegression_Valg[[#This Row],[Tabel ID]])-ROW(LineærRegression_Valg[[#Headers],[Tabel ID]])</f>
        <v>187</v>
      </c>
      <c r="B197" s="45">
        <f>ROUNDDOWN((LineærRegression_Valg[[#This Row],[Tabel ID]]-1)/$B$5,0)+1</f>
        <v>47</v>
      </c>
      <c r="C197" s="45">
        <f t="shared" si="2"/>
        <v>3</v>
      </c>
      <c r="D197" s="45" t="b">
        <f>LineærRegression_Valg[[#This Row],[Afhængig variabel ID]]&lt;&gt;LineærRegression_Valg[[#This Row],[Uafhængig variabel ID]]</f>
        <v>1</v>
      </c>
      <c r="E197" t="b">
        <f>LineærRegression_Valg[[#This Row],[Afhængig variabel ID]]&lt;=$B$5</f>
        <v>0</v>
      </c>
      <c r="F197" t="str" cm="1">
        <f t="array" ref="F197">IF(LineærRegression_Valg[[#This Row],[Indenfor range]],INDEX(DataTitel_liste,LineærRegression_Valg[[#This Row],[Afhængig variabel ID]]),INDEX(DataTitel_liste,1))</f>
        <v>Eksempel 1 (interval)</v>
      </c>
      <c r="G197" s="45" t="str" cm="1">
        <f t="array" ref="G197">IF(LineærRegression_Valg[[#This Row],[Indenfor range]],IF(LineærRegression_Valg[[#This Row],[Intet overlap]],INDEX(DataTitel_liste,LineærRegression_Valg[[#This Row],[Uafhængig variabel ID]]),INDEX(DataTitel_liste,IF(LineærRegression_Valg[[#This Row],[Afhængig variabel ID]]=1,2,1))),$B$7)</f>
        <v>Eksempel 2 (interval)</v>
      </c>
      <c r="H197" s="45">
        <f>_xlfn.AGGREGATE(2,5,LineærRegression_Valg[[#This Row],[Tabel ID]])</f>
        <v>1</v>
      </c>
    </row>
    <row r="198" spans="1:8" x14ac:dyDescent="0.2">
      <c r="A198">
        <f>ROW(LineærRegression_Valg[[#This Row],[Tabel ID]])-ROW(LineærRegression_Valg[[#Headers],[Tabel ID]])</f>
        <v>188</v>
      </c>
      <c r="B198" s="45">
        <f>ROUNDDOWN((LineærRegression_Valg[[#This Row],[Tabel ID]]-1)/$B$5,0)+1</f>
        <v>47</v>
      </c>
      <c r="C198" s="45">
        <f t="shared" si="2"/>
        <v>4</v>
      </c>
      <c r="D198" s="45" t="b">
        <f>LineærRegression_Valg[[#This Row],[Afhængig variabel ID]]&lt;&gt;LineærRegression_Valg[[#This Row],[Uafhængig variabel ID]]</f>
        <v>1</v>
      </c>
      <c r="E198" t="b">
        <f>LineærRegression_Valg[[#This Row],[Afhængig variabel ID]]&lt;=$B$5</f>
        <v>0</v>
      </c>
      <c r="F198" t="str" cm="1">
        <f t="array" ref="F198">IF(LineærRegression_Valg[[#This Row],[Indenfor range]],INDEX(DataTitel_liste,LineærRegression_Valg[[#This Row],[Afhængig variabel ID]]),INDEX(DataTitel_liste,1))</f>
        <v>Eksempel 1 (interval)</v>
      </c>
      <c r="G198" s="45" t="str" cm="1">
        <f t="array" ref="G198">IF(LineærRegression_Valg[[#This Row],[Indenfor range]],IF(LineærRegression_Valg[[#This Row],[Intet overlap]],INDEX(DataTitel_liste,LineærRegression_Valg[[#This Row],[Uafhængig variabel ID]]),INDEX(DataTitel_liste,IF(LineærRegression_Valg[[#This Row],[Afhængig variabel ID]]=1,2,1))),$B$7)</f>
        <v>Eksempel 2 (interval)</v>
      </c>
      <c r="H198" s="45">
        <f>_xlfn.AGGREGATE(2,5,LineærRegression_Valg[[#This Row],[Tabel ID]])</f>
        <v>1</v>
      </c>
    </row>
    <row r="199" spans="1:8" x14ac:dyDescent="0.2">
      <c r="A199">
        <f>ROW(LineærRegression_Valg[[#This Row],[Tabel ID]])-ROW(LineærRegression_Valg[[#Headers],[Tabel ID]])</f>
        <v>189</v>
      </c>
      <c r="B199" s="45">
        <f>ROUNDDOWN((LineærRegression_Valg[[#This Row],[Tabel ID]]-1)/$B$5,0)+1</f>
        <v>48</v>
      </c>
      <c r="C199" s="45">
        <f t="shared" si="2"/>
        <v>1</v>
      </c>
      <c r="D199" s="45" t="b">
        <f>LineærRegression_Valg[[#This Row],[Afhængig variabel ID]]&lt;&gt;LineærRegression_Valg[[#This Row],[Uafhængig variabel ID]]</f>
        <v>1</v>
      </c>
      <c r="E199" t="b">
        <f>LineærRegression_Valg[[#This Row],[Afhængig variabel ID]]&lt;=$B$5</f>
        <v>0</v>
      </c>
      <c r="F199" t="str" cm="1">
        <f t="array" ref="F199">IF(LineærRegression_Valg[[#This Row],[Indenfor range]],INDEX(DataTitel_liste,LineærRegression_Valg[[#This Row],[Afhængig variabel ID]]),INDEX(DataTitel_liste,1))</f>
        <v>Eksempel 1 (interval)</v>
      </c>
      <c r="G199" s="45" t="str" cm="1">
        <f t="array" ref="G199">IF(LineærRegression_Valg[[#This Row],[Indenfor range]],IF(LineærRegression_Valg[[#This Row],[Intet overlap]],INDEX(DataTitel_liste,LineærRegression_Valg[[#This Row],[Uafhængig variabel ID]]),INDEX(DataTitel_liste,IF(LineærRegression_Valg[[#This Row],[Afhængig variabel ID]]=1,2,1))),$B$7)</f>
        <v>Eksempel 2 (interval)</v>
      </c>
      <c r="H199" s="45">
        <f>_xlfn.AGGREGATE(2,5,LineærRegression_Valg[[#This Row],[Tabel ID]])</f>
        <v>1</v>
      </c>
    </row>
    <row r="200" spans="1:8" x14ac:dyDescent="0.2">
      <c r="A200">
        <f>ROW(LineærRegression_Valg[[#This Row],[Tabel ID]])-ROW(LineærRegression_Valg[[#Headers],[Tabel ID]])</f>
        <v>190</v>
      </c>
      <c r="B200" s="45">
        <f>ROUNDDOWN((LineærRegression_Valg[[#This Row],[Tabel ID]]-1)/$B$5,0)+1</f>
        <v>48</v>
      </c>
      <c r="C200" s="45">
        <f t="shared" si="2"/>
        <v>2</v>
      </c>
      <c r="D200" s="45" t="b">
        <f>LineærRegression_Valg[[#This Row],[Afhængig variabel ID]]&lt;&gt;LineærRegression_Valg[[#This Row],[Uafhængig variabel ID]]</f>
        <v>1</v>
      </c>
      <c r="E200" t="b">
        <f>LineærRegression_Valg[[#This Row],[Afhængig variabel ID]]&lt;=$B$5</f>
        <v>0</v>
      </c>
      <c r="F200" t="str" cm="1">
        <f t="array" ref="F200">IF(LineærRegression_Valg[[#This Row],[Indenfor range]],INDEX(DataTitel_liste,LineærRegression_Valg[[#This Row],[Afhængig variabel ID]]),INDEX(DataTitel_liste,1))</f>
        <v>Eksempel 1 (interval)</v>
      </c>
      <c r="G200" s="45" t="str" cm="1">
        <f t="array" ref="G200">IF(LineærRegression_Valg[[#This Row],[Indenfor range]],IF(LineærRegression_Valg[[#This Row],[Intet overlap]],INDEX(DataTitel_liste,LineærRegression_Valg[[#This Row],[Uafhængig variabel ID]]),INDEX(DataTitel_liste,IF(LineærRegression_Valg[[#This Row],[Afhængig variabel ID]]=1,2,1))),$B$7)</f>
        <v>Eksempel 2 (interval)</v>
      </c>
      <c r="H200" s="45">
        <f>_xlfn.AGGREGATE(2,5,LineærRegression_Valg[[#This Row],[Tabel ID]])</f>
        <v>1</v>
      </c>
    </row>
    <row r="201" spans="1:8" x14ac:dyDescent="0.2">
      <c r="A201">
        <f>ROW(LineærRegression_Valg[[#This Row],[Tabel ID]])-ROW(LineærRegression_Valg[[#Headers],[Tabel ID]])</f>
        <v>191</v>
      </c>
      <c r="B201" s="45">
        <f>ROUNDDOWN((LineærRegression_Valg[[#This Row],[Tabel ID]]-1)/$B$5,0)+1</f>
        <v>48</v>
      </c>
      <c r="C201" s="45">
        <f t="shared" si="2"/>
        <v>3</v>
      </c>
      <c r="D201" s="45" t="b">
        <f>LineærRegression_Valg[[#This Row],[Afhængig variabel ID]]&lt;&gt;LineærRegression_Valg[[#This Row],[Uafhængig variabel ID]]</f>
        <v>1</v>
      </c>
      <c r="E201" t="b">
        <f>LineærRegression_Valg[[#This Row],[Afhængig variabel ID]]&lt;=$B$5</f>
        <v>0</v>
      </c>
      <c r="F201" t="str" cm="1">
        <f t="array" ref="F201">IF(LineærRegression_Valg[[#This Row],[Indenfor range]],INDEX(DataTitel_liste,LineærRegression_Valg[[#This Row],[Afhængig variabel ID]]),INDEX(DataTitel_liste,1))</f>
        <v>Eksempel 1 (interval)</v>
      </c>
      <c r="G201" s="45" t="str" cm="1">
        <f t="array" ref="G201">IF(LineærRegression_Valg[[#This Row],[Indenfor range]],IF(LineærRegression_Valg[[#This Row],[Intet overlap]],INDEX(DataTitel_liste,LineærRegression_Valg[[#This Row],[Uafhængig variabel ID]]),INDEX(DataTitel_liste,IF(LineærRegression_Valg[[#This Row],[Afhængig variabel ID]]=1,2,1))),$B$7)</f>
        <v>Eksempel 2 (interval)</v>
      </c>
      <c r="H201" s="45">
        <f>_xlfn.AGGREGATE(2,5,LineærRegression_Valg[[#This Row],[Tabel ID]])</f>
        <v>1</v>
      </c>
    </row>
    <row r="202" spans="1:8" x14ac:dyDescent="0.2">
      <c r="A202">
        <f>ROW(LineærRegression_Valg[[#This Row],[Tabel ID]])-ROW(LineærRegression_Valg[[#Headers],[Tabel ID]])</f>
        <v>192</v>
      </c>
      <c r="B202" s="45">
        <f>ROUNDDOWN((LineærRegression_Valg[[#This Row],[Tabel ID]]-1)/$B$5,0)+1</f>
        <v>48</v>
      </c>
      <c r="C202" s="45">
        <f t="shared" si="2"/>
        <v>4</v>
      </c>
      <c r="D202" s="45" t="b">
        <f>LineærRegression_Valg[[#This Row],[Afhængig variabel ID]]&lt;&gt;LineærRegression_Valg[[#This Row],[Uafhængig variabel ID]]</f>
        <v>1</v>
      </c>
      <c r="E202" t="b">
        <f>LineærRegression_Valg[[#This Row],[Afhængig variabel ID]]&lt;=$B$5</f>
        <v>0</v>
      </c>
      <c r="F202" t="str" cm="1">
        <f t="array" ref="F202">IF(LineærRegression_Valg[[#This Row],[Indenfor range]],INDEX(DataTitel_liste,LineærRegression_Valg[[#This Row],[Afhængig variabel ID]]),INDEX(DataTitel_liste,1))</f>
        <v>Eksempel 1 (interval)</v>
      </c>
      <c r="G202" s="45" t="str" cm="1">
        <f t="array" ref="G202">IF(LineærRegression_Valg[[#This Row],[Indenfor range]],IF(LineærRegression_Valg[[#This Row],[Intet overlap]],INDEX(DataTitel_liste,LineærRegression_Valg[[#This Row],[Uafhængig variabel ID]]),INDEX(DataTitel_liste,IF(LineærRegression_Valg[[#This Row],[Afhængig variabel ID]]=1,2,1))),$B$7)</f>
        <v>Eksempel 2 (interval)</v>
      </c>
      <c r="H202" s="45">
        <f>_xlfn.AGGREGATE(2,5,LineærRegression_Valg[[#This Row],[Tabel ID]])</f>
        <v>1</v>
      </c>
    </row>
    <row r="203" spans="1:8" x14ac:dyDescent="0.2">
      <c r="A203">
        <f>ROW(LineærRegression_Valg[[#This Row],[Tabel ID]])-ROW(LineærRegression_Valg[[#Headers],[Tabel ID]])</f>
        <v>193</v>
      </c>
      <c r="B203" s="45">
        <f>ROUNDDOWN((LineærRegression_Valg[[#This Row],[Tabel ID]]-1)/$B$5,0)+1</f>
        <v>49</v>
      </c>
      <c r="C203" s="45">
        <f t="shared" ref="C203:C266" si="3">MOD(A203-1,$B$5)+1</f>
        <v>1</v>
      </c>
      <c r="D203" s="45" t="b">
        <f>LineærRegression_Valg[[#This Row],[Afhængig variabel ID]]&lt;&gt;LineærRegression_Valg[[#This Row],[Uafhængig variabel ID]]</f>
        <v>1</v>
      </c>
      <c r="E203" t="b">
        <f>LineærRegression_Valg[[#This Row],[Afhængig variabel ID]]&lt;=$B$5</f>
        <v>0</v>
      </c>
      <c r="F203" t="str" cm="1">
        <f t="array" ref="F203">IF(LineærRegression_Valg[[#This Row],[Indenfor range]],INDEX(DataTitel_liste,LineærRegression_Valg[[#This Row],[Afhængig variabel ID]]),INDEX(DataTitel_liste,1))</f>
        <v>Eksempel 1 (interval)</v>
      </c>
      <c r="G203" s="45" t="str" cm="1">
        <f t="array" ref="G203">IF(LineærRegression_Valg[[#This Row],[Indenfor range]],IF(LineærRegression_Valg[[#This Row],[Intet overlap]],INDEX(DataTitel_liste,LineærRegression_Valg[[#This Row],[Uafhængig variabel ID]]),INDEX(DataTitel_liste,IF(LineærRegression_Valg[[#This Row],[Afhængig variabel ID]]=1,2,1))),$B$7)</f>
        <v>Eksempel 2 (interval)</v>
      </c>
      <c r="H203" s="45">
        <f>_xlfn.AGGREGATE(2,5,LineærRegression_Valg[[#This Row],[Tabel ID]])</f>
        <v>1</v>
      </c>
    </row>
    <row r="204" spans="1:8" x14ac:dyDescent="0.2">
      <c r="A204">
        <f>ROW(LineærRegression_Valg[[#This Row],[Tabel ID]])-ROW(LineærRegression_Valg[[#Headers],[Tabel ID]])</f>
        <v>194</v>
      </c>
      <c r="B204" s="45">
        <f>ROUNDDOWN((LineærRegression_Valg[[#This Row],[Tabel ID]]-1)/$B$5,0)+1</f>
        <v>49</v>
      </c>
      <c r="C204" s="45">
        <f t="shared" si="3"/>
        <v>2</v>
      </c>
      <c r="D204" s="45" t="b">
        <f>LineærRegression_Valg[[#This Row],[Afhængig variabel ID]]&lt;&gt;LineærRegression_Valg[[#This Row],[Uafhængig variabel ID]]</f>
        <v>1</v>
      </c>
      <c r="E204" t="b">
        <f>LineærRegression_Valg[[#This Row],[Afhængig variabel ID]]&lt;=$B$5</f>
        <v>0</v>
      </c>
      <c r="F204" t="str" cm="1">
        <f t="array" ref="F204">IF(LineærRegression_Valg[[#This Row],[Indenfor range]],INDEX(DataTitel_liste,LineærRegression_Valg[[#This Row],[Afhængig variabel ID]]),INDEX(DataTitel_liste,1))</f>
        <v>Eksempel 1 (interval)</v>
      </c>
      <c r="G204" s="45" t="str" cm="1">
        <f t="array" ref="G204">IF(LineærRegression_Valg[[#This Row],[Indenfor range]],IF(LineærRegression_Valg[[#This Row],[Intet overlap]],INDEX(DataTitel_liste,LineærRegression_Valg[[#This Row],[Uafhængig variabel ID]]),INDEX(DataTitel_liste,IF(LineærRegression_Valg[[#This Row],[Afhængig variabel ID]]=1,2,1))),$B$7)</f>
        <v>Eksempel 2 (interval)</v>
      </c>
      <c r="H204" s="45">
        <f>_xlfn.AGGREGATE(2,5,LineærRegression_Valg[[#This Row],[Tabel ID]])</f>
        <v>1</v>
      </c>
    </row>
    <row r="205" spans="1:8" x14ac:dyDescent="0.2">
      <c r="A205">
        <f>ROW(LineærRegression_Valg[[#This Row],[Tabel ID]])-ROW(LineærRegression_Valg[[#Headers],[Tabel ID]])</f>
        <v>195</v>
      </c>
      <c r="B205" s="45">
        <f>ROUNDDOWN((LineærRegression_Valg[[#This Row],[Tabel ID]]-1)/$B$5,0)+1</f>
        <v>49</v>
      </c>
      <c r="C205" s="45">
        <f t="shared" si="3"/>
        <v>3</v>
      </c>
      <c r="D205" s="45" t="b">
        <f>LineærRegression_Valg[[#This Row],[Afhængig variabel ID]]&lt;&gt;LineærRegression_Valg[[#This Row],[Uafhængig variabel ID]]</f>
        <v>1</v>
      </c>
      <c r="E205" t="b">
        <f>LineærRegression_Valg[[#This Row],[Afhængig variabel ID]]&lt;=$B$5</f>
        <v>0</v>
      </c>
      <c r="F205" t="str" cm="1">
        <f t="array" ref="F205">IF(LineærRegression_Valg[[#This Row],[Indenfor range]],INDEX(DataTitel_liste,LineærRegression_Valg[[#This Row],[Afhængig variabel ID]]),INDEX(DataTitel_liste,1))</f>
        <v>Eksempel 1 (interval)</v>
      </c>
      <c r="G205" s="45" t="str" cm="1">
        <f t="array" ref="G205">IF(LineærRegression_Valg[[#This Row],[Indenfor range]],IF(LineærRegression_Valg[[#This Row],[Intet overlap]],INDEX(DataTitel_liste,LineærRegression_Valg[[#This Row],[Uafhængig variabel ID]]),INDEX(DataTitel_liste,IF(LineærRegression_Valg[[#This Row],[Afhængig variabel ID]]=1,2,1))),$B$7)</f>
        <v>Eksempel 2 (interval)</v>
      </c>
      <c r="H205" s="45">
        <f>_xlfn.AGGREGATE(2,5,LineærRegression_Valg[[#This Row],[Tabel ID]])</f>
        <v>1</v>
      </c>
    </row>
    <row r="206" spans="1:8" x14ac:dyDescent="0.2">
      <c r="A206">
        <f>ROW(LineærRegression_Valg[[#This Row],[Tabel ID]])-ROW(LineærRegression_Valg[[#Headers],[Tabel ID]])</f>
        <v>196</v>
      </c>
      <c r="B206" s="45">
        <f>ROUNDDOWN((LineærRegression_Valg[[#This Row],[Tabel ID]]-1)/$B$5,0)+1</f>
        <v>49</v>
      </c>
      <c r="C206" s="45">
        <f t="shared" si="3"/>
        <v>4</v>
      </c>
      <c r="D206" s="45" t="b">
        <f>LineærRegression_Valg[[#This Row],[Afhængig variabel ID]]&lt;&gt;LineærRegression_Valg[[#This Row],[Uafhængig variabel ID]]</f>
        <v>1</v>
      </c>
      <c r="E206" t="b">
        <f>LineærRegression_Valg[[#This Row],[Afhængig variabel ID]]&lt;=$B$5</f>
        <v>0</v>
      </c>
      <c r="F206" t="str" cm="1">
        <f t="array" ref="F206">IF(LineærRegression_Valg[[#This Row],[Indenfor range]],INDEX(DataTitel_liste,LineærRegression_Valg[[#This Row],[Afhængig variabel ID]]),INDEX(DataTitel_liste,1))</f>
        <v>Eksempel 1 (interval)</v>
      </c>
      <c r="G206" s="45" t="str" cm="1">
        <f t="array" ref="G206">IF(LineærRegression_Valg[[#This Row],[Indenfor range]],IF(LineærRegression_Valg[[#This Row],[Intet overlap]],INDEX(DataTitel_liste,LineærRegression_Valg[[#This Row],[Uafhængig variabel ID]]),INDEX(DataTitel_liste,IF(LineærRegression_Valg[[#This Row],[Afhængig variabel ID]]=1,2,1))),$B$7)</f>
        <v>Eksempel 2 (interval)</v>
      </c>
      <c r="H206" s="45">
        <f>_xlfn.AGGREGATE(2,5,LineærRegression_Valg[[#This Row],[Tabel ID]])</f>
        <v>1</v>
      </c>
    </row>
    <row r="207" spans="1:8" x14ac:dyDescent="0.2">
      <c r="A207">
        <f>ROW(LineærRegression_Valg[[#This Row],[Tabel ID]])-ROW(LineærRegression_Valg[[#Headers],[Tabel ID]])</f>
        <v>197</v>
      </c>
      <c r="B207" s="45">
        <f>ROUNDDOWN((LineærRegression_Valg[[#This Row],[Tabel ID]]-1)/$B$5,0)+1</f>
        <v>50</v>
      </c>
      <c r="C207" s="45">
        <f t="shared" si="3"/>
        <v>1</v>
      </c>
      <c r="D207" s="45" t="b">
        <f>LineærRegression_Valg[[#This Row],[Afhængig variabel ID]]&lt;&gt;LineærRegression_Valg[[#This Row],[Uafhængig variabel ID]]</f>
        <v>1</v>
      </c>
      <c r="E207" t="b">
        <f>LineærRegression_Valg[[#This Row],[Afhængig variabel ID]]&lt;=$B$5</f>
        <v>0</v>
      </c>
      <c r="F207" t="str" cm="1">
        <f t="array" ref="F207">IF(LineærRegression_Valg[[#This Row],[Indenfor range]],INDEX(DataTitel_liste,LineærRegression_Valg[[#This Row],[Afhængig variabel ID]]),INDEX(DataTitel_liste,1))</f>
        <v>Eksempel 1 (interval)</v>
      </c>
      <c r="G207" s="45" t="str" cm="1">
        <f t="array" ref="G207">IF(LineærRegression_Valg[[#This Row],[Indenfor range]],IF(LineærRegression_Valg[[#This Row],[Intet overlap]],INDEX(DataTitel_liste,LineærRegression_Valg[[#This Row],[Uafhængig variabel ID]]),INDEX(DataTitel_liste,IF(LineærRegression_Valg[[#This Row],[Afhængig variabel ID]]=1,2,1))),$B$7)</f>
        <v>Eksempel 2 (interval)</v>
      </c>
      <c r="H207" s="45">
        <f>_xlfn.AGGREGATE(2,5,LineærRegression_Valg[[#This Row],[Tabel ID]])</f>
        <v>1</v>
      </c>
    </row>
    <row r="208" spans="1:8" x14ac:dyDescent="0.2">
      <c r="A208">
        <f>ROW(LineærRegression_Valg[[#This Row],[Tabel ID]])-ROW(LineærRegression_Valg[[#Headers],[Tabel ID]])</f>
        <v>198</v>
      </c>
      <c r="B208" s="45">
        <f>ROUNDDOWN((LineærRegression_Valg[[#This Row],[Tabel ID]]-1)/$B$5,0)+1</f>
        <v>50</v>
      </c>
      <c r="C208" s="45">
        <f t="shared" si="3"/>
        <v>2</v>
      </c>
      <c r="D208" s="45" t="b">
        <f>LineærRegression_Valg[[#This Row],[Afhængig variabel ID]]&lt;&gt;LineærRegression_Valg[[#This Row],[Uafhængig variabel ID]]</f>
        <v>1</v>
      </c>
      <c r="E208" t="b">
        <f>LineærRegression_Valg[[#This Row],[Afhængig variabel ID]]&lt;=$B$5</f>
        <v>0</v>
      </c>
      <c r="F208" t="str" cm="1">
        <f t="array" ref="F208">IF(LineærRegression_Valg[[#This Row],[Indenfor range]],INDEX(DataTitel_liste,LineærRegression_Valg[[#This Row],[Afhængig variabel ID]]),INDEX(DataTitel_liste,1))</f>
        <v>Eksempel 1 (interval)</v>
      </c>
      <c r="G208" s="45" t="str" cm="1">
        <f t="array" ref="G208">IF(LineærRegression_Valg[[#This Row],[Indenfor range]],IF(LineærRegression_Valg[[#This Row],[Intet overlap]],INDEX(DataTitel_liste,LineærRegression_Valg[[#This Row],[Uafhængig variabel ID]]),INDEX(DataTitel_liste,IF(LineærRegression_Valg[[#This Row],[Afhængig variabel ID]]=1,2,1))),$B$7)</f>
        <v>Eksempel 2 (interval)</v>
      </c>
      <c r="H208" s="45">
        <f>_xlfn.AGGREGATE(2,5,LineærRegression_Valg[[#This Row],[Tabel ID]])</f>
        <v>1</v>
      </c>
    </row>
    <row r="209" spans="1:8" x14ac:dyDescent="0.2">
      <c r="A209">
        <f>ROW(LineærRegression_Valg[[#This Row],[Tabel ID]])-ROW(LineærRegression_Valg[[#Headers],[Tabel ID]])</f>
        <v>199</v>
      </c>
      <c r="B209" s="45">
        <f>ROUNDDOWN((LineærRegression_Valg[[#This Row],[Tabel ID]]-1)/$B$5,0)+1</f>
        <v>50</v>
      </c>
      <c r="C209" s="45">
        <f t="shared" si="3"/>
        <v>3</v>
      </c>
      <c r="D209" s="45" t="b">
        <f>LineærRegression_Valg[[#This Row],[Afhængig variabel ID]]&lt;&gt;LineærRegression_Valg[[#This Row],[Uafhængig variabel ID]]</f>
        <v>1</v>
      </c>
      <c r="E209" t="b">
        <f>LineærRegression_Valg[[#This Row],[Afhængig variabel ID]]&lt;=$B$5</f>
        <v>0</v>
      </c>
      <c r="F209" t="str" cm="1">
        <f t="array" ref="F209">IF(LineærRegression_Valg[[#This Row],[Indenfor range]],INDEX(DataTitel_liste,LineærRegression_Valg[[#This Row],[Afhængig variabel ID]]),INDEX(DataTitel_liste,1))</f>
        <v>Eksempel 1 (interval)</v>
      </c>
      <c r="G209" s="45" t="str" cm="1">
        <f t="array" ref="G209">IF(LineærRegression_Valg[[#This Row],[Indenfor range]],IF(LineærRegression_Valg[[#This Row],[Intet overlap]],INDEX(DataTitel_liste,LineærRegression_Valg[[#This Row],[Uafhængig variabel ID]]),INDEX(DataTitel_liste,IF(LineærRegression_Valg[[#This Row],[Afhængig variabel ID]]=1,2,1))),$B$7)</f>
        <v>Eksempel 2 (interval)</v>
      </c>
      <c r="H209" s="45">
        <f>_xlfn.AGGREGATE(2,5,LineærRegression_Valg[[#This Row],[Tabel ID]])</f>
        <v>1</v>
      </c>
    </row>
    <row r="210" spans="1:8" x14ac:dyDescent="0.2">
      <c r="A210">
        <f>ROW(LineærRegression_Valg[[#This Row],[Tabel ID]])-ROW(LineærRegression_Valg[[#Headers],[Tabel ID]])</f>
        <v>200</v>
      </c>
      <c r="B210" s="45">
        <f>ROUNDDOWN((LineærRegression_Valg[[#This Row],[Tabel ID]]-1)/$B$5,0)+1</f>
        <v>50</v>
      </c>
      <c r="C210" s="45">
        <f t="shared" si="3"/>
        <v>4</v>
      </c>
      <c r="D210" s="45" t="b">
        <f>LineærRegression_Valg[[#This Row],[Afhængig variabel ID]]&lt;&gt;LineærRegression_Valg[[#This Row],[Uafhængig variabel ID]]</f>
        <v>1</v>
      </c>
      <c r="E210" t="b">
        <f>LineærRegression_Valg[[#This Row],[Afhængig variabel ID]]&lt;=$B$5</f>
        <v>0</v>
      </c>
      <c r="F210" t="str" cm="1">
        <f t="array" ref="F210">IF(LineærRegression_Valg[[#This Row],[Indenfor range]],INDEX(DataTitel_liste,LineærRegression_Valg[[#This Row],[Afhængig variabel ID]]),INDEX(DataTitel_liste,1))</f>
        <v>Eksempel 1 (interval)</v>
      </c>
      <c r="G210" s="45" t="str" cm="1">
        <f t="array" ref="G210">IF(LineærRegression_Valg[[#This Row],[Indenfor range]],IF(LineærRegression_Valg[[#This Row],[Intet overlap]],INDEX(DataTitel_liste,LineærRegression_Valg[[#This Row],[Uafhængig variabel ID]]),INDEX(DataTitel_liste,IF(LineærRegression_Valg[[#This Row],[Afhængig variabel ID]]=1,2,1))),$B$7)</f>
        <v>Eksempel 2 (interval)</v>
      </c>
      <c r="H210" s="45">
        <f>_xlfn.AGGREGATE(2,5,LineærRegression_Valg[[#This Row],[Tabel ID]])</f>
        <v>1</v>
      </c>
    </row>
    <row r="211" spans="1:8" x14ac:dyDescent="0.2">
      <c r="A211">
        <f>ROW(LineærRegression_Valg[[#This Row],[Tabel ID]])-ROW(LineærRegression_Valg[[#Headers],[Tabel ID]])</f>
        <v>201</v>
      </c>
      <c r="B211" s="45">
        <f>ROUNDDOWN((LineærRegression_Valg[[#This Row],[Tabel ID]]-1)/$B$5,0)+1</f>
        <v>51</v>
      </c>
      <c r="C211" s="45">
        <f t="shared" si="3"/>
        <v>1</v>
      </c>
      <c r="D211" s="45" t="b">
        <f>LineærRegression_Valg[[#This Row],[Afhængig variabel ID]]&lt;&gt;LineærRegression_Valg[[#This Row],[Uafhængig variabel ID]]</f>
        <v>1</v>
      </c>
      <c r="E211" t="b">
        <f>LineærRegression_Valg[[#This Row],[Afhængig variabel ID]]&lt;=$B$5</f>
        <v>0</v>
      </c>
      <c r="F211" t="str" cm="1">
        <f t="array" ref="F211">IF(LineærRegression_Valg[[#This Row],[Indenfor range]],INDEX(DataTitel_liste,LineærRegression_Valg[[#This Row],[Afhængig variabel ID]]),INDEX(DataTitel_liste,1))</f>
        <v>Eksempel 1 (interval)</v>
      </c>
      <c r="G211" s="45" t="str" cm="1">
        <f t="array" ref="G211">IF(LineærRegression_Valg[[#This Row],[Indenfor range]],IF(LineærRegression_Valg[[#This Row],[Intet overlap]],INDEX(DataTitel_liste,LineærRegression_Valg[[#This Row],[Uafhængig variabel ID]]),INDEX(DataTitel_liste,IF(LineærRegression_Valg[[#This Row],[Afhængig variabel ID]]=1,2,1))),$B$7)</f>
        <v>Eksempel 2 (interval)</v>
      </c>
      <c r="H211" s="45">
        <f>_xlfn.AGGREGATE(2,5,LineærRegression_Valg[[#This Row],[Tabel ID]])</f>
        <v>1</v>
      </c>
    </row>
    <row r="212" spans="1:8" x14ac:dyDescent="0.2">
      <c r="A212">
        <f>ROW(LineærRegression_Valg[[#This Row],[Tabel ID]])-ROW(LineærRegression_Valg[[#Headers],[Tabel ID]])</f>
        <v>202</v>
      </c>
      <c r="B212" s="45">
        <f>ROUNDDOWN((LineærRegression_Valg[[#This Row],[Tabel ID]]-1)/$B$5,0)+1</f>
        <v>51</v>
      </c>
      <c r="C212" s="45">
        <f t="shared" si="3"/>
        <v>2</v>
      </c>
      <c r="D212" s="45" t="b">
        <f>LineærRegression_Valg[[#This Row],[Afhængig variabel ID]]&lt;&gt;LineærRegression_Valg[[#This Row],[Uafhængig variabel ID]]</f>
        <v>1</v>
      </c>
      <c r="E212" t="b">
        <f>LineærRegression_Valg[[#This Row],[Afhængig variabel ID]]&lt;=$B$5</f>
        <v>0</v>
      </c>
      <c r="F212" t="str" cm="1">
        <f t="array" ref="F212">IF(LineærRegression_Valg[[#This Row],[Indenfor range]],INDEX(DataTitel_liste,LineærRegression_Valg[[#This Row],[Afhængig variabel ID]]),INDEX(DataTitel_liste,1))</f>
        <v>Eksempel 1 (interval)</v>
      </c>
      <c r="G212" s="45" t="str" cm="1">
        <f t="array" ref="G212">IF(LineærRegression_Valg[[#This Row],[Indenfor range]],IF(LineærRegression_Valg[[#This Row],[Intet overlap]],INDEX(DataTitel_liste,LineærRegression_Valg[[#This Row],[Uafhængig variabel ID]]),INDEX(DataTitel_liste,IF(LineærRegression_Valg[[#This Row],[Afhængig variabel ID]]=1,2,1))),$B$7)</f>
        <v>Eksempel 2 (interval)</v>
      </c>
      <c r="H212" s="45">
        <f>_xlfn.AGGREGATE(2,5,LineærRegression_Valg[[#This Row],[Tabel ID]])</f>
        <v>1</v>
      </c>
    </row>
    <row r="213" spans="1:8" x14ac:dyDescent="0.2">
      <c r="A213">
        <f>ROW(LineærRegression_Valg[[#This Row],[Tabel ID]])-ROW(LineærRegression_Valg[[#Headers],[Tabel ID]])</f>
        <v>203</v>
      </c>
      <c r="B213" s="45">
        <f>ROUNDDOWN((LineærRegression_Valg[[#This Row],[Tabel ID]]-1)/$B$5,0)+1</f>
        <v>51</v>
      </c>
      <c r="C213" s="45">
        <f t="shared" si="3"/>
        <v>3</v>
      </c>
      <c r="D213" s="45" t="b">
        <f>LineærRegression_Valg[[#This Row],[Afhængig variabel ID]]&lt;&gt;LineærRegression_Valg[[#This Row],[Uafhængig variabel ID]]</f>
        <v>1</v>
      </c>
      <c r="E213" t="b">
        <f>LineærRegression_Valg[[#This Row],[Afhængig variabel ID]]&lt;=$B$5</f>
        <v>0</v>
      </c>
      <c r="F213" t="str" cm="1">
        <f t="array" ref="F213">IF(LineærRegression_Valg[[#This Row],[Indenfor range]],INDEX(DataTitel_liste,LineærRegression_Valg[[#This Row],[Afhængig variabel ID]]),INDEX(DataTitel_liste,1))</f>
        <v>Eksempel 1 (interval)</v>
      </c>
      <c r="G213" s="45" t="str" cm="1">
        <f t="array" ref="G213">IF(LineærRegression_Valg[[#This Row],[Indenfor range]],IF(LineærRegression_Valg[[#This Row],[Intet overlap]],INDEX(DataTitel_liste,LineærRegression_Valg[[#This Row],[Uafhængig variabel ID]]),INDEX(DataTitel_liste,IF(LineærRegression_Valg[[#This Row],[Afhængig variabel ID]]=1,2,1))),$B$7)</f>
        <v>Eksempel 2 (interval)</v>
      </c>
      <c r="H213" s="45">
        <f>_xlfn.AGGREGATE(2,5,LineærRegression_Valg[[#This Row],[Tabel ID]])</f>
        <v>1</v>
      </c>
    </row>
    <row r="214" spans="1:8" x14ac:dyDescent="0.2">
      <c r="A214">
        <f>ROW(LineærRegression_Valg[[#This Row],[Tabel ID]])-ROW(LineærRegression_Valg[[#Headers],[Tabel ID]])</f>
        <v>204</v>
      </c>
      <c r="B214" s="45">
        <f>ROUNDDOWN((LineærRegression_Valg[[#This Row],[Tabel ID]]-1)/$B$5,0)+1</f>
        <v>51</v>
      </c>
      <c r="C214" s="45">
        <f t="shared" si="3"/>
        <v>4</v>
      </c>
      <c r="D214" s="45" t="b">
        <f>LineærRegression_Valg[[#This Row],[Afhængig variabel ID]]&lt;&gt;LineærRegression_Valg[[#This Row],[Uafhængig variabel ID]]</f>
        <v>1</v>
      </c>
      <c r="E214" t="b">
        <f>LineærRegression_Valg[[#This Row],[Afhængig variabel ID]]&lt;=$B$5</f>
        <v>0</v>
      </c>
      <c r="F214" t="str" cm="1">
        <f t="array" ref="F214">IF(LineærRegression_Valg[[#This Row],[Indenfor range]],INDEX(DataTitel_liste,LineærRegression_Valg[[#This Row],[Afhængig variabel ID]]),INDEX(DataTitel_liste,1))</f>
        <v>Eksempel 1 (interval)</v>
      </c>
      <c r="G214" s="45" t="str" cm="1">
        <f t="array" ref="G214">IF(LineærRegression_Valg[[#This Row],[Indenfor range]],IF(LineærRegression_Valg[[#This Row],[Intet overlap]],INDEX(DataTitel_liste,LineærRegression_Valg[[#This Row],[Uafhængig variabel ID]]),INDEX(DataTitel_liste,IF(LineærRegression_Valg[[#This Row],[Afhængig variabel ID]]=1,2,1))),$B$7)</f>
        <v>Eksempel 2 (interval)</v>
      </c>
      <c r="H214" s="45">
        <f>_xlfn.AGGREGATE(2,5,LineærRegression_Valg[[#This Row],[Tabel ID]])</f>
        <v>1</v>
      </c>
    </row>
    <row r="215" spans="1:8" x14ac:dyDescent="0.2">
      <c r="A215">
        <f>ROW(LineærRegression_Valg[[#This Row],[Tabel ID]])-ROW(LineærRegression_Valg[[#Headers],[Tabel ID]])</f>
        <v>205</v>
      </c>
      <c r="B215" s="45">
        <f>ROUNDDOWN((LineærRegression_Valg[[#This Row],[Tabel ID]]-1)/$B$5,0)+1</f>
        <v>52</v>
      </c>
      <c r="C215" s="45">
        <f t="shared" si="3"/>
        <v>1</v>
      </c>
      <c r="D215" s="45" t="b">
        <f>LineærRegression_Valg[[#This Row],[Afhængig variabel ID]]&lt;&gt;LineærRegression_Valg[[#This Row],[Uafhængig variabel ID]]</f>
        <v>1</v>
      </c>
      <c r="E215" t="b">
        <f>LineærRegression_Valg[[#This Row],[Afhængig variabel ID]]&lt;=$B$5</f>
        <v>0</v>
      </c>
      <c r="F215" t="str" cm="1">
        <f t="array" ref="F215">IF(LineærRegression_Valg[[#This Row],[Indenfor range]],INDEX(DataTitel_liste,LineærRegression_Valg[[#This Row],[Afhængig variabel ID]]),INDEX(DataTitel_liste,1))</f>
        <v>Eksempel 1 (interval)</v>
      </c>
      <c r="G215" s="45" t="str" cm="1">
        <f t="array" ref="G215">IF(LineærRegression_Valg[[#This Row],[Indenfor range]],IF(LineærRegression_Valg[[#This Row],[Intet overlap]],INDEX(DataTitel_liste,LineærRegression_Valg[[#This Row],[Uafhængig variabel ID]]),INDEX(DataTitel_liste,IF(LineærRegression_Valg[[#This Row],[Afhængig variabel ID]]=1,2,1))),$B$7)</f>
        <v>Eksempel 2 (interval)</v>
      </c>
      <c r="H215" s="45">
        <f>_xlfn.AGGREGATE(2,5,LineærRegression_Valg[[#This Row],[Tabel ID]])</f>
        <v>1</v>
      </c>
    </row>
    <row r="216" spans="1:8" x14ac:dyDescent="0.2">
      <c r="A216">
        <f>ROW(LineærRegression_Valg[[#This Row],[Tabel ID]])-ROW(LineærRegression_Valg[[#Headers],[Tabel ID]])</f>
        <v>206</v>
      </c>
      <c r="B216" s="45">
        <f>ROUNDDOWN((LineærRegression_Valg[[#This Row],[Tabel ID]]-1)/$B$5,0)+1</f>
        <v>52</v>
      </c>
      <c r="C216" s="45">
        <f t="shared" si="3"/>
        <v>2</v>
      </c>
      <c r="D216" s="45" t="b">
        <f>LineærRegression_Valg[[#This Row],[Afhængig variabel ID]]&lt;&gt;LineærRegression_Valg[[#This Row],[Uafhængig variabel ID]]</f>
        <v>1</v>
      </c>
      <c r="E216" t="b">
        <f>LineærRegression_Valg[[#This Row],[Afhængig variabel ID]]&lt;=$B$5</f>
        <v>0</v>
      </c>
      <c r="F216" t="str" cm="1">
        <f t="array" ref="F216">IF(LineærRegression_Valg[[#This Row],[Indenfor range]],INDEX(DataTitel_liste,LineærRegression_Valg[[#This Row],[Afhængig variabel ID]]),INDEX(DataTitel_liste,1))</f>
        <v>Eksempel 1 (interval)</v>
      </c>
      <c r="G216" s="45" t="str" cm="1">
        <f t="array" ref="G216">IF(LineærRegression_Valg[[#This Row],[Indenfor range]],IF(LineærRegression_Valg[[#This Row],[Intet overlap]],INDEX(DataTitel_liste,LineærRegression_Valg[[#This Row],[Uafhængig variabel ID]]),INDEX(DataTitel_liste,IF(LineærRegression_Valg[[#This Row],[Afhængig variabel ID]]=1,2,1))),$B$7)</f>
        <v>Eksempel 2 (interval)</v>
      </c>
      <c r="H216" s="45">
        <f>_xlfn.AGGREGATE(2,5,LineærRegression_Valg[[#This Row],[Tabel ID]])</f>
        <v>1</v>
      </c>
    </row>
    <row r="217" spans="1:8" x14ac:dyDescent="0.2">
      <c r="A217">
        <f>ROW(LineærRegression_Valg[[#This Row],[Tabel ID]])-ROW(LineærRegression_Valg[[#Headers],[Tabel ID]])</f>
        <v>207</v>
      </c>
      <c r="B217" s="45">
        <f>ROUNDDOWN((LineærRegression_Valg[[#This Row],[Tabel ID]]-1)/$B$5,0)+1</f>
        <v>52</v>
      </c>
      <c r="C217" s="45">
        <f t="shared" si="3"/>
        <v>3</v>
      </c>
      <c r="D217" s="45" t="b">
        <f>LineærRegression_Valg[[#This Row],[Afhængig variabel ID]]&lt;&gt;LineærRegression_Valg[[#This Row],[Uafhængig variabel ID]]</f>
        <v>1</v>
      </c>
      <c r="E217" t="b">
        <f>LineærRegression_Valg[[#This Row],[Afhængig variabel ID]]&lt;=$B$5</f>
        <v>0</v>
      </c>
      <c r="F217" t="str" cm="1">
        <f t="array" ref="F217">IF(LineærRegression_Valg[[#This Row],[Indenfor range]],INDEX(DataTitel_liste,LineærRegression_Valg[[#This Row],[Afhængig variabel ID]]),INDEX(DataTitel_liste,1))</f>
        <v>Eksempel 1 (interval)</v>
      </c>
      <c r="G217" s="45" t="str" cm="1">
        <f t="array" ref="G217">IF(LineærRegression_Valg[[#This Row],[Indenfor range]],IF(LineærRegression_Valg[[#This Row],[Intet overlap]],INDEX(DataTitel_liste,LineærRegression_Valg[[#This Row],[Uafhængig variabel ID]]),INDEX(DataTitel_liste,IF(LineærRegression_Valg[[#This Row],[Afhængig variabel ID]]=1,2,1))),$B$7)</f>
        <v>Eksempel 2 (interval)</v>
      </c>
      <c r="H217" s="45">
        <f>_xlfn.AGGREGATE(2,5,LineærRegression_Valg[[#This Row],[Tabel ID]])</f>
        <v>1</v>
      </c>
    </row>
    <row r="218" spans="1:8" x14ac:dyDescent="0.2">
      <c r="A218">
        <f>ROW(LineærRegression_Valg[[#This Row],[Tabel ID]])-ROW(LineærRegression_Valg[[#Headers],[Tabel ID]])</f>
        <v>208</v>
      </c>
      <c r="B218" s="45">
        <f>ROUNDDOWN((LineærRegression_Valg[[#This Row],[Tabel ID]]-1)/$B$5,0)+1</f>
        <v>52</v>
      </c>
      <c r="C218" s="45">
        <f t="shared" si="3"/>
        <v>4</v>
      </c>
      <c r="D218" s="45" t="b">
        <f>LineærRegression_Valg[[#This Row],[Afhængig variabel ID]]&lt;&gt;LineærRegression_Valg[[#This Row],[Uafhængig variabel ID]]</f>
        <v>1</v>
      </c>
      <c r="E218" t="b">
        <f>LineærRegression_Valg[[#This Row],[Afhængig variabel ID]]&lt;=$B$5</f>
        <v>0</v>
      </c>
      <c r="F218" t="str" cm="1">
        <f t="array" ref="F218">IF(LineærRegression_Valg[[#This Row],[Indenfor range]],INDEX(DataTitel_liste,LineærRegression_Valg[[#This Row],[Afhængig variabel ID]]),INDEX(DataTitel_liste,1))</f>
        <v>Eksempel 1 (interval)</v>
      </c>
      <c r="G218" s="45" t="str" cm="1">
        <f t="array" ref="G218">IF(LineærRegression_Valg[[#This Row],[Indenfor range]],IF(LineærRegression_Valg[[#This Row],[Intet overlap]],INDEX(DataTitel_liste,LineærRegression_Valg[[#This Row],[Uafhængig variabel ID]]),INDEX(DataTitel_liste,IF(LineærRegression_Valg[[#This Row],[Afhængig variabel ID]]=1,2,1))),$B$7)</f>
        <v>Eksempel 2 (interval)</v>
      </c>
      <c r="H218" s="45">
        <f>_xlfn.AGGREGATE(2,5,LineærRegression_Valg[[#This Row],[Tabel ID]])</f>
        <v>1</v>
      </c>
    </row>
    <row r="219" spans="1:8" x14ac:dyDescent="0.2">
      <c r="A219">
        <f>ROW(LineærRegression_Valg[[#This Row],[Tabel ID]])-ROW(LineærRegression_Valg[[#Headers],[Tabel ID]])</f>
        <v>209</v>
      </c>
      <c r="B219" s="45">
        <f>ROUNDDOWN((LineærRegression_Valg[[#This Row],[Tabel ID]]-1)/$B$5,0)+1</f>
        <v>53</v>
      </c>
      <c r="C219" s="45">
        <f t="shared" si="3"/>
        <v>1</v>
      </c>
      <c r="D219" s="45" t="b">
        <f>LineærRegression_Valg[[#This Row],[Afhængig variabel ID]]&lt;&gt;LineærRegression_Valg[[#This Row],[Uafhængig variabel ID]]</f>
        <v>1</v>
      </c>
      <c r="E219" t="b">
        <f>LineærRegression_Valg[[#This Row],[Afhængig variabel ID]]&lt;=$B$5</f>
        <v>0</v>
      </c>
      <c r="F219" t="str" cm="1">
        <f t="array" ref="F219">IF(LineærRegression_Valg[[#This Row],[Indenfor range]],INDEX(DataTitel_liste,LineærRegression_Valg[[#This Row],[Afhængig variabel ID]]),INDEX(DataTitel_liste,1))</f>
        <v>Eksempel 1 (interval)</v>
      </c>
      <c r="G219" s="45" t="str" cm="1">
        <f t="array" ref="G219">IF(LineærRegression_Valg[[#This Row],[Indenfor range]],IF(LineærRegression_Valg[[#This Row],[Intet overlap]],INDEX(DataTitel_liste,LineærRegression_Valg[[#This Row],[Uafhængig variabel ID]]),INDEX(DataTitel_liste,IF(LineærRegression_Valg[[#This Row],[Afhængig variabel ID]]=1,2,1))),$B$7)</f>
        <v>Eksempel 2 (interval)</v>
      </c>
      <c r="H219" s="45">
        <f>_xlfn.AGGREGATE(2,5,LineærRegression_Valg[[#This Row],[Tabel ID]])</f>
        <v>1</v>
      </c>
    </row>
    <row r="220" spans="1:8" x14ac:dyDescent="0.2">
      <c r="A220">
        <f>ROW(LineærRegression_Valg[[#This Row],[Tabel ID]])-ROW(LineærRegression_Valg[[#Headers],[Tabel ID]])</f>
        <v>210</v>
      </c>
      <c r="B220" s="45">
        <f>ROUNDDOWN((LineærRegression_Valg[[#This Row],[Tabel ID]]-1)/$B$5,0)+1</f>
        <v>53</v>
      </c>
      <c r="C220" s="45">
        <f t="shared" si="3"/>
        <v>2</v>
      </c>
      <c r="D220" s="45" t="b">
        <f>LineærRegression_Valg[[#This Row],[Afhængig variabel ID]]&lt;&gt;LineærRegression_Valg[[#This Row],[Uafhængig variabel ID]]</f>
        <v>1</v>
      </c>
      <c r="E220" t="b">
        <f>LineærRegression_Valg[[#This Row],[Afhængig variabel ID]]&lt;=$B$5</f>
        <v>0</v>
      </c>
      <c r="F220" t="str" cm="1">
        <f t="array" ref="F220">IF(LineærRegression_Valg[[#This Row],[Indenfor range]],INDEX(DataTitel_liste,LineærRegression_Valg[[#This Row],[Afhængig variabel ID]]),INDEX(DataTitel_liste,1))</f>
        <v>Eksempel 1 (interval)</v>
      </c>
      <c r="G220" s="45" t="str" cm="1">
        <f t="array" ref="G220">IF(LineærRegression_Valg[[#This Row],[Indenfor range]],IF(LineærRegression_Valg[[#This Row],[Intet overlap]],INDEX(DataTitel_liste,LineærRegression_Valg[[#This Row],[Uafhængig variabel ID]]),INDEX(DataTitel_liste,IF(LineærRegression_Valg[[#This Row],[Afhængig variabel ID]]=1,2,1))),$B$7)</f>
        <v>Eksempel 2 (interval)</v>
      </c>
      <c r="H220" s="45">
        <f>_xlfn.AGGREGATE(2,5,LineærRegression_Valg[[#This Row],[Tabel ID]])</f>
        <v>1</v>
      </c>
    </row>
    <row r="221" spans="1:8" x14ac:dyDescent="0.2">
      <c r="A221">
        <f>ROW(LineærRegression_Valg[[#This Row],[Tabel ID]])-ROW(LineærRegression_Valg[[#Headers],[Tabel ID]])</f>
        <v>211</v>
      </c>
      <c r="B221" s="45">
        <f>ROUNDDOWN((LineærRegression_Valg[[#This Row],[Tabel ID]]-1)/$B$5,0)+1</f>
        <v>53</v>
      </c>
      <c r="C221" s="45">
        <f t="shared" si="3"/>
        <v>3</v>
      </c>
      <c r="D221" s="45" t="b">
        <f>LineærRegression_Valg[[#This Row],[Afhængig variabel ID]]&lt;&gt;LineærRegression_Valg[[#This Row],[Uafhængig variabel ID]]</f>
        <v>1</v>
      </c>
      <c r="E221" t="b">
        <f>LineærRegression_Valg[[#This Row],[Afhængig variabel ID]]&lt;=$B$5</f>
        <v>0</v>
      </c>
      <c r="F221" t="str" cm="1">
        <f t="array" ref="F221">IF(LineærRegression_Valg[[#This Row],[Indenfor range]],INDEX(DataTitel_liste,LineærRegression_Valg[[#This Row],[Afhængig variabel ID]]),INDEX(DataTitel_liste,1))</f>
        <v>Eksempel 1 (interval)</v>
      </c>
      <c r="G221" s="45" t="str" cm="1">
        <f t="array" ref="G221">IF(LineærRegression_Valg[[#This Row],[Indenfor range]],IF(LineærRegression_Valg[[#This Row],[Intet overlap]],INDEX(DataTitel_liste,LineærRegression_Valg[[#This Row],[Uafhængig variabel ID]]),INDEX(DataTitel_liste,IF(LineærRegression_Valg[[#This Row],[Afhængig variabel ID]]=1,2,1))),$B$7)</f>
        <v>Eksempel 2 (interval)</v>
      </c>
      <c r="H221" s="45">
        <f>_xlfn.AGGREGATE(2,5,LineærRegression_Valg[[#This Row],[Tabel ID]])</f>
        <v>1</v>
      </c>
    </row>
    <row r="222" spans="1:8" x14ac:dyDescent="0.2">
      <c r="A222">
        <f>ROW(LineærRegression_Valg[[#This Row],[Tabel ID]])-ROW(LineærRegression_Valg[[#Headers],[Tabel ID]])</f>
        <v>212</v>
      </c>
      <c r="B222" s="45">
        <f>ROUNDDOWN((LineærRegression_Valg[[#This Row],[Tabel ID]]-1)/$B$5,0)+1</f>
        <v>53</v>
      </c>
      <c r="C222" s="45">
        <f t="shared" si="3"/>
        <v>4</v>
      </c>
      <c r="D222" s="45" t="b">
        <f>LineærRegression_Valg[[#This Row],[Afhængig variabel ID]]&lt;&gt;LineærRegression_Valg[[#This Row],[Uafhængig variabel ID]]</f>
        <v>1</v>
      </c>
      <c r="E222" t="b">
        <f>LineærRegression_Valg[[#This Row],[Afhængig variabel ID]]&lt;=$B$5</f>
        <v>0</v>
      </c>
      <c r="F222" t="str" cm="1">
        <f t="array" ref="F222">IF(LineærRegression_Valg[[#This Row],[Indenfor range]],INDEX(DataTitel_liste,LineærRegression_Valg[[#This Row],[Afhængig variabel ID]]),INDEX(DataTitel_liste,1))</f>
        <v>Eksempel 1 (interval)</v>
      </c>
      <c r="G222" s="45" t="str" cm="1">
        <f t="array" ref="G222">IF(LineærRegression_Valg[[#This Row],[Indenfor range]],IF(LineærRegression_Valg[[#This Row],[Intet overlap]],INDEX(DataTitel_liste,LineærRegression_Valg[[#This Row],[Uafhængig variabel ID]]),INDEX(DataTitel_liste,IF(LineærRegression_Valg[[#This Row],[Afhængig variabel ID]]=1,2,1))),$B$7)</f>
        <v>Eksempel 2 (interval)</v>
      </c>
      <c r="H222" s="45">
        <f>_xlfn.AGGREGATE(2,5,LineærRegression_Valg[[#This Row],[Tabel ID]])</f>
        <v>1</v>
      </c>
    </row>
    <row r="223" spans="1:8" x14ac:dyDescent="0.2">
      <c r="A223">
        <f>ROW(LineærRegression_Valg[[#This Row],[Tabel ID]])-ROW(LineærRegression_Valg[[#Headers],[Tabel ID]])</f>
        <v>213</v>
      </c>
      <c r="B223" s="45">
        <f>ROUNDDOWN((LineærRegression_Valg[[#This Row],[Tabel ID]]-1)/$B$5,0)+1</f>
        <v>54</v>
      </c>
      <c r="C223" s="45">
        <f t="shared" si="3"/>
        <v>1</v>
      </c>
      <c r="D223" s="45" t="b">
        <f>LineærRegression_Valg[[#This Row],[Afhængig variabel ID]]&lt;&gt;LineærRegression_Valg[[#This Row],[Uafhængig variabel ID]]</f>
        <v>1</v>
      </c>
      <c r="E223" t="b">
        <f>LineærRegression_Valg[[#This Row],[Afhængig variabel ID]]&lt;=$B$5</f>
        <v>0</v>
      </c>
      <c r="F223" t="str" cm="1">
        <f t="array" ref="F223">IF(LineærRegression_Valg[[#This Row],[Indenfor range]],INDEX(DataTitel_liste,LineærRegression_Valg[[#This Row],[Afhængig variabel ID]]),INDEX(DataTitel_liste,1))</f>
        <v>Eksempel 1 (interval)</v>
      </c>
      <c r="G223" s="45" t="str" cm="1">
        <f t="array" ref="G223">IF(LineærRegression_Valg[[#This Row],[Indenfor range]],IF(LineærRegression_Valg[[#This Row],[Intet overlap]],INDEX(DataTitel_liste,LineærRegression_Valg[[#This Row],[Uafhængig variabel ID]]),INDEX(DataTitel_liste,IF(LineærRegression_Valg[[#This Row],[Afhængig variabel ID]]=1,2,1))),$B$7)</f>
        <v>Eksempel 2 (interval)</v>
      </c>
      <c r="H223" s="45">
        <f>_xlfn.AGGREGATE(2,5,LineærRegression_Valg[[#This Row],[Tabel ID]])</f>
        <v>1</v>
      </c>
    </row>
    <row r="224" spans="1:8" x14ac:dyDescent="0.2">
      <c r="A224">
        <f>ROW(LineærRegression_Valg[[#This Row],[Tabel ID]])-ROW(LineærRegression_Valg[[#Headers],[Tabel ID]])</f>
        <v>214</v>
      </c>
      <c r="B224" s="45">
        <f>ROUNDDOWN((LineærRegression_Valg[[#This Row],[Tabel ID]]-1)/$B$5,0)+1</f>
        <v>54</v>
      </c>
      <c r="C224" s="45">
        <f t="shared" si="3"/>
        <v>2</v>
      </c>
      <c r="D224" s="45" t="b">
        <f>LineærRegression_Valg[[#This Row],[Afhængig variabel ID]]&lt;&gt;LineærRegression_Valg[[#This Row],[Uafhængig variabel ID]]</f>
        <v>1</v>
      </c>
      <c r="E224" t="b">
        <f>LineærRegression_Valg[[#This Row],[Afhængig variabel ID]]&lt;=$B$5</f>
        <v>0</v>
      </c>
      <c r="F224" t="str" cm="1">
        <f t="array" ref="F224">IF(LineærRegression_Valg[[#This Row],[Indenfor range]],INDEX(DataTitel_liste,LineærRegression_Valg[[#This Row],[Afhængig variabel ID]]),INDEX(DataTitel_liste,1))</f>
        <v>Eksempel 1 (interval)</v>
      </c>
      <c r="G224" s="45" t="str" cm="1">
        <f t="array" ref="G224">IF(LineærRegression_Valg[[#This Row],[Indenfor range]],IF(LineærRegression_Valg[[#This Row],[Intet overlap]],INDEX(DataTitel_liste,LineærRegression_Valg[[#This Row],[Uafhængig variabel ID]]),INDEX(DataTitel_liste,IF(LineærRegression_Valg[[#This Row],[Afhængig variabel ID]]=1,2,1))),$B$7)</f>
        <v>Eksempel 2 (interval)</v>
      </c>
      <c r="H224" s="45">
        <f>_xlfn.AGGREGATE(2,5,LineærRegression_Valg[[#This Row],[Tabel ID]])</f>
        <v>1</v>
      </c>
    </row>
    <row r="225" spans="1:8" x14ac:dyDescent="0.2">
      <c r="A225">
        <f>ROW(LineærRegression_Valg[[#This Row],[Tabel ID]])-ROW(LineærRegression_Valg[[#Headers],[Tabel ID]])</f>
        <v>215</v>
      </c>
      <c r="B225" s="45">
        <f>ROUNDDOWN((LineærRegression_Valg[[#This Row],[Tabel ID]]-1)/$B$5,0)+1</f>
        <v>54</v>
      </c>
      <c r="C225" s="45">
        <f t="shared" si="3"/>
        <v>3</v>
      </c>
      <c r="D225" s="45" t="b">
        <f>LineærRegression_Valg[[#This Row],[Afhængig variabel ID]]&lt;&gt;LineærRegression_Valg[[#This Row],[Uafhængig variabel ID]]</f>
        <v>1</v>
      </c>
      <c r="E225" t="b">
        <f>LineærRegression_Valg[[#This Row],[Afhængig variabel ID]]&lt;=$B$5</f>
        <v>0</v>
      </c>
      <c r="F225" t="str" cm="1">
        <f t="array" ref="F225">IF(LineærRegression_Valg[[#This Row],[Indenfor range]],INDEX(DataTitel_liste,LineærRegression_Valg[[#This Row],[Afhængig variabel ID]]),INDEX(DataTitel_liste,1))</f>
        <v>Eksempel 1 (interval)</v>
      </c>
      <c r="G225" s="45" t="str" cm="1">
        <f t="array" ref="G225">IF(LineærRegression_Valg[[#This Row],[Indenfor range]],IF(LineærRegression_Valg[[#This Row],[Intet overlap]],INDEX(DataTitel_liste,LineærRegression_Valg[[#This Row],[Uafhængig variabel ID]]),INDEX(DataTitel_liste,IF(LineærRegression_Valg[[#This Row],[Afhængig variabel ID]]=1,2,1))),$B$7)</f>
        <v>Eksempel 2 (interval)</v>
      </c>
      <c r="H225" s="45">
        <f>_xlfn.AGGREGATE(2,5,LineærRegression_Valg[[#This Row],[Tabel ID]])</f>
        <v>1</v>
      </c>
    </row>
    <row r="226" spans="1:8" x14ac:dyDescent="0.2">
      <c r="A226">
        <f>ROW(LineærRegression_Valg[[#This Row],[Tabel ID]])-ROW(LineærRegression_Valg[[#Headers],[Tabel ID]])</f>
        <v>216</v>
      </c>
      <c r="B226" s="45">
        <f>ROUNDDOWN((LineærRegression_Valg[[#This Row],[Tabel ID]]-1)/$B$5,0)+1</f>
        <v>54</v>
      </c>
      <c r="C226" s="45">
        <f t="shared" si="3"/>
        <v>4</v>
      </c>
      <c r="D226" s="45" t="b">
        <f>LineærRegression_Valg[[#This Row],[Afhængig variabel ID]]&lt;&gt;LineærRegression_Valg[[#This Row],[Uafhængig variabel ID]]</f>
        <v>1</v>
      </c>
      <c r="E226" t="b">
        <f>LineærRegression_Valg[[#This Row],[Afhængig variabel ID]]&lt;=$B$5</f>
        <v>0</v>
      </c>
      <c r="F226" t="str" cm="1">
        <f t="array" ref="F226">IF(LineærRegression_Valg[[#This Row],[Indenfor range]],INDEX(DataTitel_liste,LineærRegression_Valg[[#This Row],[Afhængig variabel ID]]),INDEX(DataTitel_liste,1))</f>
        <v>Eksempel 1 (interval)</v>
      </c>
      <c r="G226" s="45" t="str" cm="1">
        <f t="array" ref="G226">IF(LineærRegression_Valg[[#This Row],[Indenfor range]],IF(LineærRegression_Valg[[#This Row],[Intet overlap]],INDEX(DataTitel_liste,LineærRegression_Valg[[#This Row],[Uafhængig variabel ID]]),INDEX(DataTitel_liste,IF(LineærRegression_Valg[[#This Row],[Afhængig variabel ID]]=1,2,1))),$B$7)</f>
        <v>Eksempel 2 (interval)</v>
      </c>
      <c r="H226" s="45">
        <f>_xlfn.AGGREGATE(2,5,LineærRegression_Valg[[#This Row],[Tabel ID]])</f>
        <v>1</v>
      </c>
    </row>
    <row r="227" spans="1:8" x14ac:dyDescent="0.2">
      <c r="A227">
        <f>ROW(LineærRegression_Valg[[#This Row],[Tabel ID]])-ROW(LineærRegression_Valg[[#Headers],[Tabel ID]])</f>
        <v>217</v>
      </c>
      <c r="B227" s="45">
        <f>ROUNDDOWN((LineærRegression_Valg[[#This Row],[Tabel ID]]-1)/$B$5,0)+1</f>
        <v>55</v>
      </c>
      <c r="C227" s="45">
        <f t="shared" si="3"/>
        <v>1</v>
      </c>
      <c r="D227" s="45" t="b">
        <f>LineærRegression_Valg[[#This Row],[Afhængig variabel ID]]&lt;&gt;LineærRegression_Valg[[#This Row],[Uafhængig variabel ID]]</f>
        <v>1</v>
      </c>
      <c r="E227" t="b">
        <f>LineærRegression_Valg[[#This Row],[Afhængig variabel ID]]&lt;=$B$5</f>
        <v>0</v>
      </c>
      <c r="F227" t="str" cm="1">
        <f t="array" ref="F227">IF(LineærRegression_Valg[[#This Row],[Indenfor range]],INDEX(DataTitel_liste,LineærRegression_Valg[[#This Row],[Afhængig variabel ID]]),INDEX(DataTitel_liste,1))</f>
        <v>Eksempel 1 (interval)</v>
      </c>
      <c r="G227" s="45" t="str" cm="1">
        <f t="array" ref="G227">IF(LineærRegression_Valg[[#This Row],[Indenfor range]],IF(LineærRegression_Valg[[#This Row],[Intet overlap]],INDEX(DataTitel_liste,LineærRegression_Valg[[#This Row],[Uafhængig variabel ID]]),INDEX(DataTitel_liste,IF(LineærRegression_Valg[[#This Row],[Afhængig variabel ID]]=1,2,1))),$B$7)</f>
        <v>Eksempel 2 (interval)</v>
      </c>
      <c r="H227" s="45">
        <f>_xlfn.AGGREGATE(2,5,LineærRegression_Valg[[#This Row],[Tabel ID]])</f>
        <v>1</v>
      </c>
    </row>
    <row r="228" spans="1:8" x14ac:dyDescent="0.2">
      <c r="A228">
        <f>ROW(LineærRegression_Valg[[#This Row],[Tabel ID]])-ROW(LineærRegression_Valg[[#Headers],[Tabel ID]])</f>
        <v>218</v>
      </c>
      <c r="B228" s="45">
        <f>ROUNDDOWN((LineærRegression_Valg[[#This Row],[Tabel ID]]-1)/$B$5,0)+1</f>
        <v>55</v>
      </c>
      <c r="C228" s="45">
        <f t="shared" si="3"/>
        <v>2</v>
      </c>
      <c r="D228" s="45" t="b">
        <f>LineærRegression_Valg[[#This Row],[Afhængig variabel ID]]&lt;&gt;LineærRegression_Valg[[#This Row],[Uafhængig variabel ID]]</f>
        <v>1</v>
      </c>
      <c r="E228" t="b">
        <f>LineærRegression_Valg[[#This Row],[Afhængig variabel ID]]&lt;=$B$5</f>
        <v>0</v>
      </c>
      <c r="F228" t="str" cm="1">
        <f t="array" ref="F228">IF(LineærRegression_Valg[[#This Row],[Indenfor range]],INDEX(DataTitel_liste,LineærRegression_Valg[[#This Row],[Afhængig variabel ID]]),INDEX(DataTitel_liste,1))</f>
        <v>Eksempel 1 (interval)</v>
      </c>
      <c r="G228" s="45" t="str" cm="1">
        <f t="array" ref="G228">IF(LineærRegression_Valg[[#This Row],[Indenfor range]],IF(LineærRegression_Valg[[#This Row],[Intet overlap]],INDEX(DataTitel_liste,LineærRegression_Valg[[#This Row],[Uafhængig variabel ID]]),INDEX(DataTitel_liste,IF(LineærRegression_Valg[[#This Row],[Afhængig variabel ID]]=1,2,1))),$B$7)</f>
        <v>Eksempel 2 (interval)</v>
      </c>
      <c r="H228" s="45">
        <f>_xlfn.AGGREGATE(2,5,LineærRegression_Valg[[#This Row],[Tabel ID]])</f>
        <v>1</v>
      </c>
    </row>
    <row r="229" spans="1:8" x14ac:dyDescent="0.2">
      <c r="A229">
        <f>ROW(LineærRegression_Valg[[#This Row],[Tabel ID]])-ROW(LineærRegression_Valg[[#Headers],[Tabel ID]])</f>
        <v>219</v>
      </c>
      <c r="B229" s="45">
        <f>ROUNDDOWN((LineærRegression_Valg[[#This Row],[Tabel ID]]-1)/$B$5,0)+1</f>
        <v>55</v>
      </c>
      <c r="C229" s="45">
        <f t="shared" si="3"/>
        <v>3</v>
      </c>
      <c r="D229" s="45" t="b">
        <f>LineærRegression_Valg[[#This Row],[Afhængig variabel ID]]&lt;&gt;LineærRegression_Valg[[#This Row],[Uafhængig variabel ID]]</f>
        <v>1</v>
      </c>
      <c r="E229" t="b">
        <f>LineærRegression_Valg[[#This Row],[Afhængig variabel ID]]&lt;=$B$5</f>
        <v>0</v>
      </c>
      <c r="F229" t="str" cm="1">
        <f t="array" ref="F229">IF(LineærRegression_Valg[[#This Row],[Indenfor range]],INDEX(DataTitel_liste,LineærRegression_Valg[[#This Row],[Afhængig variabel ID]]),INDEX(DataTitel_liste,1))</f>
        <v>Eksempel 1 (interval)</v>
      </c>
      <c r="G229" s="45" t="str" cm="1">
        <f t="array" ref="G229">IF(LineærRegression_Valg[[#This Row],[Indenfor range]],IF(LineærRegression_Valg[[#This Row],[Intet overlap]],INDEX(DataTitel_liste,LineærRegression_Valg[[#This Row],[Uafhængig variabel ID]]),INDEX(DataTitel_liste,IF(LineærRegression_Valg[[#This Row],[Afhængig variabel ID]]=1,2,1))),$B$7)</f>
        <v>Eksempel 2 (interval)</v>
      </c>
      <c r="H229" s="45">
        <f>_xlfn.AGGREGATE(2,5,LineærRegression_Valg[[#This Row],[Tabel ID]])</f>
        <v>1</v>
      </c>
    </row>
    <row r="230" spans="1:8" x14ac:dyDescent="0.2">
      <c r="A230">
        <f>ROW(LineærRegression_Valg[[#This Row],[Tabel ID]])-ROW(LineærRegression_Valg[[#Headers],[Tabel ID]])</f>
        <v>220</v>
      </c>
      <c r="B230" s="45">
        <f>ROUNDDOWN((LineærRegression_Valg[[#This Row],[Tabel ID]]-1)/$B$5,0)+1</f>
        <v>55</v>
      </c>
      <c r="C230" s="45">
        <f t="shared" si="3"/>
        <v>4</v>
      </c>
      <c r="D230" s="45" t="b">
        <f>LineærRegression_Valg[[#This Row],[Afhængig variabel ID]]&lt;&gt;LineærRegression_Valg[[#This Row],[Uafhængig variabel ID]]</f>
        <v>1</v>
      </c>
      <c r="E230" t="b">
        <f>LineærRegression_Valg[[#This Row],[Afhængig variabel ID]]&lt;=$B$5</f>
        <v>0</v>
      </c>
      <c r="F230" t="str" cm="1">
        <f t="array" ref="F230">IF(LineærRegression_Valg[[#This Row],[Indenfor range]],INDEX(DataTitel_liste,LineærRegression_Valg[[#This Row],[Afhængig variabel ID]]),INDEX(DataTitel_liste,1))</f>
        <v>Eksempel 1 (interval)</v>
      </c>
      <c r="G230" s="45" t="str" cm="1">
        <f t="array" ref="G230">IF(LineærRegression_Valg[[#This Row],[Indenfor range]],IF(LineærRegression_Valg[[#This Row],[Intet overlap]],INDEX(DataTitel_liste,LineærRegression_Valg[[#This Row],[Uafhængig variabel ID]]),INDEX(DataTitel_liste,IF(LineærRegression_Valg[[#This Row],[Afhængig variabel ID]]=1,2,1))),$B$7)</f>
        <v>Eksempel 2 (interval)</v>
      </c>
      <c r="H230" s="45">
        <f>_xlfn.AGGREGATE(2,5,LineærRegression_Valg[[#This Row],[Tabel ID]])</f>
        <v>1</v>
      </c>
    </row>
    <row r="231" spans="1:8" x14ac:dyDescent="0.2">
      <c r="A231">
        <f>ROW(LineærRegression_Valg[[#This Row],[Tabel ID]])-ROW(LineærRegression_Valg[[#Headers],[Tabel ID]])</f>
        <v>221</v>
      </c>
      <c r="B231" s="45">
        <f>ROUNDDOWN((LineærRegression_Valg[[#This Row],[Tabel ID]]-1)/$B$5,0)+1</f>
        <v>56</v>
      </c>
      <c r="C231" s="45">
        <f t="shared" si="3"/>
        <v>1</v>
      </c>
      <c r="D231" s="45" t="b">
        <f>LineærRegression_Valg[[#This Row],[Afhængig variabel ID]]&lt;&gt;LineærRegression_Valg[[#This Row],[Uafhængig variabel ID]]</f>
        <v>1</v>
      </c>
      <c r="E231" t="b">
        <f>LineærRegression_Valg[[#This Row],[Afhængig variabel ID]]&lt;=$B$5</f>
        <v>0</v>
      </c>
      <c r="F231" t="str" cm="1">
        <f t="array" ref="F231">IF(LineærRegression_Valg[[#This Row],[Indenfor range]],INDEX(DataTitel_liste,LineærRegression_Valg[[#This Row],[Afhængig variabel ID]]),INDEX(DataTitel_liste,1))</f>
        <v>Eksempel 1 (interval)</v>
      </c>
      <c r="G231" s="45" t="str" cm="1">
        <f t="array" ref="G231">IF(LineærRegression_Valg[[#This Row],[Indenfor range]],IF(LineærRegression_Valg[[#This Row],[Intet overlap]],INDEX(DataTitel_liste,LineærRegression_Valg[[#This Row],[Uafhængig variabel ID]]),INDEX(DataTitel_liste,IF(LineærRegression_Valg[[#This Row],[Afhængig variabel ID]]=1,2,1))),$B$7)</f>
        <v>Eksempel 2 (interval)</v>
      </c>
      <c r="H231" s="45">
        <f>_xlfn.AGGREGATE(2,5,LineærRegression_Valg[[#This Row],[Tabel ID]])</f>
        <v>1</v>
      </c>
    </row>
    <row r="232" spans="1:8" x14ac:dyDescent="0.2">
      <c r="A232">
        <f>ROW(LineærRegression_Valg[[#This Row],[Tabel ID]])-ROW(LineærRegression_Valg[[#Headers],[Tabel ID]])</f>
        <v>222</v>
      </c>
      <c r="B232" s="45">
        <f>ROUNDDOWN((LineærRegression_Valg[[#This Row],[Tabel ID]]-1)/$B$5,0)+1</f>
        <v>56</v>
      </c>
      <c r="C232" s="45">
        <f t="shared" si="3"/>
        <v>2</v>
      </c>
      <c r="D232" s="45" t="b">
        <f>LineærRegression_Valg[[#This Row],[Afhængig variabel ID]]&lt;&gt;LineærRegression_Valg[[#This Row],[Uafhængig variabel ID]]</f>
        <v>1</v>
      </c>
      <c r="E232" t="b">
        <f>LineærRegression_Valg[[#This Row],[Afhængig variabel ID]]&lt;=$B$5</f>
        <v>0</v>
      </c>
      <c r="F232" t="str" cm="1">
        <f t="array" ref="F232">IF(LineærRegression_Valg[[#This Row],[Indenfor range]],INDEX(DataTitel_liste,LineærRegression_Valg[[#This Row],[Afhængig variabel ID]]),INDEX(DataTitel_liste,1))</f>
        <v>Eksempel 1 (interval)</v>
      </c>
      <c r="G232" s="45" t="str" cm="1">
        <f t="array" ref="G232">IF(LineærRegression_Valg[[#This Row],[Indenfor range]],IF(LineærRegression_Valg[[#This Row],[Intet overlap]],INDEX(DataTitel_liste,LineærRegression_Valg[[#This Row],[Uafhængig variabel ID]]),INDEX(DataTitel_liste,IF(LineærRegression_Valg[[#This Row],[Afhængig variabel ID]]=1,2,1))),$B$7)</f>
        <v>Eksempel 2 (interval)</v>
      </c>
      <c r="H232" s="45">
        <f>_xlfn.AGGREGATE(2,5,LineærRegression_Valg[[#This Row],[Tabel ID]])</f>
        <v>1</v>
      </c>
    </row>
    <row r="233" spans="1:8" x14ac:dyDescent="0.2">
      <c r="A233">
        <f>ROW(LineærRegression_Valg[[#This Row],[Tabel ID]])-ROW(LineærRegression_Valg[[#Headers],[Tabel ID]])</f>
        <v>223</v>
      </c>
      <c r="B233" s="45">
        <f>ROUNDDOWN((LineærRegression_Valg[[#This Row],[Tabel ID]]-1)/$B$5,0)+1</f>
        <v>56</v>
      </c>
      <c r="C233" s="45">
        <f t="shared" si="3"/>
        <v>3</v>
      </c>
      <c r="D233" s="45" t="b">
        <f>LineærRegression_Valg[[#This Row],[Afhængig variabel ID]]&lt;&gt;LineærRegression_Valg[[#This Row],[Uafhængig variabel ID]]</f>
        <v>1</v>
      </c>
      <c r="E233" t="b">
        <f>LineærRegression_Valg[[#This Row],[Afhængig variabel ID]]&lt;=$B$5</f>
        <v>0</v>
      </c>
      <c r="F233" t="str" cm="1">
        <f t="array" ref="F233">IF(LineærRegression_Valg[[#This Row],[Indenfor range]],INDEX(DataTitel_liste,LineærRegression_Valg[[#This Row],[Afhængig variabel ID]]),INDEX(DataTitel_liste,1))</f>
        <v>Eksempel 1 (interval)</v>
      </c>
      <c r="G233" s="45" t="str" cm="1">
        <f t="array" ref="G233">IF(LineærRegression_Valg[[#This Row],[Indenfor range]],IF(LineærRegression_Valg[[#This Row],[Intet overlap]],INDEX(DataTitel_liste,LineærRegression_Valg[[#This Row],[Uafhængig variabel ID]]),INDEX(DataTitel_liste,IF(LineærRegression_Valg[[#This Row],[Afhængig variabel ID]]=1,2,1))),$B$7)</f>
        <v>Eksempel 2 (interval)</v>
      </c>
      <c r="H233" s="45">
        <f>_xlfn.AGGREGATE(2,5,LineærRegression_Valg[[#This Row],[Tabel ID]])</f>
        <v>1</v>
      </c>
    </row>
    <row r="234" spans="1:8" x14ac:dyDescent="0.2">
      <c r="A234">
        <f>ROW(LineærRegression_Valg[[#This Row],[Tabel ID]])-ROW(LineærRegression_Valg[[#Headers],[Tabel ID]])</f>
        <v>224</v>
      </c>
      <c r="B234" s="45">
        <f>ROUNDDOWN((LineærRegression_Valg[[#This Row],[Tabel ID]]-1)/$B$5,0)+1</f>
        <v>56</v>
      </c>
      <c r="C234" s="45">
        <f t="shared" si="3"/>
        <v>4</v>
      </c>
      <c r="D234" s="45" t="b">
        <f>LineærRegression_Valg[[#This Row],[Afhængig variabel ID]]&lt;&gt;LineærRegression_Valg[[#This Row],[Uafhængig variabel ID]]</f>
        <v>1</v>
      </c>
      <c r="E234" t="b">
        <f>LineærRegression_Valg[[#This Row],[Afhængig variabel ID]]&lt;=$B$5</f>
        <v>0</v>
      </c>
      <c r="F234" t="str" cm="1">
        <f t="array" ref="F234">IF(LineærRegression_Valg[[#This Row],[Indenfor range]],INDEX(DataTitel_liste,LineærRegression_Valg[[#This Row],[Afhængig variabel ID]]),INDEX(DataTitel_liste,1))</f>
        <v>Eksempel 1 (interval)</v>
      </c>
      <c r="G234" s="45" t="str" cm="1">
        <f t="array" ref="G234">IF(LineærRegression_Valg[[#This Row],[Indenfor range]],IF(LineærRegression_Valg[[#This Row],[Intet overlap]],INDEX(DataTitel_liste,LineærRegression_Valg[[#This Row],[Uafhængig variabel ID]]),INDEX(DataTitel_liste,IF(LineærRegression_Valg[[#This Row],[Afhængig variabel ID]]=1,2,1))),$B$7)</f>
        <v>Eksempel 2 (interval)</v>
      </c>
      <c r="H234" s="45">
        <f>_xlfn.AGGREGATE(2,5,LineærRegression_Valg[[#This Row],[Tabel ID]])</f>
        <v>1</v>
      </c>
    </row>
    <row r="235" spans="1:8" x14ac:dyDescent="0.2">
      <c r="A235">
        <f>ROW(LineærRegression_Valg[[#This Row],[Tabel ID]])-ROW(LineærRegression_Valg[[#Headers],[Tabel ID]])</f>
        <v>225</v>
      </c>
      <c r="B235" s="45">
        <f>ROUNDDOWN((LineærRegression_Valg[[#This Row],[Tabel ID]]-1)/$B$5,0)+1</f>
        <v>57</v>
      </c>
      <c r="C235" s="45">
        <f t="shared" si="3"/>
        <v>1</v>
      </c>
      <c r="D235" s="45" t="b">
        <f>LineærRegression_Valg[[#This Row],[Afhængig variabel ID]]&lt;&gt;LineærRegression_Valg[[#This Row],[Uafhængig variabel ID]]</f>
        <v>1</v>
      </c>
      <c r="E235" t="b">
        <f>LineærRegression_Valg[[#This Row],[Afhængig variabel ID]]&lt;=$B$5</f>
        <v>0</v>
      </c>
      <c r="F235" t="str" cm="1">
        <f t="array" ref="F235">IF(LineærRegression_Valg[[#This Row],[Indenfor range]],INDEX(DataTitel_liste,LineærRegression_Valg[[#This Row],[Afhængig variabel ID]]),INDEX(DataTitel_liste,1))</f>
        <v>Eksempel 1 (interval)</v>
      </c>
      <c r="G235" s="45" t="str" cm="1">
        <f t="array" ref="G235">IF(LineærRegression_Valg[[#This Row],[Indenfor range]],IF(LineærRegression_Valg[[#This Row],[Intet overlap]],INDEX(DataTitel_liste,LineærRegression_Valg[[#This Row],[Uafhængig variabel ID]]),INDEX(DataTitel_liste,IF(LineærRegression_Valg[[#This Row],[Afhængig variabel ID]]=1,2,1))),$B$7)</f>
        <v>Eksempel 2 (interval)</v>
      </c>
      <c r="H235" s="45">
        <f>_xlfn.AGGREGATE(2,5,LineærRegression_Valg[[#This Row],[Tabel ID]])</f>
        <v>1</v>
      </c>
    </row>
    <row r="236" spans="1:8" x14ac:dyDescent="0.2">
      <c r="A236">
        <f>ROW(LineærRegression_Valg[[#This Row],[Tabel ID]])-ROW(LineærRegression_Valg[[#Headers],[Tabel ID]])</f>
        <v>226</v>
      </c>
      <c r="B236" s="45">
        <f>ROUNDDOWN((LineærRegression_Valg[[#This Row],[Tabel ID]]-1)/$B$5,0)+1</f>
        <v>57</v>
      </c>
      <c r="C236" s="45">
        <f t="shared" si="3"/>
        <v>2</v>
      </c>
      <c r="D236" s="45" t="b">
        <f>LineærRegression_Valg[[#This Row],[Afhængig variabel ID]]&lt;&gt;LineærRegression_Valg[[#This Row],[Uafhængig variabel ID]]</f>
        <v>1</v>
      </c>
      <c r="E236" t="b">
        <f>LineærRegression_Valg[[#This Row],[Afhængig variabel ID]]&lt;=$B$5</f>
        <v>0</v>
      </c>
      <c r="F236" t="str" cm="1">
        <f t="array" ref="F236">IF(LineærRegression_Valg[[#This Row],[Indenfor range]],INDEX(DataTitel_liste,LineærRegression_Valg[[#This Row],[Afhængig variabel ID]]),INDEX(DataTitel_liste,1))</f>
        <v>Eksempel 1 (interval)</v>
      </c>
      <c r="G236" s="45" t="str" cm="1">
        <f t="array" ref="G236">IF(LineærRegression_Valg[[#This Row],[Indenfor range]],IF(LineærRegression_Valg[[#This Row],[Intet overlap]],INDEX(DataTitel_liste,LineærRegression_Valg[[#This Row],[Uafhængig variabel ID]]),INDEX(DataTitel_liste,IF(LineærRegression_Valg[[#This Row],[Afhængig variabel ID]]=1,2,1))),$B$7)</f>
        <v>Eksempel 2 (interval)</v>
      </c>
      <c r="H236" s="45">
        <f>_xlfn.AGGREGATE(2,5,LineærRegression_Valg[[#This Row],[Tabel ID]])</f>
        <v>1</v>
      </c>
    </row>
    <row r="237" spans="1:8" x14ac:dyDescent="0.2">
      <c r="A237">
        <f>ROW(LineærRegression_Valg[[#This Row],[Tabel ID]])-ROW(LineærRegression_Valg[[#Headers],[Tabel ID]])</f>
        <v>227</v>
      </c>
      <c r="B237" s="45">
        <f>ROUNDDOWN((LineærRegression_Valg[[#This Row],[Tabel ID]]-1)/$B$5,0)+1</f>
        <v>57</v>
      </c>
      <c r="C237" s="45">
        <f t="shared" si="3"/>
        <v>3</v>
      </c>
      <c r="D237" s="45" t="b">
        <f>LineærRegression_Valg[[#This Row],[Afhængig variabel ID]]&lt;&gt;LineærRegression_Valg[[#This Row],[Uafhængig variabel ID]]</f>
        <v>1</v>
      </c>
      <c r="E237" t="b">
        <f>LineærRegression_Valg[[#This Row],[Afhængig variabel ID]]&lt;=$B$5</f>
        <v>0</v>
      </c>
      <c r="F237" t="str" cm="1">
        <f t="array" ref="F237">IF(LineærRegression_Valg[[#This Row],[Indenfor range]],INDEX(DataTitel_liste,LineærRegression_Valg[[#This Row],[Afhængig variabel ID]]),INDEX(DataTitel_liste,1))</f>
        <v>Eksempel 1 (interval)</v>
      </c>
      <c r="G237" s="45" t="str" cm="1">
        <f t="array" ref="G237">IF(LineærRegression_Valg[[#This Row],[Indenfor range]],IF(LineærRegression_Valg[[#This Row],[Intet overlap]],INDEX(DataTitel_liste,LineærRegression_Valg[[#This Row],[Uafhængig variabel ID]]),INDEX(DataTitel_liste,IF(LineærRegression_Valg[[#This Row],[Afhængig variabel ID]]=1,2,1))),$B$7)</f>
        <v>Eksempel 2 (interval)</v>
      </c>
      <c r="H237" s="45">
        <f>_xlfn.AGGREGATE(2,5,LineærRegression_Valg[[#This Row],[Tabel ID]])</f>
        <v>1</v>
      </c>
    </row>
    <row r="238" spans="1:8" x14ac:dyDescent="0.2">
      <c r="A238">
        <f>ROW(LineærRegression_Valg[[#This Row],[Tabel ID]])-ROW(LineærRegression_Valg[[#Headers],[Tabel ID]])</f>
        <v>228</v>
      </c>
      <c r="B238" s="45">
        <f>ROUNDDOWN((LineærRegression_Valg[[#This Row],[Tabel ID]]-1)/$B$5,0)+1</f>
        <v>57</v>
      </c>
      <c r="C238" s="45">
        <f t="shared" si="3"/>
        <v>4</v>
      </c>
      <c r="D238" s="45" t="b">
        <f>LineærRegression_Valg[[#This Row],[Afhængig variabel ID]]&lt;&gt;LineærRegression_Valg[[#This Row],[Uafhængig variabel ID]]</f>
        <v>1</v>
      </c>
      <c r="E238" t="b">
        <f>LineærRegression_Valg[[#This Row],[Afhængig variabel ID]]&lt;=$B$5</f>
        <v>0</v>
      </c>
      <c r="F238" t="str" cm="1">
        <f t="array" ref="F238">IF(LineærRegression_Valg[[#This Row],[Indenfor range]],INDEX(DataTitel_liste,LineærRegression_Valg[[#This Row],[Afhængig variabel ID]]),INDEX(DataTitel_liste,1))</f>
        <v>Eksempel 1 (interval)</v>
      </c>
      <c r="G238" s="45" t="str" cm="1">
        <f t="array" ref="G238">IF(LineærRegression_Valg[[#This Row],[Indenfor range]],IF(LineærRegression_Valg[[#This Row],[Intet overlap]],INDEX(DataTitel_liste,LineærRegression_Valg[[#This Row],[Uafhængig variabel ID]]),INDEX(DataTitel_liste,IF(LineærRegression_Valg[[#This Row],[Afhængig variabel ID]]=1,2,1))),$B$7)</f>
        <v>Eksempel 2 (interval)</v>
      </c>
      <c r="H238" s="45">
        <f>_xlfn.AGGREGATE(2,5,LineærRegression_Valg[[#This Row],[Tabel ID]])</f>
        <v>1</v>
      </c>
    </row>
    <row r="239" spans="1:8" x14ac:dyDescent="0.2">
      <c r="A239">
        <f>ROW(LineærRegression_Valg[[#This Row],[Tabel ID]])-ROW(LineærRegression_Valg[[#Headers],[Tabel ID]])</f>
        <v>229</v>
      </c>
      <c r="B239" s="45">
        <f>ROUNDDOWN((LineærRegression_Valg[[#This Row],[Tabel ID]]-1)/$B$5,0)+1</f>
        <v>58</v>
      </c>
      <c r="C239" s="45">
        <f t="shared" si="3"/>
        <v>1</v>
      </c>
      <c r="D239" s="45" t="b">
        <f>LineærRegression_Valg[[#This Row],[Afhængig variabel ID]]&lt;&gt;LineærRegression_Valg[[#This Row],[Uafhængig variabel ID]]</f>
        <v>1</v>
      </c>
      <c r="E239" t="b">
        <f>LineærRegression_Valg[[#This Row],[Afhængig variabel ID]]&lt;=$B$5</f>
        <v>0</v>
      </c>
      <c r="F239" t="str" cm="1">
        <f t="array" ref="F239">IF(LineærRegression_Valg[[#This Row],[Indenfor range]],INDEX(DataTitel_liste,LineærRegression_Valg[[#This Row],[Afhængig variabel ID]]),INDEX(DataTitel_liste,1))</f>
        <v>Eksempel 1 (interval)</v>
      </c>
      <c r="G239" s="45" t="str" cm="1">
        <f t="array" ref="G239">IF(LineærRegression_Valg[[#This Row],[Indenfor range]],IF(LineærRegression_Valg[[#This Row],[Intet overlap]],INDEX(DataTitel_liste,LineærRegression_Valg[[#This Row],[Uafhængig variabel ID]]),INDEX(DataTitel_liste,IF(LineærRegression_Valg[[#This Row],[Afhængig variabel ID]]=1,2,1))),$B$7)</f>
        <v>Eksempel 2 (interval)</v>
      </c>
      <c r="H239" s="45">
        <f>_xlfn.AGGREGATE(2,5,LineærRegression_Valg[[#This Row],[Tabel ID]])</f>
        <v>1</v>
      </c>
    </row>
    <row r="240" spans="1:8" x14ac:dyDescent="0.2">
      <c r="A240">
        <f>ROW(LineærRegression_Valg[[#This Row],[Tabel ID]])-ROW(LineærRegression_Valg[[#Headers],[Tabel ID]])</f>
        <v>230</v>
      </c>
      <c r="B240" s="45">
        <f>ROUNDDOWN((LineærRegression_Valg[[#This Row],[Tabel ID]]-1)/$B$5,0)+1</f>
        <v>58</v>
      </c>
      <c r="C240" s="45">
        <f t="shared" si="3"/>
        <v>2</v>
      </c>
      <c r="D240" s="45" t="b">
        <f>LineærRegression_Valg[[#This Row],[Afhængig variabel ID]]&lt;&gt;LineærRegression_Valg[[#This Row],[Uafhængig variabel ID]]</f>
        <v>1</v>
      </c>
      <c r="E240" t="b">
        <f>LineærRegression_Valg[[#This Row],[Afhængig variabel ID]]&lt;=$B$5</f>
        <v>0</v>
      </c>
      <c r="F240" t="str" cm="1">
        <f t="array" ref="F240">IF(LineærRegression_Valg[[#This Row],[Indenfor range]],INDEX(DataTitel_liste,LineærRegression_Valg[[#This Row],[Afhængig variabel ID]]),INDEX(DataTitel_liste,1))</f>
        <v>Eksempel 1 (interval)</v>
      </c>
      <c r="G240" s="45" t="str" cm="1">
        <f t="array" ref="G240">IF(LineærRegression_Valg[[#This Row],[Indenfor range]],IF(LineærRegression_Valg[[#This Row],[Intet overlap]],INDEX(DataTitel_liste,LineærRegression_Valg[[#This Row],[Uafhængig variabel ID]]),INDEX(DataTitel_liste,IF(LineærRegression_Valg[[#This Row],[Afhængig variabel ID]]=1,2,1))),$B$7)</f>
        <v>Eksempel 2 (interval)</v>
      </c>
      <c r="H240" s="45">
        <f>_xlfn.AGGREGATE(2,5,LineærRegression_Valg[[#This Row],[Tabel ID]])</f>
        <v>1</v>
      </c>
    </row>
    <row r="241" spans="1:8" x14ac:dyDescent="0.2">
      <c r="A241">
        <f>ROW(LineærRegression_Valg[[#This Row],[Tabel ID]])-ROW(LineærRegression_Valg[[#Headers],[Tabel ID]])</f>
        <v>231</v>
      </c>
      <c r="B241" s="45">
        <f>ROUNDDOWN((LineærRegression_Valg[[#This Row],[Tabel ID]]-1)/$B$5,0)+1</f>
        <v>58</v>
      </c>
      <c r="C241" s="45">
        <f t="shared" si="3"/>
        <v>3</v>
      </c>
      <c r="D241" s="45" t="b">
        <f>LineærRegression_Valg[[#This Row],[Afhængig variabel ID]]&lt;&gt;LineærRegression_Valg[[#This Row],[Uafhængig variabel ID]]</f>
        <v>1</v>
      </c>
      <c r="E241" t="b">
        <f>LineærRegression_Valg[[#This Row],[Afhængig variabel ID]]&lt;=$B$5</f>
        <v>0</v>
      </c>
      <c r="F241" t="str" cm="1">
        <f t="array" ref="F241">IF(LineærRegression_Valg[[#This Row],[Indenfor range]],INDEX(DataTitel_liste,LineærRegression_Valg[[#This Row],[Afhængig variabel ID]]),INDEX(DataTitel_liste,1))</f>
        <v>Eksempel 1 (interval)</v>
      </c>
      <c r="G241" s="45" t="str" cm="1">
        <f t="array" ref="G241">IF(LineærRegression_Valg[[#This Row],[Indenfor range]],IF(LineærRegression_Valg[[#This Row],[Intet overlap]],INDEX(DataTitel_liste,LineærRegression_Valg[[#This Row],[Uafhængig variabel ID]]),INDEX(DataTitel_liste,IF(LineærRegression_Valg[[#This Row],[Afhængig variabel ID]]=1,2,1))),$B$7)</f>
        <v>Eksempel 2 (interval)</v>
      </c>
      <c r="H241" s="45">
        <f>_xlfn.AGGREGATE(2,5,LineærRegression_Valg[[#This Row],[Tabel ID]])</f>
        <v>1</v>
      </c>
    </row>
    <row r="242" spans="1:8" x14ac:dyDescent="0.2">
      <c r="A242">
        <f>ROW(LineærRegression_Valg[[#This Row],[Tabel ID]])-ROW(LineærRegression_Valg[[#Headers],[Tabel ID]])</f>
        <v>232</v>
      </c>
      <c r="B242" s="45">
        <f>ROUNDDOWN((LineærRegression_Valg[[#This Row],[Tabel ID]]-1)/$B$5,0)+1</f>
        <v>58</v>
      </c>
      <c r="C242" s="45">
        <f t="shared" si="3"/>
        <v>4</v>
      </c>
      <c r="D242" s="45" t="b">
        <f>LineærRegression_Valg[[#This Row],[Afhængig variabel ID]]&lt;&gt;LineærRegression_Valg[[#This Row],[Uafhængig variabel ID]]</f>
        <v>1</v>
      </c>
      <c r="E242" t="b">
        <f>LineærRegression_Valg[[#This Row],[Afhængig variabel ID]]&lt;=$B$5</f>
        <v>0</v>
      </c>
      <c r="F242" t="str" cm="1">
        <f t="array" ref="F242">IF(LineærRegression_Valg[[#This Row],[Indenfor range]],INDEX(DataTitel_liste,LineærRegression_Valg[[#This Row],[Afhængig variabel ID]]),INDEX(DataTitel_liste,1))</f>
        <v>Eksempel 1 (interval)</v>
      </c>
      <c r="G242" s="45" t="str" cm="1">
        <f t="array" ref="G242">IF(LineærRegression_Valg[[#This Row],[Indenfor range]],IF(LineærRegression_Valg[[#This Row],[Intet overlap]],INDEX(DataTitel_liste,LineærRegression_Valg[[#This Row],[Uafhængig variabel ID]]),INDEX(DataTitel_liste,IF(LineærRegression_Valg[[#This Row],[Afhængig variabel ID]]=1,2,1))),$B$7)</f>
        <v>Eksempel 2 (interval)</v>
      </c>
      <c r="H242" s="45">
        <f>_xlfn.AGGREGATE(2,5,LineærRegression_Valg[[#This Row],[Tabel ID]])</f>
        <v>1</v>
      </c>
    </row>
    <row r="243" spans="1:8" x14ac:dyDescent="0.2">
      <c r="A243">
        <f>ROW(LineærRegression_Valg[[#This Row],[Tabel ID]])-ROW(LineærRegression_Valg[[#Headers],[Tabel ID]])</f>
        <v>233</v>
      </c>
      <c r="B243" s="45">
        <f>ROUNDDOWN((LineærRegression_Valg[[#This Row],[Tabel ID]]-1)/$B$5,0)+1</f>
        <v>59</v>
      </c>
      <c r="C243" s="45">
        <f t="shared" si="3"/>
        <v>1</v>
      </c>
      <c r="D243" s="45" t="b">
        <f>LineærRegression_Valg[[#This Row],[Afhængig variabel ID]]&lt;&gt;LineærRegression_Valg[[#This Row],[Uafhængig variabel ID]]</f>
        <v>1</v>
      </c>
      <c r="E243" t="b">
        <f>LineærRegression_Valg[[#This Row],[Afhængig variabel ID]]&lt;=$B$5</f>
        <v>0</v>
      </c>
      <c r="F243" t="str" cm="1">
        <f t="array" ref="F243">IF(LineærRegression_Valg[[#This Row],[Indenfor range]],INDEX(DataTitel_liste,LineærRegression_Valg[[#This Row],[Afhængig variabel ID]]),INDEX(DataTitel_liste,1))</f>
        <v>Eksempel 1 (interval)</v>
      </c>
      <c r="G243" s="45" t="str" cm="1">
        <f t="array" ref="G243">IF(LineærRegression_Valg[[#This Row],[Indenfor range]],IF(LineærRegression_Valg[[#This Row],[Intet overlap]],INDEX(DataTitel_liste,LineærRegression_Valg[[#This Row],[Uafhængig variabel ID]]),INDEX(DataTitel_liste,IF(LineærRegression_Valg[[#This Row],[Afhængig variabel ID]]=1,2,1))),$B$7)</f>
        <v>Eksempel 2 (interval)</v>
      </c>
      <c r="H243" s="45">
        <f>_xlfn.AGGREGATE(2,5,LineærRegression_Valg[[#This Row],[Tabel ID]])</f>
        <v>1</v>
      </c>
    </row>
    <row r="244" spans="1:8" x14ac:dyDescent="0.2">
      <c r="A244">
        <f>ROW(LineærRegression_Valg[[#This Row],[Tabel ID]])-ROW(LineærRegression_Valg[[#Headers],[Tabel ID]])</f>
        <v>234</v>
      </c>
      <c r="B244" s="45">
        <f>ROUNDDOWN((LineærRegression_Valg[[#This Row],[Tabel ID]]-1)/$B$5,0)+1</f>
        <v>59</v>
      </c>
      <c r="C244" s="45">
        <f t="shared" si="3"/>
        <v>2</v>
      </c>
      <c r="D244" s="45" t="b">
        <f>LineærRegression_Valg[[#This Row],[Afhængig variabel ID]]&lt;&gt;LineærRegression_Valg[[#This Row],[Uafhængig variabel ID]]</f>
        <v>1</v>
      </c>
      <c r="E244" t="b">
        <f>LineærRegression_Valg[[#This Row],[Afhængig variabel ID]]&lt;=$B$5</f>
        <v>0</v>
      </c>
      <c r="F244" t="str" cm="1">
        <f t="array" ref="F244">IF(LineærRegression_Valg[[#This Row],[Indenfor range]],INDEX(DataTitel_liste,LineærRegression_Valg[[#This Row],[Afhængig variabel ID]]),INDEX(DataTitel_liste,1))</f>
        <v>Eksempel 1 (interval)</v>
      </c>
      <c r="G244" s="45" t="str" cm="1">
        <f t="array" ref="G244">IF(LineærRegression_Valg[[#This Row],[Indenfor range]],IF(LineærRegression_Valg[[#This Row],[Intet overlap]],INDEX(DataTitel_liste,LineærRegression_Valg[[#This Row],[Uafhængig variabel ID]]),INDEX(DataTitel_liste,IF(LineærRegression_Valg[[#This Row],[Afhængig variabel ID]]=1,2,1))),$B$7)</f>
        <v>Eksempel 2 (interval)</v>
      </c>
      <c r="H244" s="45">
        <f>_xlfn.AGGREGATE(2,5,LineærRegression_Valg[[#This Row],[Tabel ID]])</f>
        <v>1</v>
      </c>
    </row>
    <row r="245" spans="1:8" x14ac:dyDescent="0.2">
      <c r="A245">
        <f>ROW(LineærRegression_Valg[[#This Row],[Tabel ID]])-ROW(LineærRegression_Valg[[#Headers],[Tabel ID]])</f>
        <v>235</v>
      </c>
      <c r="B245" s="45">
        <f>ROUNDDOWN((LineærRegression_Valg[[#This Row],[Tabel ID]]-1)/$B$5,0)+1</f>
        <v>59</v>
      </c>
      <c r="C245" s="45">
        <f t="shared" si="3"/>
        <v>3</v>
      </c>
      <c r="D245" s="45" t="b">
        <f>LineærRegression_Valg[[#This Row],[Afhængig variabel ID]]&lt;&gt;LineærRegression_Valg[[#This Row],[Uafhængig variabel ID]]</f>
        <v>1</v>
      </c>
      <c r="E245" t="b">
        <f>LineærRegression_Valg[[#This Row],[Afhængig variabel ID]]&lt;=$B$5</f>
        <v>0</v>
      </c>
      <c r="F245" t="str" cm="1">
        <f t="array" ref="F245">IF(LineærRegression_Valg[[#This Row],[Indenfor range]],INDEX(DataTitel_liste,LineærRegression_Valg[[#This Row],[Afhængig variabel ID]]),INDEX(DataTitel_liste,1))</f>
        <v>Eksempel 1 (interval)</v>
      </c>
      <c r="G245" s="45" t="str" cm="1">
        <f t="array" ref="G245">IF(LineærRegression_Valg[[#This Row],[Indenfor range]],IF(LineærRegression_Valg[[#This Row],[Intet overlap]],INDEX(DataTitel_liste,LineærRegression_Valg[[#This Row],[Uafhængig variabel ID]]),INDEX(DataTitel_liste,IF(LineærRegression_Valg[[#This Row],[Afhængig variabel ID]]=1,2,1))),$B$7)</f>
        <v>Eksempel 2 (interval)</v>
      </c>
      <c r="H245" s="45">
        <f>_xlfn.AGGREGATE(2,5,LineærRegression_Valg[[#This Row],[Tabel ID]])</f>
        <v>1</v>
      </c>
    </row>
    <row r="246" spans="1:8" x14ac:dyDescent="0.2">
      <c r="A246">
        <f>ROW(LineærRegression_Valg[[#This Row],[Tabel ID]])-ROW(LineærRegression_Valg[[#Headers],[Tabel ID]])</f>
        <v>236</v>
      </c>
      <c r="B246" s="45">
        <f>ROUNDDOWN((LineærRegression_Valg[[#This Row],[Tabel ID]]-1)/$B$5,0)+1</f>
        <v>59</v>
      </c>
      <c r="C246" s="45">
        <f t="shared" si="3"/>
        <v>4</v>
      </c>
      <c r="D246" s="45" t="b">
        <f>LineærRegression_Valg[[#This Row],[Afhængig variabel ID]]&lt;&gt;LineærRegression_Valg[[#This Row],[Uafhængig variabel ID]]</f>
        <v>1</v>
      </c>
      <c r="E246" t="b">
        <f>LineærRegression_Valg[[#This Row],[Afhængig variabel ID]]&lt;=$B$5</f>
        <v>0</v>
      </c>
      <c r="F246" t="str" cm="1">
        <f t="array" ref="F246">IF(LineærRegression_Valg[[#This Row],[Indenfor range]],INDEX(DataTitel_liste,LineærRegression_Valg[[#This Row],[Afhængig variabel ID]]),INDEX(DataTitel_liste,1))</f>
        <v>Eksempel 1 (interval)</v>
      </c>
      <c r="G246" s="45" t="str" cm="1">
        <f t="array" ref="G246">IF(LineærRegression_Valg[[#This Row],[Indenfor range]],IF(LineærRegression_Valg[[#This Row],[Intet overlap]],INDEX(DataTitel_liste,LineærRegression_Valg[[#This Row],[Uafhængig variabel ID]]),INDEX(DataTitel_liste,IF(LineærRegression_Valg[[#This Row],[Afhængig variabel ID]]=1,2,1))),$B$7)</f>
        <v>Eksempel 2 (interval)</v>
      </c>
      <c r="H246" s="45">
        <f>_xlfn.AGGREGATE(2,5,LineærRegression_Valg[[#This Row],[Tabel ID]])</f>
        <v>1</v>
      </c>
    </row>
    <row r="247" spans="1:8" x14ac:dyDescent="0.2">
      <c r="A247">
        <f>ROW(LineærRegression_Valg[[#This Row],[Tabel ID]])-ROW(LineærRegression_Valg[[#Headers],[Tabel ID]])</f>
        <v>237</v>
      </c>
      <c r="B247" s="45">
        <f>ROUNDDOWN((LineærRegression_Valg[[#This Row],[Tabel ID]]-1)/$B$5,0)+1</f>
        <v>60</v>
      </c>
      <c r="C247" s="45">
        <f t="shared" si="3"/>
        <v>1</v>
      </c>
      <c r="D247" s="45" t="b">
        <f>LineærRegression_Valg[[#This Row],[Afhængig variabel ID]]&lt;&gt;LineærRegression_Valg[[#This Row],[Uafhængig variabel ID]]</f>
        <v>1</v>
      </c>
      <c r="E247" t="b">
        <f>LineærRegression_Valg[[#This Row],[Afhængig variabel ID]]&lt;=$B$5</f>
        <v>0</v>
      </c>
      <c r="F247" t="str" cm="1">
        <f t="array" ref="F247">IF(LineærRegression_Valg[[#This Row],[Indenfor range]],INDEX(DataTitel_liste,LineærRegression_Valg[[#This Row],[Afhængig variabel ID]]),INDEX(DataTitel_liste,1))</f>
        <v>Eksempel 1 (interval)</v>
      </c>
      <c r="G247" s="45" t="str" cm="1">
        <f t="array" ref="G247">IF(LineærRegression_Valg[[#This Row],[Indenfor range]],IF(LineærRegression_Valg[[#This Row],[Intet overlap]],INDEX(DataTitel_liste,LineærRegression_Valg[[#This Row],[Uafhængig variabel ID]]),INDEX(DataTitel_liste,IF(LineærRegression_Valg[[#This Row],[Afhængig variabel ID]]=1,2,1))),$B$7)</f>
        <v>Eksempel 2 (interval)</v>
      </c>
      <c r="H247" s="45">
        <f>_xlfn.AGGREGATE(2,5,LineærRegression_Valg[[#This Row],[Tabel ID]])</f>
        <v>1</v>
      </c>
    </row>
    <row r="248" spans="1:8" x14ac:dyDescent="0.2">
      <c r="A248">
        <f>ROW(LineærRegression_Valg[[#This Row],[Tabel ID]])-ROW(LineærRegression_Valg[[#Headers],[Tabel ID]])</f>
        <v>238</v>
      </c>
      <c r="B248" s="45">
        <f>ROUNDDOWN((LineærRegression_Valg[[#This Row],[Tabel ID]]-1)/$B$5,0)+1</f>
        <v>60</v>
      </c>
      <c r="C248" s="45">
        <f t="shared" si="3"/>
        <v>2</v>
      </c>
      <c r="D248" s="45" t="b">
        <f>LineærRegression_Valg[[#This Row],[Afhængig variabel ID]]&lt;&gt;LineærRegression_Valg[[#This Row],[Uafhængig variabel ID]]</f>
        <v>1</v>
      </c>
      <c r="E248" t="b">
        <f>LineærRegression_Valg[[#This Row],[Afhængig variabel ID]]&lt;=$B$5</f>
        <v>0</v>
      </c>
      <c r="F248" t="str" cm="1">
        <f t="array" ref="F248">IF(LineærRegression_Valg[[#This Row],[Indenfor range]],INDEX(DataTitel_liste,LineærRegression_Valg[[#This Row],[Afhængig variabel ID]]),INDEX(DataTitel_liste,1))</f>
        <v>Eksempel 1 (interval)</v>
      </c>
      <c r="G248" s="45" t="str" cm="1">
        <f t="array" ref="G248">IF(LineærRegression_Valg[[#This Row],[Indenfor range]],IF(LineærRegression_Valg[[#This Row],[Intet overlap]],INDEX(DataTitel_liste,LineærRegression_Valg[[#This Row],[Uafhængig variabel ID]]),INDEX(DataTitel_liste,IF(LineærRegression_Valg[[#This Row],[Afhængig variabel ID]]=1,2,1))),$B$7)</f>
        <v>Eksempel 2 (interval)</v>
      </c>
      <c r="H248" s="45">
        <f>_xlfn.AGGREGATE(2,5,LineærRegression_Valg[[#This Row],[Tabel ID]])</f>
        <v>1</v>
      </c>
    </row>
    <row r="249" spans="1:8" x14ac:dyDescent="0.2">
      <c r="A249">
        <f>ROW(LineærRegression_Valg[[#This Row],[Tabel ID]])-ROW(LineærRegression_Valg[[#Headers],[Tabel ID]])</f>
        <v>239</v>
      </c>
      <c r="B249" s="45">
        <f>ROUNDDOWN((LineærRegression_Valg[[#This Row],[Tabel ID]]-1)/$B$5,0)+1</f>
        <v>60</v>
      </c>
      <c r="C249" s="45">
        <f t="shared" si="3"/>
        <v>3</v>
      </c>
      <c r="D249" s="45" t="b">
        <f>LineærRegression_Valg[[#This Row],[Afhængig variabel ID]]&lt;&gt;LineærRegression_Valg[[#This Row],[Uafhængig variabel ID]]</f>
        <v>1</v>
      </c>
      <c r="E249" t="b">
        <f>LineærRegression_Valg[[#This Row],[Afhængig variabel ID]]&lt;=$B$5</f>
        <v>0</v>
      </c>
      <c r="F249" t="str" cm="1">
        <f t="array" ref="F249">IF(LineærRegression_Valg[[#This Row],[Indenfor range]],INDEX(DataTitel_liste,LineærRegression_Valg[[#This Row],[Afhængig variabel ID]]),INDEX(DataTitel_liste,1))</f>
        <v>Eksempel 1 (interval)</v>
      </c>
      <c r="G249" s="45" t="str" cm="1">
        <f t="array" ref="G249">IF(LineærRegression_Valg[[#This Row],[Indenfor range]],IF(LineærRegression_Valg[[#This Row],[Intet overlap]],INDEX(DataTitel_liste,LineærRegression_Valg[[#This Row],[Uafhængig variabel ID]]),INDEX(DataTitel_liste,IF(LineærRegression_Valg[[#This Row],[Afhængig variabel ID]]=1,2,1))),$B$7)</f>
        <v>Eksempel 2 (interval)</v>
      </c>
      <c r="H249" s="45">
        <f>_xlfn.AGGREGATE(2,5,LineærRegression_Valg[[#This Row],[Tabel ID]])</f>
        <v>1</v>
      </c>
    </row>
    <row r="250" spans="1:8" x14ac:dyDescent="0.2">
      <c r="A250">
        <f>ROW(LineærRegression_Valg[[#This Row],[Tabel ID]])-ROW(LineærRegression_Valg[[#Headers],[Tabel ID]])</f>
        <v>240</v>
      </c>
      <c r="B250" s="45">
        <f>ROUNDDOWN((LineærRegression_Valg[[#This Row],[Tabel ID]]-1)/$B$5,0)+1</f>
        <v>60</v>
      </c>
      <c r="C250" s="45">
        <f t="shared" si="3"/>
        <v>4</v>
      </c>
      <c r="D250" s="45" t="b">
        <f>LineærRegression_Valg[[#This Row],[Afhængig variabel ID]]&lt;&gt;LineærRegression_Valg[[#This Row],[Uafhængig variabel ID]]</f>
        <v>1</v>
      </c>
      <c r="E250" t="b">
        <f>LineærRegression_Valg[[#This Row],[Afhængig variabel ID]]&lt;=$B$5</f>
        <v>0</v>
      </c>
      <c r="F250" t="str" cm="1">
        <f t="array" ref="F250">IF(LineærRegression_Valg[[#This Row],[Indenfor range]],INDEX(DataTitel_liste,LineærRegression_Valg[[#This Row],[Afhængig variabel ID]]),INDEX(DataTitel_liste,1))</f>
        <v>Eksempel 1 (interval)</v>
      </c>
      <c r="G250" s="45" t="str" cm="1">
        <f t="array" ref="G250">IF(LineærRegression_Valg[[#This Row],[Indenfor range]],IF(LineærRegression_Valg[[#This Row],[Intet overlap]],INDEX(DataTitel_liste,LineærRegression_Valg[[#This Row],[Uafhængig variabel ID]]),INDEX(DataTitel_liste,IF(LineærRegression_Valg[[#This Row],[Afhængig variabel ID]]=1,2,1))),$B$7)</f>
        <v>Eksempel 2 (interval)</v>
      </c>
      <c r="H250" s="45">
        <f>_xlfn.AGGREGATE(2,5,LineærRegression_Valg[[#This Row],[Tabel ID]])</f>
        <v>1</v>
      </c>
    </row>
    <row r="251" spans="1:8" x14ac:dyDescent="0.2">
      <c r="A251">
        <f>ROW(LineærRegression_Valg[[#This Row],[Tabel ID]])-ROW(LineærRegression_Valg[[#Headers],[Tabel ID]])</f>
        <v>241</v>
      </c>
      <c r="B251" s="45">
        <f>ROUNDDOWN((LineærRegression_Valg[[#This Row],[Tabel ID]]-1)/$B$5,0)+1</f>
        <v>61</v>
      </c>
      <c r="C251" s="45">
        <f t="shared" si="3"/>
        <v>1</v>
      </c>
      <c r="D251" s="45" t="b">
        <f>LineærRegression_Valg[[#This Row],[Afhængig variabel ID]]&lt;&gt;LineærRegression_Valg[[#This Row],[Uafhængig variabel ID]]</f>
        <v>1</v>
      </c>
      <c r="E251" t="b">
        <f>LineærRegression_Valg[[#This Row],[Afhængig variabel ID]]&lt;=$B$5</f>
        <v>0</v>
      </c>
      <c r="F251" t="str" cm="1">
        <f t="array" ref="F251">IF(LineærRegression_Valg[[#This Row],[Indenfor range]],INDEX(DataTitel_liste,LineærRegression_Valg[[#This Row],[Afhængig variabel ID]]),INDEX(DataTitel_liste,1))</f>
        <v>Eksempel 1 (interval)</v>
      </c>
      <c r="G251" s="45" t="str" cm="1">
        <f t="array" ref="G251">IF(LineærRegression_Valg[[#This Row],[Indenfor range]],IF(LineærRegression_Valg[[#This Row],[Intet overlap]],INDEX(DataTitel_liste,LineærRegression_Valg[[#This Row],[Uafhængig variabel ID]]),INDEX(DataTitel_liste,IF(LineærRegression_Valg[[#This Row],[Afhængig variabel ID]]=1,2,1))),$B$7)</f>
        <v>Eksempel 2 (interval)</v>
      </c>
      <c r="H251" s="45">
        <f>_xlfn.AGGREGATE(2,5,LineærRegression_Valg[[#This Row],[Tabel ID]])</f>
        <v>1</v>
      </c>
    </row>
    <row r="252" spans="1:8" x14ac:dyDescent="0.2">
      <c r="A252">
        <f>ROW(LineærRegression_Valg[[#This Row],[Tabel ID]])-ROW(LineærRegression_Valg[[#Headers],[Tabel ID]])</f>
        <v>242</v>
      </c>
      <c r="B252" s="45">
        <f>ROUNDDOWN((LineærRegression_Valg[[#This Row],[Tabel ID]]-1)/$B$5,0)+1</f>
        <v>61</v>
      </c>
      <c r="C252" s="45">
        <f t="shared" si="3"/>
        <v>2</v>
      </c>
      <c r="D252" s="45" t="b">
        <f>LineærRegression_Valg[[#This Row],[Afhængig variabel ID]]&lt;&gt;LineærRegression_Valg[[#This Row],[Uafhængig variabel ID]]</f>
        <v>1</v>
      </c>
      <c r="E252" t="b">
        <f>LineærRegression_Valg[[#This Row],[Afhængig variabel ID]]&lt;=$B$5</f>
        <v>0</v>
      </c>
      <c r="F252" t="str" cm="1">
        <f t="array" ref="F252">IF(LineærRegression_Valg[[#This Row],[Indenfor range]],INDEX(DataTitel_liste,LineærRegression_Valg[[#This Row],[Afhængig variabel ID]]),INDEX(DataTitel_liste,1))</f>
        <v>Eksempel 1 (interval)</v>
      </c>
      <c r="G252" s="45" t="str" cm="1">
        <f t="array" ref="G252">IF(LineærRegression_Valg[[#This Row],[Indenfor range]],IF(LineærRegression_Valg[[#This Row],[Intet overlap]],INDEX(DataTitel_liste,LineærRegression_Valg[[#This Row],[Uafhængig variabel ID]]),INDEX(DataTitel_liste,IF(LineærRegression_Valg[[#This Row],[Afhængig variabel ID]]=1,2,1))),$B$7)</f>
        <v>Eksempel 2 (interval)</v>
      </c>
      <c r="H252" s="45">
        <f>_xlfn.AGGREGATE(2,5,LineærRegression_Valg[[#This Row],[Tabel ID]])</f>
        <v>1</v>
      </c>
    </row>
    <row r="253" spans="1:8" x14ac:dyDescent="0.2">
      <c r="A253">
        <f>ROW(LineærRegression_Valg[[#This Row],[Tabel ID]])-ROW(LineærRegression_Valg[[#Headers],[Tabel ID]])</f>
        <v>243</v>
      </c>
      <c r="B253" s="45">
        <f>ROUNDDOWN((LineærRegression_Valg[[#This Row],[Tabel ID]]-1)/$B$5,0)+1</f>
        <v>61</v>
      </c>
      <c r="C253" s="45">
        <f t="shared" si="3"/>
        <v>3</v>
      </c>
      <c r="D253" s="45" t="b">
        <f>LineærRegression_Valg[[#This Row],[Afhængig variabel ID]]&lt;&gt;LineærRegression_Valg[[#This Row],[Uafhængig variabel ID]]</f>
        <v>1</v>
      </c>
      <c r="E253" t="b">
        <f>LineærRegression_Valg[[#This Row],[Afhængig variabel ID]]&lt;=$B$5</f>
        <v>0</v>
      </c>
      <c r="F253" t="str" cm="1">
        <f t="array" ref="F253">IF(LineærRegression_Valg[[#This Row],[Indenfor range]],INDEX(DataTitel_liste,LineærRegression_Valg[[#This Row],[Afhængig variabel ID]]),INDEX(DataTitel_liste,1))</f>
        <v>Eksempel 1 (interval)</v>
      </c>
      <c r="G253" s="45" t="str" cm="1">
        <f t="array" ref="G253">IF(LineærRegression_Valg[[#This Row],[Indenfor range]],IF(LineærRegression_Valg[[#This Row],[Intet overlap]],INDEX(DataTitel_liste,LineærRegression_Valg[[#This Row],[Uafhængig variabel ID]]),INDEX(DataTitel_liste,IF(LineærRegression_Valg[[#This Row],[Afhængig variabel ID]]=1,2,1))),$B$7)</f>
        <v>Eksempel 2 (interval)</v>
      </c>
      <c r="H253" s="45">
        <f>_xlfn.AGGREGATE(2,5,LineærRegression_Valg[[#This Row],[Tabel ID]])</f>
        <v>1</v>
      </c>
    </row>
    <row r="254" spans="1:8" x14ac:dyDescent="0.2">
      <c r="A254">
        <f>ROW(LineærRegression_Valg[[#This Row],[Tabel ID]])-ROW(LineærRegression_Valg[[#Headers],[Tabel ID]])</f>
        <v>244</v>
      </c>
      <c r="B254" s="45">
        <f>ROUNDDOWN((LineærRegression_Valg[[#This Row],[Tabel ID]]-1)/$B$5,0)+1</f>
        <v>61</v>
      </c>
      <c r="C254" s="45">
        <f t="shared" si="3"/>
        <v>4</v>
      </c>
      <c r="D254" s="45" t="b">
        <f>LineærRegression_Valg[[#This Row],[Afhængig variabel ID]]&lt;&gt;LineærRegression_Valg[[#This Row],[Uafhængig variabel ID]]</f>
        <v>1</v>
      </c>
      <c r="E254" t="b">
        <f>LineærRegression_Valg[[#This Row],[Afhængig variabel ID]]&lt;=$B$5</f>
        <v>0</v>
      </c>
      <c r="F254" t="str" cm="1">
        <f t="array" ref="F254">IF(LineærRegression_Valg[[#This Row],[Indenfor range]],INDEX(DataTitel_liste,LineærRegression_Valg[[#This Row],[Afhængig variabel ID]]),INDEX(DataTitel_liste,1))</f>
        <v>Eksempel 1 (interval)</v>
      </c>
      <c r="G254" s="45" t="str" cm="1">
        <f t="array" ref="G254">IF(LineærRegression_Valg[[#This Row],[Indenfor range]],IF(LineærRegression_Valg[[#This Row],[Intet overlap]],INDEX(DataTitel_liste,LineærRegression_Valg[[#This Row],[Uafhængig variabel ID]]),INDEX(DataTitel_liste,IF(LineærRegression_Valg[[#This Row],[Afhængig variabel ID]]=1,2,1))),$B$7)</f>
        <v>Eksempel 2 (interval)</v>
      </c>
      <c r="H254" s="45">
        <f>_xlfn.AGGREGATE(2,5,LineærRegression_Valg[[#This Row],[Tabel ID]])</f>
        <v>1</v>
      </c>
    </row>
    <row r="255" spans="1:8" x14ac:dyDescent="0.2">
      <c r="A255">
        <f>ROW(LineærRegression_Valg[[#This Row],[Tabel ID]])-ROW(LineærRegression_Valg[[#Headers],[Tabel ID]])</f>
        <v>245</v>
      </c>
      <c r="B255" s="45">
        <f>ROUNDDOWN((LineærRegression_Valg[[#This Row],[Tabel ID]]-1)/$B$5,0)+1</f>
        <v>62</v>
      </c>
      <c r="C255" s="45">
        <f t="shared" si="3"/>
        <v>1</v>
      </c>
      <c r="D255" s="45" t="b">
        <f>LineærRegression_Valg[[#This Row],[Afhængig variabel ID]]&lt;&gt;LineærRegression_Valg[[#This Row],[Uafhængig variabel ID]]</f>
        <v>1</v>
      </c>
      <c r="E255" t="b">
        <f>LineærRegression_Valg[[#This Row],[Afhængig variabel ID]]&lt;=$B$5</f>
        <v>0</v>
      </c>
      <c r="F255" t="str" cm="1">
        <f t="array" ref="F255">IF(LineærRegression_Valg[[#This Row],[Indenfor range]],INDEX(DataTitel_liste,LineærRegression_Valg[[#This Row],[Afhængig variabel ID]]),INDEX(DataTitel_liste,1))</f>
        <v>Eksempel 1 (interval)</v>
      </c>
      <c r="G255" s="45" t="str" cm="1">
        <f t="array" ref="G255">IF(LineærRegression_Valg[[#This Row],[Indenfor range]],IF(LineærRegression_Valg[[#This Row],[Intet overlap]],INDEX(DataTitel_liste,LineærRegression_Valg[[#This Row],[Uafhængig variabel ID]]),INDEX(DataTitel_liste,IF(LineærRegression_Valg[[#This Row],[Afhængig variabel ID]]=1,2,1))),$B$7)</f>
        <v>Eksempel 2 (interval)</v>
      </c>
      <c r="H255" s="45">
        <f>_xlfn.AGGREGATE(2,5,LineærRegression_Valg[[#This Row],[Tabel ID]])</f>
        <v>1</v>
      </c>
    </row>
    <row r="256" spans="1:8" x14ac:dyDescent="0.2">
      <c r="A256">
        <f>ROW(LineærRegression_Valg[[#This Row],[Tabel ID]])-ROW(LineærRegression_Valg[[#Headers],[Tabel ID]])</f>
        <v>246</v>
      </c>
      <c r="B256" s="45">
        <f>ROUNDDOWN((LineærRegression_Valg[[#This Row],[Tabel ID]]-1)/$B$5,0)+1</f>
        <v>62</v>
      </c>
      <c r="C256" s="45">
        <f t="shared" si="3"/>
        <v>2</v>
      </c>
      <c r="D256" s="45" t="b">
        <f>LineærRegression_Valg[[#This Row],[Afhængig variabel ID]]&lt;&gt;LineærRegression_Valg[[#This Row],[Uafhængig variabel ID]]</f>
        <v>1</v>
      </c>
      <c r="E256" t="b">
        <f>LineærRegression_Valg[[#This Row],[Afhængig variabel ID]]&lt;=$B$5</f>
        <v>0</v>
      </c>
      <c r="F256" t="str" cm="1">
        <f t="array" ref="F256">IF(LineærRegression_Valg[[#This Row],[Indenfor range]],INDEX(DataTitel_liste,LineærRegression_Valg[[#This Row],[Afhængig variabel ID]]),INDEX(DataTitel_liste,1))</f>
        <v>Eksempel 1 (interval)</v>
      </c>
      <c r="G256" s="45" t="str" cm="1">
        <f t="array" ref="G256">IF(LineærRegression_Valg[[#This Row],[Indenfor range]],IF(LineærRegression_Valg[[#This Row],[Intet overlap]],INDEX(DataTitel_liste,LineærRegression_Valg[[#This Row],[Uafhængig variabel ID]]),INDEX(DataTitel_liste,IF(LineærRegression_Valg[[#This Row],[Afhængig variabel ID]]=1,2,1))),$B$7)</f>
        <v>Eksempel 2 (interval)</v>
      </c>
      <c r="H256" s="45">
        <f>_xlfn.AGGREGATE(2,5,LineærRegression_Valg[[#This Row],[Tabel ID]])</f>
        <v>1</v>
      </c>
    </row>
    <row r="257" spans="1:8" x14ac:dyDescent="0.2">
      <c r="A257">
        <f>ROW(LineærRegression_Valg[[#This Row],[Tabel ID]])-ROW(LineærRegression_Valg[[#Headers],[Tabel ID]])</f>
        <v>247</v>
      </c>
      <c r="B257" s="45">
        <f>ROUNDDOWN((LineærRegression_Valg[[#This Row],[Tabel ID]]-1)/$B$5,0)+1</f>
        <v>62</v>
      </c>
      <c r="C257" s="45">
        <f t="shared" si="3"/>
        <v>3</v>
      </c>
      <c r="D257" s="45" t="b">
        <f>LineærRegression_Valg[[#This Row],[Afhængig variabel ID]]&lt;&gt;LineærRegression_Valg[[#This Row],[Uafhængig variabel ID]]</f>
        <v>1</v>
      </c>
      <c r="E257" t="b">
        <f>LineærRegression_Valg[[#This Row],[Afhængig variabel ID]]&lt;=$B$5</f>
        <v>0</v>
      </c>
      <c r="F257" t="str" cm="1">
        <f t="array" ref="F257">IF(LineærRegression_Valg[[#This Row],[Indenfor range]],INDEX(DataTitel_liste,LineærRegression_Valg[[#This Row],[Afhængig variabel ID]]),INDEX(DataTitel_liste,1))</f>
        <v>Eksempel 1 (interval)</v>
      </c>
      <c r="G257" s="45" t="str" cm="1">
        <f t="array" ref="G257">IF(LineærRegression_Valg[[#This Row],[Indenfor range]],IF(LineærRegression_Valg[[#This Row],[Intet overlap]],INDEX(DataTitel_liste,LineærRegression_Valg[[#This Row],[Uafhængig variabel ID]]),INDEX(DataTitel_liste,IF(LineærRegression_Valg[[#This Row],[Afhængig variabel ID]]=1,2,1))),$B$7)</f>
        <v>Eksempel 2 (interval)</v>
      </c>
      <c r="H257" s="45">
        <f>_xlfn.AGGREGATE(2,5,LineærRegression_Valg[[#This Row],[Tabel ID]])</f>
        <v>1</v>
      </c>
    </row>
    <row r="258" spans="1:8" x14ac:dyDescent="0.2">
      <c r="A258">
        <f>ROW(LineærRegression_Valg[[#This Row],[Tabel ID]])-ROW(LineærRegression_Valg[[#Headers],[Tabel ID]])</f>
        <v>248</v>
      </c>
      <c r="B258" s="45">
        <f>ROUNDDOWN((LineærRegression_Valg[[#This Row],[Tabel ID]]-1)/$B$5,0)+1</f>
        <v>62</v>
      </c>
      <c r="C258" s="45">
        <f t="shared" si="3"/>
        <v>4</v>
      </c>
      <c r="D258" s="45" t="b">
        <f>LineærRegression_Valg[[#This Row],[Afhængig variabel ID]]&lt;&gt;LineærRegression_Valg[[#This Row],[Uafhængig variabel ID]]</f>
        <v>1</v>
      </c>
      <c r="E258" t="b">
        <f>LineærRegression_Valg[[#This Row],[Afhængig variabel ID]]&lt;=$B$5</f>
        <v>0</v>
      </c>
      <c r="F258" t="str" cm="1">
        <f t="array" ref="F258">IF(LineærRegression_Valg[[#This Row],[Indenfor range]],INDEX(DataTitel_liste,LineærRegression_Valg[[#This Row],[Afhængig variabel ID]]),INDEX(DataTitel_liste,1))</f>
        <v>Eksempel 1 (interval)</v>
      </c>
      <c r="G258" s="45" t="str" cm="1">
        <f t="array" ref="G258">IF(LineærRegression_Valg[[#This Row],[Indenfor range]],IF(LineærRegression_Valg[[#This Row],[Intet overlap]],INDEX(DataTitel_liste,LineærRegression_Valg[[#This Row],[Uafhængig variabel ID]]),INDEX(DataTitel_liste,IF(LineærRegression_Valg[[#This Row],[Afhængig variabel ID]]=1,2,1))),$B$7)</f>
        <v>Eksempel 2 (interval)</v>
      </c>
      <c r="H258" s="45">
        <f>_xlfn.AGGREGATE(2,5,LineærRegression_Valg[[#This Row],[Tabel ID]])</f>
        <v>1</v>
      </c>
    </row>
    <row r="259" spans="1:8" x14ac:dyDescent="0.2">
      <c r="A259">
        <f>ROW(LineærRegression_Valg[[#This Row],[Tabel ID]])-ROW(LineærRegression_Valg[[#Headers],[Tabel ID]])</f>
        <v>249</v>
      </c>
      <c r="B259" s="45">
        <f>ROUNDDOWN((LineærRegression_Valg[[#This Row],[Tabel ID]]-1)/$B$5,0)+1</f>
        <v>63</v>
      </c>
      <c r="C259" s="45">
        <f t="shared" si="3"/>
        <v>1</v>
      </c>
      <c r="D259" s="45" t="b">
        <f>LineærRegression_Valg[[#This Row],[Afhængig variabel ID]]&lt;&gt;LineærRegression_Valg[[#This Row],[Uafhængig variabel ID]]</f>
        <v>1</v>
      </c>
      <c r="E259" t="b">
        <f>LineærRegression_Valg[[#This Row],[Afhængig variabel ID]]&lt;=$B$5</f>
        <v>0</v>
      </c>
      <c r="F259" t="str" cm="1">
        <f t="array" ref="F259">IF(LineærRegression_Valg[[#This Row],[Indenfor range]],INDEX(DataTitel_liste,LineærRegression_Valg[[#This Row],[Afhængig variabel ID]]),INDEX(DataTitel_liste,1))</f>
        <v>Eksempel 1 (interval)</v>
      </c>
      <c r="G259" s="45" t="str" cm="1">
        <f t="array" ref="G259">IF(LineærRegression_Valg[[#This Row],[Indenfor range]],IF(LineærRegression_Valg[[#This Row],[Intet overlap]],INDEX(DataTitel_liste,LineærRegression_Valg[[#This Row],[Uafhængig variabel ID]]),INDEX(DataTitel_liste,IF(LineærRegression_Valg[[#This Row],[Afhængig variabel ID]]=1,2,1))),$B$7)</f>
        <v>Eksempel 2 (interval)</v>
      </c>
      <c r="H259" s="45">
        <f>_xlfn.AGGREGATE(2,5,LineærRegression_Valg[[#This Row],[Tabel ID]])</f>
        <v>1</v>
      </c>
    </row>
    <row r="260" spans="1:8" x14ac:dyDescent="0.2">
      <c r="A260">
        <f>ROW(LineærRegression_Valg[[#This Row],[Tabel ID]])-ROW(LineærRegression_Valg[[#Headers],[Tabel ID]])</f>
        <v>250</v>
      </c>
      <c r="B260" s="45">
        <f>ROUNDDOWN((LineærRegression_Valg[[#This Row],[Tabel ID]]-1)/$B$5,0)+1</f>
        <v>63</v>
      </c>
      <c r="C260" s="45">
        <f t="shared" si="3"/>
        <v>2</v>
      </c>
      <c r="D260" s="45" t="b">
        <f>LineærRegression_Valg[[#This Row],[Afhængig variabel ID]]&lt;&gt;LineærRegression_Valg[[#This Row],[Uafhængig variabel ID]]</f>
        <v>1</v>
      </c>
      <c r="E260" t="b">
        <f>LineærRegression_Valg[[#This Row],[Afhængig variabel ID]]&lt;=$B$5</f>
        <v>0</v>
      </c>
      <c r="F260" t="str" cm="1">
        <f t="array" ref="F260">IF(LineærRegression_Valg[[#This Row],[Indenfor range]],INDEX(DataTitel_liste,LineærRegression_Valg[[#This Row],[Afhængig variabel ID]]),INDEX(DataTitel_liste,1))</f>
        <v>Eksempel 1 (interval)</v>
      </c>
      <c r="G260" s="45" t="str" cm="1">
        <f t="array" ref="G260">IF(LineærRegression_Valg[[#This Row],[Indenfor range]],IF(LineærRegression_Valg[[#This Row],[Intet overlap]],INDEX(DataTitel_liste,LineærRegression_Valg[[#This Row],[Uafhængig variabel ID]]),INDEX(DataTitel_liste,IF(LineærRegression_Valg[[#This Row],[Afhængig variabel ID]]=1,2,1))),$B$7)</f>
        <v>Eksempel 2 (interval)</v>
      </c>
      <c r="H260" s="45">
        <f>_xlfn.AGGREGATE(2,5,LineærRegression_Valg[[#This Row],[Tabel ID]])</f>
        <v>1</v>
      </c>
    </row>
    <row r="261" spans="1:8" x14ac:dyDescent="0.2">
      <c r="A261">
        <f>ROW(LineærRegression_Valg[[#This Row],[Tabel ID]])-ROW(LineærRegression_Valg[[#Headers],[Tabel ID]])</f>
        <v>251</v>
      </c>
      <c r="B261" s="45">
        <f>ROUNDDOWN((LineærRegression_Valg[[#This Row],[Tabel ID]]-1)/$B$5,0)+1</f>
        <v>63</v>
      </c>
      <c r="C261" s="45">
        <f t="shared" si="3"/>
        <v>3</v>
      </c>
      <c r="D261" s="45" t="b">
        <f>LineærRegression_Valg[[#This Row],[Afhængig variabel ID]]&lt;&gt;LineærRegression_Valg[[#This Row],[Uafhængig variabel ID]]</f>
        <v>1</v>
      </c>
      <c r="E261" t="b">
        <f>LineærRegression_Valg[[#This Row],[Afhængig variabel ID]]&lt;=$B$5</f>
        <v>0</v>
      </c>
      <c r="F261" t="str" cm="1">
        <f t="array" ref="F261">IF(LineærRegression_Valg[[#This Row],[Indenfor range]],INDEX(DataTitel_liste,LineærRegression_Valg[[#This Row],[Afhængig variabel ID]]),INDEX(DataTitel_liste,1))</f>
        <v>Eksempel 1 (interval)</v>
      </c>
      <c r="G261" s="45" t="str" cm="1">
        <f t="array" ref="G261">IF(LineærRegression_Valg[[#This Row],[Indenfor range]],IF(LineærRegression_Valg[[#This Row],[Intet overlap]],INDEX(DataTitel_liste,LineærRegression_Valg[[#This Row],[Uafhængig variabel ID]]),INDEX(DataTitel_liste,IF(LineærRegression_Valg[[#This Row],[Afhængig variabel ID]]=1,2,1))),$B$7)</f>
        <v>Eksempel 2 (interval)</v>
      </c>
      <c r="H261" s="45">
        <f>_xlfn.AGGREGATE(2,5,LineærRegression_Valg[[#This Row],[Tabel ID]])</f>
        <v>1</v>
      </c>
    </row>
    <row r="262" spans="1:8" x14ac:dyDescent="0.2">
      <c r="A262">
        <f>ROW(LineærRegression_Valg[[#This Row],[Tabel ID]])-ROW(LineærRegression_Valg[[#Headers],[Tabel ID]])</f>
        <v>252</v>
      </c>
      <c r="B262" s="45">
        <f>ROUNDDOWN((LineærRegression_Valg[[#This Row],[Tabel ID]]-1)/$B$5,0)+1</f>
        <v>63</v>
      </c>
      <c r="C262" s="45">
        <f t="shared" si="3"/>
        <v>4</v>
      </c>
      <c r="D262" s="45" t="b">
        <f>LineærRegression_Valg[[#This Row],[Afhængig variabel ID]]&lt;&gt;LineærRegression_Valg[[#This Row],[Uafhængig variabel ID]]</f>
        <v>1</v>
      </c>
      <c r="E262" t="b">
        <f>LineærRegression_Valg[[#This Row],[Afhængig variabel ID]]&lt;=$B$5</f>
        <v>0</v>
      </c>
      <c r="F262" t="str" cm="1">
        <f t="array" ref="F262">IF(LineærRegression_Valg[[#This Row],[Indenfor range]],INDEX(DataTitel_liste,LineærRegression_Valg[[#This Row],[Afhængig variabel ID]]),INDEX(DataTitel_liste,1))</f>
        <v>Eksempel 1 (interval)</v>
      </c>
      <c r="G262" s="45" t="str" cm="1">
        <f t="array" ref="G262">IF(LineærRegression_Valg[[#This Row],[Indenfor range]],IF(LineærRegression_Valg[[#This Row],[Intet overlap]],INDEX(DataTitel_liste,LineærRegression_Valg[[#This Row],[Uafhængig variabel ID]]),INDEX(DataTitel_liste,IF(LineærRegression_Valg[[#This Row],[Afhængig variabel ID]]=1,2,1))),$B$7)</f>
        <v>Eksempel 2 (interval)</v>
      </c>
      <c r="H262" s="45">
        <f>_xlfn.AGGREGATE(2,5,LineærRegression_Valg[[#This Row],[Tabel ID]])</f>
        <v>1</v>
      </c>
    </row>
    <row r="263" spans="1:8" x14ac:dyDescent="0.2">
      <c r="A263">
        <f>ROW(LineærRegression_Valg[[#This Row],[Tabel ID]])-ROW(LineærRegression_Valg[[#Headers],[Tabel ID]])</f>
        <v>253</v>
      </c>
      <c r="B263" s="45">
        <f>ROUNDDOWN((LineærRegression_Valg[[#This Row],[Tabel ID]]-1)/$B$5,0)+1</f>
        <v>64</v>
      </c>
      <c r="C263" s="45">
        <f t="shared" si="3"/>
        <v>1</v>
      </c>
      <c r="D263" s="45" t="b">
        <f>LineærRegression_Valg[[#This Row],[Afhængig variabel ID]]&lt;&gt;LineærRegression_Valg[[#This Row],[Uafhængig variabel ID]]</f>
        <v>1</v>
      </c>
      <c r="E263" t="b">
        <f>LineærRegression_Valg[[#This Row],[Afhængig variabel ID]]&lt;=$B$5</f>
        <v>0</v>
      </c>
      <c r="F263" t="str" cm="1">
        <f t="array" ref="F263">IF(LineærRegression_Valg[[#This Row],[Indenfor range]],INDEX(DataTitel_liste,LineærRegression_Valg[[#This Row],[Afhængig variabel ID]]),INDEX(DataTitel_liste,1))</f>
        <v>Eksempel 1 (interval)</v>
      </c>
      <c r="G263" s="45" t="str" cm="1">
        <f t="array" ref="G263">IF(LineærRegression_Valg[[#This Row],[Indenfor range]],IF(LineærRegression_Valg[[#This Row],[Intet overlap]],INDEX(DataTitel_liste,LineærRegression_Valg[[#This Row],[Uafhængig variabel ID]]),INDEX(DataTitel_liste,IF(LineærRegression_Valg[[#This Row],[Afhængig variabel ID]]=1,2,1))),$B$7)</f>
        <v>Eksempel 2 (interval)</v>
      </c>
      <c r="H263" s="45">
        <f>_xlfn.AGGREGATE(2,5,LineærRegression_Valg[[#This Row],[Tabel ID]])</f>
        <v>1</v>
      </c>
    </row>
    <row r="264" spans="1:8" x14ac:dyDescent="0.2">
      <c r="A264">
        <f>ROW(LineærRegression_Valg[[#This Row],[Tabel ID]])-ROW(LineærRegression_Valg[[#Headers],[Tabel ID]])</f>
        <v>254</v>
      </c>
      <c r="B264" s="45">
        <f>ROUNDDOWN((LineærRegression_Valg[[#This Row],[Tabel ID]]-1)/$B$5,0)+1</f>
        <v>64</v>
      </c>
      <c r="C264" s="45">
        <f t="shared" si="3"/>
        <v>2</v>
      </c>
      <c r="D264" s="45" t="b">
        <f>LineærRegression_Valg[[#This Row],[Afhængig variabel ID]]&lt;&gt;LineærRegression_Valg[[#This Row],[Uafhængig variabel ID]]</f>
        <v>1</v>
      </c>
      <c r="E264" t="b">
        <f>LineærRegression_Valg[[#This Row],[Afhængig variabel ID]]&lt;=$B$5</f>
        <v>0</v>
      </c>
      <c r="F264" t="str" cm="1">
        <f t="array" ref="F264">IF(LineærRegression_Valg[[#This Row],[Indenfor range]],INDEX(DataTitel_liste,LineærRegression_Valg[[#This Row],[Afhængig variabel ID]]),INDEX(DataTitel_liste,1))</f>
        <v>Eksempel 1 (interval)</v>
      </c>
      <c r="G264" s="45" t="str" cm="1">
        <f t="array" ref="G264">IF(LineærRegression_Valg[[#This Row],[Indenfor range]],IF(LineærRegression_Valg[[#This Row],[Intet overlap]],INDEX(DataTitel_liste,LineærRegression_Valg[[#This Row],[Uafhængig variabel ID]]),INDEX(DataTitel_liste,IF(LineærRegression_Valg[[#This Row],[Afhængig variabel ID]]=1,2,1))),$B$7)</f>
        <v>Eksempel 2 (interval)</v>
      </c>
      <c r="H264" s="45">
        <f>_xlfn.AGGREGATE(2,5,LineærRegression_Valg[[#This Row],[Tabel ID]])</f>
        <v>1</v>
      </c>
    </row>
    <row r="265" spans="1:8" x14ac:dyDescent="0.2">
      <c r="A265">
        <f>ROW(LineærRegression_Valg[[#This Row],[Tabel ID]])-ROW(LineærRegression_Valg[[#Headers],[Tabel ID]])</f>
        <v>255</v>
      </c>
      <c r="B265" s="45">
        <f>ROUNDDOWN((LineærRegression_Valg[[#This Row],[Tabel ID]]-1)/$B$5,0)+1</f>
        <v>64</v>
      </c>
      <c r="C265" s="45">
        <f t="shared" si="3"/>
        <v>3</v>
      </c>
      <c r="D265" s="45" t="b">
        <f>LineærRegression_Valg[[#This Row],[Afhængig variabel ID]]&lt;&gt;LineærRegression_Valg[[#This Row],[Uafhængig variabel ID]]</f>
        <v>1</v>
      </c>
      <c r="E265" t="b">
        <f>LineærRegression_Valg[[#This Row],[Afhængig variabel ID]]&lt;=$B$5</f>
        <v>0</v>
      </c>
      <c r="F265" t="str" cm="1">
        <f t="array" ref="F265">IF(LineærRegression_Valg[[#This Row],[Indenfor range]],INDEX(DataTitel_liste,LineærRegression_Valg[[#This Row],[Afhængig variabel ID]]),INDEX(DataTitel_liste,1))</f>
        <v>Eksempel 1 (interval)</v>
      </c>
      <c r="G265" s="45" t="str" cm="1">
        <f t="array" ref="G265">IF(LineærRegression_Valg[[#This Row],[Indenfor range]],IF(LineærRegression_Valg[[#This Row],[Intet overlap]],INDEX(DataTitel_liste,LineærRegression_Valg[[#This Row],[Uafhængig variabel ID]]),INDEX(DataTitel_liste,IF(LineærRegression_Valg[[#This Row],[Afhængig variabel ID]]=1,2,1))),$B$7)</f>
        <v>Eksempel 2 (interval)</v>
      </c>
      <c r="H265" s="45">
        <f>_xlfn.AGGREGATE(2,5,LineærRegression_Valg[[#This Row],[Tabel ID]])</f>
        <v>1</v>
      </c>
    </row>
    <row r="266" spans="1:8" x14ac:dyDescent="0.2">
      <c r="A266">
        <f>ROW(LineærRegression_Valg[[#This Row],[Tabel ID]])-ROW(LineærRegression_Valg[[#Headers],[Tabel ID]])</f>
        <v>256</v>
      </c>
      <c r="B266" s="45">
        <f>ROUNDDOWN((LineærRegression_Valg[[#This Row],[Tabel ID]]-1)/$B$5,0)+1</f>
        <v>64</v>
      </c>
      <c r="C266" s="45">
        <f t="shared" si="3"/>
        <v>4</v>
      </c>
      <c r="D266" s="45" t="b">
        <f>LineærRegression_Valg[[#This Row],[Afhængig variabel ID]]&lt;&gt;LineærRegression_Valg[[#This Row],[Uafhængig variabel ID]]</f>
        <v>1</v>
      </c>
      <c r="E266" t="b">
        <f>LineærRegression_Valg[[#This Row],[Afhængig variabel ID]]&lt;=$B$5</f>
        <v>0</v>
      </c>
      <c r="F266" t="str" cm="1">
        <f t="array" ref="F266">IF(LineærRegression_Valg[[#This Row],[Indenfor range]],INDEX(DataTitel_liste,LineærRegression_Valg[[#This Row],[Afhængig variabel ID]]),INDEX(DataTitel_liste,1))</f>
        <v>Eksempel 1 (interval)</v>
      </c>
      <c r="G266" s="45" t="str" cm="1">
        <f t="array" ref="G266">IF(LineærRegression_Valg[[#This Row],[Indenfor range]],IF(LineærRegression_Valg[[#This Row],[Intet overlap]],INDEX(DataTitel_liste,LineærRegression_Valg[[#This Row],[Uafhængig variabel ID]]),INDEX(DataTitel_liste,IF(LineærRegression_Valg[[#This Row],[Afhængig variabel ID]]=1,2,1))),$B$7)</f>
        <v>Eksempel 2 (interval)</v>
      </c>
      <c r="H266" s="45">
        <f>_xlfn.AGGREGATE(2,5,LineærRegression_Valg[[#This Row],[Tabel ID]])</f>
        <v>1</v>
      </c>
    </row>
    <row r="267" spans="1:8" x14ac:dyDescent="0.2">
      <c r="A267">
        <f>ROW(LineærRegression_Valg[[#This Row],[Tabel ID]])-ROW(LineærRegression_Valg[[#Headers],[Tabel ID]])</f>
        <v>257</v>
      </c>
      <c r="B267" s="45">
        <f>ROUNDDOWN((LineærRegression_Valg[[#This Row],[Tabel ID]]-1)/$B$5,0)+1</f>
        <v>65</v>
      </c>
      <c r="C267" s="45">
        <f t="shared" ref="C267:C330" si="4">MOD(A267-1,$B$5)+1</f>
        <v>1</v>
      </c>
      <c r="D267" s="45" t="b">
        <f>LineærRegression_Valg[[#This Row],[Afhængig variabel ID]]&lt;&gt;LineærRegression_Valg[[#This Row],[Uafhængig variabel ID]]</f>
        <v>1</v>
      </c>
      <c r="E267" t="b">
        <f>LineærRegression_Valg[[#This Row],[Afhængig variabel ID]]&lt;=$B$5</f>
        <v>0</v>
      </c>
      <c r="F267" t="str" cm="1">
        <f t="array" ref="F267">IF(LineærRegression_Valg[[#This Row],[Indenfor range]],INDEX(DataTitel_liste,LineærRegression_Valg[[#This Row],[Afhængig variabel ID]]),INDEX(DataTitel_liste,1))</f>
        <v>Eksempel 1 (interval)</v>
      </c>
      <c r="G267" s="45" t="str" cm="1">
        <f t="array" ref="G267">IF(LineærRegression_Valg[[#This Row],[Indenfor range]],IF(LineærRegression_Valg[[#This Row],[Intet overlap]],INDEX(DataTitel_liste,LineærRegression_Valg[[#This Row],[Uafhængig variabel ID]]),INDEX(DataTitel_liste,IF(LineærRegression_Valg[[#This Row],[Afhængig variabel ID]]=1,2,1))),$B$7)</f>
        <v>Eksempel 2 (interval)</v>
      </c>
      <c r="H267" s="45">
        <f>_xlfn.AGGREGATE(2,5,LineærRegression_Valg[[#This Row],[Tabel ID]])</f>
        <v>1</v>
      </c>
    </row>
    <row r="268" spans="1:8" x14ac:dyDescent="0.2">
      <c r="A268">
        <f>ROW(LineærRegression_Valg[[#This Row],[Tabel ID]])-ROW(LineærRegression_Valg[[#Headers],[Tabel ID]])</f>
        <v>258</v>
      </c>
      <c r="B268" s="45">
        <f>ROUNDDOWN((LineærRegression_Valg[[#This Row],[Tabel ID]]-1)/$B$5,0)+1</f>
        <v>65</v>
      </c>
      <c r="C268" s="45">
        <f t="shared" si="4"/>
        <v>2</v>
      </c>
      <c r="D268" s="45" t="b">
        <f>LineærRegression_Valg[[#This Row],[Afhængig variabel ID]]&lt;&gt;LineærRegression_Valg[[#This Row],[Uafhængig variabel ID]]</f>
        <v>1</v>
      </c>
      <c r="E268" t="b">
        <f>LineærRegression_Valg[[#This Row],[Afhængig variabel ID]]&lt;=$B$5</f>
        <v>0</v>
      </c>
      <c r="F268" t="str" cm="1">
        <f t="array" ref="F268">IF(LineærRegression_Valg[[#This Row],[Indenfor range]],INDEX(DataTitel_liste,LineærRegression_Valg[[#This Row],[Afhængig variabel ID]]),INDEX(DataTitel_liste,1))</f>
        <v>Eksempel 1 (interval)</v>
      </c>
      <c r="G268" s="45" t="str" cm="1">
        <f t="array" ref="G268">IF(LineærRegression_Valg[[#This Row],[Indenfor range]],IF(LineærRegression_Valg[[#This Row],[Intet overlap]],INDEX(DataTitel_liste,LineærRegression_Valg[[#This Row],[Uafhængig variabel ID]]),INDEX(DataTitel_liste,IF(LineærRegression_Valg[[#This Row],[Afhængig variabel ID]]=1,2,1))),$B$7)</f>
        <v>Eksempel 2 (interval)</v>
      </c>
      <c r="H268" s="45">
        <f>_xlfn.AGGREGATE(2,5,LineærRegression_Valg[[#This Row],[Tabel ID]])</f>
        <v>1</v>
      </c>
    </row>
    <row r="269" spans="1:8" x14ac:dyDescent="0.2">
      <c r="A269">
        <f>ROW(LineærRegression_Valg[[#This Row],[Tabel ID]])-ROW(LineærRegression_Valg[[#Headers],[Tabel ID]])</f>
        <v>259</v>
      </c>
      <c r="B269" s="45">
        <f>ROUNDDOWN((LineærRegression_Valg[[#This Row],[Tabel ID]]-1)/$B$5,0)+1</f>
        <v>65</v>
      </c>
      <c r="C269" s="45">
        <f t="shared" si="4"/>
        <v>3</v>
      </c>
      <c r="D269" s="45" t="b">
        <f>LineærRegression_Valg[[#This Row],[Afhængig variabel ID]]&lt;&gt;LineærRegression_Valg[[#This Row],[Uafhængig variabel ID]]</f>
        <v>1</v>
      </c>
      <c r="E269" t="b">
        <f>LineærRegression_Valg[[#This Row],[Afhængig variabel ID]]&lt;=$B$5</f>
        <v>0</v>
      </c>
      <c r="F269" t="str" cm="1">
        <f t="array" ref="F269">IF(LineærRegression_Valg[[#This Row],[Indenfor range]],INDEX(DataTitel_liste,LineærRegression_Valg[[#This Row],[Afhængig variabel ID]]),INDEX(DataTitel_liste,1))</f>
        <v>Eksempel 1 (interval)</v>
      </c>
      <c r="G269" s="45" t="str" cm="1">
        <f t="array" ref="G269">IF(LineærRegression_Valg[[#This Row],[Indenfor range]],IF(LineærRegression_Valg[[#This Row],[Intet overlap]],INDEX(DataTitel_liste,LineærRegression_Valg[[#This Row],[Uafhængig variabel ID]]),INDEX(DataTitel_liste,IF(LineærRegression_Valg[[#This Row],[Afhængig variabel ID]]=1,2,1))),$B$7)</f>
        <v>Eksempel 2 (interval)</v>
      </c>
      <c r="H269" s="45">
        <f>_xlfn.AGGREGATE(2,5,LineærRegression_Valg[[#This Row],[Tabel ID]])</f>
        <v>1</v>
      </c>
    </row>
    <row r="270" spans="1:8" x14ac:dyDescent="0.2">
      <c r="A270">
        <f>ROW(LineærRegression_Valg[[#This Row],[Tabel ID]])-ROW(LineærRegression_Valg[[#Headers],[Tabel ID]])</f>
        <v>260</v>
      </c>
      <c r="B270" s="45">
        <f>ROUNDDOWN((LineærRegression_Valg[[#This Row],[Tabel ID]]-1)/$B$5,0)+1</f>
        <v>65</v>
      </c>
      <c r="C270" s="45">
        <f t="shared" si="4"/>
        <v>4</v>
      </c>
      <c r="D270" s="45" t="b">
        <f>LineærRegression_Valg[[#This Row],[Afhængig variabel ID]]&lt;&gt;LineærRegression_Valg[[#This Row],[Uafhængig variabel ID]]</f>
        <v>1</v>
      </c>
      <c r="E270" t="b">
        <f>LineærRegression_Valg[[#This Row],[Afhængig variabel ID]]&lt;=$B$5</f>
        <v>0</v>
      </c>
      <c r="F270" t="str" cm="1">
        <f t="array" ref="F270">IF(LineærRegression_Valg[[#This Row],[Indenfor range]],INDEX(DataTitel_liste,LineærRegression_Valg[[#This Row],[Afhængig variabel ID]]),INDEX(DataTitel_liste,1))</f>
        <v>Eksempel 1 (interval)</v>
      </c>
      <c r="G270" s="45" t="str" cm="1">
        <f t="array" ref="G270">IF(LineærRegression_Valg[[#This Row],[Indenfor range]],IF(LineærRegression_Valg[[#This Row],[Intet overlap]],INDEX(DataTitel_liste,LineærRegression_Valg[[#This Row],[Uafhængig variabel ID]]),INDEX(DataTitel_liste,IF(LineærRegression_Valg[[#This Row],[Afhængig variabel ID]]=1,2,1))),$B$7)</f>
        <v>Eksempel 2 (interval)</v>
      </c>
      <c r="H270" s="45">
        <f>_xlfn.AGGREGATE(2,5,LineærRegression_Valg[[#This Row],[Tabel ID]])</f>
        <v>1</v>
      </c>
    </row>
    <row r="271" spans="1:8" x14ac:dyDescent="0.2">
      <c r="A271">
        <f>ROW(LineærRegression_Valg[[#This Row],[Tabel ID]])-ROW(LineærRegression_Valg[[#Headers],[Tabel ID]])</f>
        <v>261</v>
      </c>
      <c r="B271" s="45">
        <f>ROUNDDOWN((LineærRegression_Valg[[#This Row],[Tabel ID]]-1)/$B$5,0)+1</f>
        <v>66</v>
      </c>
      <c r="C271" s="45">
        <f t="shared" si="4"/>
        <v>1</v>
      </c>
      <c r="D271" s="45" t="b">
        <f>LineærRegression_Valg[[#This Row],[Afhængig variabel ID]]&lt;&gt;LineærRegression_Valg[[#This Row],[Uafhængig variabel ID]]</f>
        <v>1</v>
      </c>
      <c r="E271" t="b">
        <f>LineærRegression_Valg[[#This Row],[Afhængig variabel ID]]&lt;=$B$5</f>
        <v>0</v>
      </c>
      <c r="F271" t="str" cm="1">
        <f t="array" ref="F271">IF(LineærRegression_Valg[[#This Row],[Indenfor range]],INDEX(DataTitel_liste,LineærRegression_Valg[[#This Row],[Afhængig variabel ID]]),INDEX(DataTitel_liste,1))</f>
        <v>Eksempel 1 (interval)</v>
      </c>
      <c r="G271" s="45" t="str" cm="1">
        <f t="array" ref="G271">IF(LineærRegression_Valg[[#This Row],[Indenfor range]],IF(LineærRegression_Valg[[#This Row],[Intet overlap]],INDEX(DataTitel_liste,LineærRegression_Valg[[#This Row],[Uafhængig variabel ID]]),INDEX(DataTitel_liste,IF(LineærRegression_Valg[[#This Row],[Afhængig variabel ID]]=1,2,1))),$B$7)</f>
        <v>Eksempel 2 (interval)</v>
      </c>
      <c r="H271" s="45">
        <f>_xlfn.AGGREGATE(2,5,LineærRegression_Valg[[#This Row],[Tabel ID]])</f>
        <v>1</v>
      </c>
    </row>
    <row r="272" spans="1:8" x14ac:dyDescent="0.2">
      <c r="A272">
        <f>ROW(LineærRegression_Valg[[#This Row],[Tabel ID]])-ROW(LineærRegression_Valg[[#Headers],[Tabel ID]])</f>
        <v>262</v>
      </c>
      <c r="B272" s="45">
        <f>ROUNDDOWN((LineærRegression_Valg[[#This Row],[Tabel ID]]-1)/$B$5,0)+1</f>
        <v>66</v>
      </c>
      <c r="C272" s="45">
        <f t="shared" si="4"/>
        <v>2</v>
      </c>
      <c r="D272" s="45" t="b">
        <f>LineærRegression_Valg[[#This Row],[Afhængig variabel ID]]&lt;&gt;LineærRegression_Valg[[#This Row],[Uafhængig variabel ID]]</f>
        <v>1</v>
      </c>
      <c r="E272" t="b">
        <f>LineærRegression_Valg[[#This Row],[Afhængig variabel ID]]&lt;=$B$5</f>
        <v>0</v>
      </c>
      <c r="F272" t="str" cm="1">
        <f t="array" ref="F272">IF(LineærRegression_Valg[[#This Row],[Indenfor range]],INDEX(DataTitel_liste,LineærRegression_Valg[[#This Row],[Afhængig variabel ID]]),INDEX(DataTitel_liste,1))</f>
        <v>Eksempel 1 (interval)</v>
      </c>
      <c r="G272" s="45" t="str" cm="1">
        <f t="array" ref="G272">IF(LineærRegression_Valg[[#This Row],[Indenfor range]],IF(LineærRegression_Valg[[#This Row],[Intet overlap]],INDEX(DataTitel_liste,LineærRegression_Valg[[#This Row],[Uafhængig variabel ID]]),INDEX(DataTitel_liste,IF(LineærRegression_Valg[[#This Row],[Afhængig variabel ID]]=1,2,1))),$B$7)</f>
        <v>Eksempel 2 (interval)</v>
      </c>
      <c r="H272" s="45">
        <f>_xlfn.AGGREGATE(2,5,LineærRegression_Valg[[#This Row],[Tabel ID]])</f>
        <v>1</v>
      </c>
    </row>
    <row r="273" spans="1:8" x14ac:dyDescent="0.2">
      <c r="A273">
        <f>ROW(LineærRegression_Valg[[#This Row],[Tabel ID]])-ROW(LineærRegression_Valg[[#Headers],[Tabel ID]])</f>
        <v>263</v>
      </c>
      <c r="B273" s="45">
        <f>ROUNDDOWN((LineærRegression_Valg[[#This Row],[Tabel ID]]-1)/$B$5,0)+1</f>
        <v>66</v>
      </c>
      <c r="C273" s="45">
        <f t="shared" si="4"/>
        <v>3</v>
      </c>
      <c r="D273" s="45" t="b">
        <f>LineærRegression_Valg[[#This Row],[Afhængig variabel ID]]&lt;&gt;LineærRegression_Valg[[#This Row],[Uafhængig variabel ID]]</f>
        <v>1</v>
      </c>
      <c r="E273" t="b">
        <f>LineærRegression_Valg[[#This Row],[Afhængig variabel ID]]&lt;=$B$5</f>
        <v>0</v>
      </c>
      <c r="F273" t="str" cm="1">
        <f t="array" ref="F273">IF(LineærRegression_Valg[[#This Row],[Indenfor range]],INDEX(DataTitel_liste,LineærRegression_Valg[[#This Row],[Afhængig variabel ID]]),INDEX(DataTitel_liste,1))</f>
        <v>Eksempel 1 (interval)</v>
      </c>
      <c r="G273" s="45" t="str" cm="1">
        <f t="array" ref="G273">IF(LineærRegression_Valg[[#This Row],[Indenfor range]],IF(LineærRegression_Valg[[#This Row],[Intet overlap]],INDEX(DataTitel_liste,LineærRegression_Valg[[#This Row],[Uafhængig variabel ID]]),INDEX(DataTitel_liste,IF(LineærRegression_Valg[[#This Row],[Afhængig variabel ID]]=1,2,1))),$B$7)</f>
        <v>Eksempel 2 (interval)</v>
      </c>
      <c r="H273" s="45">
        <f>_xlfn.AGGREGATE(2,5,LineærRegression_Valg[[#This Row],[Tabel ID]])</f>
        <v>1</v>
      </c>
    </row>
    <row r="274" spans="1:8" x14ac:dyDescent="0.2">
      <c r="A274">
        <f>ROW(LineærRegression_Valg[[#This Row],[Tabel ID]])-ROW(LineærRegression_Valg[[#Headers],[Tabel ID]])</f>
        <v>264</v>
      </c>
      <c r="B274" s="45">
        <f>ROUNDDOWN((LineærRegression_Valg[[#This Row],[Tabel ID]]-1)/$B$5,0)+1</f>
        <v>66</v>
      </c>
      <c r="C274" s="45">
        <f t="shared" si="4"/>
        <v>4</v>
      </c>
      <c r="D274" s="45" t="b">
        <f>LineærRegression_Valg[[#This Row],[Afhængig variabel ID]]&lt;&gt;LineærRegression_Valg[[#This Row],[Uafhængig variabel ID]]</f>
        <v>1</v>
      </c>
      <c r="E274" t="b">
        <f>LineærRegression_Valg[[#This Row],[Afhængig variabel ID]]&lt;=$B$5</f>
        <v>0</v>
      </c>
      <c r="F274" t="str" cm="1">
        <f t="array" ref="F274">IF(LineærRegression_Valg[[#This Row],[Indenfor range]],INDEX(DataTitel_liste,LineærRegression_Valg[[#This Row],[Afhængig variabel ID]]),INDEX(DataTitel_liste,1))</f>
        <v>Eksempel 1 (interval)</v>
      </c>
      <c r="G274" s="45" t="str" cm="1">
        <f t="array" ref="G274">IF(LineærRegression_Valg[[#This Row],[Indenfor range]],IF(LineærRegression_Valg[[#This Row],[Intet overlap]],INDEX(DataTitel_liste,LineærRegression_Valg[[#This Row],[Uafhængig variabel ID]]),INDEX(DataTitel_liste,IF(LineærRegression_Valg[[#This Row],[Afhængig variabel ID]]=1,2,1))),$B$7)</f>
        <v>Eksempel 2 (interval)</v>
      </c>
      <c r="H274" s="45">
        <f>_xlfn.AGGREGATE(2,5,LineærRegression_Valg[[#This Row],[Tabel ID]])</f>
        <v>1</v>
      </c>
    </row>
    <row r="275" spans="1:8" x14ac:dyDescent="0.2">
      <c r="A275">
        <f>ROW(LineærRegression_Valg[[#This Row],[Tabel ID]])-ROW(LineærRegression_Valg[[#Headers],[Tabel ID]])</f>
        <v>265</v>
      </c>
      <c r="B275" s="45">
        <f>ROUNDDOWN((LineærRegression_Valg[[#This Row],[Tabel ID]]-1)/$B$5,0)+1</f>
        <v>67</v>
      </c>
      <c r="C275" s="45">
        <f t="shared" si="4"/>
        <v>1</v>
      </c>
      <c r="D275" s="45" t="b">
        <f>LineærRegression_Valg[[#This Row],[Afhængig variabel ID]]&lt;&gt;LineærRegression_Valg[[#This Row],[Uafhængig variabel ID]]</f>
        <v>1</v>
      </c>
      <c r="E275" t="b">
        <f>LineærRegression_Valg[[#This Row],[Afhængig variabel ID]]&lt;=$B$5</f>
        <v>0</v>
      </c>
      <c r="F275" t="str" cm="1">
        <f t="array" ref="F275">IF(LineærRegression_Valg[[#This Row],[Indenfor range]],INDEX(DataTitel_liste,LineærRegression_Valg[[#This Row],[Afhængig variabel ID]]),INDEX(DataTitel_liste,1))</f>
        <v>Eksempel 1 (interval)</v>
      </c>
      <c r="G275" s="45" t="str" cm="1">
        <f t="array" ref="G275">IF(LineærRegression_Valg[[#This Row],[Indenfor range]],IF(LineærRegression_Valg[[#This Row],[Intet overlap]],INDEX(DataTitel_liste,LineærRegression_Valg[[#This Row],[Uafhængig variabel ID]]),INDEX(DataTitel_liste,IF(LineærRegression_Valg[[#This Row],[Afhængig variabel ID]]=1,2,1))),$B$7)</f>
        <v>Eksempel 2 (interval)</v>
      </c>
      <c r="H275" s="45">
        <f>_xlfn.AGGREGATE(2,5,LineærRegression_Valg[[#This Row],[Tabel ID]])</f>
        <v>1</v>
      </c>
    </row>
    <row r="276" spans="1:8" x14ac:dyDescent="0.2">
      <c r="A276">
        <f>ROW(LineærRegression_Valg[[#This Row],[Tabel ID]])-ROW(LineærRegression_Valg[[#Headers],[Tabel ID]])</f>
        <v>266</v>
      </c>
      <c r="B276" s="45">
        <f>ROUNDDOWN((LineærRegression_Valg[[#This Row],[Tabel ID]]-1)/$B$5,0)+1</f>
        <v>67</v>
      </c>
      <c r="C276" s="45">
        <f t="shared" si="4"/>
        <v>2</v>
      </c>
      <c r="D276" s="45" t="b">
        <f>LineærRegression_Valg[[#This Row],[Afhængig variabel ID]]&lt;&gt;LineærRegression_Valg[[#This Row],[Uafhængig variabel ID]]</f>
        <v>1</v>
      </c>
      <c r="E276" t="b">
        <f>LineærRegression_Valg[[#This Row],[Afhængig variabel ID]]&lt;=$B$5</f>
        <v>0</v>
      </c>
      <c r="F276" t="str" cm="1">
        <f t="array" ref="F276">IF(LineærRegression_Valg[[#This Row],[Indenfor range]],INDEX(DataTitel_liste,LineærRegression_Valg[[#This Row],[Afhængig variabel ID]]),INDEX(DataTitel_liste,1))</f>
        <v>Eksempel 1 (interval)</v>
      </c>
      <c r="G276" s="45" t="str" cm="1">
        <f t="array" ref="G276">IF(LineærRegression_Valg[[#This Row],[Indenfor range]],IF(LineærRegression_Valg[[#This Row],[Intet overlap]],INDEX(DataTitel_liste,LineærRegression_Valg[[#This Row],[Uafhængig variabel ID]]),INDEX(DataTitel_liste,IF(LineærRegression_Valg[[#This Row],[Afhængig variabel ID]]=1,2,1))),$B$7)</f>
        <v>Eksempel 2 (interval)</v>
      </c>
      <c r="H276" s="45">
        <f>_xlfn.AGGREGATE(2,5,LineærRegression_Valg[[#This Row],[Tabel ID]])</f>
        <v>1</v>
      </c>
    </row>
    <row r="277" spans="1:8" x14ac:dyDescent="0.2">
      <c r="A277">
        <f>ROW(LineærRegression_Valg[[#This Row],[Tabel ID]])-ROW(LineærRegression_Valg[[#Headers],[Tabel ID]])</f>
        <v>267</v>
      </c>
      <c r="B277" s="45">
        <f>ROUNDDOWN((LineærRegression_Valg[[#This Row],[Tabel ID]]-1)/$B$5,0)+1</f>
        <v>67</v>
      </c>
      <c r="C277" s="45">
        <f t="shared" si="4"/>
        <v>3</v>
      </c>
      <c r="D277" s="45" t="b">
        <f>LineærRegression_Valg[[#This Row],[Afhængig variabel ID]]&lt;&gt;LineærRegression_Valg[[#This Row],[Uafhængig variabel ID]]</f>
        <v>1</v>
      </c>
      <c r="E277" t="b">
        <f>LineærRegression_Valg[[#This Row],[Afhængig variabel ID]]&lt;=$B$5</f>
        <v>0</v>
      </c>
      <c r="F277" t="str" cm="1">
        <f t="array" ref="F277">IF(LineærRegression_Valg[[#This Row],[Indenfor range]],INDEX(DataTitel_liste,LineærRegression_Valg[[#This Row],[Afhængig variabel ID]]),INDEX(DataTitel_liste,1))</f>
        <v>Eksempel 1 (interval)</v>
      </c>
      <c r="G277" s="45" t="str" cm="1">
        <f t="array" ref="G277">IF(LineærRegression_Valg[[#This Row],[Indenfor range]],IF(LineærRegression_Valg[[#This Row],[Intet overlap]],INDEX(DataTitel_liste,LineærRegression_Valg[[#This Row],[Uafhængig variabel ID]]),INDEX(DataTitel_liste,IF(LineærRegression_Valg[[#This Row],[Afhængig variabel ID]]=1,2,1))),$B$7)</f>
        <v>Eksempel 2 (interval)</v>
      </c>
      <c r="H277" s="45">
        <f>_xlfn.AGGREGATE(2,5,LineærRegression_Valg[[#This Row],[Tabel ID]])</f>
        <v>1</v>
      </c>
    </row>
    <row r="278" spans="1:8" x14ac:dyDescent="0.2">
      <c r="A278">
        <f>ROW(LineærRegression_Valg[[#This Row],[Tabel ID]])-ROW(LineærRegression_Valg[[#Headers],[Tabel ID]])</f>
        <v>268</v>
      </c>
      <c r="B278" s="45">
        <f>ROUNDDOWN((LineærRegression_Valg[[#This Row],[Tabel ID]]-1)/$B$5,0)+1</f>
        <v>67</v>
      </c>
      <c r="C278" s="45">
        <f t="shared" si="4"/>
        <v>4</v>
      </c>
      <c r="D278" s="45" t="b">
        <f>LineærRegression_Valg[[#This Row],[Afhængig variabel ID]]&lt;&gt;LineærRegression_Valg[[#This Row],[Uafhængig variabel ID]]</f>
        <v>1</v>
      </c>
      <c r="E278" t="b">
        <f>LineærRegression_Valg[[#This Row],[Afhængig variabel ID]]&lt;=$B$5</f>
        <v>0</v>
      </c>
      <c r="F278" t="str" cm="1">
        <f t="array" ref="F278">IF(LineærRegression_Valg[[#This Row],[Indenfor range]],INDEX(DataTitel_liste,LineærRegression_Valg[[#This Row],[Afhængig variabel ID]]),INDEX(DataTitel_liste,1))</f>
        <v>Eksempel 1 (interval)</v>
      </c>
      <c r="G278" s="45" t="str" cm="1">
        <f t="array" ref="G278">IF(LineærRegression_Valg[[#This Row],[Indenfor range]],IF(LineærRegression_Valg[[#This Row],[Intet overlap]],INDEX(DataTitel_liste,LineærRegression_Valg[[#This Row],[Uafhængig variabel ID]]),INDEX(DataTitel_liste,IF(LineærRegression_Valg[[#This Row],[Afhængig variabel ID]]=1,2,1))),$B$7)</f>
        <v>Eksempel 2 (interval)</v>
      </c>
      <c r="H278" s="45">
        <f>_xlfn.AGGREGATE(2,5,LineærRegression_Valg[[#This Row],[Tabel ID]])</f>
        <v>1</v>
      </c>
    </row>
    <row r="279" spans="1:8" x14ac:dyDescent="0.2">
      <c r="A279">
        <f>ROW(LineærRegression_Valg[[#This Row],[Tabel ID]])-ROW(LineærRegression_Valg[[#Headers],[Tabel ID]])</f>
        <v>269</v>
      </c>
      <c r="B279" s="45">
        <f>ROUNDDOWN((LineærRegression_Valg[[#This Row],[Tabel ID]]-1)/$B$5,0)+1</f>
        <v>68</v>
      </c>
      <c r="C279" s="45">
        <f t="shared" si="4"/>
        <v>1</v>
      </c>
      <c r="D279" s="45" t="b">
        <f>LineærRegression_Valg[[#This Row],[Afhængig variabel ID]]&lt;&gt;LineærRegression_Valg[[#This Row],[Uafhængig variabel ID]]</f>
        <v>1</v>
      </c>
      <c r="E279" t="b">
        <f>LineærRegression_Valg[[#This Row],[Afhængig variabel ID]]&lt;=$B$5</f>
        <v>0</v>
      </c>
      <c r="F279" t="str" cm="1">
        <f t="array" ref="F279">IF(LineærRegression_Valg[[#This Row],[Indenfor range]],INDEX(DataTitel_liste,LineærRegression_Valg[[#This Row],[Afhængig variabel ID]]),INDEX(DataTitel_liste,1))</f>
        <v>Eksempel 1 (interval)</v>
      </c>
      <c r="G279" s="45" t="str" cm="1">
        <f t="array" ref="G279">IF(LineærRegression_Valg[[#This Row],[Indenfor range]],IF(LineærRegression_Valg[[#This Row],[Intet overlap]],INDEX(DataTitel_liste,LineærRegression_Valg[[#This Row],[Uafhængig variabel ID]]),INDEX(DataTitel_liste,IF(LineærRegression_Valg[[#This Row],[Afhængig variabel ID]]=1,2,1))),$B$7)</f>
        <v>Eksempel 2 (interval)</v>
      </c>
      <c r="H279" s="45">
        <f>_xlfn.AGGREGATE(2,5,LineærRegression_Valg[[#This Row],[Tabel ID]])</f>
        <v>1</v>
      </c>
    </row>
    <row r="280" spans="1:8" x14ac:dyDescent="0.2">
      <c r="A280">
        <f>ROW(LineærRegression_Valg[[#This Row],[Tabel ID]])-ROW(LineærRegression_Valg[[#Headers],[Tabel ID]])</f>
        <v>270</v>
      </c>
      <c r="B280" s="45">
        <f>ROUNDDOWN((LineærRegression_Valg[[#This Row],[Tabel ID]]-1)/$B$5,0)+1</f>
        <v>68</v>
      </c>
      <c r="C280" s="45">
        <f t="shared" si="4"/>
        <v>2</v>
      </c>
      <c r="D280" s="45" t="b">
        <f>LineærRegression_Valg[[#This Row],[Afhængig variabel ID]]&lt;&gt;LineærRegression_Valg[[#This Row],[Uafhængig variabel ID]]</f>
        <v>1</v>
      </c>
      <c r="E280" t="b">
        <f>LineærRegression_Valg[[#This Row],[Afhængig variabel ID]]&lt;=$B$5</f>
        <v>0</v>
      </c>
      <c r="F280" t="str" cm="1">
        <f t="array" ref="F280">IF(LineærRegression_Valg[[#This Row],[Indenfor range]],INDEX(DataTitel_liste,LineærRegression_Valg[[#This Row],[Afhængig variabel ID]]),INDEX(DataTitel_liste,1))</f>
        <v>Eksempel 1 (interval)</v>
      </c>
      <c r="G280" s="45" t="str" cm="1">
        <f t="array" ref="G280">IF(LineærRegression_Valg[[#This Row],[Indenfor range]],IF(LineærRegression_Valg[[#This Row],[Intet overlap]],INDEX(DataTitel_liste,LineærRegression_Valg[[#This Row],[Uafhængig variabel ID]]),INDEX(DataTitel_liste,IF(LineærRegression_Valg[[#This Row],[Afhængig variabel ID]]=1,2,1))),$B$7)</f>
        <v>Eksempel 2 (interval)</v>
      </c>
      <c r="H280" s="45">
        <f>_xlfn.AGGREGATE(2,5,LineærRegression_Valg[[#This Row],[Tabel ID]])</f>
        <v>1</v>
      </c>
    </row>
    <row r="281" spans="1:8" x14ac:dyDescent="0.2">
      <c r="A281">
        <f>ROW(LineærRegression_Valg[[#This Row],[Tabel ID]])-ROW(LineærRegression_Valg[[#Headers],[Tabel ID]])</f>
        <v>271</v>
      </c>
      <c r="B281" s="45">
        <f>ROUNDDOWN((LineærRegression_Valg[[#This Row],[Tabel ID]]-1)/$B$5,0)+1</f>
        <v>68</v>
      </c>
      <c r="C281" s="45">
        <f t="shared" si="4"/>
        <v>3</v>
      </c>
      <c r="D281" s="45" t="b">
        <f>LineærRegression_Valg[[#This Row],[Afhængig variabel ID]]&lt;&gt;LineærRegression_Valg[[#This Row],[Uafhængig variabel ID]]</f>
        <v>1</v>
      </c>
      <c r="E281" t="b">
        <f>LineærRegression_Valg[[#This Row],[Afhængig variabel ID]]&lt;=$B$5</f>
        <v>0</v>
      </c>
      <c r="F281" t="str" cm="1">
        <f t="array" ref="F281">IF(LineærRegression_Valg[[#This Row],[Indenfor range]],INDEX(DataTitel_liste,LineærRegression_Valg[[#This Row],[Afhængig variabel ID]]),INDEX(DataTitel_liste,1))</f>
        <v>Eksempel 1 (interval)</v>
      </c>
      <c r="G281" s="45" t="str" cm="1">
        <f t="array" ref="G281">IF(LineærRegression_Valg[[#This Row],[Indenfor range]],IF(LineærRegression_Valg[[#This Row],[Intet overlap]],INDEX(DataTitel_liste,LineærRegression_Valg[[#This Row],[Uafhængig variabel ID]]),INDEX(DataTitel_liste,IF(LineærRegression_Valg[[#This Row],[Afhængig variabel ID]]=1,2,1))),$B$7)</f>
        <v>Eksempel 2 (interval)</v>
      </c>
      <c r="H281" s="45">
        <f>_xlfn.AGGREGATE(2,5,LineærRegression_Valg[[#This Row],[Tabel ID]])</f>
        <v>1</v>
      </c>
    </row>
    <row r="282" spans="1:8" x14ac:dyDescent="0.2">
      <c r="A282">
        <f>ROW(LineærRegression_Valg[[#This Row],[Tabel ID]])-ROW(LineærRegression_Valg[[#Headers],[Tabel ID]])</f>
        <v>272</v>
      </c>
      <c r="B282" s="45">
        <f>ROUNDDOWN((LineærRegression_Valg[[#This Row],[Tabel ID]]-1)/$B$5,0)+1</f>
        <v>68</v>
      </c>
      <c r="C282" s="45">
        <f t="shared" si="4"/>
        <v>4</v>
      </c>
      <c r="D282" s="45" t="b">
        <f>LineærRegression_Valg[[#This Row],[Afhængig variabel ID]]&lt;&gt;LineærRegression_Valg[[#This Row],[Uafhængig variabel ID]]</f>
        <v>1</v>
      </c>
      <c r="E282" t="b">
        <f>LineærRegression_Valg[[#This Row],[Afhængig variabel ID]]&lt;=$B$5</f>
        <v>0</v>
      </c>
      <c r="F282" t="str" cm="1">
        <f t="array" ref="F282">IF(LineærRegression_Valg[[#This Row],[Indenfor range]],INDEX(DataTitel_liste,LineærRegression_Valg[[#This Row],[Afhængig variabel ID]]),INDEX(DataTitel_liste,1))</f>
        <v>Eksempel 1 (interval)</v>
      </c>
      <c r="G282" s="45" t="str" cm="1">
        <f t="array" ref="G282">IF(LineærRegression_Valg[[#This Row],[Indenfor range]],IF(LineærRegression_Valg[[#This Row],[Intet overlap]],INDEX(DataTitel_liste,LineærRegression_Valg[[#This Row],[Uafhængig variabel ID]]),INDEX(DataTitel_liste,IF(LineærRegression_Valg[[#This Row],[Afhængig variabel ID]]=1,2,1))),$B$7)</f>
        <v>Eksempel 2 (interval)</v>
      </c>
      <c r="H282" s="45">
        <f>_xlfn.AGGREGATE(2,5,LineærRegression_Valg[[#This Row],[Tabel ID]])</f>
        <v>1</v>
      </c>
    </row>
    <row r="283" spans="1:8" x14ac:dyDescent="0.2">
      <c r="A283">
        <f>ROW(LineærRegression_Valg[[#This Row],[Tabel ID]])-ROW(LineærRegression_Valg[[#Headers],[Tabel ID]])</f>
        <v>273</v>
      </c>
      <c r="B283" s="45">
        <f>ROUNDDOWN((LineærRegression_Valg[[#This Row],[Tabel ID]]-1)/$B$5,0)+1</f>
        <v>69</v>
      </c>
      <c r="C283" s="45">
        <f t="shared" si="4"/>
        <v>1</v>
      </c>
      <c r="D283" s="45" t="b">
        <f>LineærRegression_Valg[[#This Row],[Afhængig variabel ID]]&lt;&gt;LineærRegression_Valg[[#This Row],[Uafhængig variabel ID]]</f>
        <v>1</v>
      </c>
      <c r="E283" t="b">
        <f>LineærRegression_Valg[[#This Row],[Afhængig variabel ID]]&lt;=$B$5</f>
        <v>0</v>
      </c>
      <c r="F283" t="str" cm="1">
        <f t="array" ref="F283">IF(LineærRegression_Valg[[#This Row],[Indenfor range]],INDEX(DataTitel_liste,LineærRegression_Valg[[#This Row],[Afhængig variabel ID]]),INDEX(DataTitel_liste,1))</f>
        <v>Eksempel 1 (interval)</v>
      </c>
      <c r="G283" s="45" t="str" cm="1">
        <f t="array" ref="G283">IF(LineærRegression_Valg[[#This Row],[Indenfor range]],IF(LineærRegression_Valg[[#This Row],[Intet overlap]],INDEX(DataTitel_liste,LineærRegression_Valg[[#This Row],[Uafhængig variabel ID]]),INDEX(DataTitel_liste,IF(LineærRegression_Valg[[#This Row],[Afhængig variabel ID]]=1,2,1))),$B$7)</f>
        <v>Eksempel 2 (interval)</v>
      </c>
      <c r="H283" s="45">
        <f>_xlfn.AGGREGATE(2,5,LineærRegression_Valg[[#This Row],[Tabel ID]])</f>
        <v>1</v>
      </c>
    </row>
    <row r="284" spans="1:8" x14ac:dyDescent="0.2">
      <c r="A284">
        <f>ROW(LineærRegression_Valg[[#This Row],[Tabel ID]])-ROW(LineærRegression_Valg[[#Headers],[Tabel ID]])</f>
        <v>274</v>
      </c>
      <c r="B284" s="45">
        <f>ROUNDDOWN((LineærRegression_Valg[[#This Row],[Tabel ID]]-1)/$B$5,0)+1</f>
        <v>69</v>
      </c>
      <c r="C284" s="45">
        <f t="shared" si="4"/>
        <v>2</v>
      </c>
      <c r="D284" s="45" t="b">
        <f>LineærRegression_Valg[[#This Row],[Afhængig variabel ID]]&lt;&gt;LineærRegression_Valg[[#This Row],[Uafhængig variabel ID]]</f>
        <v>1</v>
      </c>
      <c r="E284" t="b">
        <f>LineærRegression_Valg[[#This Row],[Afhængig variabel ID]]&lt;=$B$5</f>
        <v>0</v>
      </c>
      <c r="F284" t="str" cm="1">
        <f t="array" ref="F284">IF(LineærRegression_Valg[[#This Row],[Indenfor range]],INDEX(DataTitel_liste,LineærRegression_Valg[[#This Row],[Afhængig variabel ID]]),INDEX(DataTitel_liste,1))</f>
        <v>Eksempel 1 (interval)</v>
      </c>
      <c r="G284" s="45" t="str" cm="1">
        <f t="array" ref="G284">IF(LineærRegression_Valg[[#This Row],[Indenfor range]],IF(LineærRegression_Valg[[#This Row],[Intet overlap]],INDEX(DataTitel_liste,LineærRegression_Valg[[#This Row],[Uafhængig variabel ID]]),INDEX(DataTitel_liste,IF(LineærRegression_Valg[[#This Row],[Afhængig variabel ID]]=1,2,1))),$B$7)</f>
        <v>Eksempel 2 (interval)</v>
      </c>
      <c r="H284" s="45">
        <f>_xlfn.AGGREGATE(2,5,LineærRegression_Valg[[#This Row],[Tabel ID]])</f>
        <v>1</v>
      </c>
    </row>
    <row r="285" spans="1:8" x14ac:dyDescent="0.2">
      <c r="A285">
        <f>ROW(LineærRegression_Valg[[#This Row],[Tabel ID]])-ROW(LineærRegression_Valg[[#Headers],[Tabel ID]])</f>
        <v>275</v>
      </c>
      <c r="B285" s="45">
        <f>ROUNDDOWN((LineærRegression_Valg[[#This Row],[Tabel ID]]-1)/$B$5,0)+1</f>
        <v>69</v>
      </c>
      <c r="C285" s="45">
        <f t="shared" si="4"/>
        <v>3</v>
      </c>
      <c r="D285" s="45" t="b">
        <f>LineærRegression_Valg[[#This Row],[Afhængig variabel ID]]&lt;&gt;LineærRegression_Valg[[#This Row],[Uafhængig variabel ID]]</f>
        <v>1</v>
      </c>
      <c r="E285" t="b">
        <f>LineærRegression_Valg[[#This Row],[Afhængig variabel ID]]&lt;=$B$5</f>
        <v>0</v>
      </c>
      <c r="F285" t="str" cm="1">
        <f t="array" ref="F285">IF(LineærRegression_Valg[[#This Row],[Indenfor range]],INDEX(DataTitel_liste,LineærRegression_Valg[[#This Row],[Afhængig variabel ID]]),INDEX(DataTitel_liste,1))</f>
        <v>Eksempel 1 (interval)</v>
      </c>
      <c r="G285" s="45" t="str" cm="1">
        <f t="array" ref="G285">IF(LineærRegression_Valg[[#This Row],[Indenfor range]],IF(LineærRegression_Valg[[#This Row],[Intet overlap]],INDEX(DataTitel_liste,LineærRegression_Valg[[#This Row],[Uafhængig variabel ID]]),INDEX(DataTitel_liste,IF(LineærRegression_Valg[[#This Row],[Afhængig variabel ID]]=1,2,1))),$B$7)</f>
        <v>Eksempel 2 (interval)</v>
      </c>
      <c r="H285" s="45">
        <f>_xlfn.AGGREGATE(2,5,LineærRegression_Valg[[#This Row],[Tabel ID]])</f>
        <v>1</v>
      </c>
    </row>
    <row r="286" spans="1:8" x14ac:dyDescent="0.2">
      <c r="A286">
        <f>ROW(LineærRegression_Valg[[#This Row],[Tabel ID]])-ROW(LineærRegression_Valg[[#Headers],[Tabel ID]])</f>
        <v>276</v>
      </c>
      <c r="B286" s="45">
        <f>ROUNDDOWN((LineærRegression_Valg[[#This Row],[Tabel ID]]-1)/$B$5,0)+1</f>
        <v>69</v>
      </c>
      <c r="C286" s="45">
        <f t="shared" si="4"/>
        <v>4</v>
      </c>
      <c r="D286" s="45" t="b">
        <f>LineærRegression_Valg[[#This Row],[Afhængig variabel ID]]&lt;&gt;LineærRegression_Valg[[#This Row],[Uafhængig variabel ID]]</f>
        <v>1</v>
      </c>
      <c r="E286" t="b">
        <f>LineærRegression_Valg[[#This Row],[Afhængig variabel ID]]&lt;=$B$5</f>
        <v>0</v>
      </c>
      <c r="F286" t="str" cm="1">
        <f t="array" ref="F286">IF(LineærRegression_Valg[[#This Row],[Indenfor range]],INDEX(DataTitel_liste,LineærRegression_Valg[[#This Row],[Afhængig variabel ID]]),INDEX(DataTitel_liste,1))</f>
        <v>Eksempel 1 (interval)</v>
      </c>
      <c r="G286" s="45" t="str" cm="1">
        <f t="array" ref="G286">IF(LineærRegression_Valg[[#This Row],[Indenfor range]],IF(LineærRegression_Valg[[#This Row],[Intet overlap]],INDEX(DataTitel_liste,LineærRegression_Valg[[#This Row],[Uafhængig variabel ID]]),INDEX(DataTitel_liste,IF(LineærRegression_Valg[[#This Row],[Afhængig variabel ID]]=1,2,1))),$B$7)</f>
        <v>Eksempel 2 (interval)</v>
      </c>
      <c r="H286" s="45">
        <f>_xlfn.AGGREGATE(2,5,LineærRegression_Valg[[#This Row],[Tabel ID]])</f>
        <v>1</v>
      </c>
    </row>
    <row r="287" spans="1:8" x14ac:dyDescent="0.2">
      <c r="A287">
        <f>ROW(LineærRegression_Valg[[#This Row],[Tabel ID]])-ROW(LineærRegression_Valg[[#Headers],[Tabel ID]])</f>
        <v>277</v>
      </c>
      <c r="B287" s="45">
        <f>ROUNDDOWN((LineærRegression_Valg[[#This Row],[Tabel ID]]-1)/$B$5,0)+1</f>
        <v>70</v>
      </c>
      <c r="C287" s="45">
        <f t="shared" si="4"/>
        <v>1</v>
      </c>
      <c r="D287" s="45" t="b">
        <f>LineærRegression_Valg[[#This Row],[Afhængig variabel ID]]&lt;&gt;LineærRegression_Valg[[#This Row],[Uafhængig variabel ID]]</f>
        <v>1</v>
      </c>
      <c r="E287" t="b">
        <f>LineærRegression_Valg[[#This Row],[Afhængig variabel ID]]&lt;=$B$5</f>
        <v>0</v>
      </c>
      <c r="F287" t="str" cm="1">
        <f t="array" ref="F287">IF(LineærRegression_Valg[[#This Row],[Indenfor range]],INDEX(DataTitel_liste,LineærRegression_Valg[[#This Row],[Afhængig variabel ID]]),INDEX(DataTitel_liste,1))</f>
        <v>Eksempel 1 (interval)</v>
      </c>
      <c r="G287" s="45" t="str" cm="1">
        <f t="array" ref="G287">IF(LineærRegression_Valg[[#This Row],[Indenfor range]],IF(LineærRegression_Valg[[#This Row],[Intet overlap]],INDEX(DataTitel_liste,LineærRegression_Valg[[#This Row],[Uafhængig variabel ID]]),INDEX(DataTitel_liste,IF(LineærRegression_Valg[[#This Row],[Afhængig variabel ID]]=1,2,1))),$B$7)</f>
        <v>Eksempel 2 (interval)</v>
      </c>
      <c r="H287" s="45">
        <f>_xlfn.AGGREGATE(2,5,LineærRegression_Valg[[#This Row],[Tabel ID]])</f>
        <v>1</v>
      </c>
    </row>
    <row r="288" spans="1:8" x14ac:dyDescent="0.2">
      <c r="A288">
        <f>ROW(LineærRegression_Valg[[#This Row],[Tabel ID]])-ROW(LineærRegression_Valg[[#Headers],[Tabel ID]])</f>
        <v>278</v>
      </c>
      <c r="B288" s="45">
        <f>ROUNDDOWN((LineærRegression_Valg[[#This Row],[Tabel ID]]-1)/$B$5,0)+1</f>
        <v>70</v>
      </c>
      <c r="C288" s="45">
        <f t="shared" si="4"/>
        <v>2</v>
      </c>
      <c r="D288" s="45" t="b">
        <f>LineærRegression_Valg[[#This Row],[Afhængig variabel ID]]&lt;&gt;LineærRegression_Valg[[#This Row],[Uafhængig variabel ID]]</f>
        <v>1</v>
      </c>
      <c r="E288" t="b">
        <f>LineærRegression_Valg[[#This Row],[Afhængig variabel ID]]&lt;=$B$5</f>
        <v>0</v>
      </c>
      <c r="F288" t="str" cm="1">
        <f t="array" ref="F288">IF(LineærRegression_Valg[[#This Row],[Indenfor range]],INDEX(DataTitel_liste,LineærRegression_Valg[[#This Row],[Afhængig variabel ID]]),INDEX(DataTitel_liste,1))</f>
        <v>Eksempel 1 (interval)</v>
      </c>
      <c r="G288" s="45" t="str" cm="1">
        <f t="array" ref="G288">IF(LineærRegression_Valg[[#This Row],[Indenfor range]],IF(LineærRegression_Valg[[#This Row],[Intet overlap]],INDEX(DataTitel_liste,LineærRegression_Valg[[#This Row],[Uafhængig variabel ID]]),INDEX(DataTitel_liste,IF(LineærRegression_Valg[[#This Row],[Afhængig variabel ID]]=1,2,1))),$B$7)</f>
        <v>Eksempel 2 (interval)</v>
      </c>
      <c r="H288" s="45">
        <f>_xlfn.AGGREGATE(2,5,LineærRegression_Valg[[#This Row],[Tabel ID]])</f>
        <v>1</v>
      </c>
    </row>
    <row r="289" spans="1:8" x14ac:dyDescent="0.2">
      <c r="A289">
        <f>ROW(LineærRegression_Valg[[#This Row],[Tabel ID]])-ROW(LineærRegression_Valg[[#Headers],[Tabel ID]])</f>
        <v>279</v>
      </c>
      <c r="B289" s="45">
        <f>ROUNDDOWN((LineærRegression_Valg[[#This Row],[Tabel ID]]-1)/$B$5,0)+1</f>
        <v>70</v>
      </c>
      <c r="C289" s="45">
        <f t="shared" si="4"/>
        <v>3</v>
      </c>
      <c r="D289" s="45" t="b">
        <f>LineærRegression_Valg[[#This Row],[Afhængig variabel ID]]&lt;&gt;LineærRegression_Valg[[#This Row],[Uafhængig variabel ID]]</f>
        <v>1</v>
      </c>
      <c r="E289" t="b">
        <f>LineærRegression_Valg[[#This Row],[Afhængig variabel ID]]&lt;=$B$5</f>
        <v>0</v>
      </c>
      <c r="F289" t="str" cm="1">
        <f t="array" ref="F289">IF(LineærRegression_Valg[[#This Row],[Indenfor range]],INDEX(DataTitel_liste,LineærRegression_Valg[[#This Row],[Afhængig variabel ID]]),INDEX(DataTitel_liste,1))</f>
        <v>Eksempel 1 (interval)</v>
      </c>
      <c r="G289" s="45" t="str" cm="1">
        <f t="array" ref="G289">IF(LineærRegression_Valg[[#This Row],[Indenfor range]],IF(LineærRegression_Valg[[#This Row],[Intet overlap]],INDEX(DataTitel_liste,LineærRegression_Valg[[#This Row],[Uafhængig variabel ID]]),INDEX(DataTitel_liste,IF(LineærRegression_Valg[[#This Row],[Afhængig variabel ID]]=1,2,1))),$B$7)</f>
        <v>Eksempel 2 (interval)</v>
      </c>
      <c r="H289" s="45">
        <f>_xlfn.AGGREGATE(2,5,LineærRegression_Valg[[#This Row],[Tabel ID]])</f>
        <v>1</v>
      </c>
    </row>
    <row r="290" spans="1:8" x14ac:dyDescent="0.2">
      <c r="A290">
        <f>ROW(LineærRegression_Valg[[#This Row],[Tabel ID]])-ROW(LineærRegression_Valg[[#Headers],[Tabel ID]])</f>
        <v>280</v>
      </c>
      <c r="B290" s="45">
        <f>ROUNDDOWN((LineærRegression_Valg[[#This Row],[Tabel ID]]-1)/$B$5,0)+1</f>
        <v>70</v>
      </c>
      <c r="C290" s="45">
        <f t="shared" si="4"/>
        <v>4</v>
      </c>
      <c r="D290" s="45" t="b">
        <f>LineærRegression_Valg[[#This Row],[Afhængig variabel ID]]&lt;&gt;LineærRegression_Valg[[#This Row],[Uafhængig variabel ID]]</f>
        <v>1</v>
      </c>
      <c r="E290" t="b">
        <f>LineærRegression_Valg[[#This Row],[Afhængig variabel ID]]&lt;=$B$5</f>
        <v>0</v>
      </c>
      <c r="F290" t="str" cm="1">
        <f t="array" ref="F290">IF(LineærRegression_Valg[[#This Row],[Indenfor range]],INDEX(DataTitel_liste,LineærRegression_Valg[[#This Row],[Afhængig variabel ID]]),INDEX(DataTitel_liste,1))</f>
        <v>Eksempel 1 (interval)</v>
      </c>
      <c r="G290" s="45" t="str" cm="1">
        <f t="array" ref="G290">IF(LineærRegression_Valg[[#This Row],[Indenfor range]],IF(LineærRegression_Valg[[#This Row],[Intet overlap]],INDEX(DataTitel_liste,LineærRegression_Valg[[#This Row],[Uafhængig variabel ID]]),INDEX(DataTitel_liste,IF(LineærRegression_Valg[[#This Row],[Afhængig variabel ID]]=1,2,1))),$B$7)</f>
        <v>Eksempel 2 (interval)</v>
      </c>
      <c r="H290" s="45">
        <f>_xlfn.AGGREGATE(2,5,LineærRegression_Valg[[#This Row],[Tabel ID]])</f>
        <v>1</v>
      </c>
    </row>
    <row r="291" spans="1:8" x14ac:dyDescent="0.2">
      <c r="A291">
        <f>ROW(LineærRegression_Valg[[#This Row],[Tabel ID]])-ROW(LineærRegression_Valg[[#Headers],[Tabel ID]])</f>
        <v>281</v>
      </c>
      <c r="B291" s="45">
        <f>ROUNDDOWN((LineærRegression_Valg[[#This Row],[Tabel ID]]-1)/$B$5,0)+1</f>
        <v>71</v>
      </c>
      <c r="C291" s="45">
        <f t="shared" si="4"/>
        <v>1</v>
      </c>
      <c r="D291" s="45" t="b">
        <f>LineærRegression_Valg[[#This Row],[Afhængig variabel ID]]&lt;&gt;LineærRegression_Valg[[#This Row],[Uafhængig variabel ID]]</f>
        <v>1</v>
      </c>
      <c r="E291" t="b">
        <f>LineærRegression_Valg[[#This Row],[Afhængig variabel ID]]&lt;=$B$5</f>
        <v>0</v>
      </c>
      <c r="F291" t="str" cm="1">
        <f t="array" ref="F291">IF(LineærRegression_Valg[[#This Row],[Indenfor range]],INDEX(DataTitel_liste,LineærRegression_Valg[[#This Row],[Afhængig variabel ID]]),INDEX(DataTitel_liste,1))</f>
        <v>Eksempel 1 (interval)</v>
      </c>
      <c r="G291" s="45" t="str" cm="1">
        <f t="array" ref="G291">IF(LineærRegression_Valg[[#This Row],[Indenfor range]],IF(LineærRegression_Valg[[#This Row],[Intet overlap]],INDEX(DataTitel_liste,LineærRegression_Valg[[#This Row],[Uafhængig variabel ID]]),INDEX(DataTitel_liste,IF(LineærRegression_Valg[[#This Row],[Afhængig variabel ID]]=1,2,1))),$B$7)</f>
        <v>Eksempel 2 (interval)</v>
      </c>
      <c r="H291" s="45">
        <f>_xlfn.AGGREGATE(2,5,LineærRegression_Valg[[#This Row],[Tabel ID]])</f>
        <v>1</v>
      </c>
    </row>
    <row r="292" spans="1:8" x14ac:dyDescent="0.2">
      <c r="A292">
        <f>ROW(LineærRegression_Valg[[#This Row],[Tabel ID]])-ROW(LineærRegression_Valg[[#Headers],[Tabel ID]])</f>
        <v>282</v>
      </c>
      <c r="B292" s="45">
        <f>ROUNDDOWN((LineærRegression_Valg[[#This Row],[Tabel ID]]-1)/$B$5,0)+1</f>
        <v>71</v>
      </c>
      <c r="C292" s="45">
        <f t="shared" si="4"/>
        <v>2</v>
      </c>
      <c r="D292" s="45" t="b">
        <f>LineærRegression_Valg[[#This Row],[Afhængig variabel ID]]&lt;&gt;LineærRegression_Valg[[#This Row],[Uafhængig variabel ID]]</f>
        <v>1</v>
      </c>
      <c r="E292" t="b">
        <f>LineærRegression_Valg[[#This Row],[Afhængig variabel ID]]&lt;=$B$5</f>
        <v>0</v>
      </c>
      <c r="F292" t="str" cm="1">
        <f t="array" ref="F292">IF(LineærRegression_Valg[[#This Row],[Indenfor range]],INDEX(DataTitel_liste,LineærRegression_Valg[[#This Row],[Afhængig variabel ID]]),INDEX(DataTitel_liste,1))</f>
        <v>Eksempel 1 (interval)</v>
      </c>
      <c r="G292" s="45" t="str" cm="1">
        <f t="array" ref="G292">IF(LineærRegression_Valg[[#This Row],[Indenfor range]],IF(LineærRegression_Valg[[#This Row],[Intet overlap]],INDEX(DataTitel_liste,LineærRegression_Valg[[#This Row],[Uafhængig variabel ID]]),INDEX(DataTitel_liste,IF(LineærRegression_Valg[[#This Row],[Afhængig variabel ID]]=1,2,1))),$B$7)</f>
        <v>Eksempel 2 (interval)</v>
      </c>
      <c r="H292" s="45">
        <f>_xlfn.AGGREGATE(2,5,LineærRegression_Valg[[#This Row],[Tabel ID]])</f>
        <v>1</v>
      </c>
    </row>
    <row r="293" spans="1:8" x14ac:dyDescent="0.2">
      <c r="A293">
        <f>ROW(LineærRegression_Valg[[#This Row],[Tabel ID]])-ROW(LineærRegression_Valg[[#Headers],[Tabel ID]])</f>
        <v>283</v>
      </c>
      <c r="B293" s="45">
        <f>ROUNDDOWN((LineærRegression_Valg[[#This Row],[Tabel ID]]-1)/$B$5,0)+1</f>
        <v>71</v>
      </c>
      <c r="C293" s="45">
        <f t="shared" si="4"/>
        <v>3</v>
      </c>
      <c r="D293" s="45" t="b">
        <f>LineærRegression_Valg[[#This Row],[Afhængig variabel ID]]&lt;&gt;LineærRegression_Valg[[#This Row],[Uafhængig variabel ID]]</f>
        <v>1</v>
      </c>
      <c r="E293" t="b">
        <f>LineærRegression_Valg[[#This Row],[Afhængig variabel ID]]&lt;=$B$5</f>
        <v>0</v>
      </c>
      <c r="F293" t="str" cm="1">
        <f t="array" ref="F293">IF(LineærRegression_Valg[[#This Row],[Indenfor range]],INDEX(DataTitel_liste,LineærRegression_Valg[[#This Row],[Afhængig variabel ID]]),INDEX(DataTitel_liste,1))</f>
        <v>Eksempel 1 (interval)</v>
      </c>
      <c r="G293" s="45" t="str" cm="1">
        <f t="array" ref="G293">IF(LineærRegression_Valg[[#This Row],[Indenfor range]],IF(LineærRegression_Valg[[#This Row],[Intet overlap]],INDEX(DataTitel_liste,LineærRegression_Valg[[#This Row],[Uafhængig variabel ID]]),INDEX(DataTitel_liste,IF(LineærRegression_Valg[[#This Row],[Afhængig variabel ID]]=1,2,1))),$B$7)</f>
        <v>Eksempel 2 (interval)</v>
      </c>
      <c r="H293" s="45">
        <f>_xlfn.AGGREGATE(2,5,LineærRegression_Valg[[#This Row],[Tabel ID]])</f>
        <v>1</v>
      </c>
    </row>
    <row r="294" spans="1:8" x14ac:dyDescent="0.2">
      <c r="A294">
        <f>ROW(LineærRegression_Valg[[#This Row],[Tabel ID]])-ROW(LineærRegression_Valg[[#Headers],[Tabel ID]])</f>
        <v>284</v>
      </c>
      <c r="B294" s="45">
        <f>ROUNDDOWN((LineærRegression_Valg[[#This Row],[Tabel ID]]-1)/$B$5,0)+1</f>
        <v>71</v>
      </c>
      <c r="C294" s="45">
        <f t="shared" si="4"/>
        <v>4</v>
      </c>
      <c r="D294" s="45" t="b">
        <f>LineærRegression_Valg[[#This Row],[Afhængig variabel ID]]&lt;&gt;LineærRegression_Valg[[#This Row],[Uafhængig variabel ID]]</f>
        <v>1</v>
      </c>
      <c r="E294" t="b">
        <f>LineærRegression_Valg[[#This Row],[Afhængig variabel ID]]&lt;=$B$5</f>
        <v>0</v>
      </c>
      <c r="F294" t="str" cm="1">
        <f t="array" ref="F294">IF(LineærRegression_Valg[[#This Row],[Indenfor range]],INDEX(DataTitel_liste,LineærRegression_Valg[[#This Row],[Afhængig variabel ID]]),INDEX(DataTitel_liste,1))</f>
        <v>Eksempel 1 (interval)</v>
      </c>
      <c r="G294" s="45" t="str" cm="1">
        <f t="array" ref="G294">IF(LineærRegression_Valg[[#This Row],[Indenfor range]],IF(LineærRegression_Valg[[#This Row],[Intet overlap]],INDEX(DataTitel_liste,LineærRegression_Valg[[#This Row],[Uafhængig variabel ID]]),INDEX(DataTitel_liste,IF(LineærRegression_Valg[[#This Row],[Afhængig variabel ID]]=1,2,1))),$B$7)</f>
        <v>Eksempel 2 (interval)</v>
      </c>
      <c r="H294" s="45">
        <f>_xlfn.AGGREGATE(2,5,LineærRegression_Valg[[#This Row],[Tabel ID]])</f>
        <v>1</v>
      </c>
    </row>
    <row r="295" spans="1:8" x14ac:dyDescent="0.2">
      <c r="A295">
        <f>ROW(LineærRegression_Valg[[#This Row],[Tabel ID]])-ROW(LineærRegression_Valg[[#Headers],[Tabel ID]])</f>
        <v>285</v>
      </c>
      <c r="B295" s="45">
        <f>ROUNDDOWN((LineærRegression_Valg[[#This Row],[Tabel ID]]-1)/$B$5,0)+1</f>
        <v>72</v>
      </c>
      <c r="C295" s="45">
        <f t="shared" si="4"/>
        <v>1</v>
      </c>
      <c r="D295" s="45" t="b">
        <f>LineærRegression_Valg[[#This Row],[Afhængig variabel ID]]&lt;&gt;LineærRegression_Valg[[#This Row],[Uafhængig variabel ID]]</f>
        <v>1</v>
      </c>
      <c r="E295" t="b">
        <f>LineærRegression_Valg[[#This Row],[Afhængig variabel ID]]&lt;=$B$5</f>
        <v>0</v>
      </c>
      <c r="F295" t="str" cm="1">
        <f t="array" ref="F295">IF(LineærRegression_Valg[[#This Row],[Indenfor range]],INDEX(DataTitel_liste,LineærRegression_Valg[[#This Row],[Afhængig variabel ID]]),INDEX(DataTitel_liste,1))</f>
        <v>Eksempel 1 (interval)</v>
      </c>
      <c r="G295" s="45" t="str" cm="1">
        <f t="array" ref="G295">IF(LineærRegression_Valg[[#This Row],[Indenfor range]],IF(LineærRegression_Valg[[#This Row],[Intet overlap]],INDEX(DataTitel_liste,LineærRegression_Valg[[#This Row],[Uafhængig variabel ID]]),INDEX(DataTitel_liste,IF(LineærRegression_Valg[[#This Row],[Afhængig variabel ID]]=1,2,1))),$B$7)</f>
        <v>Eksempel 2 (interval)</v>
      </c>
      <c r="H295" s="45">
        <f>_xlfn.AGGREGATE(2,5,LineærRegression_Valg[[#This Row],[Tabel ID]])</f>
        <v>1</v>
      </c>
    </row>
    <row r="296" spans="1:8" x14ac:dyDescent="0.2">
      <c r="A296">
        <f>ROW(LineærRegression_Valg[[#This Row],[Tabel ID]])-ROW(LineærRegression_Valg[[#Headers],[Tabel ID]])</f>
        <v>286</v>
      </c>
      <c r="B296" s="45">
        <f>ROUNDDOWN((LineærRegression_Valg[[#This Row],[Tabel ID]]-1)/$B$5,0)+1</f>
        <v>72</v>
      </c>
      <c r="C296" s="45">
        <f t="shared" si="4"/>
        <v>2</v>
      </c>
      <c r="D296" s="45" t="b">
        <f>LineærRegression_Valg[[#This Row],[Afhængig variabel ID]]&lt;&gt;LineærRegression_Valg[[#This Row],[Uafhængig variabel ID]]</f>
        <v>1</v>
      </c>
      <c r="E296" t="b">
        <f>LineærRegression_Valg[[#This Row],[Afhængig variabel ID]]&lt;=$B$5</f>
        <v>0</v>
      </c>
      <c r="F296" t="str" cm="1">
        <f t="array" ref="F296">IF(LineærRegression_Valg[[#This Row],[Indenfor range]],INDEX(DataTitel_liste,LineærRegression_Valg[[#This Row],[Afhængig variabel ID]]),INDEX(DataTitel_liste,1))</f>
        <v>Eksempel 1 (interval)</v>
      </c>
      <c r="G296" s="45" t="str" cm="1">
        <f t="array" ref="G296">IF(LineærRegression_Valg[[#This Row],[Indenfor range]],IF(LineærRegression_Valg[[#This Row],[Intet overlap]],INDEX(DataTitel_liste,LineærRegression_Valg[[#This Row],[Uafhængig variabel ID]]),INDEX(DataTitel_liste,IF(LineærRegression_Valg[[#This Row],[Afhængig variabel ID]]=1,2,1))),$B$7)</f>
        <v>Eksempel 2 (interval)</v>
      </c>
      <c r="H296" s="45">
        <f>_xlfn.AGGREGATE(2,5,LineærRegression_Valg[[#This Row],[Tabel ID]])</f>
        <v>1</v>
      </c>
    </row>
    <row r="297" spans="1:8" x14ac:dyDescent="0.2">
      <c r="A297">
        <f>ROW(LineærRegression_Valg[[#This Row],[Tabel ID]])-ROW(LineærRegression_Valg[[#Headers],[Tabel ID]])</f>
        <v>287</v>
      </c>
      <c r="B297" s="45">
        <f>ROUNDDOWN((LineærRegression_Valg[[#This Row],[Tabel ID]]-1)/$B$5,0)+1</f>
        <v>72</v>
      </c>
      <c r="C297" s="45">
        <f t="shared" si="4"/>
        <v>3</v>
      </c>
      <c r="D297" s="45" t="b">
        <f>LineærRegression_Valg[[#This Row],[Afhængig variabel ID]]&lt;&gt;LineærRegression_Valg[[#This Row],[Uafhængig variabel ID]]</f>
        <v>1</v>
      </c>
      <c r="E297" t="b">
        <f>LineærRegression_Valg[[#This Row],[Afhængig variabel ID]]&lt;=$B$5</f>
        <v>0</v>
      </c>
      <c r="F297" t="str" cm="1">
        <f t="array" ref="F297">IF(LineærRegression_Valg[[#This Row],[Indenfor range]],INDEX(DataTitel_liste,LineærRegression_Valg[[#This Row],[Afhængig variabel ID]]),INDEX(DataTitel_liste,1))</f>
        <v>Eksempel 1 (interval)</v>
      </c>
      <c r="G297" s="45" t="str" cm="1">
        <f t="array" ref="G297">IF(LineærRegression_Valg[[#This Row],[Indenfor range]],IF(LineærRegression_Valg[[#This Row],[Intet overlap]],INDEX(DataTitel_liste,LineærRegression_Valg[[#This Row],[Uafhængig variabel ID]]),INDEX(DataTitel_liste,IF(LineærRegression_Valg[[#This Row],[Afhængig variabel ID]]=1,2,1))),$B$7)</f>
        <v>Eksempel 2 (interval)</v>
      </c>
      <c r="H297" s="45">
        <f>_xlfn.AGGREGATE(2,5,LineærRegression_Valg[[#This Row],[Tabel ID]])</f>
        <v>1</v>
      </c>
    </row>
    <row r="298" spans="1:8" x14ac:dyDescent="0.2">
      <c r="A298">
        <f>ROW(LineærRegression_Valg[[#This Row],[Tabel ID]])-ROW(LineærRegression_Valg[[#Headers],[Tabel ID]])</f>
        <v>288</v>
      </c>
      <c r="B298" s="45">
        <f>ROUNDDOWN((LineærRegression_Valg[[#This Row],[Tabel ID]]-1)/$B$5,0)+1</f>
        <v>72</v>
      </c>
      <c r="C298" s="45">
        <f t="shared" si="4"/>
        <v>4</v>
      </c>
      <c r="D298" s="45" t="b">
        <f>LineærRegression_Valg[[#This Row],[Afhængig variabel ID]]&lt;&gt;LineærRegression_Valg[[#This Row],[Uafhængig variabel ID]]</f>
        <v>1</v>
      </c>
      <c r="E298" t="b">
        <f>LineærRegression_Valg[[#This Row],[Afhængig variabel ID]]&lt;=$B$5</f>
        <v>0</v>
      </c>
      <c r="F298" t="str" cm="1">
        <f t="array" ref="F298">IF(LineærRegression_Valg[[#This Row],[Indenfor range]],INDEX(DataTitel_liste,LineærRegression_Valg[[#This Row],[Afhængig variabel ID]]),INDEX(DataTitel_liste,1))</f>
        <v>Eksempel 1 (interval)</v>
      </c>
      <c r="G298" s="45" t="str" cm="1">
        <f t="array" ref="G298">IF(LineærRegression_Valg[[#This Row],[Indenfor range]],IF(LineærRegression_Valg[[#This Row],[Intet overlap]],INDEX(DataTitel_liste,LineærRegression_Valg[[#This Row],[Uafhængig variabel ID]]),INDEX(DataTitel_liste,IF(LineærRegression_Valg[[#This Row],[Afhængig variabel ID]]=1,2,1))),$B$7)</f>
        <v>Eksempel 2 (interval)</v>
      </c>
      <c r="H298" s="45">
        <f>_xlfn.AGGREGATE(2,5,LineærRegression_Valg[[#This Row],[Tabel ID]])</f>
        <v>1</v>
      </c>
    </row>
    <row r="299" spans="1:8" x14ac:dyDescent="0.2">
      <c r="A299">
        <f>ROW(LineærRegression_Valg[[#This Row],[Tabel ID]])-ROW(LineærRegression_Valg[[#Headers],[Tabel ID]])</f>
        <v>289</v>
      </c>
      <c r="B299" s="45">
        <f>ROUNDDOWN((LineærRegression_Valg[[#This Row],[Tabel ID]]-1)/$B$5,0)+1</f>
        <v>73</v>
      </c>
      <c r="C299" s="45">
        <f t="shared" si="4"/>
        <v>1</v>
      </c>
      <c r="D299" s="45" t="b">
        <f>LineærRegression_Valg[[#This Row],[Afhængig variabel ID]]&lt;&gt;LineærRegression_Valg[[#This Row],[Uafhængig variabel ID]]</f>
        <v>1</v>
      </c>
      <c r="E299" t="b">
        <f>LineærRegression_Valg[[#This Row],[Afhængig variabel ID]]&lt;=$B$5</f>
        <v>0</v>
      </c>
      <c r="F299" t="str" cm="1">
        <f t="array" ref="F299">IF(LineærRegression_Valg[[#This Row],[Indenfor range]],INDEX(DataTitel_liste,LineærRegression_Valg[[#This Row],[Afhængig variabel ID]]),INDEX(DataTitel_liste,1))</f>
        <v>Eksempel 1 (interval)</v>
      </c>
      <c r="G299" s="45" t="str" cm="1">
        <f t="array" ref="G299">IF(LineærRegression_Valg[[#This Row],[Indenfor range]],IF(LineærRegression_Valg[[#This Row],[Intet overlap]],INDEX(DataTitel_liste,LineærRegression_Valg[[#This Row],[Uafhængig variabel ID]]),INDEX(DataTitel_liste,IF(LineærRegression_Valg[[#This Row],[Afhængig variabel ID]]=1,2,1))),$B$7)</f>
        <v>Eksempel 2 (interval)</v>
      </c>
      <c r="H299" s="45">
        <f>_xlfn.AGGREGATE(2,5,LineærRegression_Valg[[#This Row],[Tabel ID]])</f>
        <v>1</v>
      </c>
    </row>
    <row r="300" spans="1:8" x14ac:dyDescent="0.2">
      <c r="A300">
        <f>ROW(LineærRegression_Valg[[#This Row],[Tabel ID]])-ROW(LineærRegression_Valg[[#Headers],[Tabel ID]])</f>
        <v>290</v>
      </c>
      <c r="B300" s="45">
        <f>ROUNDDOWN((LineærRegression_Valg[[#This Row],[Tabel ID]]-1)/$B$5,0)+1</f>
        <v>73</v>
      </c>
      <c r="C300" s="45">
        <f t="shared" si="4"/>
        <v>2</v>
      </c>
      <c r="D300" s="45" t="b">
        <f>LineærRegression_Valg[[#This Row],[Afhængig variabel ID]]&lt;&gt;LineærRegression_Valg[[#This Row],[Uafhængig variabel ID]]</f>
        <v>1</v>
      </c>
      <c r="E300" t="b">
        <f>LineærRegression_Valg[[#This Row],[Afhængig variabel ID]]&lt;=$B$5</f>
        <v>0</v>
      </c>
      <c r="F300" t="str" cm="1">
        <f t="array" ref="F300">IF(LineærRegression_Valg[[#This Row],[Indenfor range]],INDEX(DataTitel_liste,LineærRegression_Valg[[#This Row],[Afhængig variabel ID]]),INDEX(DataTitel_liste,1))</f>
        <v>Eksempel 1 (interval)</v>
      </c>
      <c r="G300" s="45" t="str" cm="1">
        <f t="array" ref="G300">IF(LineærRegression_Valg[[#This Row],[Indenfor range]],IF(LineærRegression_Valg[[#This Row],[Intet overlap]],INDEX(DataTitel_liste,LineærRegression_Valg[[#This Row],[Uafhængig variabel ID]]),INDEX(DataTitel_liste,IF(LineærRegression_Valg[[#This Row],[Afhængig variabel ID]]=1,2,1))),$B$7)</f>
        <v>Eksempel 2 (interval)</v>
      </c>
      <c r="H300" s="45">
        <f>_xlfn.AGGREGATE(2,5,LineærRegression_Valg[[#This Row],[Tabel ID]])</f>
        <v>1</v>
      </c>
    </row>
    <row r="301" spans="1:8" x14ac:dyDescent="0.2">
      <c r="A301">
        <f>ROW(LineærRegression_Valg[[#This Row],[Tabel ID]])-ROW(LineærRegression_Valg[[#Headers],[Tabel ID]])</f>
        <v>291</v>
      </c>
      <c r="B301" s="45">
        <f>ROUNDDOWN((LineærRegression_Valg[[#This Row],[Tabel ID]]-1)/$B$5,0)+1</f>
        <v>73</v>
      </c>
      <c r="C301" s="45">
        <f t="shared" si="4"/>
        <v>3</v>
      </c>
      <c r="D301" s="45" t="b">
        <f>LineærRegression_Valg[[#This Row],[Afhængig variabel ID]]&lt;&gt;LineærRegression_Valg[[#This Row],[Uafhængig variabel ID]]</f>
        <v>1</v>
      </c>
      <c r="E301" t="b">
        <f>LineærRegression_Valg[[#This Row],[Afhængig variabel ID]]&lt;=$B$5</f>
        <v>0</v>
      </c>
      <c r="F301" t="str" cm="1">
        <f t="array" ref="F301">IF(LineærRegression_Valg[[#This Row],[Indenfor range]],INDEX(DataTitel_liste,LineærRegression_Valg[[#This Row],[Afhængig variabel ID]]),INDEX(DataTitel_liste,1))</f>
        <v>Eksempel 1 (interval)</v>
      </c>
      <c r="G301" s="45" t="str" cm="1">
        <f t="array" ref="G301">IF(LineærRegression_Valg[[#This Row],[Indenfor range]],IF(LineærRegression_Valg[[#This Row],[Intet overlap]],INDEX(DataTitel_liste,LineærRegression_Valg[[#This Row],[Uafhængig variabel ID]]),INDEX(DataTitel_liste,IF(LineærRegression_Valg[[#This Row],[Afhængig variabel ID]]=1,2,1))),$B$7)</f>
        <v>Eksempel 2 (interval)</v>
      </c>
      <c r="H301" s="45">
        <f>_xlfn.AGGREGATE(2,5,LineærRegression_Valg[[#This Row],[Tabel ID]])</f>
        <v>1</v>
      </c>
    </row>
    <row r="302" spans="1:8" x14ac:dyDescent="0.2">
      <c r="A302">
        <f>ROW(LineærRegression_Valg[[#This Row],[Tabel ID]])-ROW(LineærRegression_Valg[[#Headers],[Tabel ID]])</f>
        <v>292</v>
      </c>
      <c r="B302" s="45">
        <f>ROUNDDOWN((LineærRegression_Valg[[#This Row],[Tabel ID]]-1)/$B$5,0)+1</f>
        <v>73</v>
      </c>
      <c r="C302" s="45">
        <f t="shared" si="4"/>
        <v>4</v>
      </c>
      <c r="D302" s="45" t="b">
        <f>LineærRegression_Valg[[#This Row],[Afhængig variabel ID]]&lt;&gt;LineærRegression_Valg[[#This Row],[Uafhængig variabel ID]]</f>
        <v>1</v>
      </c>
      <c r="E302" t="b">
        <f>LineærRegression_Valg[[#This Row],[Afhængig variabel ID]]&lt;=$B$5</f>
        <v>0</v>
      </c>
      <c r="F302" t="str" cm="1">
        <f t="array" ref="F302">IF(LineærRegression_Valg[[#This Row],[Indenfor range]],INDEX(DataTitel_liste,LineærRegression_Valg[[#This Row],[Afhængig variabel ID]]),INDEX(DataTitel_liste,1))</f>
        <v>Eksempel 1 (interval)</v>
      </c>
      <c r="G302" s="45" t="str" cm="1">
        <f t="array" ref="G302">IF(LineærRegression_Valg[[#This Row],[Indenfor range]],IF(LineærRegression_Valg[[#This Row],[Intet overlap]],INDEX(DataTitel_liste,LineærRegression_Valg[[#This Row],[Uafhængig variabel ID]]),INDEX(DataTitel_liste,IF(LineærRegression_Valg[[#This Row],[Afhængig variabel ID]]=1,2,1))),$B$7)</f>
        <v>Eksempel 2 (interval)</v>
      </c>
      <c r="H302" s="45">
        <f>_xlfn.AGGREGATE(2,5,LineærRegression_Valg[[#This Row],[Tabel ID]])</f>
        <v>1</v>
      </c>
    </row>
    <row r="303" spans="1:8" x14ac:dyDescent="0.2">
      <c r="A303">
        <f>ROW(LineærRegression_Valg[[#This Row],[Tabel ID]])-ROW(LineærRegression_Valg[[#Headers],[Tabel ID]])</f>
        <v>293</v>
      </c>
      <c r="B303" s="45">
        <f>ROUNDDOWN((LineærRegression_Valg[[#This Row],[Tabel ID]]-1)/$B$5,0)+1</f>
        <v>74</v>
      </c>
      <c r="C303" s="45">
        <f t="shared" si="4"/>
        <v>1</v>
      </c>
      <c r="D303" s="45" t="b">
        <f>LineærRegression_Valg[[#This Row],[Afhængig variabel ID]]&lt;&gt;LineærRegression_Valg[[#This Row],[Uafhængig variabel ID]]</f>
        <v>1</v>
      </c>
      <c r="E303" t="b">
        <f>LineærRegression_Valg[[#This Row],[Afhængig variabel ID]]&lt;=$B$5</f>
        <v>0</v>
      </c>
      <c r="F303" t="str" cm="1">
        <f t="array" ref="F303">IF(LineærRegression_Valg[[#This Row],[Indenfor range]],INDEX(DataTitel_liste,LineærRegression_Valg[[#This Row],[Afhængig variabel ID]]),INDEX(DataTitel_liste,1))</f>
        <v>Eksempel 1 (interval)</v>
      </c>
      <c r="G303" s="45" t="str" cm="1">
        <f t="array" ref="G303">IF(LineærRegression_Valg[[#This Row],[Indenfor range]],IF(LineærRegression_Valg[[#This Row],[Intet overlap]],INDEX(DataTitel_liste,LineærRegression_Valg[[#This Row],[Uafhængig variabel ID]]),INDEX(DataTitel_liste,IF(LineærRegression_Valg[[#This Row],[Afhængig variabel ID]]=1,2,1))),$B$7)</f>
        <v>Eksempel 2 (interval)</v>
      </c>
      <c r="H303" s="45">
        <f>_xlfn.AGGREGATE(2,5,LineærRegression_Valg[[#This Row],[Tabel ID]])</f>
        <v>1</v>
      </c>
    </row>
    <row r="304" spans="1:8" x14ac:dyDescent="0.2">
      <c r="A304">
        <f>ROW(LineærRegression_Valg[[#This Row],[Tabel ID]])-ROW(LineærRegression_Valg[[#Headers],[Tabel ID]])</f>
        <v>294</v>
      </c>
      <c r="B304" s="45">
        <f>ROUNDDOWN((LineærRegression_Valg[[#This Row],[Tabel ID]]-1)/$B$5,0)+1</f>
        <v>74</v>
      </c>
      <c r="C304" s="45">
        <f t="shared" si="4"/>
        <v>2</v>
      </c>
      <c r="D304" s="45" t="b">
        <f>LineærRegression_Valg[[#This Row],[Afhængig variabel ID]]&lt;&gt;LineærRegression_Valg[[#This Row],[Uafhængig variabel ID]]</f>
        <v>1</v>
      </c>
      <c r="E304" t="b">
        <f>LineærRegression_Valg[[#This Row],[Afhængig variabel ID]]&lt;=$B$5</f>
        <v>0</v>
      </c>
      <c r="F304" t="str" cm="1">
        <f t="array" ref="F304">IF(LineærRegression_Valg[[#This Row],[Indenfor range]],INDEX(DataTitel_liste,LineærRegression_Valg[[#This Row],[Afhængig variabel ID]]),INDEX(DataTitel_liste,1))</f>
        <v>Eksempel 1 (interval)</v>
      </c>
      <c r="G304" s="45" t="str" cm="1">
        <f t="array" ref="G304">IF(LineærRegression_Valg[[#This Row],[Indenfor range]],IF(LineærRegression_Valg[[#This Row],[Intet overlap]],INDEX(DataTitel_liste,LineærRegression_Valg[[#This Row],[Uafhængig variabel ID]]),INDEX(DataTitel_liste,IF(LineærRegression_Valg[[#This Row],[Afhængig variabel ID]]=1,2,1))),$B$7)</f>
        <v>Eksempel 2 (interval)</v>
      </c>
      <c r="H304" s="45">
        <f>_xlfn.AGGREGATE(2,5,LineærRegression_Valg[[#This Row],[Tabel ID]])</f>
        <v>1</v>
      </c>
    </row>
    <row r="305" spans="1:8" x14ac:dyDescent="0.2">
      <c r="A305">
        <f>ROW(LineærRegression_Valg[[#This Row],[Tabel ID]])-ROW(LineærRegression_Valg[[#Headers],[Tabel ID]])</f>
        <v>295</v>
      </c>
      <c r="B305" s="45">
        <f>ROUNDDOWN((LineærRegression_Valg[[#This Row],[Tabel ID]]-1)/$B$5,0)+1</f>
        <v>74</v>
      </c>
      <c r="C305" s="45">
        <f t="shared" si="4"/>
        <v>3</v>
      </c>
      <c r="D305" s="45" t="b">
        <f>LineærRegression_Valg[[#This Row],[Afhængig variabel ID]]&lt;&gt;LineærRegression_Valg[[#This Row],[Uafhængig variabel ID]]</f>
        <v>1</v>
      </c>
      <c r="E305" t="b">
        <f>LineærRegression_Valg[[#This Row],[Afhængig variabel ID]]&lt;=$B$5</f>
        <v>0</v>
      </c>
      <c r="F305" t="str" cm="1">
        <f t="array" ref="F305">IF(LineærRegression_Valg[[#This Row],[Indenfor range]],INDEX(DataTitel_liste,LineærRegression_Valg[[#This Row],[Afhængig variabel ID]]),INDEX(DataTitel_liste,1))</f>
        <v>Eksempel 1 (interval)</v>
      </c>
      <c r="G305" s="45" t="str" cm="1">
        <f t="array" ref="G305">IF(LineærRegression_Valg[[#This Row],[Indenfor range]],IF(LineærRegression_Valg[[#This Row],[Intet overlap]],INDEX(DataTitel_liste,LineærRegression_Valg[[#This Row],[Uafhængig variabel ID]]),INDEX(DataTitel_liste,IF(LineærRegression_Valg[[#This Row],[Afhængig variabel ID]]=1,2,1))),$B$7)</f>
        <v>Eksempel 2 (interval)</v>
      </c>
      <c r="H305" s="45">
        <f>_xlfn.AGGREGATE(2,5,LineærRegression_Valg[[#This Row],[Tabel ID]])</f>
        <v>1</v>
      </c>
    </row>
    <row r="306" spans="1:8" x14ac:dyDescent="0.2">
      <c r="A306">
        <f>ROW(LineærRegression_Valg[[#This Row],[Tabel ID]])-ROW(LineærRegression_Valg[[#Headers],[Tabel ID]])</f>
        <v>296</v>
      </c>
      <c r="B306" s="45">
        <f>ROUNDDOWN((LineærRegression_Valg[[#This Row],[Tabel ID]]-1)/$B$5,0)+1</f>
        <v>74</v>
      </c>
      <c r="C306" s="45">
        <f t="shared" si="4"/>
        <v>4</v>
      </c>
      <c r="D306" s="45" t="b">
        <f>LineærRegression_Valg[[#This Row],[Afhængig variabel ID]]&lt;&gt;LineærRegression_Valg[[#This Row],[Uafhængig variabel ID]]</f>
        <v>1</v>
      </c>
      <c r="E306" t="b">
        <f>LineærRegression_Valg[[#This Row],[Afhængig variabel ID]]&lt;=$B$5</f>
        <v>0</v>
      </c>
      <c r="F306" t="str" cm="1">
        <f t="array" ref="F306">IF(LineærRegression_Valg[[#This Row],[Indenfor range]],INDEX(DataTitel_liste,LineærRegression_Valg[[#This Row],[Afhængig variabel ID]]),INDEX(DataTitel_liste,1))</f>
        <v>Eksempel 1 (interval)</v>
      </c>
      <c r="G306" s="45" t="str" cm="1">
        <f t="array" ref="G306">IF(LineærRegression_Valg[[#This Row],[Indenfor range]],IF(LineærRegression_Valg[[#This Row],[Intet overlap]],INDEX(DataTitel_liste,LineærRegression_Valg[[#This Row],[Uafhængig variabel ID]]),INDEX(DataTitel_liste,IF(LineærRegression_Valg[[#This Row],[Afhængig variabel ID]]=1,2,1))),$B$7)</f>
        <v>Eksempel 2 (interval)</v>
      </c>
      <c r="H306" s="45">
        <f>_xlfn.AGGREGATE(2,5,LineærRegression_Valg[[#This Row],[Tabel ID]])</f>
        <v>1</v>
      </c>
    </row>
    <row r="307" spans="1:8" x14ac:dyDescent="0.2">
      <c r="A307">
        <f>ROW(LineærRegression_Valg[[#This Row],[Tabel ID]])-ROW(LineærRegression_Valg[[#Headers],[Tabel ID]])</f>
        <v>297</v>
      </c>
      <c r="B307" s="45">
        <f>ROUNDDOWN((LineærRegression_Valg[[#This Row],[Tabel ID]]-1)/$B$5,0)+1</f>
        <v>75</v>
      </c>
      <c r="C307" s="45">
        <f t="shared" si="4"/>
        <v>1</v>
      </c>
      <c r="D307" s="45" t="b">
        <f>LineærRegression_Valg[[#This Row],[Afhængig variabel ID]]&lt;&gt;LineærRegression_Valg[[#This Row],[Uafhængig variabel ID]]</f>
        <v>1</v>
      </c>
      <c r="E307" t="b">
        <f>LineærRegression_Valg[[#This Row],[Afhængig variabel ID]]&lt;=$B$5</f>
        <v>0</v>
      </c>
      <c r="F307" t="str" cm="1">
        <f t="array" ref="F307">IF(LineærRegression_Valg[[#This Row],[Indenfor range]],INDEX(DataTitel_liste,LineærRegression_Valg[[#This Row],[Afhængig variabel ID]]),INDEX(DataTitel_liste,1))</f>
        <v>Eksempel 1 (interval)</v>
      </c>
      <c r="G307" s="45" t="str" cm="1">
        <f t="array" ref="G307">IF(LineærRegression_Valg[[#This Row],[Indenfor range]],IF(LineærRegression_Valg[[#This Row],[Intet overlap]],INDEX(DataTitel_liste,LineærRegression_Valg[[#This Row],[Uafhængig variabel ID]]),INDEX(DataTitel_liste,IF(LineærRegression_Valg[[#This Row],[Afhængig variabel ID]]=1,2,1))),$B$7)</f>
        <v>Eksempel 2 (interval)</v>
      </c>
      <c r="H307" s="45">
        <f>_xlfn.AGGREGATE(2,5,LineærRegression_Valg[[#This Row],[Tabel ID]])</f>
        <v>1</v>
      </c>
    </row>
    <row r="308" spans="1:8" x14ac:dyDescent="0.2">
      <c r="A308">
        <f>ROW(LineærRegression_Valg[[#This Row],[Tabel ID]])-ROW(LineærRegression_Valg[[#Headers],[Tabel ID]])</f>
        <v>298</v>
      </c>
      <c r="B308" s="45">
        <f>ROUNDDOWN((LineærRegression_Valg[[#This Row],[Tabel ID]]-1)/$B$5,0)+1</f>
        <v>75</v>
      </c>
      <c r="C308" s="45">
        <f t="shared" si="4"/>
        <v>2</v>
      </c>
      <c r="D308" s="45" t="b">
        <f>LineærRegression_Valg[[#This Row],[Afhængig variabel ID]]&lt;&gt;LineærRegression_Valg[[#This Row],[Uafhængig variabel ID]]</f>
        <v>1</v>
      </c>
      <c r="E308" t="b">
        <f>LineærRegression_Valg[[#This Row],[Afhængig variabel ID]]&lt;=$B$5</f>
        <v>0</v>
      </c>
      <c r="F308" t="str" cm="1">
        <f t="array" ref="F308">IF(LineærRegression_Valg[[#This Row],[Indenfor range]],INDEX(DataTitel_liste,LineærRegression_Valg[[#This Row],[Afhængig variabel ID]]),INDEX(DataTitel_liste,1))</f>
        <v>Eksempel 1 (interval)</v>
      </c>
      <c r="G308" s="45" t="str" cm="1">
        <f t="array" ref="G308">IF(LineærRegression_Valg[[#This Row],[Indenfor range]],IF(LineærRegression_Valg[[#This Row],[Intet overlap]],INDEX(DataTitel_liste,LineærRegression_Valg[[#This Row],[Uafhængig variabel ID]]),INDEX(DataTitel_liste,IF(LineærRegression_Valg[[#This Row],[Afhængig variabel ID]]=1,2,1))),$B$7)</f>
        <v>Eksempel 2 (interval)</v>
      </c>
      <c r="H308" s="45">
        <f>_xlfn.AGGREGATE(2,5,LineærRegression_Valg[[#This Row],[Tabel ID]])</f>
        <v>1</v>
      </c>
    </row>
    <row r="309" spans="1:8" x14ac:dyDescent="0.2">
      <c r="A309">
        <f>ROW(LineærRegression_Valg[[#This Row],[Tabel ID]])-ROW(LineærRegression_Valg[[#Headers],[Tabel ID]])</f>
        <v>299</v>
      </c>
      <c r="B309" s="45">
        <f>ROUNDDOWN((LineærRegression_Valg[[#This Row],[Tabel ID]]-1)/$B$5,0)+1</f>
        <v>75</v>
      </c>
      <c r="C309" s="45">
        <f t="shared" si="4"/>
        <v>3</v>
      </c>
      <c r="D309" s="45" t="b">
        <f>LineærRegression_Valg[[#This Row],[Afhængig variabel ID]]&lt;&gt;LineærRegression_Valg[[#This Row],[Uafhængig variabel ID]]</f>
        <v>1</v>
      </c>
      <c r="E309" t="b">
        <f>LineærRegression_Valg[[#This Row],[Afhængig variabel ID]]&lt;=$B$5</f>
        <v>0</v>
      </c>
      <c r="F309" t="str" cm="1">
        <f t="array" ref="F309">IF(LineærRegression_Valg[[#This Row],[Indenfor range]],INDEX(DataTitel_liste,LineærRegression_Valg[[#This Row],[Afhængig variabel ID]]),INDEX(DataTitel_liste,1))</f>
        <v>Eksempel 1 (interval)</v>
      </c>
      <c r="G309" s="45" t="str" cm="1">
        <f t="array" ref="G309">IF(LineærRegression_Valg[[#This Row],[Indenfor range]],IF(LineærRegression_Valg[[#This Row],[Intet overlap]],INDEX(DataTitel_liste,LineærRegression_Valg[[#This Row],[Uafhængig variabel ID]]),INDEX(DataTitel_liste,IF(LineærRegression_Valg[[#This Row],[Afhængig variabel ID]]=1,2,1))),$B$7)</f>
        <v>Eksempel 2 (interval)</v>
      </c>
      <c r="H309" s="45">
        <f>_xlfn.AGGREGATE(2,5,LineærRegression_Valg[[#This Row],[Tabel ID]])</f>
        <v>1</v>
      </c>
    </row>
    <row r="310" spans="1:8" x14ac:dyDescent="0.2">
      <c r="A310">
        <f>ROW(LineærRegression_Valg[[#This Row],[Tabel ID]])-ROW(LineærRegression_Valg[[#Headers],[Tabel ID]])</f>
        <v>300</v>
      </c>
      <c r="B310" s="45">
        <f>ROUNDDOWN((LineærRegression_Valg[[#This Row],[Tabel ID]]-1)/$B$5,0)+1</f>
        <v>75</v>
      </c>
      <c r="C310" s="45">
        <f t="shared" si="4"/>
        <v>4</v>
      </c>
      <c r="D310" s="45" t="b">
        <f>LineærRegression_Valg[[#This Row],[Afhængig variabel ID]]&lt;&gt;LineærRegression_Valg[[#This Row],[Uafhængig variabel ID]]</f>
        <v>1</v>
      </c>
      <c r="E310" t="b">
        <f>LineærRegression_Valg[[#This Row],[Afhængig variabel ID]]&lt;=$B$5</f>
        <v>0</v>
      </c>
      <c r="F310" t="str" cm="1">
        <f t="array" ref="F310">IF(LineærRegression_Valg[[#This Row],[Indenfor range]],INDEX(DataTitel_liste,LineærRegression_Valg[[#This Row],[Afhængig variabel ID]]),INDEX(DataTitel_liste,1))</f>
        <v>Eksempel 1 (interval)</v>
      </c>
      <c r="G310" s="45" t="str" cm="1">
        <f t="array" ref="G310">IF(LineærRegression_Valg[[#This Row],[Indenfor range]],IF(LineærRegression_Valg[[#This Row],[Intet overlap]],INDEX(DataTitel_liste,LineærRegression_Valg[[#This Row],[Uafhængig variabel ID]]),INDEX(DataTitel_liste,IF(LineærRegression_Valg[[#This Row],[Afhængig variabel ID]]=1,2,1))),$B$7)</f>
        <v>Eksempel 2 (interval)</v>
      </c>
      <c r="H310" s="45">
        <f>_xlfn.AGGREGATE(2,5,LineærRegression_Valg[[#This Row],[Tabel ID]])</f>
        <v>1</v>
      </c>
    </row>
    <row r="311" spans="1:8" x14ac:dyDescent="0.2">
      <c r="A311">
        <f>ROW(LineærRegression_Valg[[#This Row],[Tabel ID]])-ROW(LineærRegression_Valg[[#Headers],[Tabel ID]])</f>
        <v>301</v>
      </c>
      <c r="B311" s="45">
        <f>ROUNDDOWN((LineærRegression_Valg[[#This Row],[Tabel ID]]-1)/$B$5,0)+1</f>
        <v>76</v>
      </c>
      <c r="C311" s="45">
        <f t="shared" si="4"/>
        <v>1</v>
      </c>
      <c r="D311" s="45" t="b">
        <f>LineærRegression_Valg[[#This Row],[Afhængig variabel ID]]&lt;&gt;LineærRegression_Valg[[#This Row],[Uafhængig variabel ID]]</f>
        <v>1</v>
      </c>
      <c r="E311" t="b">
        <f>LineærRegression_Valg[[#This Row],[Afhængig variabel ID]]&lt;=$B$5</f>
        <v>0</v>
      </c>
      <c r="F311" t="str" cm="1">
        <f t="array" ref="F311">IF(LineærRegression_Valg[[#This Row],[Indenfor range]],INDEX(DataTitel_liste,LineærRegression_Valg[[#This Row],[Afhængig variabel ID]]),INDEX(DataTitel_liste,1))</f>
        <v>Eksempel 1 (interval)</v>
      </c>
      <c r="G311" s="45" t="str" cm="1">
        <f t="array" ref="G311">IF(LineærRegression_Valg[[#This Row],[Indenfor range]],IF(LineærRegression_Valg[[#This Row],[Intet overlap]],INDEX(DataTitel_liste,LineærRegression_Valg[[#This Row],[Uafhængig variabel ID]]),INDEX(DataTitel_liste,IF(LineærRegression_Valg[[#This Row],[Afhængig variabel ID]]=1,2,1))),$B$7)</f>
        <v>Eksempel 2 (interval)</v>
      </c>
      <c r="H311" s="45">
        <f>_xlfn.AGGREGATE(2,5,LineærRegression_Valg[[#This Row],[Tabel ID]])</f>
        <v>1</v>
      </c>
    </row>
    <row r="312" spans="1:8" x14ac:dyDescent="0.2">
      <c r="A312">
        <f>ROW(LineærRegression_Valg[[#This Row],[Tabel ID]])-ROW(LineærRegression_Valg[[#Headers],[Tabel ID]])</f>
        <v>302</v>
      </c>
      <c r="B312" s="45">
        <f>ROUNDDOWN((LineærRegression_Valg[[#This Row],[Tabel ID]]-1)/$B$5,0)+1</f>
        <v>76</v>
      </c>
      <c r="C312" s="45">
        <f t="shared" si="4"/>
        <v>2</v>
      </c>
      <c r="D312" s="45" t="b">
        <f>LineærRegression_Valg[[#This Row],[Afhængig variabel ID]]&lt;&gt;LineærRegression_Valg[[#This Row],[Uafhængig variabel ID]]</f>
        <v>1</v>
      </c>
      <c r="E312" t="b">
        <f>LineærRegression_Valg[[#This Row],[Afhængig variabel ID]]&lt;=$B$5</f>
        <v>0</v>
      </c>
      <c r="F312" t="str" cm="1">
        <f t="array" ref="F312">IF(LineærRegression_Valg[[#This Row],[Indenfor range]],INDEX(DataTitel_liste,LineærRegression_Valg[[#This Row],[Afhængig variabel ID]]),INDEX(DataTitel_liste,1))</f>
        <v>Eksempel 1 (interval)</v>
      </c>
      <c r="G312" s="45" t="str" cm="1">
        <f t="array" ref="G312">IF(LineærRegression_Valg[[#This Row],[Indenfor range]],IF(LineærRegression_Valg[[#This Row],[Intet overlap]],INDEX(DataTitel_liste,LineærRegression_Valg[[#This Row],[Uafhængig variabel ID]]),INDEX(DataTitel_liste,IF(LineærRegression_Valg[[#This Row],[Afhængig variabel ID]]=1,2,1))),$B$7)</f>
        <v>Eksempel 2 (interval)</v>
      </c>
      <c r="H312" s="45">
        <f>_xlfn.AGGREGATE(2,5,LineærRegression_Valg[[#This Row],[Tabel ID]])</f>
        <v>1</v>
      </c>
    </row>
    <row r="313" spans="1:8" x14ac:dyDescent="0.2">
      <c r="A313">
        <f>ROW(LineærRegression_Valg[[#This Row],[Tabel ID]])-ROW(LineærRegression_Valg[[#Headers],[Tabel ID]])</f>
        <v>303</v>
      </c>
      <c r="B313" s="45">
        <f>ROUNDDOWN((LineærRegression_Valg[[#This Row],[Tabel ID]]-1)/$B$5,0)+1</f>
        <v>76</v>
      </c>
      <c r="C313" s="45">
        <f t="shared" si="4"/>
        <v>3</v>
      </c>
      <c r="D313" s="45" t="b">
        <f>LineærRegression_Valg[[#This Row],[Afhængig variabel ID]]&lt;&gt;LineærRegression_Valg[[#This Row],[Uafhængig variabel ID]]</f>
        <v>1</v>
      </c>
      <c r="E313" t="b">
        <f>LineærRegression_Valg[[#This Row],[Afhængig variabel ID]]&lt;=$B$5</f>
        <v>0</v>
      </c>
      <c r="F313" t="str" cm="1">
        <f t="array" ref="F313">IF(LineærRegression_Valg[[#This Row],[Indenfor range]],INDEX(DataTitel_liste,LineærRegression_Valg[[#This Row],[Afhængig variabel ID]]),INDEX(DataTitel_liste,1))</f>
        <v>Eksempel 1 (interval)</v>
      </c>
      <c r="G313" s="45" t="str" cm="1">
        <f t="array" ref="G313">IF(LineærRegression_Valg[[#This Row],[Indenfor range]],IF(LineærRegression_Valg[[#This Row],[Intet overlap]],INDEX(DataTitel_liste,LineærRegression_Valg[[#This Row],[Uafhængig variabel ID]]),INDEX(DataTitel_liste,IF(LineærRegression_Valg[[#This Row],[Afhængig variabel ID]]=1,2,1))),$B$7)</f>
        <v>Eksempel 2 (interval)</v>
      </c>
      <c r="H313" s="45">
        <f>_xlfn.AGGREGATE(2,5,LineærRegression_Valg[[#This Row],[Tabel ID]])</f>
        <v>1</v>
      </c>
    </row>
    <row r="314" spans="1:8" x14ac:dyDescent="0.2">
      <c r="A314">
        <f>ROW(LineærRegression_Valg[[#This Row],[Tabel ID]])-ROW(LineærRegression_Valg[[#Headers],[Tabel ID]])</f>
        <v>304</v>
      </c>
      <c r="B314" s="45">
        <f>ROUNDDOWN((LineærRegression_Valg[[#This Row],[Tabel ID]]-1)/$B$5,0)+1</f>
        <v>76</v>
      </c>
      <c r="C314" s="45">
        <f t="shared" si="4"/>
        <v>4</v>
      </c>
      <c r="D314" s="45" t="b">
        <f>LineærRegression_Valg[[#This Row],[Afhængig variabel ID]]&lt;&gt;LineærRegression_Valg[[#This Row],[Uafhængig variabel ID]]</f>
        <v>1</v>
      </c>
      <c r="E314" t="b">
        <f>LineærRegression_Valg[[#This Row],[Afhængig variabel ID]]&lt;=$B$5</f>
        <v>0</v>
      </c>
      <c r="F314" t="str" cm="1">
        <f t="array" ref="F314">IF(LineærRegression_Valg[[#This Row],[Indenfor range]],INDEX(DataTitel_liste,LineærRegression_Valg[[#This Row],[Afhængig variabel ID]]),INDEX(DataTitel_liste,1))</f>
        <v>Eksempel 1 (interval)</v>
      </c>
      <c r="G314" s="45" t="str" cm="1">
        <f t="array" ref="G314">IF(LineærRegression_Valg[[#This Row],[Indenfor range]],IF(LineærRegression_Valg[[#This Row],[Intet overlap]],INDEX(DataTitel_liste,LineærRegression_Valg[[#This Row],[Uafhængig variabel ID]]),INDEX(DataTitel_liste,IF(LineærRegression_Valg[[#This Row],[Afhængig variabel ID]]=1,2,1))),$B$7)</f>
        <v>Eksempel 2 (interval)</v>
      </c>
      <c r="H314" s="45">
        <f>_xlfn.AGGREGATE(2,5,LineærRegression_Valg[[#This Row],[Tabel ID]])</f>
        <v>1</v>
      </c>
    </row>
    <row r="315" spans="1:8" x14ac:dyDescent="0.2">
      <c r="A315">
        <f>ROW(LineærRegression_Valg[[#This Row],[Tabel ID]])-ROW(LineærRegression_Valg[[#Headers],[Tabel ID]])</f>
        <v>305</v>
      </c>
      <c r="B315" s="45">
        <f>ROUNDDOWN((LineærRegression_Valg[[#This Row],[Tabel ID]]-1)/$B$5,0)+1</f>
        <v>77</v>
      </c>
      <c r="C315" s="45">
        <f t="shared" si="4"/>
        <v>1</v>
      </c>
      <c r="D315" s="45" t="b">
        <f>LineærRegression_Valg[[#This Row],[Afhængig variabel ID]]&lt;&gt;LineærRegression_Valg[[#This Row],[Uafhængig variabel ID]]</f>
        <v>1</v>
      </c>
      <c r="E315" t="b">
        <f>LineærRegression_Valg[[#This Row],[Afhængig variabel ID]]&lt;=$B$5</f>
        <v>0</v>
      </c>
      <c r="F315" t="str" cm="1">
        <f t="array" ref="F315">IF(LineærRegression_Valg[[#This Row],[Indenfor range]],INDEX(DataTitel_liste,LineærRegression_Valg[[#This Row],[Afhængig variabel ID]]),INDEX(DataTitel_liste,1))</f>
        <v>Eksempel 1 (interval)</v>
      </c>
      <c r="G315" s="45" t="str" cm="1">
        <f t="array" ref="G315">IF(LineærRegression_Valg[[#This Row],[Indenfor range]],IF(LineærRegression_Valg[[#This Row],[Intet overlap]],INDEX(DataTitel_liste,LineærRegression_Valg[[#This Row],[Uafhængig variabel ID]]),INDEX(DataTitel_liste,IF(LineærRegression_Valg[[#This Row],[Afhængig variabel ID]]=1,2,1))),$B$7)</f>
        <v>Eksempel 2 (interval)</v>
      </c>
      <c r="H315" s="45">
        <f>_xlfn.AGGREGATE(2,5,LineærRegression_Valg[[#This Row],[Tabel ID]])</f>
        <v>1</v>
      </c>
    </row>
    <row r="316" spans="1:8" x14ac:dyDescent="0.2">
      <c r="A316">
        <f>ROW(LineærRegression_Valg[[#This Row],[Tabel ID]])-ROW(LineærRegression_Valg[[#Headers],[Tabel ID]])</f>
        <v>306</v>
      </c>
      <c r="B316" s="45">
        <f>ROUNDDOWN((LineærRegression_Valg[[#This Row],[Tabel ID]]-1)/$B$5,0)+1</f>
        <v>77</v>
      </c>
      <c r="C316" s="45">
        <f t="shared" si="4"/>
        <v>2</v>
      </c>
      <c r="D316" s="45" t="b">
        <f>LineærRegression_Valg[[#This Row],[Afhængig variabel ID]]&lt;&gt;LineærRegression_Valg[[#This Row],[Uafhængig variabel ID]]</f>
        <v>1</v>
      </c>
      <c r="E316" t="b">
        <f>LineærRegression_Valg[[#This Row],[Afhængig variabel ID]]&lt;=$B$5</f>
        <v>0</v>
      </c>
      <c r="F316" t="str" cm="1">
        <f t="array" ref="F316">IF(LineærRegression_Valg[[#This Row],[Indenfor range]],INDEX(DataTitel_liste,LineærRegression_Valg[[#This Row],[Afhængig variabel ID]]),INDEX(DataTitel_liste,1))</f>
        <v>Eksempel 1 (interval)</v>
      </c>
      <c r="G316" s="45" t="str" cm="1">
        <f t="array" ref="G316">IF(LineærRegression_Valg[[#This Row],[Indenfor range]],IF(LineærRegression_Valg[[#This Row],[Intet overlap]],INDEX(DataTitel_liste,LineærRegression_Valg[[#This Row],[Uafhængig variabel ID]]),INDEX(DataTitel_liste,IF(LineærRegression_Valg[[#This Row],[Afhængig variabel ID]]=1,2,1))),$B$7)</f>
        <v>Eksempel 2 (interval)</v>
      </c>
      <c r="H316" s="45">
        <f>_xlfn.AGGREGATE(2,5,LineærRegression_Valg[[#This Row],[Tabel ID]])</f>
        <v>1</v>
      </c>
    </row>
    <row r="317" spans="1:8" x14ac:dyDescent="0.2">
      <c r="A317">
        <f>ROW(LineærRegression_Valg[[#This Row],[Tabel ID]])-ROW(LineærRegression_Valg[[#Headers],[Tabel ID]])</f>
        <v>307</v>
      </c>
      <c r="B317" s="45">
        <f>ROUNDDOWN((LineærRegression_Valg[[#This Row],[Tabel ID]]-1)/$B$5,0)+1</f>
        <v>77</v>
      </c>
      <c r="C317" s="45">
        <f t="shared" si="4"/>
        <v>3</v>
      </c>
      <c r="D317" s="45" t="b">
        <f>LineærRegression_Valg[[#This Row],[Afhængig variabel ID]]&lt;&gt;LineærRegression_Valg[[#This Row],[Uafhængig variabel ID]]</f>
        <v>1</v>
      </c>
      <c r="E317" t="b">
        <f>LineærRegression_Valg[[#This Row],[Afhængig variabel ID]]&lt;=$B$5</f>
        <v>0</v>
      </c>
      <c r="F317" t="str" cm="1">
        <f t="array" ref="F317">IF(LineærRegression_Valg[[#This Row],[Indenfor range]],INDEX(DataTitel_liste,LineærRegression_Valg[[#This Row],[Afhængig variabel ID]]),INDEX(DataTitel_liste,1))</f>
        <v>Eksempel 1 (interval)</v>
      </c>
      <c r="G317" s="45" t="str" cm="1">
        <f t="array" ref="G317">IF(LineærRegression_Valg[[#This Row],[Indenfor range]],IF(LineærRegression_Valg[[#This Row],[Intet overlap]],INDEX(DataTitel_liste,LineærRegression_Valg[[#This Row],[Uafhængig variabel ID]]),INDEX(DataTitel_liste,IF(LineærRegression_Valg[[#This Row],[Afhængig variabel ID]]=1,2,1))),$B$7)</f>
        <v>Eksempel 2 (interval)</v>
      </c>
      <c r="H317" s="45">
        <f>_xlfn.AGGREGATE(2,5,LineærRegression_Valg[[#This Row],[Tabel ID]])</f>
        <v>1</v>
      </c>
    </row>
    <row r="318" spans="1:8" x14ac:dyDescent="0.2">
      <c r="A318">
        <f>ROW(LineærRegression_Valg[[#This Row],[Tabel ID]])-ROW(LineærRegression_Valg[[#Headers],[Tabel ID]])</f>
        <v>308</v>
      </c>
      <c r="B318" s="45">
        <f>ROUNDDOWN((LineærRegression_Valg[[#This Row],[Tabel ID]]-1)/$B$5,0)+1</f>
        <v>77</v>
      </c>
      <c r="C318" s="45">
        <f t="shared" si="4"/>
        <v>4</v>
      </c>
      <c r="D318" s="45" t="b">
        <f>LineærRegression_Valg[[#This Row],[Afhængig variabel ID]]&lt;&gt;LineærRegression_Valg[[#This Row],[Uafhængig variabel ID]]</f>
        <v>1</v>
      </c>
      <c r="E318" t="b">
        <f>LineærRegression_Valg[[#This Row],[Afhængig variabel ID]]&lt;=$B$5</f>
        <v>0</v>
      </c>
      <c r="F318" t="str" cm="1">
        <f t="array" ref="F318">IF(LineærRegression_Valg[[#This Row],[Indenfor range]],INDEX(DataTitel_liste,LineærRegression_Valg[[#This Row],[Afhængig variabel ID]]),INDEX(DataTitel_liste,1))</f>
        <v>Eksempel 1 (interval)</v>
      </c>
      <c r="G318" s="45" t="str" cm="1">
        <f t="array" ref="G318">IF(LineærRegression_Valg[[#This Row],[Indenfor range]],IF(LineærRegression_Valg[[#This Row],[Intet overlap]],INDEX(DataTitel_liste,LineærRegression_Valg[[#This Row],[Uafhængig variabel ID]]),INDEX(DataTitel_liste,IF(LineærRegression_Valg[[#This Row],[Afhængig variabel ID]]=1,2,1))),$B$7)</f>
        <v>Eksempel 2 (interval)</v>
      </c>
      <c r="H318" s="45">
        <f>_xlfn.AGGREGATE(2,5,LineærRegression_Valg[[#This Row],[Tabel ID]])</f>
        <v>1</v>
      </c>
    </row>
    <row r="319" spans="1:8" x14ac:dyDescent="0.2">
      <c r="A319">
        <f>ROW(LineærRegression_Valg[[#This Row],[Tabel ID]])-ROW(LineærRegression_Valg[[#Headers],[Tabel ID]])</f>
        <v>309</v>
      </c>
      <c r="B319" s="45">
        <f>ROUNDDOWN((LineærRegression_Valg[[#This Row],[Tabel ID]]-1)/$B$5,0)+1</f>
        <v>78</v>
      </c>
      <c r="C319" s="45">
        <f t="shared" si="4"/>
        <v>1</v>
      </c>
      <c r="D319" s="45" t="b">
        <f>LineærRegression_Valg[[#This Row],[Afhængig variabel ID]]&lt;&gt;LineærRegression_Valg[[#This Row],[Uafhængig variabel ID]]</f>
        <v>1</v>
      </c>
      <c r="E319" t="b">
        <f>LineærRegression_Valg[[#This Row],[Afhængig variabel ID]]&lt;=$B$5</f>
        <v>0</v>
      </c>
      <c r="F319" t="str" cm="1">
        <f t="array" ref="F319">IF(LineærRegression_Valg[[#This Row],[Indenfor range]],INDEX(DataTitel_liste,LineærRegression_Valg[[#This Row],[Afhængig variabel ID]]),INDEX(DataTitel_liste,1))</f>
        <v>Eksempel 1 (interval)</v>
      </c>
      <c r="G319" s="45" t="str" cm="1">
        <f t="array" ref="G319">IF(LineærRegression_Valg[[#This Row],[Indenfor range]],IF(LineærRegression_Valg[[#This Row],[Intet overlap]],INDEX(DataTitel_liste,LineærRegression_Valg[[#This Row],[Uafhængig variabel ID]]),INDEX(DataTitel_liste,IF(LineærRegression_Valg[[#This Row],[Afhængig variabel ID]]=1,2,1))),$B$7)</f>
        <v>Eksempel 2 (interval)</v>
      </c>
      <c r="H319" s="45">
        <f>_xlfn.AGGREGATE(2,5,LineærRegression_Valg[[#This Row],[Tabel ID]])</f>
        <v>1</v>
      </c>
    </row>
    <row r="320" spans="1:8" x14ac:dyDescent="0.2">
      <c r="A320">
        <f>ROW(LineærRegression_Valg[[#This Row],[Tabel ID]])-ROW(LineærRegression_Valg[[#Headers],[Tabel ID]])</f>
        <v>310</v>
      </c>
      <c r="B320" s="45">
        <f>ROUNDDOWN((LineærRegression_Valg[[#This Row],[Tabel ID]]-1)/$B$5,0)+1</f>
        <v>78</v>
      </c>
      <c r="C320" s="45">
        <f t="shared" si="4"/>
        <v>2</v>
      </c>
      <c r="D320" s="45" t="b">
        <f>LineærRegression_Valg[[#This Row],[Afhængig variabel ID]]&lt;&gt;LineærRegression_Valg[[#This Row],[Uafhængig variabel ID]]</f>
        <v>1</v>
      </c>
      <c r="E320" t="b">
        <f>LineærRegression_Valg[[#This Row],[Afhængig variabel ID]]&lt;=$B$5</f>
        <v>0</v>
      </c>
      <c r="F320" t="str" cm="1">
        <f t="array" ref="F320">IF(LineærRegression_Valg[[#This Row],[Indenfor range]],INDEX(DataTitel_liste,LineærRegression_Valg[[#This Row],[Afhængig variabel ID]]),INDEX(DataTitel_liste,1))</f>
        <v>Eksempel 1 (interval)</v>
      </c>
      <c r="G320" s="45" t="str" cm="1">
        <f t="array" ref="G320">IF(LineærRegression_Valg[[#This Row],[Indenfor range]],IF(LineærRegression_Valg[[#This Row],[Intet overlap]],INDEX(DataTitel_liste,LineærRegression_Valg[[#This Row],[Uafhængig variabel ID]]),INDEX(DataTitel_liste,IF(LineærRegression_Valg[[#This Row],[Afhængig variabel ID]]=1,2,1))),$B$7)</f>
        <v>Eksempel 2 (interval)</v>
      </c>
      <c r="H320" s="45">
        <f>_xlfn.AGGREGATE(2,5,LineærRegression_Valg[[#This Row],[Tabel ID]])</f>
        <v>1</v>
      </c>
    </row>
    <row r="321" spans="1:8" x14ac:dyDescent="0.2">
      <c r="A321">
        <f>ROW(LineærRegression_Valg[[#This Row],[Tabel ID]])-ROW(LineærRegression_Valg[[#Headers],[Tabel ID]])</f>
        <v>311</v>
      </c>
      <c r="B321" s="45">
        <f>ROUNDDOWN((LineærRegression_Valg[[#This Row],[Tabel ID]]-1)/$B$5,0)+1</f>
        <v>78</v>
      </c>
      <c r="C321" s="45">
        <f t="shared" si="4"/>
        <v>3</v>
      </c>
      <c r="D321" s="45" t="b">
        <f>LineærRegression_Valg[[#This Row],[Afhængig variabel ID]]&lt;&gt;LineærRegression_Valg[[#This Row],[Uafhængig variabel ID]]</f>
        <v>1</v>
      </c>
      <c r="E321" t="b">
        <f>LineærRegression_Valg[[#This Row],[Afhængig variabel ID]]&lt;=$B$5</f>
        <v>0</v>
      </c>
      <c r="F321" t="str" cm="1">
        <f t="array" ref="F321">IF(LineærRegression_Valg[[#This Row],[Indenfor range]],INDEX(DataTitel_liste,LineærRegression_Valg[[#This Row],[Afhængig variabel ID]]),INDEX(DataTitel_liste,1))</f>
        <v>Eksempel 1 (interval)</v>
      </c>
      <c r="G321" s="45" t="str" cm="1">
        <f t="array" ref="G321">IF(LineærRegression_Valg[[#This Row],[Indenfor range]],IF(LineærRegression_Valg[[#This Row],[Intet overlap]],INDEX(DataTitel_liste,LineærRegression_Valg[[#This Row],[Uafhængig variabel ID]]),INDEX(DataTitel_liste,IF(LineærRegression_Valg[[#This Row],[Afhængig variabel ID]]=1,2,1))),$B$7)</f>
        <v>Eksempel 2 (interval)</v>
      </c>
      <c r="H321" s="45">
        <f>_xlfn.AGGREGATE(2,5,LineærRegression_Valg[[#This Row],[Tabel ID]])</f>
        <v>1</v>
      </c>
    </row>
    <row r="322" spans="1:8" x14ac:dyDescent="0.2">
      <c r="A322">
        <f>ROW(LineærRegression_Valg[[#This Row],[Tabel ID]])-ROW(LineærRegression_Valg[[#Headers],[Tabel ID]])</f>
        <v>312</v>
      </c>
      <c r="B322" s="45">
        <f>ROUNDDOWN((LineærRegression_Valg[[#This Row],[Tabel ID]]-1)/$B$5,0)+1</f>
        <v>78</v>
      </c>
      <c r="C322" s="45">
        <f t="shared" si="4"/>
        <v>4</v>
      </c>
      <c r="D322" s="45" t="b">
        <f>LineærRegression_Valg[[#This Row],[Afhængig variabel ID]]&lt;&gt;LineærRegression_Valg[[#This Row],[Uafhængig variabel ID]]</f>
        <v>1</v>
      </c>
      <c r="E322" t="b">
        <f>LineærRegression_Valg[[#This Row],[Afhængig variabel ID]]&lt;=$B$5</f>
        <v>0</v>
      </c>
      <c r="F322" t="str" cm="1">
        <f t="array" ref="F322">IF(LineærRegression_Valg[[#This Row],[Indenfor range]],INDEX(DataTitel_liste,LineærRegression_Valg[[#This Row],[Afhængig variabel ID]]),INDEX(DataTitel_liste,1))</f>
        <v>Eksempel 1 (interval)</v>
      </c>
      <c r="G322" s="45" t="str" cm="1">
        <f t="array" ref="G322">IF(LineærRegression_Valg[[#This Row],[Indenfor range]],IF(LineærRegression_Valg[[#This Row],[Intet overlap]],INDEX(DataTitel_liste,LineærRegression_Valg[[#This Row],[Uafhængig variabel ID]]),INDEX(DataTitel_liste,IF(LineærRegression_Valg[[#This Row],[Afhængig variabel ID]]=1,2,1))),$B$7)</f>
        <v>Eksempel 2 (interval)</v>
      </c>
      <c r="H322" s="45">
        <f>_xlfn.AGGREGATE(2,5,LineærRegression_Valg[[#This Row],[Tabel ID]])</f>
        <v>1</v>
      </c>
    </row>
    <row r="323" spans="1:8" x14ac:dyDescent="0.2">
      <c r="A323">
        <f>ROW(LineærRegression_Valg[[#This Row],[Tabel ID]])-ROW(LineærRegression_Valg[[#Headers],[Tabel ID]])</f>
        <v>313</v>
      </c>
      <c r="B323" s="45">
        <f>ROUNDDOWN((LineærRegression_Valg[[#This Row],[Tabel ID]]-1)/$B$5,0)+1</f>
        <v>79</v>
      </c>
      <c r="C323" s="45">
        <f t="shared" si="4"/>
        <v>1</v>
      </c>
      <c r="D323" s="45" t="b">
        <f>LineærRegression_Valg[[#This Row],[Afhængig variabel ID]]&lt;&gt;LineærRegression_Valg[[#This Row],[Uafhængig variabel ID]]</f>
        <v>1</v>
      </c>
      <c r="E323" t="b">
        <f>LineærRegression_Valg[[#This Row],[Afhængig variabel ID]]&lt;=$B$5</f>
        <v>0</v>
      </c>
      <c r="F323" t="str" cm="1">
        <f t="array" ref="F323">IF(LineærRegression_Valg[[#This Row],[Indenfor range]],INDEX(DataTitel_liste,LineærRegression_Valg[[#This Row],[Afhængig variabel ID]]),INDEX(DataTitel_liste,1))</f>
        <v>Eksempel 1 (interval)</v>
      </c>
      <c r="G323" s="45" t="str" cm="1">
        <f t="array" ref="G323">IF(LineærRegression_Valg[[#This Row],[Indenfor range]],IF(LineærRegression_Valg[[#This Row],[Intet overlap]],INDEX(DataTitel_liste,LineærRegression_Valg[[#This Row],[Uafhængig variabel ID]]),INDEX(DataTitel_liste,IF(LineærRegression_Valg[[#This Row],[Afhængig variabel ID]]=1,2,1))),$B$7)</f>
        <v>Eksempel 2 (interval)</v>
      </c>
      <c r="H323" s="45">
        <f>_xlfn.AGGREGATE(2,5,LineærRegression_Valg[[#This Row],[Tabel ID]])</f>
        <v>1</v>
      </c>
    </row>
    <row r="324" spans="1:8" x14ac:dyDescent="0.2">
      <c r="A324">
        <f>ROW(LineærRegression_Valg[[#This Row],[Tabel ID]])-ROW(LineærRegression_Valg[[#Headers],[Tabel ID]])</f>
        <v>314</v>
      </c>
      <c r="B324" s="45">
        <f>ROUNDDOWN((LineærRegression_Valg[[#This Row],[Tabel ID]]-1)/$B$5,0)+1</f>
        <v>79</v>
      </c>
      <c r="C324" s="45">
        <f t="shared" si="4"/>
        <v>2</v>
      </c>
      <c r="D324" s="45" t="b">
        <f>LineærRegression_Valg[[#This Row],[Afhængig variabel ID]]&lt;&gt;LineærRegression_Valg[[#This Row],[Uafhængig variabel ID]]</f>
        <v>1</v>
      </c>
      <c r="E324" t="b">
        <f>LineærRegression_Valg[[#This Row],[Afhængig variabel ID]]&lt;=$B$5</f>
        <v>0</v>
      </c>
      <c r="F324" t="str" cm="1">
        <f t="array" ref="F324">IF(LineærRegression_Valg[[#This Row],[Indenfor range]],INDEX(DataTitel_liste,LineærRegression_Valg[[#This Row],[Afhængig variabel ID]]),INDEX(DataTitel_liste,1))</f>
        <v>Eksempel 1 (interval)</v>
      </c>
      <c r="G324" s="45" t="str" cm="1">
        <f t="array" ref="G324">IF(LineærRegression_Valg[[#This Row],[Indenfor range]],IF(LineærRegression_Valg[[#This Row],[Intet overlap]],INDEX(DataTitel_liste,LineærRegression_Valg[[#This Row],[Uafhængig variabel ID]]),INDEX(DataTitel_liste,IF(LineærRegression_Valg[[#This Row],[Afhængig variabel ID]]=1,2,1))),$B$7)</f>
        <v>Eksempel 2 (interval)</v>
      </c>
      <c r="H324" s="45">
        <f>_xlfn.AGGREGATE(2,5,LineærRegression_Valg[[#This Row],[Tabel ID]])</f>
        <v>1</v>
      </c>
    </row>
    <row r="325" spans="1:8" x14ac:dyDescent="0.2">
      <c r="A325">
        <f>ROW(LineærRegression_Valg[[#This Row],[Tabel ID]])-ROW(LineærRegression_Valg[[#Headers],[Tabel ID]])</f>
        <v>315</v>
      </c>
      <c r="B325" s="45">
        <f>ROUNDDOWN((LineærRegression_Valg[[#This Row],[Tabel ID]]-1)/$B$5,0)+1</f>
        <v>79</v>
      </c>
      <c r="C325" s="45">
        <f t="shared" si="4"/>
        <v>3</v>
      </c>
      <c r="D325" s="45" t="b">
        <f>LineærRegression_Valg[[#This Row],[Afhængig variabel ID]]&lt;&gt;LineærRegression_Valg[[#This Row],[Uafhængig variabel ID]]</f>
        <v>1</v>
      </c>
      <c r="E325" t="b">
        <f>LineærRegression_Valg[[#This Row],[Afhængig variabel ID]]&lt;=$B$5</f>
        <v>0</v>
      </c>
      <c r="F325" t="str" cm="1">
        <f t="array" ref="F325">IF(LineærRegression_Valg[[#This Row],[Indenfor range]],INDEX(DataTitel_liste,LineærRegression_Valg[[#This Row],[Afhængig variabel ID]]),INDEX(DataTitel_liste,1))</f>
        <v>Eksempel 1 (interval)</v>
      </c>
      <c r="G325" s="45" t="str" cm="1">
        <f t="array" ref="G325">IF(LineærRegression_Valg[[#This Row],[Indenfor range]],IF(LineærRegression_Valg[[#This Row],[Intet overlap]],INDEX(DataTitel_liste,LineærRegression_Valg[[#This Row],[Uafhængig variabel ID]]),INDEX(DataTitel_liste,IF(LineærRegression_Valg[[#This Row],[Afhængig variabel ID]]=1,2,1))),$B$7)</f>
        <v>Eksempel 2 (interval)</v>
      </c>
      <c r="H325" s="45">
        <f>_xlfn.AGGREGATE(2,5,LineærRegression_Valg[[#This Row],[Tabel ID]])</f>
        <v>1</v>
      </c>
    </row>
    <row r="326" spans="1:8" x14ac:dyDescent="0.2">
      <c r="A326">
        <f>ROW(LineærRegression_Valg[[#This Row],[Tabel ID]])-ROW(LineærRegression_Valg[[#Headers],[Tabel ID]])</f>
        <v>316</v>
      </c>
      <c r="B326" s="45">
        <f>ROUNDDOWN((LineærRegression_Valg[[#This Row],[Tabel ID]]-1)/$B$5,0)+1</f>
        <v>79</v>
      </c>
      <c r="C326" s="45">
        <f t="shared" si="4"/>
        <v>4</v>
      </c>
      <c r="D326" s="45" t="b">
        <f>LineærRegression_Valg[[#This Row],[Afhængig variabel ID]]&lt;&gt;LineærRegression_Valg[[#This Row],[Uafhængig variabel ID]]</f>
        <v>1</v>
      </c>
      <c r="E326" t="b">
        <f>LineærRegression_Valg[[#This Row],[Afhængig variabel ID]]&lt;=$B$5</f>
        <v>0</v>
      </c>
      <c r="F326" t="str" cm="1">
        <f t="array" ref="F326">IF(LineærRegression_Valg[[#This Row],[Indenfor range]],INDEX(DataTitel_liste,LineærRegression_Valg[[#This Row],[Afhængig variabel ID]]),INDEX(DataTitel_liste,1))</f>
        <v>Eksempel 1 (interval)</v>
      </c>
      <c r="G326" s="45" t="str" cm="1">
        <f t="array" ref="G326">IF(LineærRegression_Valg[[#This Row],[Indenfor range]],IF(LineærRegression_Valg[[#This Row],[Intet overlap]],INDEX(DataTitel_liste,LineærRegression_Valg[[#This Row],[Uafhængig variabel ID]]),INDEX(DataTitel_liste,IF(LineærRegression_Valg[[#This Row],[Afhængig variabel ID]]=1,2,1))),$B$7)</f>
        <v>Eksempel 2 (interval)</v>
      </c>
      <c r="H326" s="45">
        <f>_xlfn.AGGREGATE(2,5,LineærRegression_Valg[[#This Row],[Tabel ID]])</f>
        <v>1</v>
      </c>
    </row>
    <row r="327" spans="1:8" x14ac:dyDescent="0.2">
      <c r="A327">
        <f>ROW(LineærRegression_Valg[[#This Row],[Tabel ID]])-ROW(LineærRegression_Valg[[#Headers],[Tabel ID]])</f>
        <v>317</v>
      </c>
      <c r="B327" s="45">
        <f>ROUNDDOWN((LineærRegression_Valg[[#This Row],[Tabel ID]]-1)/$B$5,0)+1</f>
        <v>80</v>
      </c>
      <c r="C327" s="45">
        <f t="shared" si="4"/>
        <v>1</v>
      </c>
      <c r="D327" s="45" t="b">
        <f>LineærRegression_Valg[[#This Row],[Afhængig variabel ID]]&lt;&gt;LineærRegression_Valg[[#This Row],[Uafhængig variabel ID]]</f>
        <v>1</v>
      </c>
      <c r="E327" t="b">
        <f>LineærRegression_Valg[[#This Row],[Afhængig variabel ID]]&lt;=$B$5</f>
        <v>0</v>
      </c>
      <c r="F327" t="str" cm="1">
        <f t="array" ref="F327">IF(LineærRegression_Valg[[#This Row],[Indenfor range]],INDEX(DataTitel_liste,LineærRegression_Valg[[#This Row],[Afhængig variabel ID]]),INDEX(DataTitel_liste,1))</f>
        <v>Eksempel 1 (interval)</v>
      </c>
      <c r="G327" s="45" t="str" cm="1">
        <f t="array" ref="G327">IF(LineærRegression_Valg[[#This Row],[Indenfor range]],IF(LineærRegression_Valg[[#This Row],[Intet overlap]],INDEX(DataTitel_liste,LineærRegression_Valg[[#This Row],[Uafhængig variabel ID]]),INDEX(DataTitel_liste,IF(LineærRegression_Valg[[#This Row],[Afhængig variabel ID]]=1,2,1))),$B$7)</f>
        <v>Eksempel 2 (interval)</v>
      </c>
      <c r="H327" s="45">
        <f>_xlfn.AGGREGATE(2,5,LineærRegression_Valg[[#This Row],[Tabel ID]])</f>
        <v>1</v>
      </c>
    </row>
    <row r="328" spans="1:8" x14ac:dyDescent="0.2">
      <c r="A328">
        <f>ROW(LineærRegression_Valg[[#This Row],[Tabel ID]])-ROW(LineærRegression_Valg[[#Headers],[Tabel ID]])</f>
        <v>318</v>
      </c>
      <c r="B328" s="45">
        <f>ROUNDDOWN((LineærRegression_Valg[[#This Row],[Tabel ID]]-1)/$B$5,0)+1</f>
        <v>80</v>
      </c>
      <c r="C328" s="45">
        <f t="shared" si="4"/>
        <v>2</v>
      </c>
      <c r="D328" s="45" t="b">
        <f>LineærRegression_Valg[[#This Row],[Afhængig variabel ID]]&lt;&gt;LineærRegression_Valg[[#This Row],[Uafhængig variabel ID]]</f>
        <v>1</v>
      </c>
      <c r="E328" t="b">
        <f>LineærRegression_Valg[[#This Row],[Afhængig variabel ID]]&lt;=$B$5</f>
        <v>0</v>
      </c>
      <c r="F328" t="str" cm="1">
        <f t="array" ref="F328">IF(LineærRegression_Valg[[#This Row],[Indenfor range]],INDEX(DataTitel_liste,LineærRegression_Valg[[#This Row],[Afhængig variabel ID]]),INDEX(DataTitel_liste,1))</f>
        <v>Eksempel 1 (interval)</v>
      </c>
      <c r="G328" s="45" t="str" cm="1">
        <f t="array" ref="G328">IF(LineærRegression_Valg[[#This Row],[Indenfor range]],IF(LineærRegression_Valg[[#This Row],[Intet overlap]],INDEX(DataTitel_liste,LineærRegression_Valg[[#This Row],[Uafhængig variabel ID]]),INDEX(DataTitel_liste,IF(LineærRegression_Valg[[#This Row],[Afhængig variabel ID]]=1,2,1))),$B$7)</f>
        <v>Eksempel 2 (interval)</v>
      </c>
      <c r="H328" s="45">
        <f>_xlfn.AGGREGATE(2,5,LineærRegression_Valg[[#This Row],[Tabel ID]])</f>
        <v>1</v>
      </c>
    </row>
    <row r="329" spans="1:8" x14ac:dyDescent="0.2">
      <c r="A329">
        <f>ROW(LineærRegression_Valg[[#This Row],[Tabel ID]])-ROW(LineærRegression_Valg[[#Headers],[Tabel ID]])</f>
        <v>319</v>
      </c>
      <c r="B329" s="45">
        <f>ROUNDDOWN((LineærRegression_Valg[[#This Row],[Tabel ID]]-1)/$B$5,0)+1</f>
        <v>80</v>
      </c>
      <c r="C329" s="45">
        <f t="shared" si="4"/>
        <v>3</v>
      </c>
      <c r="D329" s="45" t="b">
        <f>LineærRegression_Valg[[#This Row],[Afhængig variabel ID]]&lt;&gt;LineærRegression_Valg[[#This Row],[Uafhængig variabel ID]]</f>
        <v>1</v>
      </c>
      <c r="E329" t="b">
        <f>LineærRegression_Valg[[#This Row],[Afhængig variabel ID]]&lt;=$B$5</f>
        <v>0</v>
      </c>
      <c r="F329" t="str" cm="1">
        <f t="array" ref="F329">IF(LineærRegression_Valg[[#This Row],[Indenfor range]],INDEX(DataTitel_liste,LineærRegression_Valg[[#This Row],[Afhængig variabel ID]]),INDEX(DataTitel_liste,1))</f>
        <v>Eksempel 1 (interval)</v>
      </c>
      <c r="G329" s="45" t="str" cm="1">
        <f t="array" ref="G329">IF(LineærRegression_Valg[[#This Row],[Indenfor range]],IF(LineærRegression_Valg[[#This Row],[Intet overlap]],INDEX(DataTitel_liste,LineærRegression_Valg[[#This Row],[Uafhængig variabel ID]]),INDEX(DataTitel_liste,IF(LineærRegression_Valg[[#This Row],[Afhængig variabel ID]]=1,2,1))),$B$7)</f>
        <v>Eksempel 2 (interval)</v>
      </c>
      <c r="H329" s="45">
        <f>_xlfn.AGGREGATE(2,5,LineærRegression_Valg[[#This Row],[Tabel ID]])</f>
        <v>1</v>
      </c>
    </row>
    <row r="330" spans="1:8" x14ac:dyDescent="0.2">
      <c r="A330">
        <f>ROW(LineærRegression_Valg[[#This Row],[Tabel ID]])-ROW(LineærRegression_Valg[[#Headers],[Tabel ID]])</f>
        <v>320</v>
      </c>
      <c r="B330" s="45">
        <f>ROUNDDOWN((LineærRegression_Valg[[#This Row],[Tabel ID]]-1)/$B$5,0)+1</f>
        <v>80</v>
      </c>
      <c r="C330" s="45">
        <f t="shared" si="4"/>
        <v>4</v>
      </c>
      <c r="D330" s="45" t="b">
        <f>LineærRegression_Valg[[#This Row],[Afhængig variabel ID]]&lt;&gt;LineærRegression_Valg[[#This Row],[Uafhængig variabel ID]]</f>
        <v>1</v>
      </c>
      <c r="E330" t="b">
        <f>LineærRegression_Valg[[#This Row],[Afhængig variabel ID]]&lt;=$B$5</f>
        <v>0</v>
      </c>
      <c r="F330" t="str" cm="1">
        <f t="array" ref="F330">IF(LineærRegression_Valg[[#This Row],[Indenfor range]],INDEX(DataTitel_liste,LineærRegression_Valg[[#This Row],[Afhængig variabel ID]]),INDEX(DataTitel_liste,1))</f>
        <v>Eksempel 1 (interval)</v>
      </c>
      <c r="G330" s="45" t="str" cm="1">
        <f t="array" ref="G330">IF(LineærRegression_Valg[[#This Row],[Indenfor range]],IF(LineærRegression_Valg[[#This Row],[Intet overlap]],INDEX(DataTitel_liste,LineærRegression_Valg[[#This Row],[Uafhængig variabel ID]]),INDEX(DataTitel_liste,IF(LineærRegression_Valg[[#This Row],[Afhængig variabel ID]]=1,2,1))),$B$7)</f>
        <v>Eksempel 2 (interval)</v>
      </c>
      <c r="H330" s="45">
        <f>_xlfn.AGGREGATE(2,5,LineærRegression_Valg[[#This Row],[Tabel ID]])</f>
        <v>1</v>
      </c>
    </row>
    <row r="331" spans="1:8" x14ac:dyDescent="0.2">
      <c r="A331">
        <f>ROW(LineærRegression_Valg[[#This Row],[Tabel ID]])-ROW(LineærRegression_Valg[[#Headers],[Tabel ID]])</f>
        <v>321</v>
      </c>
      <c r="B331" s="45">
        <f>ROUNDDOWN((LineærRegression_Valg[[#This Row],[Tabel ID]]-1)/$B$5,0)+1</f>
        <v>81</v>
      </c>
      <c r="C331" s="45">
        <f t="shared" ref="C331:C394" si="5">MOD(A331-1,$B$5)+1</f>
        <v>1</v>
      </c>
      <c r="D331" s="45" t="b">
        <f>LineærRegression_Valg[[#This Row],[Afhængig variabel ID]]&lt;&gt;LineærRegression_Valg[[#This Row],[Uafhængig variabel ID]]</f>
        <v>1</v>
      </c>
      <c r="E331" t="b">
        <f>LineærRegression_Valg[[#This Row],[Afhængig variabel ID]]&lt;=$B$5</f>
        <v>0</v>
      </c>
      <c r="F331" t="str" cm="1">
        <f t="array" ref="F331">IF(LineærRegression_Valg[[#This Row],[Indenfor range]],INDEX(DataTitel_liste,LineærRegression_Valg[[#This Row],[Afhængig variabel ID]]),INDEX(DataTitel_liste,1))</f>
        <v>Eksempel 1 (interval)</v>
      </c>
      <c r="G331" s="45" t="str" cm="1">
        <f t="array" ref="G331">IF(LineærRegression_Valg[[#This Row],[Indenfor range]],IF(LineærRegression_Valg[[#This Row],[Intet overlap]],INDEX(DataTitel_liste,LineærRegression_Valg[[#This Row],[Uafhængig variabel ID]]),INDEX(DataTitel_liste,IF(LineærRegression_Valg[[#This Row],[Afhængig variabel ID]]=1,2,1))),$B$7)</f>
        <v>Eksempel 2 (interval)</v>
      </c>
      <c r="H331" s="45">
        <f>_xlfn.AGGREGATE(2,5,LineærRegression_Valg[[#This Row],[Tabel ID]])</f>
        <v>1</v>
      </c>
    </row>
    <row r="332" spans="1:8" x14ac:dyDescent="0.2">
      <c r="A332">
        <f>ROW(LineærRegression_Valg[[#This Row],[Tabel ID]])-ROW(LineærRegression_Valg[[#Headers],[Tabel ID]])</f>
        <v>322</v>
      </c>
      <c r="B332" s="45">
        <f>ROUNDDOWN((LineærRegression_Valg[[#This Row],[Tabel ID]]-1)/$B$5,0)+1</f>
        <v>81</v>
      </c>
      <c r="C332" s="45">
        <f t="shared" si="5"/>
        <v>2</v>
      </c>
      <c r="D332" s="45" t="b">
        <f>LineærRegression_Valg[[#This Row],[Afhængig variabel ID]]&lt;&gt;LineærRegression_Valg[[#This Row],[Uafhængig variabel ID]]</f>
        <v>1</v>
      </c>
      <c r="E332" t="b">
        <f>LineærRegression_Valg[[#This Row],[Afhængig variabel ID]]&lt;=$B$5</f>
        <v>0</v>
      </c>
      <c r="F332" t="str" cm="1">
        <f t="array" ref="F332">IF(LineærRegression_Valg[[#This Row],[Indenfor range]],INDEX(DataTitel_liste,LineærRegression_Valg[[#This Row],[Afhængig variabel ID]]),INDEX(DataTitel_liste,1))</f>
        <v>Eksempel 1 (interval)</v>
      </c>
      <c r="G332" s="45" t="str" cm="1">
        <f t="array" ref="G332">IF(LineærRegression_Valg[[#This Row],[Indenfor range]],IF(LineærRegression_Valg[[#This Row],[Intet overlap]],INDEX(DataTitel_liste,LineærRegression_Valg[[#This Row],[Uafhængig variabel ID]]),INDEX(DataTitel_liste,IF(LineærRegression_Valg[[#This Row],[Afhængig variabel ID]]=1,2,1))),$B$7)</f>
        <v>Eksempel 2 (interval)</v>
      </c>
      <c r="H332" s="45">
        <f>_xlfn.AGGREGATE(2,5,LineærRegression_Valg[[#This Row],[Tabel ID]])</f>
        <v>1</v>
      </c>
    </row>
    <row r="333" spans="1:8" x14ac:dyDescent="0.2">
      <c r="A333">
        <f>ROW(LineærRegression_Valg[[#This Row],[Tabel ID]])-ROW(LineærRegression_Valg[[#Headers],[Tabel ID]])</f>
        <v>323</v>
      </c>
      <c r="B333" s="45">
        <f>ROUNDDOWN((LineærRegression_Valg[[#This Row],[Tabel ID]]-1)/$B$5,0)+1</f>
        <v>81</v>
      </c>
      <c r="C333" s="45">
        <f t="shared" si="5"/>
        <v>3</v>
      </c>
      <c r="D333" s="45" t="b">
        <f>LineærRegression_Valg[[#This Row],[Afhængig variabel ID]]&lt;&gt;LineærRegression_Valg[[#This Row],[Uafhængig variabel ID]]</f>
        <v>1</v>
      </c>
      <c r="E333" t="b">
        <f>LineærRegression_Valg[[#This Row],[Afhængig variabel ID]]&lt;=$B$5</f>
        <v>0</v>
      </c>
      <c r="F333" t="str" cm="1">
        <f t="array" ref="F333">IF(LineærRegression_Valg[[#This Row],[Indenfor range]],INDEX(DataTitel_liste,LineærRegression_Valg[[#This Row],[Afhængig variabel ID]]),INDEX(DataTitel_liste,1))</f>
        <v>Eksempel 1 (interval)</v>
      </c>
      <c r="G333" s="45" t="str" cm="1">
        <f t="array" ref="G333">IF(LineærRegression_Valg[[#This Row],[Indenfor range]],IF(LineærRegression_Valg[[#This Row],[Intet overlap]],INDEX(DataTitel_liste,LineærRegression_Valg[[#This Row],[Uafhængig variabel ID]]),INDEX(DataTitel_liste,IF(LineærRegression_Valg[[#This Row],[Afhængig variabel ID]]=1,2,1))),$B$7)</f>
        <v>Eksempel 2 (interval)</v>
      </c>
      <c r="H333" s="45">
        <f>_xlfn.AGGREGATE(2,5,LineærRegression_Valg[[#This Row],[Tabel ID]])</f>
        <v>1</v>
      </c>
    </row>
    <row r="334" spans="1:8" x14ac:dyDescent="0.2">
      <c r="A334">
        <f>ROW(LineærRegression_Valg[[#This Row],[Tabel ID]])-ROW(LineærRegression_Valg[[#Headers],[Tabel ID]])</f>
        <v>324</v>
      </c>
      <c r="B334" s="45">
        <f>ROUNDDOWN((LineærRegression_Valg[[#This Row],[Tabel ID]]-1)/$B$5,0)+1</f>
        <v>81</v>
      </c>
      <c r="C334" s="45">
        <f t="shared" si="5"/>
        <v>4</v>
      </c>
      <c r="D334" s="45" t="b">
        <f>LineærRegression_Valg[[#This Row],[Afhængig variabel ID]]&lt;&gt;LineærRegression_Valg[[#This Row],[Uafhængig variabel ID]]</f>
        <v>1</v>
      </c>
      <c r="E334" t="b">
        <f>LineærRegression_Valg[[#This Row],[Afhængig variabel ID]]&lt;=$B$5</f>
        <v>0</v>
      </c>
      <c r="F334" t="str" cm="1">
        <f t="array" ref="F334">IF(LineærRegression_Valg[[#This Row],[Indenfor range]],INDEX(DataTitel_liste,LineærRegression_Valg[[#This Row],[Afhængig variabel ID]]),INDEX(DataTitel_liste,1))</f>
        <v>Eksempel 1 (interval)</v>
      </c>
      <c r="G334" s="45" t="str" cm="1">
        <f t="array" ref="G334">IF(LineærRegression_Valg[[#This Row],[Indenfor range]],IF(LineærRegression_Valg[[#This Row],[Intet overlap]],INDEX(DataTitel_liste,LineærRegression_Valg[[#This Row],[Uafhængig variabel ID]]),INDEX(DataTitel_liste,IF(LineærRegression_Valg[[#This Row],[Afhængig variabel ID]]=1,2,1))),$B$7)</f>
        <v>Eksempel 2 (interval)</v>
      </c>
      <c r="H334" s="45">
        <f>_xlfn.AGGREGATE(2,5,LineærRegression_Valg[[#This Row],[Tabel ID]])</f>
        <v>1</v>
      </c>
    </row>
    <row r="335" spans="1:8" x14ac:dyDescent="0.2">
      <c r="A335">
        <f>ROW(LineærRegression_Valg[[#This Row],[Tabel ID]])-ROW(LineærRegression_Valg[[#Headers],[Tabel ID]])</f>
        <v>325</v>
      </c>
      <c r="B335" s="45">
        <f>ROUNDDOWN((LineærRegression_Valg[[#This Row],[Tabel ID]]-1)/$B$5,0)+1</f>
        <v>82</v>
      </c>
      <c r="C335" s="45">
        <f t="shared" si="5"/>
        <v>1</v>
      </c>
      <c r="D335" s="45" t="b">
        <f>LineærRegression_Valg[[#This Row],[Afhængig variabel ID]]&lt;&gt;LineærRegression_Valg[[#This Row],[Uafhængig variabel ID]]</f>
        <v>1</v>
      </c>
      <c r="E335" t="b">
        <f>LineærRegression_Valg[[#This Row],[Afhængig variabel ID]]&lt;=$B$5</f>
        <v>0</v>
      </c>
      <c r="F335" t="str" cm="1">
        <f t="array" ref="F335">IF(LineærRegression_Valg[[#This Row],[Indenfor range]],INDEX(DataTitel_liste,LineærRegression_Valg[[#This Row],[Afhængig variabel ID]]),INDEX(DataTitel_liste,1))</f>
        <v>Eksempel 1 (interval)</v>
      </c>
      <c r="G335" s="45" t="str" cm="1">
        <f t="array" ref="G335">IF(LineærRegression_Valg[[#This Row],[Indenfor range]],IF(LineærRegression_Valg[[#This Row],[Intet overlap]],INDEX(DataTitel_liste,LineærRegression_Valg[[#This Row],[Uafhængig variabel ID]]),INDEX(DataTitel_liste,IF(LineærRegression_Valg[[#This Row],[Afhængig variabel ID]]=1,2,1))),$B$7)</f>
        <v>Eksempel 2 (interval)</v>
      </c>
      <c r="H335" s="45">
        <f>_xlfn.AGGREGATE(2,5,LineærRegression_Valg[[#This Row],[Tabel ID]])</f>
        <v>1</v>
      </c>
    </row>
    <row r="336" spans="1:8" x14ac:dyDescent="0.2">
      <c r="A336">
        <f>ROW(LineærRegression_Valg[[#This Row],[Tabel ID]])-ROW(LineærRegression_Valg[[#Headers],[Tabel ID]])</f>
        <v>326</v>
      </c>
      <c r="B336" s="45">
        <f>ROUNDDOWN((LineærRegression_Valg[[#This Row],[Tabel ID]]-1)/$B$5,0)+1</f>
        <v>82</v>
      </c>
      <c r="C336" s="45">
        <f t="shared" si="5"/>
        <v>2</v>
      </c>
      <c r="D336" s="45" t="b">
        <f>LineærRegression_Valg[[#This Row],[Afhængig variabel ID]]&lt;&gt;LineærRegression_Valg[[#This Row],[Uafhængig variabel ID]]</f>
        <v>1</v>
      </c>
      <c r="E336" t="b">
        <f>LineærRegression_Valg[[#This Row],[Afhængig variabel ID]]&lt;=$B$5</f>
        <v>0</v>
      </c>
      <c r="F336" t="str" cm="1">
        <f t="array" ref="F336">IF(LineærRegression_Valg[[#This Row],[Indenfor range]],INDEX(DataTitel_liste,LineærRegression_Valg[[#This Row],[Afhængig variabel ID]]),INDEX(DataTitel_liste,1))</f>
        <v>Eksempel 1 (interval)</v>
      </c>
      <c r="G336" s="45" t="str" cm="1">
        <f t="array" ref="G336">IF(LineærRegression_Valg[[#This Row],[Indenfor range]],IF(LineærRegression_Valg[[#This Row],[Intet overlap]],INDEX(DataTitel_liste,LineærRegression_Valg[[#This Row],[Uafhængig variabel ID]]),INDEX(DataTitel_liste,IF(LineærRegression_Valg[[#This Row],[Afhængig variabel ID]]=1,2,1))),$B$7)</f>
        <v>Eksempel 2 (interval)</v>
      </c>
      <c r="H336" s="45">
        <f>_xlfn.AGGREGATE(2,5,LineærRegression_Valg[[#This Row],[Tabel ID]])</f>
        <v>1</v>
      </c>
    </row>
    <row r="337" spans="1:8" x14ac:dyDescent="0.2">
      <c r="A337">
        <f>ROW(LineærRegression_Valg[[#This Row],[Tabel ID]])-ROW(LineærRegression_Valg[[#Headers],[Tabel ID]])</f>
        <v>327</v>
      </c>
      <c r="B337" s="45">
        <f>ROUNDDOWN((LineærRegression_Valg[[#This Row],[Tabel ID]]-1)/$B$5,0)+1</f>
        <v>82</v>
      </c>
      <c r="C337" s="45">
        <f t="shared" si="5"/>
        <v>3</v>
      </c>
      <c r="D337" s="45" t="b">
        <f>LineærRegression_Valg[[#This Row],[Afhængig variabel ID]]&lt;&gt;LineærRegression_Valg[[#This Row],[Uafhængig variabel ID]]</f>
        <v>1</v>
      </c>
      <c r="E337" t="b">
        <f>LineærRegression_Valg[[#This Row],[Afhængig variabel ID]]&lt;=$B$5</f>
        <v>0</v>
      </c>
      <c r="F337" t="str" cm="1">
        <f t="array" ref="F337">IF(LineærRegression_Valg[[#This Row],[Indenfor range]],INDEX(DataTitel_liste,LineærRegression_Valg[[#This Row],[Afhængig variabel ID]]),INDEX(DataTitel_liste,1))</f>
        <v>Eksempel 1 (interval)</v>
      </c>
      <c r="G337" s="45" t="str" cm="1">
        <f t="array" ref="G337">IF(LineærRegression_Valg[[#This Row],[Indenfor range]],IF(LineærRegression_Valg[[#This Row],[Intet overlap]],INDEX(DataTitel_liste,LineærRegression_Valg[[#This Row],[Uafhængig variabel ID]]),INDEX(DataTitel_liste,IF(LineærRegression_Valg[[#This Row],[Afhængig variabel ID]]=1,2,1))),$B$7)</f>
        <v>Eksempel 2 (interval)</v>
      </c>
      <c r="H337" s="45">
        <f>_xlfn.AGGREGATE(2,5,LineærRegression_Valg[[#This Row],[Tabel ID]])</f>
        <v>1</v>
      </c>
    </row>
    <row r="338" spans="1:8" x14ac:dyDescent="0.2">
      <c r="A338">
        <f>ROW(LineærRegression_Valg[[#This Row],[Tabel ID]])-ROW(LineærRegression_Valg[[#Headers],[Tabel ID]])</f>
        <v>328</v>
      </c>
      <c r="B338" s="45">
        <f>ROUNDDOWN((LineærRegression_Valg[[#This Row],[Tabel ID]]-1)/$B$5,0)+1</f>
        <v>82</v>
      </c>
      <c r="C338" s="45">
        <f t="shared" si="5"/>
        <v>4</v>
      </c>
      <c r="D338" s="45" t="b">
        <f>LineærRegression_Valg[[#This Row],[Afhængig variabel ID]]&lt;&gt;LineærRegression_Valg[[#This Row],[Uafhængig variabel ID]]</f>
        <v>1</v>
      </c>
      <c r="E338" t="b">
        <f>LineærRegression_Valg[[#This Row],[Afhængig variabel ID]]&lt;=$B$5</f>
        <v>0</v>
      </c>
      <c r="F338" t="str" cm="1">
        <f t="array" ref="F338">IF(LineærRegression_Valg[[#This Row],[Indenfor range]],INDEX(DataTitel_liste,LineærRegression_Valg[[#This Row],[Afhængig variabel ID]]),INDEX(DataTitel_liste,1))</f>
        <v>Eksempel 1 (interval)</v>
      </c>
      <c r="G338" s="45" t="str" cm="1">
        <f t="array" ref="G338">IF(LineærRegression_Valg[[#This Row],[Indenfor range]],IF(LineærRegression_Valg[[#This Row],[Intet overlap]],INDEX(DataTitel_liste,LineærRegression_Valg[[#This Row],[Uafhængig variabel ID]]),INDEX(DataTitel_liste,IF(LineærRegression_Valg[[#This Row],[Afhængig variabel ID]]=1,2,1))),$B$7)</f>
        <v>Eksempel 2 (interval)</v>
      </c>
      <c r="H338" s="45">
        <f>_xlfn.AGGREGATE(2,5,LineærRegression_Valg[[#This Row],[Tabel ID]])</f>
        <v>1</v>
      </c>
    </row>
    <row r="339" spans="1:8" x14ac:dyDescent="0.2">
      <c r="A339">
        <f>ROW(LineærRegression_Valg[[#This Row],[Tabel ID]])-ROW(LineærRegression_Valg[[#Headers],[Tabel ID]])</f>
        <v>329</v>
      </c>
      <c r="B339" s="45">
        <f>ROUNDDOWN((LineærRegression_Valg[[#This Row],[Tabel ID]]-1)/$B$5,0)+1</f>
        <v>83</v>
      </c>
      <c r="C339" s="45">
        <f t="shared" si="5"/>
        <v>1</v>
      </c>
      <c r="D339" s="45" t="b">
        <f>LineærRegression_Valg[[#This Row],[Afhængig variabel ID]]&lt;&gt;LineærRegression_Valg[[#This Row],[Uafhængig variabel ID]]</f>
        <v>1</v>
      </c>
      <c r="E339" t="b">
        <f>LineærRegression_Valg[[#This Row],[Afhængig variabel ID]]&lt;=$B$5</f>
        <v>0</v>
      </c>
      <c r="F339" t="str" cm="1">
        <f t="array" ref="F339">IF(LineærRegression_Valg[[#This Row],[Indenfor range]],INDEX(DataTitel_liste,LineærRegression_Valg[[#This Row],[Afhængig variabel ID]]),INDEX(DataTitel_liste,1))</f>
        <v>Eksempel 1 (interval)</v>
      </c>
      <c r="G339" s="45" t="str" cm="1">
        <f t="array" ref="G339">IF(LineærRegression_Valg[[#This Row],[Indenfor range]],IF(LineærRegression_Valg[[#This Row],[Intet overlap]],INDEX(DataTitel_liste,LineærRegression_Valg[[#This Row],[Uafhængig variabel ID]]),INDEX(DataTitel_liste,IF(LineærRegression_Valg[[#This Row],[Afhængig variabel ID]]=1,2,1))),$B$7)</f>
        <v>Eksempel 2 (interval)</v>
      </c>
      <c r="H339" s="45">
        <f>_xlfn.AGGREGATE(2,5,LineærRegression_Valg[[#This Row],[Tabel ID]])</f>
        <v>1</v>
      </c>
    </row>
    <row r="340" spans="1:8" x14ac:dyDescent="0.2">
      <c r="A340">
        <f>ROW(LineærRegression_Valg[[#This Row],[Tabel ID]])-ROW(LineærRegression_Valg[[#Headers],[Tabel ID]])</f>
        <v>330</v>
      </c>
      <c r="B340" s="45">
        <f>ROUNDDOWN((LineærRegression_Valg[[#This Row],[Tabel ID]]-1)/$B$5,0)+1</f>
        <v>83</v>
      </c>
      <c r="C340" s="45">
        <f t="shared" si="5"/>
        <v>2</v>
      </c>
      <c r="D340" s="45" t="b">
        <f>LineærRegression_Valg[[#This Row],[Afhængig variabel ID]]&lt;&gt;LineærRegression_Valg[[#This Row],[Uafhængig variabel ID]]</f>
        <v>1</v>
      </c>
      <c r="E340" t="b">
        <f>LineærRegression_Valg[[#This Row],[Afhængig variabel ID]]&lt;=$B$5</f>
        <v>0</v>
      </c>
      <c r="F340" t="str" cm="1">
        <f t="array" ref="F340">IF(LineærRegression_Valg[[#This Row],[Indenfor range]],INDEX(DataTitel_liste,LineærRegression_Valg[[#This Row],[Afhængig variabel ID]]),INDEX(DataTitel_liste,1))</f>
        <v>Eksempel 1 (interval)</v>
      </c>
      <c r="G340" s="45" t="str" cm="1">
        <f t="array" ref="G340">IF(LineærRegression_Valg[[#This Row],[Indenfor range]],IF(LineærRegression_Valg[[#This Row],[Intet overlap]],INDEX(DataTitel_liste,LineærRegression_Valg[[#This Row],[Uafhængig variabel ID]]),INDEX(DataTitel_liste,IF(LineærRegression_Valg[[#This Row],[Afhængig variabel ID]]=1,2,1))),$B$7)</f>
        <v>Eksempel 2 (interval)</v>
      </c>
      <c r="H340" s="45">
        <f>_xlfn.AGGREGATE(2,5,LineærRegression_Valg[[#This Row],[Tabel ID]])</f>
        <v>1</v>
      </c>
    </row>
    <row r="341" spans="1:8" x14ac:dyDescent="0.2">
      <c r="A341">
        <f>ROW(LineærRegression_Valg[[#This Row],[Tabel ID]])-ROW(LineærRegression_Valg[[#Headers],[Tabel ID]])</f>
        <v>331</v>
      </c>
      <c r="B341" s="45">
        <f>ROUNDDOWN((LineærRegression_Valg[[#This Row],[Tabel ID]]-1)/$B$5,0)+1</f>
        <v>83</v>
      </c>
      <c r="C341" s="45">
        <f t="shared" si="5"/>
        <v>3</v>
      </c>
      <c r="D341" s="45" t="b">
        <f>LineærRegression_Valg[[#This Row],[Afhængig variabel ID]]&lt;&gt;LineærRegression_Valg[[#This Row],[Uafhængig variabel ID]]</f>
        <v>1</v>
      </c>
      <c r="E341" t="b">
        <f>LineærRegression_Valg[[#This Row],[Afhængig variabel ID]]&lt;=$B$5</f>
        <v>0</v>
      </c>
      <c r="F341" t="str" cm="1">
        <f t="array" ref="F341">IF(LineærRegression_Valg[[#This Row],[Indenfor range]],INDEX(DataTitel_liste,LineærRegression_Valg[[#This Row],[Afhængig variabel ID]]),INDEX(DataTitel_liste,1))</f>
        <v>Eksempel 1 (interval)</v>
      </c>
      <c r="G341" s="45" t="str" cm="1">
        <f t="array" ref="G341">IF(LineærRegression_Valg[[#This Row],[Indenfor range]],IF(LineærRegression_Valg[[#This Row],[Intet overlap]],INDEX(DataTitel_liste,LineærRegression_Valg[[#This Row],[Uafhængig variabel ID]]),INDEX(DataTitel_liste,IF(LineærRegression_Valg[[#This Row],[Afhængig variabel ID]]=1,2,1))),$B$7)</f>
        <v>Eksempel 2 (interval)</v>
      </c>
      <c r="H341" s="45">
        <f>_xlfn.AGGREGATE(2,5,LineærRegression_Valg[[#This Row],[Tabel ID]])</f>
        <v>1</v>
      </c>
    </row>
    <row r="342" spans="1:8" x14ac:dyDescent="0.2">
      <c r="A342">
        <f>ROW(LineærRegression_Valg[[#This Row],[Tabel ID]])-ROW(LineærRegression_Valg[[#Headers],[Tabel ID]])</f>
        <v>332</v>
      </c>
      <c r="B342" s="45">
        <f>ROUNDDOWN((LineærRegression_Valg[[#This Row],[Tabel ID]]-1)/$B$5,0)+1</f>
        <v>83</v>
      </c>
      <c r="C342" s="45">
        <f t="shared" si="5"/>
        <v>4</v>
      </c>
      <c r="D342" s="45" t="b">
        <f>LineærRegression_Valg[[#This Row],[Afhængig variabel ID]]&lt;&gt;LineærRegression_Valg[[#This Row],[Uafhængig variabel ID]]</f>
        <v>1</v>
      </c>
      <c r="E342" t="b">
        <f>LineærRegression_Valg[[#This Row],[Afhængig variabel ID]]&lt;=$B$5</f>
        <v>0</v>
      </c>
      <c r="F342" t="str" cm="1">
        <f t="array" ref="F342">IF(LineærRegression_Valg[[#This Row],[Indenfor range]],INDEX(DataTitel_liste,LineærRegression_Valg[[#This Row],[Afhængig variabel ID]]),INDEX(DataTitel_liste,1))</f>
        <v>Eksempel 1 (interval)</v>
      </c>
      <c r="G342" s="45" t="str" cm="1">
        <f t="array" ref="G342">IF(LineærRegression_Valg[[#This Row],[Indenfor range]],IF(LineærRegression_Valg[[#This Row],[Intet overlap]],INDEX(DataTitel_liste,LineærRegression_Valg[[#This Row],[Uafhængig variabel ID]]),INDEX(DataTitel_liste,IF(LineærRegression_Valg[[#This Row],[Afhængig variabel ID]]=1,2,1))),$B$7)</f>
        <v>Eksempel 2 (interval)</v>
      </c>
      <c r="H342" s="45">
        <f>_xlfn.AGGREGATE(2,5,LineærRegression_Valg[[#This Row],[Tabel ID]])</f>
        <v>1</v>
      </c>
    </row>
    <row r="343" spans="1:8" x14ac:dyDescent="0.2">
      <c r="A343">
        <f>ROW(LineærRegression_Valg[[#This Row],[Tabel ID]])-ROW(LineærRegression_Valg[[#Headers],[Tabel ID]])</f>
        <v>333</v>
      </c>
      <c r="B343" s="45">
        <f>ROUNDDOWN((LineærRegression_Valg[[#This Row],[Tabel ID]]-1)/$B$5,0)+1</f>
        <v>84</v>
      </c>
      <c r="C343" s="45">
        <f t="shared" si="5"/>
        <v>1</v>
      </c>
      <c r="D343" s="45" t="b">
        <f>LineærRegression_Valg[[#This Row],[Afhængig variabel ID]]&lt;&gt;LineærRegression_Valg[[#This Row],[Uafhængig variabel ID]]</f>
        <v>1</v>
      </c>
      <c r="E343" t="b">
        <f>LineærRegression_Valg[[#This Row],[Afhængig variabel ID]]&lt;=$B$5</f>
        <v>0</v>
      </c>
      <c r="F343" t="str" cm="1">
        <f t="array" ref="F343">IF(LineærRegression_Valg[[#This Row],[Indenfor range]],INDEX(DataTitel_liste,LineærRegression_Valg[[#This Row],[Afhængig variabel ID]]),INDEX(DataTitel_liste,1))</f>
        <v>Eksempel 1 (interval)</v>
      </c>
      <c r="G343" s="45" t="str" cm="1">
        <f t="array" ref="G343">IF(LineærRegression_Valg[[#This Row],[Indenfor range]],IF(LineærRegression_Valg[[#This Row],[Intet overlap]],INDEX(DataTitel_liste,LineærRegression_Valg[[#This Row],[Uafhængig variabel ID]]),INDEX(DataTitel_liste,IF(LineærRegression_Valg[[#This Row],[Afhængig variabel ID]]=1,2,1))),$B$7)</f>
        <v>Eksempel 2 (interval)</v>
      </c>
      <c r="H343" s="45">
        <f>_xlfn.AGGREGATE(2,5,LineærRegression_Valg[[#This Row],[Tabel ID]])</f>
        <v>1</v>
      </c>
    </row>
    <row r="344" spans="1:8" x14ac:dyDescent="0.2">
      <c r="A344">
        <f>ROW(LineærRegression_Valg[[#This Row],[Tabel ID]])-ROW(LineærRegression_Valg[[#Headers],[Tabel ID]])</f>
        <v>334</v>
      </c>
      <c r="B344" s="45">
        <f>ROUNDDOWN((LineærRegression_Valg[[#This Row],[Tabel ID]]-1)/$B$5,0)+1</f>
        <v>84</v>
      </c>
      <c r="C344" s="45">
        <f t="shared" si="5"/>
        <v>2</v>
      </c>
      <c r="D344" s="45" t="b">
        <f>LineærRegression_Valg[[#This Row],[Afhængig variabel ID]]&lt;&gt;LineærRegression_Valg[[#This Row],[Uafhængig variabel ID]]</f>
        <v>1</v>
      </c>
      <c r="E344" t="b">
        <f>LineærRegression_Valg[[#This Row],[Afhængig variabel ID]]&lt;=$B$5</f>
        <v>0</v>
      </c>
      <c r="F344" t="str" cm="1">
        <f t="array" ref="F344">IF(LineærRegression_Valg[[#This Row],[Indenfor range]],INDEX(DataTitel_liste,LineærRegression_Valg[[#This Row],[Afhængig variabel ID]]),INDEX(DataTitel_liste,1))</f>
        <v>Eksempel 1 (interval)</v>
      </c>
      <c r="G344" s="45" t="str" cm="1">
        <f t="array" ref="G344">IF(LineærRegression_Valg[[#This Row],[Indenfor range]],IF(LineærRegression_Valg[[#This Row],[Intet overlap]],INDEX(DataTitel_liste,LineærRegression_Valg[[#This Row],[Uafhængig variabel ID]]),INDEX(DataTitel_liste,IF(LineærRegression_Valg[[#This Row],[Afhængig variabel ID]]=1,2,1))),$B$7)</f>
        <v>Eksempel 2 (interval)</v>
      </c>
      <c r="H344" s="45">
        <f>_xlfn.AGGREGATE(2,5,LineærRegression_Valg[[#This Row],[Tabel ID]])</f>
        <v>1</v>
      </c>
    </row>
    <row r="345" spans="1:8" x14ac:dyDescent="0.2">
      <c r="A345">
        <f>ROW(LineærRegression_Valg[[#This Row],[Tabel ID]])-ROW(LineærRegression_Valg[[#Headers],[Tabel ID]])</f>
        <v>335</v>
      </c>
      <c r="B345" s="45">
        <f>ROUNDDOWN((LineærRegression_Valg[[#This Row],[Tabel ID]]-1)/$B$5,0)+1</f>
        <v>84</v>
      </c>
      <c r="C345" s="45">
        <f t="shared" si="5"/>
        <v>3</v>
      </c>
      <c r="D345" s="45" t="b">
        <f>LineærRegression_Valg[[#This Row],[Afhængig variabel ID]]&lt;&gt;LineærRegression_Valg[[#This Row],[Uafhængig variabel ID]]</f>
        <v>1</v>
      </c>
      <c r="E345" t="b">
        <f>LineærRegression_Valg[[#This Row],[Afhængig variabel ID]]&lt;=$B$5</f>
        <v>0</v>
      </c>
      <c r="F345" t="str" cm="1">
        <f t="array" ref="F345">IF(LineærRegression_Valg[[#This Row],[Indenfor range]],INDEX(DataTitel_liste,LineærRegression_Valg[[#This Row],[Afhængig variabel ID]]),INDEX(DataTitel_liste,1))</f>
        <v>Eksempel 1 (interval)</v>
      </c>
      <c r="G345" s="45" t="str" cm="1">
        <f t="array" ref="G345">IF(LineærRegression_Valg[[#This Row],[Indenfor range]],IF(LineærRegression_Valg[[#This Row],[Intet overlap]],INDEX(DataTitel_liste,LineærRegression_Valg[[#This Row],[Uafhængig variabel ID]]),INDEX(DataTitel_liste,IF(LineærRegression_Valg[[#This Row],[Afhængig variabel ID]]=1,2,1))),$B$7)</f>
        <v>Eksempel 2 (interval)</v>
      </c>
      <c r="H345" s="45">
        <f>_xlfn.AGGREGATE(2,5,LineærRegression_Valg[[#This Row],[Tabel ID]])</f>
        <v>1</v>
      </c>
    </row>
    <row r="346" spans="1:8" x14ac:dyDescent="0.2">
      <c r="A346">
        <f>ROW(LineærRegression_Valg[[#This Row],[Tabel ID]])-ROW(LineærRegression_Valg[[#Headers],[Tabel ID]])</f>
        <v>336</v>
      </c>
      <c r="B346" s="45">
        <f>ROUNDDOWN((LineærRegression_Valg[[#This Row],[Tabel ID]]-1)/$B$5,0)+1</f>
        <v>84</v>
      </c>
      <c r="C346" s="45">
        <f t="shared" si="5"/>
        <v>4</v>
      </c>
      <c r="D346" s="45" t="b">
        <f>LineærRegression_Valg[[#This Row],[Afhængig variabel ID]]&lt;&gt;LineærRegression_Valg[[#This Row],[Uafhængig variabel ID]]</f>
        <v>1</v>
      </c>
      <c r="E346" t="b">
        <f>LineærRegression_Valg[[#This Row],[Afhængig variabel ID]]&lt;=$B$5</f>
        <v>0</v>
      </c>
      <c r="F346" t="str" cm="1">
        <f t="array" ref="F346">IF(LineærRegression_Valg[[#This Row],[Indenfor range]],INDEX(DataTitel_liste,LineærRegression_Valg[[#This Row],[Afhængig variabel ID]]),INDEX(DataTitel_liste,1))</f>
        <v>Eksempel 1 (interval)</v>
      </c>
      <c r="G346" s="45" t="str" cm="1">
        <f t="array" ref="G346">IF(LineærRegression_Valg[[#This Row],[Indenfor range]],IF(LineærRegression_Valg[[#This Row],[Intet overlap]],INDEX(DataTitel_liste,LineærRegression_Valg[[#This Row],[Uafhængig variabel ID]]),INDEX(DataTitel_liste,IF(LineærRegression_Valg[[#This Row],[Afhængig variabel ID]]=1,2,1))),$B$7)</f>
        <v>Eksempel 2 (interval)</v>
      </c>
      <c r="H346" s="45">
        <f>_xlfn.AGGREGATE(2,5,LineærRegression_Valg[[#This Row],[Tabel ID]])</f>
        <v>1</v>
      </c>
    </row>
    <row r="347" spans="1:8" x14ac:dyDescent="0.2">
      <c r="A347">
        <f>ROW(LineærRegression_Valg[[#This Row],[Tabel ID]])-ROW(LineærRegression_Valg[[#Headers],[Tabel ID]])</f>
        <v>337</v>
      </c>
      <c r="B347" s="45">
        <f>ROUNDDOWN((LineærRegression_Valg[[#This Row],[Tabel ID]]-1)/$B$5,0)+1</f>
        <v>85</v>
      </c>
      <c r="C347" s="45">
        <f t="shared" si="5"/>
        <v>1</v>
      </c>
      <c r="D347" s="45" t="b">
        <f>LineærRegression_Valg[[#This Row],[Afhængig variabel ID]]&lt;&gt;LineærRegression_Valg[[#This Row],[Uafhængig variabel ID]]</f>
        <v>1</v>
      </c>
      <c r="E347" t="b">
        <f>LineærRegression_Valg[[#This Row],[Afhængig variabel ID]]&lt;=$B$5</f>
        <v>0</v>
      </c>
      <c r="F347" t="str" cm="1">
        <f t="array" ref="F347">IF(LineærRegression_Valg[[#This Row],[Indenfor range]],INDEX(DataTitel_liste,LineærRegression_Valg[[#This Row],[Afhængig variabel ID]]),INDEX(DataTitel_liste,1))</f>
        <v>Eksempel 1 (interval)</v>
      </c>
      <c r="G347" s="45" t="str" cm="1">
        <f t="array" ref="G347">IF(LineærRegression_Valg[[#This Row],[Indenfor range]],IF(LineærRegression_Valg[[#This Row],[Intet overlap]],INDEX(DataTitel_liste,LineærRegression_Valg[[#This Row],[Uafhængig variabel ID]]),INDEX(DataTitel_liste,IF(LineærRegression_Valg[[#This Row],[Afhængig variabel ID]]=1,2,1))),$B$7)</f>
        <v>Eksempel 2 (interval)</v>
      </c>
      <c r="H347" s="45">
        <f>_xlfn.AGGREGATE(2,5,LineærRegression_Valg[[#This Row],[Tabel ID]])</f>
        <v>1</v>
      </c>
    </row>
    <row r="348" spans="1:8" x14ac:dyDescent="0.2">
      <c r="A348">
        <f>ROW(LineærRegression_Valg[[#This Row],[Tabel ID]])-ROW(LineærRegression_Valg[[#Headers],[Tabel ID]])</f>
        <v>338</v>
      </c>
      <c r="B348" s="45">
        <f>ROUNDDOWN((LineærRegression_Valg[[#This Row],[Tabel ID]]-1)/$B$5,0)+1</f>
        <v>85</v>
      </c>
      <c r="C348" s="45">
        <f t="shared" si="5"/>
        <v>2</v>
      </c>
      <c r="D348" s="45" t="b">
        <f>LineærRegression_Valg[[#This Row],[Afhængig variabel ID]]&lt;&gt;LineærRegression_Valg[[#This Row],[Uafhængig variabel ID]]</f>
        <v>1</v>
      </c>
      <c r="E348" t="b">
        <f>LineærRegression_Valg[[#This Row],[Afhængig variabel ID]]&lt;=$B$5</f>
        <v>0</v>
      </c>
      <c r="F348" t="str" cm="1">
        <f t="array" ref="F348">IF(LineærRegression_Valg[[#This Row],[Indenfor range]],INDEX(DataTitel_liste,LineærRegression_Valg[[#This Row],[Afhængig variabel ID]]),INDEX(DataTitel_liste,1))</f>
        <v>Eksempel 1 (interval)</v>
      </c>
      <c r="G348" s="45" t="str" cm="1">
        <f t="array" ref="G348">IF(LineærRegression_Valg[[#This Row],[Indenfor range]],IF(LineærRegression_Valg[[#This Row],[Intet overlap]],INDEX(DataTitel_liste,LineærRegression_Valg[[#This Row],[Uafhængig variabel ID]]),INDEX(DataTitel_liste,IF(LineærRegression_Valg[[#This Row],[Afhængig variabel ID]]=1,2,1))),$B$7)</f>
        <v>Eksempel 2 (interval)</v>
      </c>
      <c r="H348" s="45">
        <f>_xlfn.AGGREGATE(2,5,LineærRegression_Valg[[#This Row],[Tabel ID]])</f>
        <v>1</v>
      </c>
    </row>
    <row r="349" spans="1:8" x14ac:dyDescent="0.2">
      <c r="A349">
        <f>ROW(LineærRegression_Valg[[#This Row],[Tabel ID]])-ROW(LineærRegression_Valg[[#Headers],[Tabel ID]])</f>
        <v>339</v>
      </c>
      <c r="B349" s="45">
        <f>ROUNDDOWN((LineærRegression_Valg[[#This Row],[Tabel ID]]-1)/$B$5,0)+1</f>
        <v>85</v>
      </c>
      <c r="C349" s="45">
        <f t="shared" si="5"/>
        <v>3</v>
      </c>
      <c r="D349" s="45" t="b">
        <f>LineærRegression_Valg[[#This Row],[Afhængig variabel ID]]&lt;&gt;LineærRegression_Valg[[#This Row],[Uafhængig variabel ID]]</f>
        <v>1</v>
      </c>
      <c r="E349" t="b">
        <f>LineærRegression_Valg[[#This Row],[Afhængig variabel ID]]&lt;=$B$5</f>
        <v>0</v>
      </c>
      <c r="F349" t="str" cm="1">
        <f t="array" ref="F349">IF(LineærRegression_Valg[[#This Row],[Indenfor range]],INDEX(DataTitel_liste,LineærRegression_Valg[[#This Row],[Afhængig variabel ID]]),INDEX(DataTitel_liste,1))</f>
        <v>Eksempel 1 (interval)</v>
      </c>
      <c r="G349" s="45" t="str" cm="1">
        <f t="array" ref="G349">IF(LineærRegression_Valg[[#This Row],[Indenfor range]],IF(LineærRegression_Valg[[#This Row],[Intet overlap]],INDEX(DataTitel_liste,LineærRegression_Valg[[#This Row],[Uafhængig variabel ID]]),INDEX(DataTitel_liste,IF(LineærRegression_Valg[[#This Row],[Afhængig variabel ID]]=1,2,1))),$B$7)</f>
        <v>Eksempel 2 (interval)</v>
      </c>
      <c r="H349" s="45">
        <f>_xlfn.AGGREGATE(2,5,LineærRegression_Valg[[#This Row],[Tabel ID]])</f>
        <v>1</v>
      </c>
    </row>
    <row r="350" spans="1:8" x14ac:dyDescent="0.2">
      <c r="A350">
        <f>ROW(LineærRegression_Valg[[#This Row],[Tabel ID]])-ROW(LineærRegression_Valg[[#Headers],[Tabel ID]])</f>
        <v>340</v>
      </c>
      <c r="B350" s="45">
        <f>ROUNDDOWN((LineærRegression_Valg[[#This Row],[Tabel ID]]-1)/$B$5,0)+1</f>
        <v>85</v>
      </c>
      <c r="C350" s="45">
        <f t="shared" si="5"/>
        <v>4</v>
      </c>
      <c r="D350" s="45" t="b">
        <f>LineærRegression_Valg[[#This Row],[Afhængig variabel ID]]&lt;&gt;LineærRegression_Valg[[#This Row],[Uafhængig variabel ID]]</f>
        <v>1</v>
      </c>
      <c r="E350" t="b">
        <f>LineærRegression_Valg[[#This Row],[Afhængig variabel ID]]&lt;=$B$5</f>
        <v>0</v>
      </c>
      <c r="F350" t="str" cm="1">
        <f t="array" ref="F350">IF(LineærRegression_Valg[[#This Row],[Indenfor range]],INDEX(DataTitel_liste,LineærRegression_Valg[[#This Row],[Afhængig variabel ID]]),INDEX(DataTitel_liste,1))</f>
        <v>Eksempel 1 (interval)</v>
      </c>
      <c r="G350" s="45" t="str" cm="1">
        <f t="array" ref="G350">IF(LineærRegression_Valg[[#This Row],[Indenfor range]],IF(LineærRegression_Valg[[#This Row],[Intet overlap]],INDEX(DataTitel_liste,LineærRegression_Valg[[#This Row],[Uafhængig variabel ID]]),INDEX(DataTitel_liste,IF(LineærRegression_Valg[[#This Row],[Afhængig variabel ID]]=1,2,1))),$B$7)</f>
        <v>Eksempel 2 (interval)</v>
      </c>
      <c r="H350" s="45">
        <f>_xlfn.AGGREGATE(2,5,LineærRegression_Valg[[#This Row],[Tabel ID]])</f>
        <v>1</v>
      </c>
    </row>
    <row r="351" spans="1:8" x14ac:dyDescent="0.2">
      <c r="A351">
        <f>ROW(LineærRegression_Valg[[#This Row],[Tabel ID]])-ROW(LineærRegression_Valg[[#Headers],[Tabel ID]])</f>
        <v>341</v>
      </c>
      <c r="B351" s="45">
        <f>ROUNDDOWN((LineærRegression_Valg[[#This Row],[Tabel ID]]-1)/$B$5,0)+1</f>
        <v>86</v>
      </c>
      <c r="C351" s="45">
        <f t="shared" si="5"/>
        <v>1</v>
      </c>
      <c r="D351" s="45" t="b">
        <f>LineærRegression_Valg[[#This Row],[Afhængig variabel ID]]&lt;&gt;LineærRegression_Valg[[#This Row],[Uafhængig variabel ID]]</f>
        <v>1</v>
      </c>
      <c r="E351" t="b">
        <f>LineærRegression_Valg[[#This Row],[Afhængig variabel ID]]&lt;=$B$5</f>
        <v>0</v>
      </c>
      <c r="F351" t="str" cm="1">
        <f t="array" ref="F351">IF(LineærRegression_Valg[[#This Row],[Indenfor range]],INDEX(DataTitel_liste,LineærRegression_Valg[[#This Row],[Afhængig variabel ID]]),INDEX(DataTitel_liste,1))</f>
        <v>Eksempel 1 (interval)</v>
      </c>
      <c r="G351" s="45" t="str" cm="1">
        <f t="array" ref="G351">IF(LineærRegression_Valg[[#This Row],[Indenfor range]],IF(LineærRegression_Valg[[#This Row],[Intet overlap]],INDEX(DataTitel_liste,LineærRegression_Valg[[#This Row],[Uafhængig variabel ID]]),INDEX(DataTitel_liste,IF(LineærRegression_Valg[[#This Row],[Afhængig variabel ID]]=1,2,1))),$B$7)</f>
        <v>Eksempel 2 (interval)</v>
      </c>
      <c r="H351" s="45">
        <f>_xlfn.AGGREGATE(2,5,LineærRegression_Valg[[#This Row],[Tabel ID]])</f>
        <v>1</v>
      </c>
    </row>
    <row r="352" spans="1:8" x14ac:dyDescent="0.2">
      <c r="A352">
        <f>ROW(LineærRegression_Valg[[#This Row],[Tabel ID]])-ROW(LineærRegression_Valg[[#Headers],[Tabel ID]])</f>
        <v>342</v>
      </c>
      <c r="B352" s="45">
        <f>ROUNDDOWN((LineærRegression_Valg[[#This Row],[Tabel ID]]-1)/$B$5,0)+1</f>
        <v>86</v>
      </c>
      <c r="C352" s="45">
        <f t="shared" si="5"/>
        <v>2</v>
      </c>
      <c r="D352" s="45" t="b">
        <f>LineærRegression_Valg[[#This Row],[Afhængig variabel ID]]&lt;&gt;LineærRegression_Valg[[#This Row],[Uafhængig variabel ID]]</f>
        <v>1</v>
      </c>
      <c r="E352" t="b">
        <f>LineærRegression_Valg[[#This Row],[Afhængig variabel ID]]&lt;=$B$5</f>
        <v>0</v>
      </c>
      <c r="F352" t="str" cm="1">
        <f t="array" ref="F352">IF(LineærRegression_Valg[[#This Row],[Indenfor range]],INDEX(DataTitel_liste,LineærRegression_Valg[[#This Row],[Afhængig variabel ID]]),INDEX(DataTitel_liste,1))</f>
        <v>Eksempel 1 (interval)</v>
      </c>
      <c r="G352" s="45" t="str" cm="1">
        <f t="array" ref="G352">IF(LineærRegression_Valg[[#This Row],[Indenfor range]],IF(LineærRegression_Valg[[#This Row],[Intet overlap]],INDEX(DataTitel_liste,LineærRegression_Valg[[#This Row],[Uafhængig variabel ID]]),INDEX(DataTitel_liste,IF(LineærRegression_Valg[[#This Row],[Afhængig variabel ID]]=1,2,1))),$B$7)</f>
        <v>Eksempel 2 (interval)</v>
      </c>
      <c r="H352" s="45">
        <f>_xlfn.AGGREGATE(2,5,LineærRegression_Valg[[#This Row],[Tabel ID]])</f>
        <v>1</v>
      </c>
    </row>
    <row r="353" spans="1:8" x14ac:dyDescent="0.2">
      <c r="A353">
        <f>ROW(LineærRegression_Valg[[#This Row],[Tabel ID]])-ROW(LineærRegression_Valg[[#Headers],[Tabel ID]])</f>
        <v>343</v>
      </c>
      <c r="B353" s="45">
        <f>ROUNDDOWN((LineærRegression_Valg[[#This Row],[Tabel ID]]-1)/$B$5,0)+1</f>
        <v>86</v>
      </c>
      <c r="C353" s="45">
        <f t="shared" si="5"/>
        <v>3</v>
      </c>
      <c r="D353" s="45" t="b">
        <f>LineærRegression_Valg[[#This Row],[Afhængig variabel ID]]&lt;&gt;LineærRegression_Valg[[#This Row],[Uafhængig variabel ID]]</f>
        <v>1</v>
      </c>
      <c r="E353" t="b">
        <f>LineærRegression_Valg[[#This Row],[Afhængig variabel ID]]&lt;=$B$5</f>
        <v>0</v>
      </c>
      <c r="F353" t="str" cm="1">
        <f t="array" ref="F353">IF(LineærRegression_Valg[[#This Row],[Indenfor range]],INDEX(DataTitel_liste,LineærRegression_Valg[[#This Row],[Afhængig variabel ID]]),INDEX(DataTitel_liste,1))</f>
        <v>Eksempel 1 (interval)</v>
      </c>
      <c r="G353" s="45" t="str" cm="1">
        <f t="array" ref="G353">IF(LineærRegression_Valg[[#This Row],[Indenfor range]],IF(LineærRegression_Valg[[#This Row],[Intet overlap]],INDEX(DataTitel_liste,LineærRegression_Valg[[#This Row],[Uafhængig variabel ID]]),INDEX(DataTitel_liste,IF(LineærRegression_Valg[[#This Row],[Afhængig variabel ID]]=1,2,1))),$B$7)</f>
        <v>Eksempel 2 (interval)</v>
      </c>
      <c r="H353" s="45">
        <f>_xlfn.AGGREGATE(2,5,LineærRegression_Valg[[#This Row],[Tabel ID]])</f>
        <v>1</v>
      </c>
    </row>
    <row r="354" spans="1:8" x14ac:dyDescent="0.2">
      <c r="A354">
        <f>ROW(LineærRegression_Valg[[#This Row],[Tabel ID]])-ROW(LineærRegression_Valg[[#Headers],[Tabel ID]])</f>
        <v>344</v>
      </c>
      <c r="B354" s="45">
        <f>ROUNDDOWN((LineærRegression_Valg[[#This Row],[Tabel ID]]-1)/$B$5,0)+1</f>
        <v>86</v>
      </c>
      <c r="C354" s="45">
        <f t="shared" si="5"/>
        <v>4</v>
      </c>
      <c r="D354" s="45" t="b">
        <f>LineærRegression_Valg[[#This Row],[Afhængig variabel ID]]&lt;&gt;LineærRegression_Valg[[#This Row],[Uafhængig variabel ID]]</f>
        <v>1</v>
      </c>
      <c r="E354" t="b">
        <f>LineærRegression_Valg[[#This Row],[Afhængig variabel ID]]&lt;=$B$5</f>
        <v>0</v>
      </c>
      <c r="F354" t="str" cm="1">
        <f t="array" ref="F354">IF(LineærRegression_Valg[[#This Row],[Indenfor range]],INDEX(DataTitel_liste,LineærRegression_Valg[[#This Row],[Afhængig variabel ID]]),INDEX(DataTitel_liste,1))</f>
        <v>Eksempel 1 (interval)</v>
      </c>
      <c r="G354" s="45" t="str" cm="1">
        <f t="array" ref="G354">IF(LineærRegression_Valg[[#This Row],[Indenfor range]],IF(LineærRegression_Valg[[#This Row],[Intet overlap]],INDEX(DataTitel_liste,LineærRegression_Valg[[#This Row],[Uafhængig variabel ID]]),INDEX(DataTitel_liste,IF(LineærRegression_Valg[[#This Row],[Afhængig variabel ID]]=1,2,1))),$B$7)</f>
        <v>Eksempel 2 (interval)</v>
      </c>
      <c r="H354" s="45">
        <f>_xlfn.AGGREGATE(2,5,LineærRegression_Valg[[#This Row],[Tabel ID]])</f>
        <v>1</v>
      </c>
    </row>
    <row r="355" spans="1:8" x14ac:dyDescent="0.2">
      <c r="A355">
        <f>ROW(LineærRegression_Valg[[#This Row],[Tabel ID]])-ROW(LineærRegression_Valg[[#Headers],[Tabel ID]])</f>
        <v>345</v>
      </c>
      <c r="B355" s="45">
        <f>ROUNDDOWN((LineærRegression_Valg[[#This Row],[Tabel ID]]-1)/$B$5,0)+1</f>
        <v>87</v>
      </c>
      <c r="C355" s="45">
        <f t="shared" si="5"/>
        <v>1</v>
      </c>
      <c r="D355" s="45" t="b">
        <f>LineærRegression_Valg[[#This Row],[Afhængig variabel ID]]&lt;&gt;LineærRegression_Valg[[#This Row],[Uafhængig variabel ID]]</f>
        <v>1</v>
      </c>
      <c r="E355" t="b">
        <f>LineærRegression_Valg[[#This Row],[Afhængig variabel ID]]&lt;=$B$5</f>
        <v>0</v>
      </c>
      <c r="F355" t="str" cm="1">
        <f t="array" ref="F355">IF(LineærRegression_Valg[[#This Row],[Indenfor range]],INDEX(DataTitel_liste,LineærRegression_Valg[[#This Row],[Afhængig variabel ID]]),INDEX(DataTitel_liste,1))</f>
        <v>Eksempel 1 (interval)</v>
      </c>
      <c r="G355" s="45" t="str" cm="1">
        <f t="array" ref="G355">IF(LineærRegression_Valg[[#This Row],[Indenfor range]],IF(LineærRegression_Valg[[#This Row],[Intet overlap]],INDEX(DataTitel_liste,LineærRegression_Valg[[#This Row],[Uafhængig variabel ID]]),INDEX(DataTitel_liste,IF(LineærRegression_Valg[[#This Row],[Afhængig variabel ID]]=1,2,1))),$B$7)</f>
        <v>Eksempel 2 (interval)</v>
      </c>
      <c r="H355" s="45">
        <f>_xlfn.AGGREGATE(2,5,LineærRegression_Valg[[#This Row],[Tabel ID]])</f>
        <v>1</v>
      </c>
    </row>
    <row r="356" spans="1:8" x14ac:dyDescent="0.2">
      <c r="A356">
        <f>ROW(LineærRegression_Valg[[#This Row],[Tabel ID]])-ROW(LineærRegression_Valg[[#Headers],[Tabel ID]])</f>
        <v>346</v>
      </c>
      <c r="B356" s="45">
        <f>ROUNDDOWN((LineærRegression_Valg[[#This Row],[Tabel ID]]-1)/$B$5,0)+1</f>
        <v>87</v>
      </c>
      <c r="C356" s="45">
        <f t="shared" si="5"/>
        <v>2</v>
      </c>
      <c r="D356" s="45" t="b">
        <f>LineærRegression_Valg[[#This Row],[Afhængig variabel ID]]&lt;&gt;LineærRegression_Valg[[#This Row],[Uafhængig variabel ID]]</f>
        <v>1</v>
      </c>
      <c r="E356" t="b">
        <f>LineærRegression_Valg[[#This Row],[Afhængig variabel ID]]&lt;=$B$5</f>
        <v>0</v>
      </c>
      <c r="F356" t="str" cm="1">
        <f t="array" ref="F356">IF(LineærRegression_Valg[[#This Row],[Indenfor range]],INDEX(DataTitel_liste,LineærRegression_Valg[[#This Row],[Afhængig variabel ID]]),INDEX(DataTitel_liste,1))</f>
        <v>Eksempel 1 (interval)</v>
      </c>
      <c r="G356" s="45" t="str" cm="1">
        <f t="array" ref="G356">IF(LineærRegression_Valg[[#This Row],[Indenfor range]],IF(LineærRegression_Valg[[#This Row],[Intet overlap]],INDEX(DataTitel_liste,LineærRegression_Valg[[#This Row],[Uafhængig variabel ID]]),INDEX(DataTitel_liste,IF(LineærRegression_Valg[[#This Row],[Afhængig variabel ID]]=1,2,1))),$B$7)</f>
        <v>Eksempel 2 (interval)</v>
      </c>
      <c r="H356" s="45">
        <f>_xlfn.AGGREGATE(2,5,LineærRegression_Valg[[#This Row],[Tabel ID]])</f>
        <v>1</v>
      </c>
    </row>
    <row r="357" spans="1:8" x14ac:dyDescent="0.2">
      <c r="A357">
        <f>ROW(LineærRegression_Valg[[#This Row],[Tabel ID]])-ROW(LineærRegression_Valg[[#Headers],[Tabel ID]])</f>
        <v>347</v>
      </c>
      <c r="B357" s="45">
        <f>ROUNDDOWN((LineærRegression_Valg[[#This Row],[Tabel ID]]-1)/$B$5,0)+1</f>
        <v>87</v>
      </c>
      <c r="C357" s="45">
        <f t="shared" si="5"/>
        <v>3</v>
      </c>
      <c r="D357" s="45" t="b">
        <f>LineærRegression_Valg[[#This Row],[Afhængig variabel ID]]&lt;&gt;LineærRegression_Valg[[#This Row],[Uafhængig variabel ID]]</f>
        <v>1</v>
      </c>
      <c r="E357" t="b">
        <f>LineærRegression_Valg[[#This Row],[Afhængig variabel ID]]&lt;=$B$5</f>
        <v>0</v>
      </c>
      <c r="F357" t="str" cm="1">
        <f t="array" ref="F357">IF(LineærRegression_Valg[[#This Row],[Indenfor range]],INDEX(DataTitel_liste,LineærRegression_Valg[[#This Row],[Afhængig variabel ID]]),INDEX(DataTitel_liste,1))</f>
        <v>Eksempel 1 (interval)</v>
      </c>
      <c r="G357" s="45" t="str" cm="1">
        <f t="array" ref="G357">IF(LineærRegression_Valg[[#This Row],[Indenfor range]],IF(LineærRegression_Valg[[#This Row],[Intet overlap]],INDEX(DataTitel_liste,LineærRegression_Valg[[#This Row],[Uafhængig variabel ID]]),INDEX(DataTitel_liste,IF(LineærRegression_Valg[[#This Row],[Afhængig variabel ID]]=1,2,1))),$B$7)</f>
        <v>Eksempel 2 (interval)</v>
      </c>
      <c r="H357" s="45">
        <f>_xlfn.AGGREGATE(2,5,LineærRegression_Valg[[#This Row],[Tabel ID]])</f>
        <v>1</v>
      </c>
    </row>
    <row r="358" spans="1:8" x14ac:dyDescent="0.2">
      <c r="A358">
        <f>ROW(LineærRegression_Valg[[#This Row],[Tabel ID]])-ROW(LineærRegression_Valg[[#Headers],[Tabel ID]])</f>
        <v>348</v>
      </c>
      <c r="B358" s="45">
        <f>ROUNDDOWN((LineærRegression_Valg[[#This Row],[Tabel ID]]-1)/$B$5,0)+1</f>
        <v>87</v>
      </c>
      <c r="C358" s="45">
        <f t="shared" si="5"/>
        <v>4</v>
      </c>
      <c r="D358" s="45" t="b">
        <f>LineærRegression_Valg[[#This Row],[Afhængig variabel ID]]&lt;&gt;LineærRegression_Valg[[#This Row],[Uafhængig variabel ID]]</f>
        <v>1</v>
      </c>
      <c r="E358" t="b">
        <f>LineærRegression_Valg[[#This Row],[Afhængig variabel ID]]&lt;=$B$5</f>
        <v>0</v>
      </c>
      <c r="F358" t="str" cm="1">
        <f t="array" ref="F358">IF(LineærRegression_Valg[[#This Row],[Indenfor range]],INDEX(DataTitel_liste,LineærRegression_Valg[[#This Row],[Afhængig variabel ID]]),INDEX(DataTitel_liste,1))</f>
        <v>Eksempel 1 (interval)</v>
      </c>
      <c r="G358" s="45" t="str" cm="1">
        <f t="array" ref="G358">IF(LineærRegression_Valg[[#This Row],[Indenfor range]],IF(LineærRegression_Valg[[#This Row],[Intet overlap]],INDEX(DataTitel_liste,LineærRegression_Valg[[#This Row],[Uafhængig variabel ID]]),INDEX(DataTitel_liste,IF(LineærRegression_Valg[[#This Row],[Afhængig variabel ID]]=1,2,1))),$B$7)</f>
        <v>Eksempel 2 (interval)</v>
      </c>
      <c r="H358" s="45">
        <f>_xlfn.AGGREGATE(2,5,LineærRegression_Valg[[#This Row],[Tabel ID]])</f>
        <v>1</v>
      </c>
    </row>
    <row r="359" spans="1:8" x14ac:dyDescent="0.2">
      <c r="A359">
        <f>ROW(LineærRegression_Valg[[#This Row],[Tabel ID]])-ROW(LineærRegression_Valg[[#Headers],[Tabel ID]])</f>
        <v>349</v>
      </c>
      <c r="B359" s="45">
        <f>ROUNDDOWN((LineærRegression_Valg[[#This Row],[Tabel ID]]-1)/$B$5,0)+1</f>
        <v>88</v>
      </c>
      <c r="C359" s="45">
        <f t="shared" si="5"/>
        <v>1</v>
      </c>
      <c r="D359" s="45" t="b">
        <f>LineærRegression_Valg[[#This Row],[Afhængig variabel ID]]&lt;&gt;LineærRegression_Valg[[#This Row],[Uafhængig variabel ID]]</f>
        <v>1</v>
      </c>
      <c r="E359" t="b">
        <f>LineærRegression_Valg[[#This Row],[Afhængig variabel ID]]&lt;=$B$5</f>
        <v>0</v>
      </c>
      <c r="F359" t="str" cm="1">
        <f t="array" ref="F359">IF(LineærRegression_Valg[[#This Row],[Indenfor range]],INDEX(DataTitel_liste,LineærRegression_Valg[[#This Row],[Afhængig variabel ID]]),INDEX(DataTitel_liste,1))</f>
        <v>Eksempel 1 (interval)</v>
      </c>
      <c r="G359" s="45" t="str" cm="1">
        <f t="array" ref="G359">IF(LineærRegression_Valg[[#This Row],[Indenfor range]],IF(LineærRegression_Valg[[#This Row],[Intet overlap]],INDEX(DataTitel_liste,LineærRegression_Valg[[#This Row],[Uafhængig variabel ID]]),INDEX(DataTitel_liste,IF(LineærRegression_Valg[[#This Row],[Afhængig variabel ID]]=1,2,1))),$B$7)</f>
        <v>Eksempel 2 (interval)</v>
      </c>
      <c r="H359" s="45">
        <f>_xlfn.AGGREGATE(2,5,LineærRegression_Valg[[#This Row],[Tabel ID]])</f>
        <v>1</v>
      </c>
    </row>
    <row r="360" spans="1:8" x14ac:dyDescent="0.2">
      <c r="A360">
        <f>ROW(LineærRegression_Valg[[#This Row],[Tabel ID]])-ROW(LineærRegression_Valg[[#Headers],[Tabel ID]])</f>
        <v>350</v>
      </c>
      <c r="B360" s="45">
        <f>ROUNDDOWN((LineærRegression_Valg[[#This Row],[Tabel ID]]-1)/$B$5,0)+1</f>
        <v>88</v>
      </c>
      <c r="C360" s="45">
        <f t="shared" si="5"/>
        <v>2</v>
      </c>
      <c r="D360" s="45" t="b">
        <f>LineærRegression_Valg[[#This Row],[Afhængig variabel ID]]&lt;&gt;LineærRegression_Valg[[#This Row],[Uafhængig variabel ID]]</f>
        <v>1</v>
      </c>
      <c r="E360" t="b">
        <f>LineærRegression_Valg[[#This Row],[Afhængig variabel ID]]&lt;=$B$5</f>
        <v>0</v>
      </c>
      <c r="F360" t="str" cm="1">
        <f t="array" ref="F360">IF(LineærRegression_Valg[[#This Row],[Indenfor range]],INDEX(DataTitel_liste,LineærRegression_Valg[[#This Row],[Afhængig variabel ID]]),INDEX(DataTitel_liste,1))</f>
        <v>Eksempel 1 (interval)</v>
      </c>
      <c r="G360" s="45" t="str" cm="1">
        <f t="array" ref="G360">IF(LineærRegression_Valg[[#This Row],[Indenfor range]],IF(LineærRegression_Valg[[#This Row],[Intet overlap]],INDEX(DataTitel_liste,LineærRegression_Valg[[#This Row],[Uafhængig variabel ID]]),INDEX(DataTitel_liste,IF(LineærRegression_Valg[[#This Row],[Afhængig variabel ID]]=1,2,1))),$B$7)</f>
        <v>Eksempel 2 (interval)</v>
      </c>
      <c r="H360" s="45">
        <f>_xlfn.AGGREGATE(2,5,LineærRegression_Valg[[#This Row],[Tabel ID]])</f>
        <v>1</v>
      </c>
    </row>
    <row r="361" spans="1:8" x14ac:dyDescent="0.2">
      <c r="A361">
        <f>ROW(LineærRegression_Valg[[#This Row],[Tabel ID]])-ROW(LineærRegression_Valg[[#Headers],[Tabel ID]])</f>
        <v>351</v>
      </c>
      <c r="B361" s="45">
        <f>ROUNDDOWN((LineærRegression_Valg[[#This Row],[Tabel ID]]-1)/$B$5,0)+1</f>
        <v>88</v>
      </c>
      <c r="C361" s="45">
        <f t="shared" si="5"/>
        <v>3</v>
      </c>
      <c r="D361" s="45" t="b">
        <f>LineærRegression_Valg[[#This Row],[Afhængig variabel ID]]&lt;&gt;LineærRegression_Valg[[#This Row],[Uafhængig variabel ID]]</f>
        <v>1</v>
      </c>
      <c r="E361" t="b">
        <f>LineærRegression_Valg[[#This Row],[Afhængig variabel ID]]&lt;=$B$5</f>
        <v>0</v>
      </c>
      <c r="F361" t="str" cm="1">
        <f t="array" ref="F361">IF(LineærRegression_Valg[[#This Row],[Indenfor range]],INDEX(DataTitel_liste,LineærRegression_Valg[[#This Row],[Afhængig variabel ID]]),INDEX(DataTitel_liste,1))</f>
        <v>Eksempel 1 (interval)</v>
      </c>
      <c r="G361" s="45" t="str" cm="1">
        <f t="array" ref="G361">IF(LineærRegression_Valg[[#This Row],[Indenfor range]],IF(LineærRegression_Valg[[#This Row],[Intet overlap]],INDEX(DataTitel_liste,LineærRegression_Valg[[#This Row],[Uafhængig variabel ID]]),INDEX(DataTitel_liste,IF(LineærRegression_Valg[[#This Row],[Afhængig variabel ID]]=1,2,1))),$B$7)</f>
        <v>Eksempel 2 (interval)</v>
      </c>
      <c r="H361" s="45">
        <f>_xlfn.AGGREGATE(2,5,LineærRegression_Valg[[#This Row],[Tabel ID]])</f>
        <v>1</v>
      </c>
    </row>
    <row r="362" spans="1:8" x14ac:dyDescent="0.2">
      <c r="A362">
        <f>ROW(LineærRegression_Valg[[#This Row],[Tabel ID]])-ROW(LineærRegression_Valg[[#Headers],[Tabel ID]])</f>
        <v>352</v>
      </c>
      <c r="B362" s="45">
        <f>ROUNDDOWN((LineærRegression_Valg[[#This Row],[Tabel ID]]-1)/$B$5,0)+1</f>
        <v>88</v>
      </c>
      <c r="C362" s="45">
        <f t="shared" si="5"/>
        <v>4</v>
      </c>
      <c r="D362" s="45" t="b">
        <f>LineærRegression_Valg[[#This Row],[Afhængig variabel ID]]&lt;&gt;LineærRegression_Valg[[#This Row],[Uafhængig variabel ID]]</f>
        <v>1</v>
      </c>
      <c r="E362" t="b">
        <f>LineærRegression_Valg[[#This Row],[Afhængig variabel ID]]&lt;=$B$5</f>
        <v>0</v>
      </c>
      <c r="F362" t="str" cm="1">
        <f t="array" ref="F362">IF(LineærRegression_Valg[[#This Row],[Indenfor range]],INDEX(DataTitel_liste,LineærRegression_Valg[[#This Row],[Afhængig variabel ID]]),INDEX(DataTitel_liste,1))</f>
        <v>Eksempel 1 (interval)</v>
      </c>
      <c r="G362" s="45" t="str" cm="1">
        <f t="array" ref="G362">IF(LineærRegression_Valg[[#This Row],[Indenfor range]],IF(LineærRegression_Valg[[#This Row],[Intet overlap]],INDEX(DataTitel_liste,LineærRegression_Valg[[#This Row],[Uafhængig variabel ID]]),INDEX(DataTitel_liste,IF(LineærRegression_Valg[[#This Row],[Afhængig variabel ID]]=1,2,1))),$B$7)</f>
        <v>Eksempel 2 (interval)</v>
      </c>
      <c r="H362" s="45">
        <f>_xlfn.AGGREGATE(2,5,LineærRegression_Valg[[#This Row],[Tabel ID]])</f>
        <v>1</v>
      </c>
    </row>
    <row r="363" spans="1:8" x14ac:dyDescent="0.2">
      <c r="A363">
        <f>ROW(LineærRegression_Valg[[#This Row],[Tabel ID]])-ROW(LineærRegression_Valg[[#Headers],[Tabel ID]])</f>
        <v>353</v>
      </c>
      <c r="B363" s="45">
        <f>ROUNDDOWN((LineærRegression_Valg[[#This Row],[Tabel ID]]-1)/$B$5,0)+1</f>
        <v>89</v>
      </c>
      <c r="C363" s="45">
        <f t="shared" si="5"/>
        <v>1</v>
      </c>
      <c r="D363" s="45" t="b">
        <f>LineærRegression_Valg[[#This Row],[Afhængig variabel ID]]&lt;&gt;LineærRegression_Valg[[#This Row],[Uafhængig variabel ID]]</f>
        <v>1</v>
      </c>
      <c r="E363" t="b">
        <f>LineærRegression_Valg[[#This Row],[Afhængig variabel ID]]&lt;=$B$5</f>
        <v>0</v>
      </c>
      <c r="F363" t="str" cm="1">
        <f t="array" ref="F363">IF(LineærRegression_Valg[[#This Row],[Indenfor range]],INDEX(DataTitel_liste,LineærRegression_Valg[[#This Row],[Afhængig variabel ID]]),INDEX(DataTitel_liste,1))</f>
        <v>Eksempel 1 (interval)</v>
      </c>
      <c r="G363" s="45" t="str" cm="1">
        <f t="array" ref="G363">IF(LineærRegression_Valg[[#This Row],[Indenfor range]],IF(LineærRegression_Valg[[#This Row],[Intet overlap]],INDEX(DataTitel_liste,LineærRegression_Valg[[#This Row],[Uafhængig variabel ID]]),INDEX(DataTitel_liste,IF(LineærRegression_Valg[[#This Row],[Afhængig variabel ID]]=1,2,1))),$B$7)</f>
        <v>Eksempel 2 (interval)</v>
      </c>
      <c r="H363" s="45">
        <f>_xlfn.AGGREGATE(2,5,LineærRegression_Valg[[#This Row],[Tabel ID]])</f>
        <v>1</v>
      </c>
    </row>
    <row r="364" spans="1:8" x14ac:dyDescent="0.2">
      <c r="A364">
        <f>ROW(LineærRegression_Valg[[#This Row],[Tabel ID]])-ROW(LineærRegression_Valg[[#Headers],[Tabel ID]])</f>
        <v>354</v>
      </c>
      <c r="B364" s="45">
        <f>ROUNDDOWN((LineærRegression_Valg[[#This Row],[Tabel ID]]-1)/$B$5,0)+1</f>
        <v>89</v>
      </c>
      <c r="C364" s="45">
        <f t="shared" si="5"/>
        <v>2</v>
      </c>
      <c r="D364" s="45" t="b">
        <f>LineærRegression_Valg[[#This Row],[Afhængig variabel ID]]&lt;&gt;LineærRegression_Valg[[#This Row],[Uafhængig variabel ID]]</f>
        <v>1</v>
      </c>
      <c r="E364" t="b">
        <f>LineærRegression_Valg[[#This Row],[Afhængig variabel ID]]&lt;=$B$5</f>
        <v>0</v>
      </c>
      <c r="F364" t="str" cm="1">
        <f t="array" ref="F364">IF(LineærRegression_Valg[[#This Row],[Indenfor range]],INDEX(DataTitel_liste,LineærRegression_Valg[[#This Row],[Afhængig variabel ID]]),INDEX(DataTitel_liste,1))</f>
        <v>Eksempel 1 (interval)</v>
      </c>
      <c r="G364" s="45" t="str" cm="1">
        <f t="array" ref="G364">IF(LineærRegression_Valg[[#This Row],[Indenfor range]],IF(LineærRegression_Valg[[#This Row],[Intet overlap]],INDEX(DataTitel_liste,LineærRegression_Valg[[#This Row],[Uafhængig variabel ID]]),INDEX(DataTitel_liste,IF(LineærRegression_Valg[[#This Row],[Afhængig variabel ID]]=1,2,1))),$B$7)</f>
        <v>Eksempel 2 (interval)</v>
      </c>
      <c r="H364" s="45">
        <f>_xlfn.AGGREGATE(2,5,LineærRegression_Valg[[#This Row],[Tabel ID]])</f>
        <v>1</v>
      </c>
    </row>
    <row r="365" spans="1:8" x14ac:dyDescent="0.2">
      <c r="A365">
        <f>ROW(LineærRegression_Valg[[#This Row],[Tabel ID]])-ROW(LineærRegression_Valg[[#Headers],[Tabel ID]])</f>
        <v>355</v>
      </c>
      <c r="B365" s="45">
        <f>ROUNDDOWN((LineærRegression_Valg[[#This Row],[Tabel ID]]-1)/$B$5,0)+1</f>
        <v>89</v>
      </c>
      <c r="C365" s="45">
        <f t="shared" si="5"/>
        <v>3</v>
      </c>
      <c r="D365" s="45" t="b">
        <f>LineærRegression_Valg[[#This Row],[Afhængig variabel ID]]&lt;&gt;LineærRegression_Valg[[#This Row],[Uafhængig variabel ID]]</f>
        <v>1</v>
      </c>
      <c r="E365" t="b">
        <f>LineærRegression_Valg[[#This Row],[Afhængig variabel ID]]&lt;=$B$5</f>
        <v>0</v>
      </c>
      <c r="F365" t="str" cm="1">
        <f t="array" ref="F365">IF(LineærRegression_Valg[[#This Row],[Indenfor range]],INDEX(DataTitel_liste,LineærRegression_Valg[[#This Row],[Afhængig variabel ID]]),INDEX(DataTitel_liste,1))</f>
        <v>Eksempel 1 (interval)</v>
      </c>
      <c r="G365" s="45" t="str" cm="1">
        <f t="array" ref="G365">IF(LineærRegression_Valg[[#This Row],[Indenfor range]],IF(LineærRegression_Valg[[#This Row],[Intet overlap]],INDEX(DataTitel_liste,LineærRegression_Valg[[#This Row],[Uafhængig variabel ID]]),INDEX(DataTitel_liste,IF(LineærRegression_Valg[[#This Row],[Afhængig variabel ID]]=1,2,1))),$B$7)</f>
        <v>Eksempel 2 (interval)</v>
      </c>
      <c r="H365" s="45">
        <f>_xlfn.AGGREGATE(2,5,LineærRegression_Valg[[#This Row],[Tabel ID]])</f>
        <v>1</v>
      </c>
    </row>
    <row r="366" spans="1:8" x14ac:dyDescent="0.2">
      <c r="A366">
        <f>ROW(LineærRegression_Valg[[#This Row],[Tabel ID]])-ROW(LineærRegression_Valg[[#Headers],[Tabel ID]])</f>
        <v>356</v>
      </c>
      <c r="B366" s="45">
        <f>ROUNDDOWN((LineærRegression_Valg[[#This Row],[Tabel ID]]-1)/$B$5,0)+1</f>
        <v>89</v>
      </c>
      <c r="C366" s="45">
        <f t="shared" si="5"/>
        <v>4</v>
      </c>
      <c r="D366" s="45" t="b">
        <f>LineærRegression_Valg[[#This Row],[Afhængig variabel ID]]&lt;&gt;LineærRegression_Valg[[#This Row],[Uafhængig variabel ID]]</f>
        <v>1</v>
      </c>
      <c r="E366" t="b">
        <f>LineærRegression_Valg[[#This Row],[Afhængig variabel ID]]&lt;=$B$5</f>
        <v>0</v>
      </c>
      <c r="F366" t="str" cm="1">
        <f t="array" ref="F366">IF(LineærRegression_Valg[[#This Row],[Indenfor range]],INDEX(DataTitel_liste,LineærRegression_Valg[[#This Row],[Afhængig variabel ID]]),INDEX(DataTitel_liste,1))</f>
        <v>Eksempel 1 (interval)</v>
      </c>
      <c r="G366" s="45" t="str" cm="1">
        <f t="array" ref="G366">IF(LineærRegression_Valg[[#This Row],[Indenfor range]],IF(LineærRegression_Valg[[#This Row],[Intet overlap]],INDEX(DataTitel_liste,LineærRegression_Valg[[#This Row],[Uafhængig variabel ID]]),INDEX(DataTitel_liste,IF(LineærRegression_Valg[[#This Row],[Afhængig variabel ID]]=1,2,1))),$B$7)</f>
        <v>Eksempel 2 (interval)</v>
      </c>
      <c r="H366" s="45">
        <f>_xlfn.AGGREGATE(2,5,LineærRegression_Valg[[#This Row],[Tabel ID]])</f>
        <v>1</v>
      </c>
    </row>
    <row r="367" spans="1:8" x14ac:dyDescent="0.2">
      <c r="A367">
        <f>ROW(LineærRegression_Valg[[#This Row],[Tabel ID]])-ROW(LineærRegression_Valg[[#Headers],[Tabel ID]])</f>
        <v>357</v>
      </c>
      <c r="B367" s="45">
        <f>ROUNDDOWN((LineærRegression_Valg[[#This Row],[Tabel ID]]-1)/$B$5,0)+1</f>
        <v>90</v>
      </c>
      <c r="C367" s="45">
        <f t="shared" si="5"/>
        <v>1</v>
      </c>
      <c r="D367" s="45" t="b">
        <f>LineærRegression_Valg[[#This Row],[Afhængig variabel ID]]&lt;&gt;LineærRegression_Valg[[#This Row],[Uafhængig variabel ID]]</f>
        <v>1</v>
      </c>
      <c r="E367" t="b">
        <f>LineærRegression_Valg[[#This Row],[Afhængig variabel ID]]&lt;=$B$5</f>
        <v>0</v>
      </c>
      <c r="F367" t="str" cm="1">
        <f t="array" ref="F367">IF(LineærRegression_Valg[[#This Row],[Indenfor range]],INDEX(DataTitel_liste,LineærRegression_Valg[[#This Row],[Afhængig variabel ID]]),INDEX(DataTitel_liste,1))</f>
        <v>Eksempel 1 (interval)</v>
      </c>
      <c r="G367" s="45" t="str" cm="1">
        <f t="array" ref="G367">IF(LineærRegression_Valg[[#This Row],[Indenfor range]],IF(LineærRegression_Valg[[#This Row],[Intet overlap]],INDEX(DataTitel_liste,LineærRegression_Valg[[#This Row],[Uafhængig variabel ID]]),INDEX(DataTitel_liste,IF(LineærRegression_Valg[[#This Row],[Afhængig variabel ID]]=1,2,1))),$B$7)</f>
        <v>Eksempel 2 (interval)</v>
      </c>
      <c r="H367" s="45">
        <f>_xlfn.AGGREGATE(2,5,LineærRegression_Valg[[#This Row],[Tabel ID]])</f>
        <v>1</v>
      </c>
    </row>
    <row r="368" spans="1:8" x14ac:dyDescent="0.2">
      <c r="A368">
        <f>ROW(LineærRegression_Valg[[#This Row],[Tabel ID]])-ROW(LineærRegression_Valg[[#Headers],[Tabel ID]])</f>
        <v>358</v>
      </c>
      <c r="B368" s="45">
        <f>ROUNDDOWN((LineærRegression_Valg[[#This Row],[Tabel ID]]-1)/$B$5,0)+1</f>
        <v>90</v>
      </c>
      <c r="C368" s="45">
        <f t="shared" si="5"/>
        <v>2</v>
      </c>
      <c r="D368" s="45" t="b">
        <f>LineærRegression_Valg[[#This Row],[Afhængig variabel ID]]&lt;&gt;LineærRegression_Valg[[#This Row],[Uafhængig variabel ID]]</f>
        <v>1</v>
      </c>
      <c r="E368" t="b">
        <f>LineærRegression_Valg[[#This Row],[Afhængig variabel ID]]&lt;=$B$5</f>
        <v>0</v>
      </c>
      <c r="F368" t="str" cm="1">
        <f t="array" ref="F368">IF(LineærRegression_Valg[[#This Row],[Indenfor range]],INDEX(DataTitel_liste,LineærRegression_Valg[[#This Row],[Afhængig variabel ID]]),INDEX(DataTitel_liste,1))</f>
        <v>Eksempel 1 (interval)</v>
      </c>
      <c r="G368" s="45" t="str" cm="1">
        <f t="array" ref="G368">IF(LineærRegression_Valg[[#This Row],[Indenfor range]],IF(LineærRegression_Valg[[#This Row],[Intet overlap]],INDEX(DataTitel_liste,LineærRegression_Valg[[#This Row],[Uafhængig variabel ID]]),INDEX(DataTitel_liste,IF(LineærRegression_Valg[[#This Row],[Afhængig variabel ID]]=1,2,1))),$B$7)</f>
        <v>Eksempel 2 (interval)</v>
      </c>
      <c r="H368" s="45">
        <f>_xlfn.AGGREGATE(2,5,LineærRegression_Valg[[#This Row],[Tabel ID]])</f>
        <v>1</v>
      </c>
    </row>
    <row r="369" spans="1:8" x14ac:dyDescent="0.2">
      <c r="A369">
        <f>ROW(LineærRegression_Valg[[#This Row],[Tabel ID]])-ROW(LineærRegression_Valg[[#Headers],[Tabel ID]])</f>
        <v>359</v>
      </c>
      <c r="B369" s="45">
        <f>ROUNDDOWN((LineærRegression_Valg[[#This Row],[Tabel ID]]-1)/$B$5,0)+1</f>
        <v>90</v>
      </c>
      <c r="C369" s="45">
        <f t="shared" si="5"/>
        <v>3</v>
      </c>
      <c r="D369" s="45" t="b">
        <f>LineærRegression_Valg[[#This Row],[Afhængig variabel ID]]&lt;&gt;LineærRegression_Valg[[#This Row],[Uafhængig variabel ID]]</f>
        <v>1</v>
      </c>
      <c r="E369" t="b">
        <f>LineærRegression_Valg[[#This Row],[Afhængig variabel ID]]&lt;=$B$5</f>
        <v>0</v>
      </c>
      <c r="F369" t="str" cm="1">
        <f t="array" ref="F369">IF(LineærRegression_Valg[[#This Row],[Indenfor range]],INDEX(DataTitel_liste,LineærRegression_Valg[[#This Row],[Afhængig variabel ID]]),INDEX(DataTitel_liste,1))</f>
        <v>Eksempel 1 (interval)</v>
      </c>
      <c r="G369" s="45" t="str" cm="1">
        <f t="array" ref="G369">IF(LineærRegression_Valg[[#This Row],[Indenfor range]],IF(LineærRegression_Valg[[#This Row],[Intet overlap]],INDEX(DataTitel_liste,LineærRegression_Valg[[#This Row],[Uafhængig variabel ID]]),INDEX(DataTitel_liste,IF(LineærRegression_Valg[[#This Row],[Afhængig variabel ID]]=1,2,1))),$B$7)</f>
        <v>Eksempel 2 (interval)</v>
      </c>
      <c r="H369" s="45">
        <f>_xlfn.AGGREGATE(2,5,LineærRegression_Valg[[#This Row],[Tabel ID]])</f>
        <v>1</v>
      </c>
    </row>
    <row r="370" spans="1:8" x14ac:dyDescent="0.2">
      <c r="A370">
        <f>ROW(LineærRegression_Valg[[#This Row],[Tabel ID]])-ROW(LineærRegression_Valg[[#Headers],[Tabel ID]])</f>
        <v>360</v>
      </c>
      <c r="B370" s="45">
        <f>ROUNDDOWN((LineærRegression_Valg[[#This Row],[Tabel ID]]-1)/$B$5,0)+1</f>
        <v>90</v>
      </c>
      <c r="C370" s="45">
        <f t="shared" si="5"/>
        <v>4</v>
      </c>
      <c r="D370" s="45" t="b">
        <f>LineærRegression_Valg[[#This Row],[Afhængig variabel ID]]&lt;&gt;LineærRegression_Valg[[#This Row],[Uafhængig variabel ID]]</f>
        <v>1</v>
      </c>
      <c r="E370" t="b">
        <f>LineærRegression_Valg[[#This Row],[Afhængig variabel ID]]&lt;=$B$5</f>
        <v>0</v>
      </c>
      <c r="F370" t="str" cm="1">
        <f t="array" ref="F370">IF(LineærRegression_Valg[[#This Row],[Indenfor range]],INDEX(DataTitel_liste,LineærRegression_Valg[[#This Row],[Afhængig variabel ID]]),INDEX(DataTitel_liste,1))</f>
        <v>Eksempel 1 (interval)</v>
      </c>
      <c r="G370" s="45" t="str" cm="1">
        <f t="array" ref="G370">IF(LineærRegression_Valg[[#This Row],[Indenfor range]],IF(LineærRegression_Valg[[#This Row],[Intet overlap]],INDEX(DataTitel_liste,LineærRegression_Valg[[#This Row],[Uafhængig variabel ID]]),INDEX(DataTitel_liste,IF(LineærRegression_Valg[[#This Row],[Afhængig variabel ID]]=1,2,1))),$B$7)</f>
        <v>Eksempel 2 (interval)</v>
      </c>
      <c r="H370" s="45">
        <f>_xlfn.AGGREGATE(2,5,LineærRegression_Valg[[#This Row],[Tabel ID]])</f>
        <v>1</v>
      </c>
    </row>
    <row r="371" spans="1:8" x14ac:dyDescent="0.2">
      <c r="A371">
        <f>ROW(LineærRegression_Valg[[#This Row],[Tabel ID]])-ROW(LineærRegression_Valg[[#Headers],[Tabel ID]])</f>
        <v>361</v>
      </c>
      <c r="B371" s="45">
        <f>ROUNDDOWN((LineærRegression_Valg[[#This Row],[Tabel ID]]-1)/$B$5,0)+1</f>
        <v>91</v>
      </c>
      <c r="C371" s="45">
        <f t="shared" si="5"/>
        <v>1</v>
      </c>
      <c r="D371" s="45" t="b">
        <f>LineærRegression_Valg[[#This Row],[Afhængig variabel ID]]&lt;&gt;LineærRegression_Valg[[#This Row],[Uafhængig variabel ID]]</f>
        <v>1</v>
      </c>
      <c r="E371" t="b">
        <f>LineærRegression_Valg[[#This Row],[Afhængig variabel ID]]&lt;=$B$5</f>
        <v>0</v>
      </c>
      <c r="F371" t="str" cm="1">
        <f t="array" ref="F371">IF(LineærRegression_Valg[[#This Row],[Indenfor range]],INDEX(DataTitel_liste,LineærRegression_Valg[[#This Row],[Afhængig variabel ID]]),INDEX(DataTitel_liste,1))</f>
        <v>Eksempel 1 (interval)</v>
      </c>
      <c r="G371" s="45" t="str" cm="1">
        <f t="array" ref="G371">IF(LineærRegression_Valg[[#This Row],[Indenfor range]],IF(LineærRegression_Valg[[#This Row],[Intet overlap]],INDEX(DataTitel_liste,LineærRegression_Valg[[#This Row],[Uafhængig variabel ID]]),INDEX(DataTitel_liste,IF(LineærRegression_Valg[[#This Row],[Afhængig variabel ID]]=1,2,1))),$B$7)</f>
        <v>Eksempel 2 (interval)</v>
      </c>
      <c r="H371" s="45">
        <f>_xlfn.AGGREGATE(2,5,LineærRegression_Valg[[#This Row],[Tabel ID]])</f>
        <v>1</v>
      </c>
    </row>
    <row r="372" spans="1:8" x14ac:dyDescent="0.2">
      <c r="A372">
        <f>ROW(LineærRegression_Valg[[#This Row],[Tabel ID]])-ROW(LineærRegression_Valg[[#Headers],[Tabel ID]])</f>
        <v>362</v>
      </c>
      <c r="B372" s="45">
        <f>ROUNDDOWN((LineærRegression_Valg[[#This Row],[Tabel ID]]-1)/$B$5,0)+1</f>
        <v>91</v>
      </c>
      <c r="C372" s="45">
        <f t="shared" si="5"/>
        <v>2</v>
      </c>
      <c r="D372" s="45" t="b">
        <f>LineærRegression_Valg[[#This Row],[Afhængig variabel ID]]&lt;&gt;LineærRegression_Valg[[#This Row],[Uafhængig variabel ID]]</f>
        <v>1</v>
      </c>
      <c r="E372" t="b">
        <f>LineærRegression_Valg[[#This Row],[Afhængig variabel ID]]&lt;=$B$5</f>
        <v>0</v>
      </c>
      <c r="F372" t="str" cm="1">
        <f t="array" ref="F372">IF(LineærRegression_Valg[[#This Row],[Indenfor range]],INDEX(DataTitel_liste,LineærRegression_Valg[[#This Row],[Afhængig variabel ID]]),INDEX(DataTitel_liste,1))</f>
        <v>Eksempel 1 (interval)</v>
      </c>
      <c r="G372" s="45" t="str" cm="1">
        <f t="array" ref="G372">IF(LineærRegression_Valg[[#This Row],[Indenfor range]],IF(LineærRegression_Valg[[#This Row],[Intet overlap]],INDEX(DataTitel_liste,LineærRegression_Valg[[#This Row],[Uafhængig variabel ID]]),INDEX(DataTitel_liste,IF(LineærRegression_Valg[[#This Row],[Afhængig variabel ID]]=1,2,1))),$B$7)</f>
        <v>Eksempel 2 (interval)</v>
      </c>
      <c r="H372" s="45">
        <f>_xlfn.AGGREGATE(2,5,LineærRegression_Valg[[#This Row],[Tabel ID]])</f>
        <v>1</v>
      </c>
    </row>
    <row r="373" spans="1:8" x14ac:dyDescent="0.2">
      <c r="A373">
        <f>ROW(LineærRegression_Valg[[#This Row],[Tabel ID]])-ROW(LineærRegression_Valg[[#Headers],[Tabel ID]])</f>
        <v>363</v>
      </c>
      <c r="B373" s="45">
        <f>ROUNDDOWN((LineærRegression_Valg[[#This Row],[Tabel ID]]-1)/$B$5,0)+1</f>
        <v>91</v>
      </c>
      <c r="C373" s="45">
        <f t="shared" si="5"/>
        <v>3</v>
      </c>
      <c r="D373" s="45" t="b">
        <f>LineærRegression_Valg[[#This Row],[Afhængig variabel ID]]&lt;&gt;LineærRegression_Valg[[#This Row],[Uafhængig variabel ID]]</f>
        <v>1</v>
      </c>
      <c r="E373" t="b">
        <f>LineærRegression_Valg[[#This Row],[Afhængig variabel ID]]&lt;=$B$5</f>
        <v>0</v>
      </c>
      <c r="F373" t="str" cm="1">
        <f t="array" ref="F373">IF(LineærRegression_Valg[[#This Row],[Indenfor range]],INDEX(DataTitel_liste,LineærRegression_Valg[[#This Row],[Afhængig variabel ID]]),INDEX(DataTitel_liste,1))</f>
        <v>Eksempel 1 (interval)</v>
      </c>
      <c r="G373" s="45" t="str" cm="1">
        <f t="array" ref="G373">IF(LineærRegression_Valg[[#This Row],[Indenfor range]],IF(LineærRegression_Valg[[#This Row],[Intet overlap]],INDEX(DataTitel_liste,LineærRegression_Valg[[#This Row],[Uafhængig variabel ID]]),INDEX(DataTitel_liste,IF(LineærRegression_Valg[[#This Row],[Afhængig variabel ID]]=1,2,1))),$B$7)</f>
        <v>Eksempel 2 (interval)</v>
      </c>
      <c r="H373" s="45">
        <f>_xlfn.AGGREGATE(2,5,LineærRegression_Valg[[#This Row],[Tabel ID]])</f>
        <v>1</v>
      </c>
    </row>
    <row r="374" spans="1:8" x14ac:dyDescent="0.2">
      <c r="A374">
        <f>ROW(LineærRegression_Valg[[#This Row],[Tabel ID]])-ROW(LineærRegression_Valg[[#Headers],[Tabel ID]])</f>
        <v>364</v>
      </c>
      <c r="B374" s="45">
        <f>ROUNDDOWN((LineærRegression_Valg[[#This Row],[Tabel ID]]-1)/$B$5,0)+1</f>
        <v>91</v>
      </c>
      <c r="C374" s="45">
        <f t="shared" si="5"/>
        <v>4</v>
      </c>
      <c r="D374" s="45" t="b">
        <f>LineærRegression_Valg[[#This Row],[Afhængig variabel ID]]&lt;&gt;LineærRegression_Valg[[#This Row],[Uafhængig variabel ID]]</f>
        <v>1</v>
      </c>
      <c r="E374" t="b">
        <f>LineærRegression_Valg[[#This Row],[Afhængig variabel ID]]&lt;=$B$5</f>
        <v>0</v>
      </c>
      <c r="F374" t="str" cm="1">
        <f t="array" ref="F374">IF(LineærRegression_Valg[[#This Row],[Indenfor range]],INDEX(DataTitel_liste,LineærRegression_Valg[[#This Row],[Afhængig variabel ID]]),INDEX(DataTitel_liste,1))</f>
        <v>Eksempel 1 (interval)</v>
      </c>
      <c r="G374" s="45" t="str" cm="1">
        <f t="array" ref="G374">IF(LineærRegression_Valg[[#This Row],[Indenfor range]],IF(LineærRegression_Valg[[#This Row],[Intet overlap]],INDEX(DataTitel_liste,LineærRegression_Valg[[#This Row],[Uafhængig variabel ID]]),INDEX(DataTitel_liste,IF(LineærRegression_Valg[[#This Row],[Afhængig variabel ID]]=1,2,1))),$B$7)</f>
        <v>Eksempel 2 (interval)</v>
      </c>
      <c r="H374" s="45">
        <f>_xlfn.AGGREGATE(2,5,LineærRegression_Valg[[#This Row],[Tabel ID]])</f>
        <v>1</v>
      </c>
    </row>
    <row r="375" spans="1:8" x14ac:dyDescent="0.2">
      <c r="A375">
        <f>ROW(LineærRegression_Valg[[#This Row],[Tabel ID]])-ROW(LineærRegression_Valg[[#Headers],[Tabel ID]])</f>
        <v>365</v>
      </c>
      <c r="B375" s="45">
        <f>ROUNDDOWN((LineærRegression_Valg[[#This Row],[Tabel ID]]-1)/$B$5,0)+1</f>
        <v>92</v>
      </c>
      <c r="C375" s="45">
        <f t="shared" si="5"/>
        <v>1</v>
      </c>
      <c r="D375" s="45" t="b">
        <f>LineærRegression_Valg[[#This Row],[Afhængig variabel ID]]&lt;&gt;LineærRegression_Valg[[#This Row],[Uafhængig variabel ID]]</f>
        <v>1</v>
      </c>
      <c r="E375" t="b">
        <f>LineærRegression_Valg[[#This Row],[Afhængig variabel ID]]&lt;=$B$5</f>
        <v>0</v>
      </c>
      <c r="F375" t="str" cm="1">
        <f t="array" ref="F375">IF(LineærRegression_Valg[[#This Row],[Indenfor range]],INDEX(DataTitel_liste,LineærRegression_Valg[[#This Row],[Afhængig variabel ID]]),INDEX(DataTitel_liste,1))</f>
        <v>Eksempel 1 (interval)</v>
      </c>
      <c r="G375" s="45" t="str" cm="1">
        <f t="array" ref="G375">IF(LineærRegression_Valg[[#This Row],[Indenfor range]],IF(LineærRegression_Valg[[#This Row],[Intet overlap]],INDEX(DataTitel_liste,LineærRegression_Valg[[#This Row],[Uafhængig variabel ID]]),INDEX(DataTitel_liste,IF(LineærRegression_Valg[[#This Row],[Afhængig variabel ID]]=1,2,1))),$B$7)</f>
        <v>Eksempel 2 (interval)</v>
      </c>
      <c r="H375" s="45">
        <f>_xlfn.AGGREGATE(2,5,LineærRegression_Valg[[#This Row],[Tabel ID]])</f>
        <v>1</v>
      </c>
    </row>
    <row r="376" spans="1:8" x14ac:dyDescent="0.2">
      <c r="A376">
        <f>ROW(LineærRegression_Valg[[#This Row],[Tabel ID]])-ROW(LineærRegression_Valg[[#Headers],[Tabel ID]])</f>
        <v>366</v>
      </c>
      <c r="B376" s="45">
        <f>ROUNDDOWN((LineærRegression_Valg[[#This Row],[Tabel ID]]-1)/$B$5,0)+1</f>
        <v>92</v>
      </c>
      <c r="C376" s="45">
        <f t="shared" si="5"/>
        <v>2</v>
      </c>
      <c r="D376" s="45" t="b">
        <f>LineærRegression_Valg[[#This Row],[Afhængig variabel ID]]&lt;&gt;LineærRegression_Valg[[#This Row],[Uafhængig variabel ID]]</f>
        <v>1</v>
      </c>
      <c r="E376" t="b">
        <f>LineærRegression_Valg[[#This Row],[Afhængig variabel ID]]&lt;=$B$5</f>
        <v>0</v>
      </c>
      <c r="F376" t="str" cm="1">
        <f t="array" ref="F376">IF(LineærRegression_Valg[[#This Row],[Indenfor range]],INDEX(DataTitel_liste,LineærRegression_Valg[[#This Row],[Afhængig variabel ID]]),INDEX(DataTitel_liste,1))</f>
        <v>Eksempel 1 (interval)</v>
      </c>
      <c r="G376" s="45" t="str" cm="1">
        <f t="array" ref="G376">IF(LineærRegression_Valg[[#This Row],[Indenfor range]],IF(LineærRegression_Valg[[#This Row],[Intet overlap]],INDEX(DataTitel_liste,LineærRegression_Valg[[#This Row],[Uafhængig variabel ID]]),INDEX(DataTitel_liste,IF(LineærRegression_Valg[[#This Row],[Afhængig variabel ID]]=1,2,1))),$B$7)</f>
        <v>Eksempel 2 (interval)</v>
      </c>
      <c r="H376" s="45">
        <f>_xlfn.AGGREGATE(2,5,LineærRegression_Valg[[#This Row],[Tabel ID]])</f>
        <v>1</v>
      </c>
    </row>
    <row r="377" spans="1:8" x14ac:dyDescent="0.2">
      <c r="A377">
        <f>ROW(LineærRegression_Valg[[#This Row],[Tabel ID]])-ROW(LineærRegression_Valg[[#Headers],[Tabel ID]])</f>
        <v>367</v>
      </c>
      <c r="B377" s="45">
        <f>ROUNDDOWN((LineærRegression_Valg[[#This Row],[Tabel ID]]-1)/$B$5,0)+1</f>
        <v>92</v>
      </c>
      <c r="C377" s="45">
        <f t="shared" si="5"/>
        <v>3</v>
      </c>
      <c r="D377" s="45" t="b">
        <f>LineærRegression_Valg[[#This Row],[Afhængig variabel ID]]&lt;&gt;LineærRegression_Valg[[#This Row],[Uafhængig variabel ID]]</f>
        <v>1</v>
      </c>
      <c r="E377" t="b">
        <f>LineærRegression_Valg[[#This Row],[Afhængig variabel ID]]&lt;=$B$5</f>
        <v>0</v>
      </c>
      <c r="F377" t="str" cm="1">
        <f t="array" ref="F377">IF(LineærRegression_Valg[[#This Row],[Indenfor range]],INDEX(DataTitel_liste,LineærRegression_Valg[[#This Row],[Afhængig variabel ID]]),INDEX(DataTitel_liste,1))</f>
        <v>Eksempel 1 (interval)</v>
      </c>
      <c r="G377" s="45" t="str" cm="1">
        <f t="array" ref="G377">IF(LineærRegression_Valg[[#This Row],[Indenfor range]],IF(LineærRegression_Valg[[#This Row],[Intet overlap]],INDEX(DataTitel_liste,LineærRegression_Valg[[#This Row],[Uafhængig variabel ID]]),INDEX(DataTitel_liste,IF(LineærRegression_Valg[[#This Row],[Afhængig variabel ID]]=1,2,1))),$B$7)</f>
        <v>Eksempel 2 (interval)</v>
      </c>
      <c r="H377" s="45">
        <f>_xlfn.AGGREGATE(2,5,LineærRegression_Valg[[#This Row],[Tabel ID]])</f>
        <v>1</v>
      </c>
    </row>
    <row r="378" spans="1:8" x14ac:dyDescent="0.2">
      <c r="A378">
        <f>ROW(LineærRegression_Valg[[#This Row],[Tabel ID]])-ROW(LineærRegression_Valg[[#Headers],[Tabel ID]])</f>
        <v>368</v>
      </c>
      <c r="B378" s="45">
        <f>ROUNDDOWN((LineærRegression_Valg[[#This Row],[Tabel ID]]-1)/$B$5,0)+1</f>
        <v>92</v>
      </c>
      <c r="C378" s="45">
        <f t="shared" si="5"/>
        <v>4</v>
      </c>
      <c r="D378" s="45" t="b">
        <f>LineærRegression_Valg[[#This Row],[Afhængig variabel ID]]&lt;&gt;LineærRegression_Valg[[#This Row],[Uafhængig variabel ID]]</f>
        <v>1</v>
      </c>
      <c r="E378" t="b">
        <f>LineærRegression_Valg[[#This Row],[Afhængig variabel ID]]&lt;=$B$5</f>
        <v>0</v>
      </c>
      <c r="F378" t="str" cm="1">
        <f t="array" ref="F378">IF(LineærRegression_Valg[[#This Row],[Indenfor range]],INDEX(DataTitel_liste,LineærRegression_Valg[[#This Row],[Afhængig variabel ID]]),INDEX(DataTitel_liste,1))</f>
        <v>Eksempel 1 (interval)</v>
      </c>
      <c r="G378" s="45" t="str" cm="1">
        <f t="array" ref="G378">IF(LineærRegression_Valg[[#This Row],[Indenfor range]],IF(LineærRegression_Valg[[#This Row],[Intet overlap]],INDEX(DataTitel_liste,LineærRegression_Valg[[#This Row],[Uafhængig variabel ID]]),INDEX(DataTitel_liste,IF(LineærRegression_Valg[[#This Row],[Afhængig variabel ID]]=1,2,1))),$B$7)</f>
        <v>Eksempel 2 (interval)</v>
      </c>
      <c r="H378" s="45">
        <f>_xlfn.AGGREGATE(2,5,LineærRegression_Valg[[#This Row],[Tabel ID]])</f>
        <v>1</v>
      </c>
    </row>
    <row r="379" spans="1:8" x14ac:dyDescent="0.2">
      <c r="A379">
        <f>ROW(LineærRegression_Valg[[#This Row],[Tabel ID]])-ROW(LineærRegression_Valg[[#Headers],[Tabel ID]])</f>
        <v>369</v>
      </c>
      <c r="B379" s="45">
        <f>ROUNDDOWN((LineærRegression_Valg[[#This Row],[Tabel ID]]-1)/$B$5,0)+1</f>
        <v>93</v>
      </c>
      <c r="C379" s="45">
        <f t="shared" si="5"/>
        <v>1</v>
      </c>
      <c r="D379" s="45" t="b">
        <f>LineærRegression_Valg[[#This Row],[Afhængig variabel ID]]&lt;&gt;LineærRegression_Valg[[#This Row],[Uafhængig variabel ID]]</f>
        <v>1</v>
      </c>
      <c r="E379" t="b">
        <f>LineærRegression_Valg[[#This Row],[Afhængig variabel ID]]&lt;=$B$5</f>
        <v>0</v>
      </c>
      <c r="F379" t="str" cm="1">
        <f t="array" ref="F379">IF(LineærRegression_Valg[[#This Row],[Indenfor range]],INDEX(DataTitel_liste,LineærRegression_Valg[[#This Row],[Afhængig variabel ID]]),INDEX(DataTitel_liste,1))</f>
        <v>Eksempel 1 (interval)</v>
      </c>
      <c r="G379" s="45" t="str" cm="1">
        <f t="array" ref="G379">IF(LineærRegression_Valg[[#This Row],[Indenfor range]],IF(LineærRegression_Valg[[#This Row],[Intet overlap]],INDEX(DataTitel_liste,LineærRegression_Valg[[#This Row],[Uafhængig variabel ID]]),INDEX(DataTitel_liste,IF(LineærRegression_Valg[[#This Row],[Afhængig variabel ID]]=1,2,1))),$B$7)</f>
        <v>Eksempel 2 (interval)</v>
      </c>
      <c r="H379" s="45">
        <f>_xlfn.AGGREGATE(2,5,LineærRegression_Valg[[#This Row],[Tabel ID]])</f>
        <v>1</v>
      </c>
    </row>
    <row r="380" spans="1:8" x14ac:dyDescent="0.2">
      <c r="A380">
        <f>ROW(LineærRegression_Valg[[#This Row],[Tabel ID]])-ROW(LineærRegression_Valg[[#Headers],[Tabel ID]])</f>
        <v>370</v>
      </c>
      <c r="B380" s="45">
        <f>ROUNDDOWN((LineærRegression_Valg[[#This Row],[Tabel ID]]-1)/$B$5,0)+1</f>
        <v>93</v>
      </c>
      <c r="C380" s="45">
        <f t="shared" si="5"/>
        <v>2</v>
      </c>
      <c r="D380" s="45" t="b">
        <f>LineærRegression_Valg[[#This Row],[Afhængig variabel ID]]&lt;&gt;LineærRegression_Valg[[#This Row],[Uafhængig variabel ID]]</f>
        <v>1</v>
      </c>
      <c r="E380" t="b">
        <f>LineærRegression_Valg[[#This Row],[Afhængig variabel ID]]&lt;=$B$5</f>
        <v>0</v>
      </c>
      <c r="F380" t="str" cm="1">
        <f t="array" ref="F380">IF(LineærRegression_Valg[[#This Row],[Indenfor range]],INDEX(DataTitel_liste,LineærRegression_Valg[[#This Row],[Afhængig variabel ID]]),INDEX(DataTitel_liste,1))</f>
        <v>Eksempel 1 (interval)</v>
      </c>
      <c r="G380" s="45" t="str" cm="1">
        <f t="array" ref="G380">IF(LineærRegression_Valg[[#This Row],[Indenfor range]],IF(LineærRegression_Valg[[#This Row],[Intet overlap]],INDEX(DataTitel_liste,LineærRegression_Valg[[#This Row],[Uafhængig variabel ID]]),INDEX(DataTitel_liste,IF(LineærRegression_Valg[[#This Row],[Afhængig variabel ID]]=1,2,1))),$B$7)</f>
        <v>Eksempel 2 (interval)</v>
      </c>
      <c r="H380" s="45">
        <f>_xlfn.AGGREGATE(2,5,LineærRegression_Valg[[#This Row],[Tabel ID]])</f>
        <v>1</v>
      </c>
    </row>
    <row r="381" spans="1:8" x14ac:dyDescent="0.2">
      <c r="A381">
        <f>ROW(LineærRegression_Valg[[#This Row],[Tabel ID]])-ROW(LineærRegression_Valg[[#Headers],[Tabel ID]])</f>
        <v>371</v>
      </c>
      <c r="B381" s="45">
        <f>ROUNDDOWN((LineærRegression_Valg[[#This Row],[Tabel ID]]-1)/$B$5,0)+1</f>
        <v>93</v>
      </c>
      <c r="C381" s="45">
        <f t="shared" si="5"/>
        <v>3</v>
      </c>
      <c r="D381" s="45" t="b">
        <f>LineærRegression_Valg[[#This Row],[Afhængig variabel ID]]&lt;&gt;LineærRegression_Valg[[#This Row],[Uafhængig variabel ID]]</f>
        <v>1</v>
      </c>
      <c r="E381" t="b">
        <f>LineærRegression_Valg[[#This Row],[Afhængig variabel ID]]&lt;=$B$5</f>
        <v>0</v>
      </c>
      <c r="F381" t="str" cm="1">
        <f t="array" ref="F381">IF(LineærRegression_Valg[[#This Row],[Indenfor range]],INDEX(DataTitel_liste,LineærRegression_Valg[[#This Row],[Afhængig variabel ID]]),INDEX(DataTitel_liste,1))</f>
        <v>Eksempel 1 (interval)</v>
      </c>
      <c r="G381" s="45" t="str" cm="1">
        <f t="array" ref="G381">IF(LineærRegression_Valg[[#This Row],[Indenfor range]],IF(LineærRegression_Valg[[#This Row],[Intet overlap]],INDEX(DataTitel_liste,LineærRegression_Valg[[#This Row],[Uafhængig variabel ID]]),INDEX(DataTitel_liste,IF(LineærRegression_Valg[[#This Row],[Afhængig variabel ID]]=1,2,1))),$B$7)</f>
        <v>Eksempel 2 (interval)</v>
      </c>
      <c r="H381" s="45">
        <f>_xlfn.AGGREGATE(2,5,LineærRegression_Valg[[#This Row],[Tabel ID]])</f>
        <v>1</v>
      </c>
    </row>
    <row r="382" spans="1:8" x14ac:dyDescent="0.2">
      <c r="A382">
        <f>ROW(LineærRegression_Valg[[#This Row],[Tabel ID]])-ROW(LineærRegression_Valg[[#Headers],[Tabel ID]])</f>
        <v>372</v>
      </c>
      <c r="B382" s="45">
        <f>ROUNDDOWN((LineærRegression_Valg[[#This Row],[Tabel ID]]-1)/$B$5,0)+1</f>
        <v>93</v>
      </c>
      <c r="C382" s="45">
        <f t="shared" si="5"/>
        <v>4</v>
      </c>
      <c r="D382" s="45" t="b">
        <f>LineærRegression_Valg[[#This Row],[Afhængig variabel ID]]&lt;&gt;LineærRegression_Valg[[#This Row],[Uafhængig variabel ID]]</f>
        <v>1</v>
      </c>
      <c r="E382" t="b">
        <f>LineærRegression_Valg[[#This Row],[Afhængig variabel ID]]&lt;=$B$5</f>
        <v>0</v>
      </c>
      <c r="F382" t="str" cm="1">
        <f t="array" ref="F382">IF(LineærRegression_Valg[[#This Row],[Indenfor range]],INDEX(DataTitel_liste,LineærRegression_Valg[[#This Row],[Afhængig variabel ID]]),INDEX(DataTitel_liste,1))</f>
        <v>Eksempel 1 (interval)</v>
      </c>
      <c r="G382" s="45" t="str" cm="1">
        <f t="array" ref="G382">IF(LineærRegression_Valg[[#This Row],[Indenfor range]],IF(LineærRegression_Valg[[#This Row],[Intet overlap]],INDEX(DataTitel_liste,LineærRegression_Valg[[#This Row],[Uafhængig variabel ID]]),INDEX(DataTitel_liste,IF(LineærRegression_Valg[[#This Row],[Afhængig variabel ID]]=1,2,1))),$B$7)</f>
        <v>Eksempel 2 (interval)</v>
      </c>
      <c r="H382" s="45">
        <f>_xlfn.AGGREGATE(2,5,LineærRegression_Valg[[#This Row],[Tabel ID]])</f>
        <v>1</v>
      </c>
    </row>
    <row r="383" spans="1:8" x14ac:dyDescent="0.2">
      <c r="A383">
        <f>ROW(LineærRegression_Valg[[#This Row],[Tabel ID]])-ROW(LineærRegression_Valg[[#Headers],[Tabel ID]])</f>
        <v>373</v>
      </c>
      <c r="B383" s="45">
        <f>ROUNDDOWN((LineærRegression_Valg[[#This Row],[Tabel ID]]-1)/$B$5,0)+1</f>
        <v>94</v>
      </c>
      <c r="C383" s="45">
        <f t="shared" si="5"/>
        <v>1</v>
      </c>
      <c r="D383" s="45" t="b">
        <f>LineærRegression_Valg[[#This Row],[Afhængig variabel ID]]&lt;&gt;LineærRegression_Valg[[#This Row],[Uafhængig variabel ID]]</f>
        <v>1</v>
      </c>
      <c r="E383" t="b">
        <f>LineærRegression_Valg[[#This Row],[Afhængig variabel ID]]&lt;=$B$5</f>
        <v>0</v>
      </c>
      <c r="F383" t="str" cm="1">
        <f t="array" ref="F383">IF(LineærRegression_Valg[[#This Row],[Indenfor range]],INDEX(DataTitel_liste,LineærRegression_Valg[[#This Row],[Afhængig variabel ID]]),INDEX(DataTitel_liste,1))</f>
        <v>Eksempel 1 (interval)</v>
      </c>
      <c r="G383" s="45" t="str" cm="1">
        <f t="array" ref="G383">IF(LineærRegression_Valg[[#This Row],[Indenfor range]],IF(LineærRegression_Valg[[#This Row],[Intet overlap]],INDEX(DataTitel_liste,LineærRegression_Valg[[#This Row],[Uafhængig variabel ID]]),INDEX(DataTitel_liste,IF(LineærRegression_Valg[[#This Row],[Afhængig variabel ID]]=1,2,1))),$B$7)</f>
        <v>Eksempel 2 (interval)</v>
      </c>
      <c r="H383" s="45">
        <f>_xlfn.AGGREGATE(2,5,LineærRegression_Valg[[#This Row],[Tabel ID]])</f>
        <v>1</v>
      </c>
    </row>
    <row r="384" spans="1:8" x14ac:dyDescent="0.2">
      <c r="A384">
        <f>ROW(LineærRegression_Valg[[#This Row],[Tabel ID]])-ROW(LineærRegression_Valg[[#Headers],[Tabel ID]])</f>
        <v>374</v>
      </c>
      <c r="B384" s="45">
        <f>ROUNDDOWN((LineærRegression_Valg[[#This Row],[Tabel ID]]-1)/$B$5,0)+1</f>
        <v>94</v>
      </c>
      <c r="C384" s="45">
        <f t="shared" si="5"/>
        <v>2</v>
      </c>
      <c r="D384" s="45" t="b">
        <f>LineærRegression_Valg[[#This Row],[Afhængig variabel ID]]&lt;&gt;LineærRegression_Valg[[#This Row],[Uafhængig variabel ID]]</f>
        <v>1</v>
      </c>
      <c r="E384" t="b">
        <f>LineærRegression_Valg[[#This Row],[Afhængig variabel ID]]&lt;=$B$5</f>
        <v>0</v>
      </c>
      <c r="F384" t="str" cm="1">
        <f t="array" ref="F384">IF(LineærRegression_Valg[[#This Row],[Indenfor range]],INDEX(DataTitel_liste,LineærRegression_Valg[[#This Row],[Afhængig variabel ID]]),INDEX(DataTitel_liste,1))</f>
        <v>Eksempel 1 (interval)</v>
      </c>
      <c r="G384" s="45" t="str" cm="1">
        <f t="array" ref="G384">IF(LineærRegression_Valg[[#This Row],[Indenfor range]],IF(LineærRegression_Valg[[#This Row],[Intet overlap]],INDEX(DataTitel_liste,LineærRegression_Valg[[#This Row],[Uafhængig variabel ID]]),INDEX(DataTitel_liste,IF(LineærRegression_Valg[[#This Row],[Afhængig variabel ID]]=1,2,1))),$B$7)</f>
        <v>Eksempel 2 (interval)</v>
      </c>
      <c r="H384" s="45">
        <f>_xlfn.AGGREGATE(2,5,LineærRegression_Valg[[#This Row],[Tabel ID]])</f>
        <v>1</v>
      </c>
    </row>
    <row r="385" spans="1:8" x14ac:dyDescent="0.2">
      <c r="A385">
        <f>ROW(LineærRegression_Valg[[#This Row],[Tabel ID]])-ROW(LineærRegression_Valg[[#Headers],[Tabel ID]])</f>
        <v>375</v>
      </c>
      <c r="B385" s="45">
        <f>ROUNDDOWN((LineærRegression_Valg[[#This Row],[Tabel ID]]-1)/$B$5,0)+1</f>
        <v>94</v>
      </c>
      <c r="C385" s="45">
        <f t="shared" si="5"/>
        <v>3</v>
      </c>
      <c r="D385" s="45" t="b">
        <f>LineærRegression_Valg[[#This Row],[Afhængig variabel ID]]&lt;&gt;LineærRegression_Valg[[#This Row],[Uafhængig variabel ID]]</f>
        <v>1</v>
      </c>
      <c r="E385" t="b">
        <f>LineærRegression_Valg[[#This Row],[Afhængig variabel ID]]&lt;=$B$5</f>
        <v>0</v>
      </c>
      <c r="F385" t="str" cm="1">
        <f t="array" ref="F385">IF(LineærRegression_Valg[[#This Row],[Indenfor range]],INDEX(DataTitel_liste,LineærRegression_Valg[[#This Row],[Afhængig variabel ID]]),INDEX(DataTitel_liste,1))</f>
        <v>Eksempel 1 (interval)</v>
      </c>
      <c r="G385" s="45" t="str" cm="1">
        <f t="array" ref="G385">IF(LineærRegression_Valg[[#This Row],[Indenfor range]],IF(LineærRegression_Valg[[#This Row],[Intet overlap]],INDEX(DataTitel_liste,LineærRegression_Valg[[#This Row],[Uafhængig variabel ID]]),INDEX(DataTitel_liste,IF(LineærRegression_Valg[[#This Row],[Afhængig variabel ID]]=1,2,1))),$B$7)</f>
        <v>Eksempel 2 (interval)</v>
      </c>
      <c r="H385" s="45">
        <f>_xlfn.AGGREGATE(2,5,LineærRegression_Valg[[#This Row],[Tabel ID]])</f>
        <v>1</v>
      </c>
    </row>
    <row r="386" spans="1:8" x14ac:dyDescent="0.2">
      <c r="A386">
        <f>ROW(LineærRegression_Valg[[#This Row],[Tabel ID]])-ROW(LineærRegression_Valg[[#Headers],[Tabel ID]])</f>
        <v>376</v>
      </c>
      <c r="B386" s="45">
        <f>ROUNDDOWN((LineærRegression_Valg[[#This Row],[Tabel ID]]-1)/$B$5,0)+1</f>
        <v>94</v>
      </c>
      <c r="C386" s="45">
        <f t="shared" si="5"/>
        <v>4</v>
      </c>
      <c r="D386" s="45" t="b">
        <f>LineærRegression_Valg[[#This Row],[Afhængig variabel ID]]&lt;&gt;LineærRegression_Valg[[#This Row],[Uafhængig variabel ID]]</f>
        <v>1</v>
      </c>
      <c r="E386" t="b">
        <f>LineærRegression_Valg[[#This Row],[Afhængig variabel ID]]&lt;=$B$5</f>
        <v>0</v>
      </c>
      <c r="F386" t="str" cm="1">
        <f t="array" ref="F386">IF(LineærRegression_Valg[[#This Row],[Indenfor range]],INDEX(DataTitel_liste,LineærRegression_Valg[[#This Row],[Afhængig variabel ID]]),INDEX(DataTitel_liste,1))</f>
        <v>Eksempel 1 (interval)</v>
      </c>
      <c r="G386" s="45" t="str" cm="1">
        <f t="array" ref="G386">IF(LineærRegression_Valg[[#This Row],[Indenfor range]],IF(LineærRegression_Valg[[#This Row],[Intet overlap]],INDEX(DataTitel_liste,LineærRegression_Valg[[#This Row],[Uafhængig variabel ID]]),INDEX(DataTitel_liste,IF(LineærRegression_Valg[[#This Row],[Afhængig variabel ID]]=1,2,1))),$B$7)</f>
        <v>Eksempel 2 (interval)</v>
      </c>
      <c r="H386" s="45">
        <f>_xlfn.AGGREGATE(2,5,LineærRegression_Valg[[#This Row],[Tabel ID]])</f>
        <v>1</v>
      </c>
    </row>
    <row r="387" spans="1:8" x14ac:dyDescent="0.2">
      <c r="A387">
        <f>ROW(LineærRegression_Valg[[#This Row],[Tabel ID]])-ROW(LineærRegression_Valg[[#Headers],[Tabel ID]])</f>
        <v>377</v>
      </c>
      <c r="B387" s="45">
        <f>ROUNDDOWN((LineærRegression_Valg[[#This Row],[Tabel ID]]-1)/$B$5,0)+1</f>
        <v>95</v>
      </c>
      <c r="C387" s="45">
        <f t="shared" si="5"/>
        <v>1</v>
      </c>
      <c r="D387" s="45" t="b">
        <f>LineærRegression_Valg[[#This Row],[Afhængig variabel ID]]&lt;&gt;LineærRegression_Valg[[#This Row],[Uafhængig variabel ID]]</f>
        <v>1</v>
      </c>
      <c r="E387" t="b">
        <f>LineærRegression_Valg[[#This Row],[Afhængig variabel ID]]&lt;=$B$5</f>
        <v>0</v>
      </c>
      <c r="F387" t="str" cm="1">
        <f t="array" ref="F387">IF(LineærRegression_Valg[[#This Row],[Indenfor range]],INDEX(DataTitel_liste,LineærRegression_Valg[[#This Row],[Afhængig variabel ID]]),INDEX(DataTitel_liste,1))</f>
        <v>Eksempel 1 (interval)</v>
      </c>
      <c r="G387" s="45" t="str" cm="1">
        <f t="array" ref="G387">IF(LineærRegression_Valg[[#This Row],[Indenfor range]],IF(LineærRegression_Valg[[#This Row],[Intet overlap]],INDEX(DataTitel_liste,LineærRegression_Valg[[#This Row],[Uafhængig variabel ID]]),INDEX(DataTitel_liste,IF(LineærRegression_Valg[[#This Row],[Afhængig variabel ID]]=1,2,1))),$B$7)</f>
        <v>Eksempel 2 (interval)</v>
      </c>
      <c r="H387" s="45">
        <f>_xlfn.AGGREGATE(2,5,LineærRegression_Valg[[#This Row],[Tabel ID]])</f>
        <v>1</v>
      </c>
    </row>
    <row r="388" spans="1:8" x14ac:dyDescent="0.2">
      <c r="A388">
        <f>ROW(LineærRegression_Valg[[#This Row],[Tabel ID]])-ROW(LineærRegression_Valg[[#Headers],[Tabel ID]])</f>
        <v>378</v>
      </c>
      <c r="B388" s="45">
        <f>ROUNDDOWN((LineærRegression_Valg[[#This Row],[Tabel ID]]-1)/$B$5,0)+1</f>
        <v>95</v>
      </c>
      <c r="C388" s="45">
        <f t="shared" si="5"/>
        <v>2</v>
      </c>
      <c r="D388" s="45" t="b">
        <f>LineærRegression_Valg[[#This Row],[Afhængig variabel ID]]&lt;&gt;LineærRegression_Valg[[#This Row],[Uafhængig variabel ID]]</f>
        <v>1</v>
      </c>
      <c r="E388" t="b">
        <f>LineærRegression_Valg[[#This Row],[Afhængig variabel ID]]&lt;=$B$5</f>
        <v>0</v>
      </c>
      <c r="F388" t="str" cm="1">
        <f t="array" ref="F388">IF(LineærRegression_Valg[[#This Row],[Indenfor range]],INDEX(DataTitel_liste,LineærRegression_Valg[[#This Row],[Afhængig variabel ID]]),INDEX(DataTitel_liste,1))</f>
        <v>Eksempel 1 (interval)</v>
      </c>
      <c r="G388" s="45" t="str" cm="1">
        <f t="array" ref="G388">IF(LineærRegression_Valg[[#This Row],[Indenfor range]],IF(LineærRegression_Valg[[#This Row],[Intet overlap]],INDEX(DataTitel_liste,LineærRegression_Valg[[#This Row],[Uafhængig variabel ID]]),INDEX(DataTitel_liste,IF(LineærRegression_Valg[[#This Row],[Afhængig variabel ID]]=1,2,1))),$B$7)</f>
        <v>Eksempel 2 (interval)</v>
      </c>
      <c r="H388" s="45">
        <f>_xlfn.AGGREGATE(2,5,LineærRegression_Valg[[#This Row],[Tabel ID]])</f>
        <v>1</v>
      </c>
    </row>
    <row r="389" spans="1:8" x14ac:dyDescent="0.2">
      <c r="A389">
        <f>ROW(LineærRegression_Valg[[#This Row],[Tabel ID]])-ROW(LineærRegression_Valg[[#Headers],[Tabel ID]])</f>
        <v>379</v>
      </c>
      <c r="B389" s="45">
        <f>ROUNDDOWN((LineærRegression_Valg[[#This Row],[Tabel ID]]-1)/$B$5,0)+1</f>
        <v>95</v>
      </c>
      <c r="C389" s="45">
        <f t="shared" si="5"/>
        <v>3</v>
      </c>
      <c r="D389" s="45" t="b">
        <f>LineærRegression_Valg[[#This Row],[Afhængig variabel ID]]&lt;&gt;LineærRegression_Valg[[#This Row],[Uafhængig variabel ID]]</f>
        <v>1</v>
      </c>
      <c r="E389" t="b">
        <f>LineærRegression_Valg[[#This Row],[Afhængig variabel ID]]&lt;=$B$5</f>
        <v>0</v>
      </c>
      <c r="F389" t="str" cm="1">
        <f t="array" ref="F389">IF(LineærRegression_Valg[[#This Row],[Indenfor range]],INDEX(DataTitel_liste,LineærRegression_Valg[[#This Row],[Afhængig variabel ID]]),INDEX(DataTitel_liste,1))</f>
        <v>Eksempel 1 (interval)</v>
      </c>
      <c r="G389" s="45" t="str" cm="1">
        <f t="array" ref="G389">IF(LineærRegression_Valg[[#This Row],[Indenfor range]],IF(LineærRegression_Valg[[#This Row],[Intet overlap]],INDEX(DataTitel_liste,LineærRegression_Valg[[#This Row],[Uafhængig variabel ID]]),INDEX(DataTitel_liste,IF(LineærRegression_Valg[[#This Row],[Afhængig variabel ID]]=1,2,1))),$B$7)</f>
        <v>Eksempel 2 (interval)</v>
      </c>
      <c r="H389" s="45">
        <f>_xlfn.AGGREGATE(2,5,LineærRegression_Valg[[#This Row],[Tabel ID]])</f>
        <v>1</v>
      </c>
    </row>
    <row r="390" spans="1:8" x14ac:dyDescent="0.2">
      <c r="A390">
        <f>ROW(LineærRegression_Valg[[#This Row],[Tabel ID]])-ROW(LineærRegression_Valg[[#Headers],[Tabel ID]])</f>
        <v>380</v>
      </c>
      <c r="B390" s="45">
        <f>ROUNDDOWN((LineærRegression_Valg[[#This Row],[Tabel ID]]-1)/$B$5,0)+1</f>
        <v>95</v>
      </c>
      <c r="C390" s="45">
        <f t="shared" si="5"/>
        <v>4</v>
      </c>
      <c r="D390" s="45" t="b">
        <f>LineærRegression_Valg[[#This Row],[Afhængig variabel ID]]&lt;&gt;LineærRegression_Valg[[#This Row],[Uafhængig variabel ID]]</f>
        <v>1</v>
      </c>
      <c r="E390" t="b">
        <f>LineærRegression_Valg[[#This Row],[Afhængig variabel ID]]&lt;=$B$5</f>
        <v>0</v>
      </c>
      <c r="F390" t="str" cm="1">
        <f t="array" ref="F390">IF(LineærRegression_Valg[[#This Row],[Indenfor range]],INDEX(DataTitel_liste,LineærRegression_Valg[[#This Row],[Afhængig variabel ID]]),INDEX(DataTitel_liste,1))</f>
        <v>Eksempel 1 (interval)</v>
      </c>
      <c r="G390" s="45" t="str" cm="1">
        <f t="array" ref="G390">IF(LineærRegression_Valg[[#This Row],[Indenfor range]],IF(LineærRegression_Valg[[#This Row],[Intet overlap]],INDEX(DataTitel_liste,LineærRegression_Valg[[#This Row],[Uafhængig variabel ID]]),INDEX(DataTitel_liste,IF(LineærRegression_Valg[[#This Row],[Afhængig variabel ID]]=1,2,1))),$B$7)</f>
        <v>Eksempel 2 (interval)</v>
      </c>
      <c r="H390" s="45">
        <f>_xlfn.AGGREGATE(2,5,LineærRegression_Valg[[#This Row],[Tabel ID]])</f>
        <v>1</v>
      </c>
    </row>
    <row r="391" spans="1:8" x14ac:dyDescent="0.2">
      <c r="A391">
        <f>ROW(LineærRegression_Valg[[#This Row],[Tabel ID]])-ROW(LineærRegression_Valg[[#Headers],[Tabel ID]])</f>
        <v>381</v>
      </c>
      <c r="B391" s="45">
        <f>ROUNDDOWN((LineærRegression_Valg[[#This Row],[Tabel ID]]-1)/$B$5,0)+1</f>
        <v>96</v>
      </c>
      <c r="C391" s="45">
        <f t="shared" si="5"/>
        <v>1</v>
      </c>
      <c r="D391" s="45" t="b">
        <f>LineærRegression_Valg[[#This Row],[Afhængig variabel ID]]&lt;&gt;LineærRegression_Valg[[#This Row],[Uafhængig variabel ID]]</f>
        <v>1</v>
      </c>
      <c r="E391" t="b">
        <f>LineærRegression_Valg[[#This Row],[Afhængig variabel ID]]&lt;=$B$5</f>
        <v>0</v>
      </c>
      <c r="F391" t="str" cm="1">
        <f t="array" ref="F391">IF(LineærRegression_Valg[[#This Row],[Indenfor range]],INDEX(DataTitel_liste,LineærRegression_Valg[[#This Row],[Afhængig variabel ID]]),INDEX(DataTitel_liste,1))</f>
        <v>Eksempel 1 (interval)</v>
      </c>
      <c r="G391" s="45" t="str" cm="1">
        <f t="array" ref="G391">IF(LineærRegression_Valg[[#This Row],[Indenfor range]],IF(LineærRegression_Valg[[#This Row],[Intet overlap]],INDEX(DataTitel_liste,LineærRegression_Valg[[#This Row],[Uafhængig variabel ID]]),INDEX(DataTitel_liste,IF(LineærRegression_Valg[[#This Row],[Afhængig variabel ID]]=1,2,1))),$B$7)</f>
        <v>Eksempel 2 (interval)</v>
      </c>
      <c r="H391" s="45">
        <f>_xlfn.AGGREGATE(2,5,LineærRegression_Valg[[#This Row],[Tabel ID]])</f>
        <v>1</v>
      </c>
    </row>
    <row r="392" spans="1:8" x14ac:dyDescent="0.2">
      <c r="A392">
        <f>ROW(LineærRegression_Valg[[#This Row],[Tabel ID]])-ROW(LineærRegression_Valg[[#Headers],[Tabel ID]])</f>
        <v>382</v>
      </c>
      <c r="B392" s="45">
        <f>ROUNDDOWN((LineærRegression_Valg[[#This Row],[Tabel ID]]-1)/$B$5,0)+1</f>
        <v>96</v>
      </c>
      <c r="C392" s="45">
        <f t="shared" si="5"/>
        <v>2</v>
      </c>
      <c r="D392" s="45" t="b">
        <f>LineærRegression_Valg[[#This Row],[Afhængig variabel ID]]&lt;&gt;LineærRegression_Valg[[#This Row],[Uafhængig variabel ID]]</f>
        <v>1</v>
      </c>
      <c r="E392" t="b">
        <f>LineærRegression_Valg[[#This Row],[Afhængig variabel ID]]&lt;=$B$5</f>
        <v>0</v>
      </c>
      <c r="F392" t="str" cm="1">
        <f t="array" ref="F392">IF(LineærRegression_Valg[[#This Row],[Indenfor range]],INDEX(DataTitel_liste,LineærRegression_Valg[[#This Row],[Afhængig variabel ID]]),INDEX(DataTitel_liste,1))</f>
        <v>Eksempel 1 (interval)</v>
      </c>
      <c r="G392" s="45" t="str" cm="1">
        <f t="array" ref="G392">IF(LineærRegression_Valg[[#This Row],[Indenfor range]],IF(LineærRegression_Valg[[#This Row],[Intet overlap]],INDEX(DataTitel_liste,LineærRegression_Valg[[#This Row],[Uafhængig variabel ID]]),INDEX(DataTitel_liste,IF(LineærRegression_Valg[[#This Row],[Afhængig variabel ID]]=1,2,1))),$B$7)</f>
        <v>Eksempel 2 (interval)</v>
      </c>
      <c r="H392" s="45">
        <f>_xlfn.AGGREGATE(2,5,LineærRegression_Valg[[#This Row],[Tabel ID]])</f>
        <v>1</v>
      </c>
    </row>
    <row r="393" spans="1:8" x14ac:dyDescent="0.2">
      <c r="A393">
        <f>ROW(LineærRegression_Valg[[#This Row],[Tabel ID]])-ROW(LineærRegression_Valg[[#Headers],[Tabel ID]])</f>
        <v>383</v>
      </c>
      <c r="B393" s="45">
        <f>ROUNDDOWN((LineærRegression_Valg[[#This Row],[Tabel ID]]-1)/$B$5,0)+1</f>
        <v>96</v>
      </c>
      <c r="C393" s="45">
        <f t="shared" si="5"/>
        <v>3</v>
      </c>
      <c r="D393" s="45" t="b">
        <f>LineærRegression_Valg[[#This Row],[Afhængig variabel ID]]&lt;&gt;LineærRegression_Valg[[#This Row],[Uafhængig variabel ID]]</f>
        <v>1</v>
      </c>
      <c r="E393" t="b">
        <f>LineærRegression_Valg[[#This Row],[Afhængig variabel ID]]&lt;=$B$5</f>
        <v>0</v>
      </c>
      <c r="F393" t="str" cm="1">
        <f t="array" ref="F393">IF(LineærRegression_Valg[[#This Row],[Indenfor range]],INDEX(DataTitel_liste,LineærRegression_Valg[[#This Row],[Afhængig variabel ID]]),INDEX(DataTitel_liste,1))</f>
        <v>Eksempel 1 (interval)</v>
      </c>
      <c r="G393" s="45" t="str" cm="1">
        <f t="array" ref="G393">IF(LineærRegression_Valg[[#This Row],[Indenfor range]],IF(LineærRegression_Valg[[#This Row],[Intet overlap]],INDEX(DataTitel_liste,LineærRegression_Valg[[#This Row],[Uafhængig variabel ID]]),INDEX(DataTitel_liste,IF(LineærRegression_Valg[[#This Row],[Afhængig variabel ID]]=1,2,1))),$B$7)</f>
        <v>Eksempel 2 (interval)</v>
      </c>
      <c r="H393" s="45">
        <f>_xlfn.AGGREGATE(2,5,LineærRegression_Valg[[#This Row],[Tabel ID]])</f>
        <v>1</v>
      </c>
    </row>
    <row r="394" spans="1:8" x14ac:dyDescent="0.2">
      <c r="A394">
        <f>ROW(LineærRegression_Valg[[#This Row],[Tabel ID]])-ROW(LineærRegression_Valg[[#Headers],[Tabel ID]])</f>
        <v>384</v>
      </c>
      <c r="B394" s="45">
        <f>ROUNDDOWN((LineærRegression_Valg[[#This Row],[Tabel ID]]-1)/$B$5,0)+1</f>
        <v>96</v>
      </c>
      <c r="C394" s="45">
        <f t="shared" si="5"/>
        <v>4</v>
      </c>
      <c r="D394" s="45" t="b">
        <f>LineærRegression_Valg[[#This Row],[Afhængig variabel ID]]&lt;&gt;LineærRegression_Valg[[#This Row],[Uafhængig variabel ID]]</f>
        <v>1</v>
      </c>
      <c r="E394" t="b">
        <f>LineærRegression_Valg[[#This Row],[Afhængig variabel ID]]&lt;=$B$5</f>
        <v>0</v>
      </c>
      <c r="F394" t="str" cm="1">
        <f t="array" ref="F394">IF(LineærRegression_Valg[[#This Row],[Indenfor range]],INDEX(DataTitel_liste,LineærRegression_Valg[[#This Row],[Afhængig variabel ID]]),INDEX(DataTitel_liste,1))</f>
        <v>Eksempel 1 (interval)</v>
      </c>
      <c r="G394" s="45" t="str" cm="1">
        <f t="array" ref="G394">IF(LineærRegression_Valg[[#This Row],[Indenfor range]],IF(LineærRegression_Valg[[#This Row],[Intet overlap]],INDEX(DataTitel_liste,LineærRegression_Valg[[#This Row],[Uafhængig variabel ID]]),INDEX(DataTitel_liste,IF(LineærRegression_Valg[[#This Row],[Afhængig variabel ID]]=1,2,1))),$B$7)</f>
        <v>Eksempel 2 (interval)</v>
      </c>
      <c r="H394" s="45">
        <f>_xlfn.AGGREGATE(2,5,LineærRegression_Valg[[#This Row],[Tabel ID]])</f>
        <v>1</v>
      </c>
    </row>
    <row r="395" spans="1:8" x14ac:dyDescent="0.2">
      <c r="A395">
        <f>ROW(LineærRegression_Valg[[#This Row],[Tabel ID]])-ROW(LineærRegression_Valg[[#Headers],[Tabel ID]])</f>
        <v>385</v>
      </c>
      <c r="B395" s="45">
        <f>ROUNDDOWN((LineærRegression_Valg[[#This Row],[Tabel ID]]-1)/$B$5,0)+1</f>
        <v>97</v>
      </c>
      <c r="C395" s="45">
        <f t="shared" ref="C395:C458" si="6">MOD(A395-1,$B$5)+1</f>
        <v>1</v>
      </c>
      <c r="D395" s="45" t="b">
        <f>LineærRegression_Valg[[#This Row],[Afhængig variabel ID]]&lt;&gt;LineærRegression_Valg[[#This Row],[Uafhængig variabel ID]]</f>
        <v>1</v>
      </c>
      <c r="E395" t="b">
        <f>LineærRegression_Valg[[#This Row],[Afhængig variabel ID]]&lt;=$B$5</f>
        <v>0</v>
      </c>
      <c r="F395" t="str" cm="1">
        <f t="array" ref="F395">IF(LineærRegression_Valg[[#This Row],[Indenfor range]],INDEX(DataTitel_liste,LineærRegression_Valg[[#This Row],[Afhængig variabel ID]]),INDEX(DataTitel_liste,1))</f>
        <v>Eksempel 1 (interval)</v>
      </c>
      <c r="G395" s="45" t="str" cm="1">
        <f t="array" ref="G395">IF(LineærRegression_Valg[[#This Row],[Indenfor range]],IF(LineærRegression_Valg[[#This Row],[Intet overlap]],INDEX(DataTitel_liste,LineærRegression_Valg[[#This Row],[Uafhængig variabel ID]]),INDEX(DataTitel_liste,IF(LineærRegression_Valg[[#This Row],[Afhængig variabel ID]]=1,2,1))),$B$7)</f>
        <v>Eksempel 2 (interval)</v>
      </c>
      <c r="H395" s="45">
        <f>_xlfn.AGGREGATE(2,5,LineærRegression_Valg[[#This Row],[Tabel ID]])</f>
        <v>1</v>
      </c>
    </row>
    <row r="396" spans="1:8" x14ac:dyDescent="0.2">
      <c r="A396">
        <f>ROW(LineærRegression_Valg[[#This Row],[Tabel ID]])-ROW(LineærRegression_Valg[[#Headers],[Tabel ID]])</f>
        <v>386</v>
      </c>
      <c r="B396" s="45">
        <f>ROUNDDOWN((LineærRegression_Valg[[#This Row],[Tabel ID]]-1)/$B$5,0)+1</f>
        <v>97</v>
      </c>
      <c r="C396" s="45">
        <f t="shared" si="6"/>
        <v>2</v>
      </c>
      <c r="D396" s="45" t="b">
        <f>LineærRegression_Valg[[#This Row],[Afhængig variabel ID]]&lt;&gt;LineærRegression_Valg[[#This Row],[Uafhængig variabel ID]]</f>
        <v>1</v>
      </c>
      <c r="E396" t="b">
        <f>LineærRegression_Valg[[#This Row],[Afhængig variabel ID]]&lt;=$B$5</f>
        <v>0</v>
      </c>
      <c r="F396" t="str" cm="1">
        <f t="array" ref="F396">IF(LineærRegression_Valg[[#This Row],[Indenfor range]],INDEX(DataTitel_liste,LineærRegression_Valg[[#This Row],[Afhængig variabel ID]]),INDEX(DataTitel_liste,1))</f>
        <v>Eksempel 1 (interval)</v>
      </c>
      <c r="G396" s="45" t="str" cm="1">
        <f t="array" ref="G396">IF(LineærRegression_Valg[[#This Row],[Indenfor range]],IF(LineærRegression_Valg[[#This Row],[Intet overlap]],INDEX(DataTitel_liste,LineærRegression_Valg[[#This Row],[Uafhængig variabel ID]]),INDEX(DataTitel_liste,IF(LineærRegression_Valg[[#This Row],[Afhængig variabel ID]]=1,2,1))),$B$7)</f>
        <v>Eksempel 2 (interval)</v>
      </c>
      <c r="H396" s="45">
        <f>_xlfn.AGGREGATE(2,5,LineærRegression_Valg[[#This Row],[Tabel ID]])</f>
        <v>1</v>
      </c>
    </row>
    <row r="397" spans="1:8" x14ac:dyDescent="0.2">
      <c r="A397">
        <f>ROW(LineærRegression_Valg[[#This Row],[Tabel ID]])-ROW(LineærRegression_Valg[[#Headers],[Tabel ID]])</f>
        <v>387</v>
      </c>
      <c r="B397" s="45">
        <f>ROUNDDOWN((LineærRegression_Valg[[#This Row],[Tabel ID]]-1)/$B$5,0)+1</f>
        <v>97</v>
      </c>
      <c r="C397" s="45">
        <f t="shared" si="6"/>
        <v>3</v>
      </c>
      <c r="D397" s="45" t="b">
        <f>LineærRegression_Valg[[#This Row],[Afhængig variabel ID]]&lt;&gt;LineærRegression_Valg[[#This Row],[Uafhængig variabel ID]]</f>
        <v>1</v>
      </c>
      <c r="E397" t="b">
        <f>LineærRegression_Valg[[#This Row],[Afhængig variabel ID]]&lt;=$B$5</f>
        <v>0</v>
      </c>
      <c r="F397" t="str" cm="1">
        <f t="array" ref="F397">IF(LineærRegression_Valg[[#This Row],[Indenfor range]],INDEX(DataTitel_liste,LineærRegression_Valg[[#This Row],[Afhængig variabel ID]]),INDEX(DataTitel_liste,1))</f>
        <v>Eksempel 1 (interval)</v>
      </c>
      <c r="G397" s="45" t="str" cm="1">
        <f t="array" ref="G397">IF(LineærRegression_Valg[[#This Row],[Indenfor range]],IF(LineærRegression_Valg[[#This Row],[Intet overlap]],INDEX(DataTitel_liste,LineærRegression_Valg[[#This Row],[Uafhængig variabel ID]]),INDEX(DataTitel_liste,IF(LineærRegression_Valg[[#This Row],[Afhængig variabel ID]]=1,2,1))),$B$7)</f>
        <v>Eksempel 2 (interval)</v>
      </c>
      <c r="H397" s="45">
        <f>_xlfn.AGGREGATE(2,5,LineærRegression_Valg[[#This Row],[Tabel ID]])</f>
        <v>1</v>
      </c>
    </row>
    <row r="398" spans="1:8" x14ac:dyDescent="0.2">
      <c r="A398">
        <f>ROW(LineærRegression_Valg[[#This Row],[Tabel ID]])-ROW(LineærRegression_Valg[[#Headers],[Tabel ID]])</f>
        <v>388</v>
      </c>
      <c r="B398" s="45">
        <f>ROUNDDOWN((LineærRegression_Valg[[#This Row],[Tabel ID]]-1)/$B$5,0)+1</f>
        <v>97</v>
      </c>
      <c r="C398" s="45">
        <f t="shared" si="6"/>
        <v>4</v>
      </c>
      <c r="D398" s="45" t="b">
        <f>LineærRegression_Valg[[#This Row],[Afhængig variabel ID]]&lt;&gt;LineærRegression_Valg[[#This Row],[Uafhængig variabel ID]]</f>
        <v>1</v>
      </c>
      <c r="E398" t="b">
        <f>LineærRegression_Valg[[#This Row],[Afhængig variabel ID]]&lt;=$B$5</f>
        <v>0</v>
      </c>
      <c r="F398" t="str" cm="1">
        <f t="array" ref="F398">IF(LineærRegression_Valg[[#This Row],[Indenfor range]],INDEX(DataTitel_liste,LineærRegression_Valg[[#This Row],[Afhængig variabel ID]]),INDEX(DataTitel_liste,1))</f>
        <v>Eksempel 1 (interval)</v>
      </c>
      <c r="G398" s="45" t="str" cm="1">
        <f t="array" ref="G398">IF(LineærRegression_Valg[[#This Row],[Indenfor range]],IF(LineærRegression_Valg[[#This Row],[Intet overlap]],INDEX(DataTitel_liste,LineærRegression_Valg[[#This Row],[Uafhængig variabel ID]]),INDEX(DataTitel_liste,IF(LineærRegression_Valg[[#This Row],[Afhængig variabel ID]]=1,2,1))),$B$7)</f>
        <v>Eksempel 2 (interval)</v>
      </c>
      <c r="H398" s="45">
        <f>_xlfn.AGGREGATE(2,5,LineærRegression_Valg[[#This Row],[Tabel ID]])</f>
        <v>1</v>
      </c>
    </row>
    <row r="399" spans="1:8" x14ac:dyDescent="0.2">
      <c r="A399">
        <f>ROW(LineærRegression_Valg[[#This Row],[Tabel ID]])-ROW(LineærRegression_Valg[[#Headers],[Tabel ID]])</f>
        <v>389</v>
      </c>
      <c r="B399" s="45">
        <f>ROUNDDOWN((LineærRegression_Valg[[#This Row],[Tabel ID]]-1)/$B$5,0)+1</f>
        <v>98</v>
      </c>
      <c r="C399" s="45">
        <f t="shared" si="6"/>
        <v>1</v>
      </c>
      <c r="D399" s="45" t="b">
        <f>LineærRegression_Valg[[#This Row],[Afhængig variabel ID]]&lt;&gt;LineærRegression_Valg[[#This Row],[Uafhængig variabel ID]]</f>
        <v>1</v>
      </c>
      <c r="E399" t="b">
        <f>LineærRegression_Valg[[#This Row],[Afhængig variabel ID]]&lt;=$B$5</f>
        <v>0</v>
      </c>
      <c r="F399" t="str" cm="1">
        <f t="array" ref="F399">IF(LineærRegression_Valg[[#This Row],[Indenfor range]],INDEX(DataTitel_liste,LineærRegression_Valg[[#This Row],[Afhængig variabel ID]]),INDEX(DataTitel_liste,1))</f>
        <v>Eksempel 1 (interval)</v>
      </c>
      <c r="G399" s="45" t="str" cm="1">
        <f t="array" ref="G399">IF(LineærRegression_Valg[[#This Row],[Indenfor range]],IF(LineærRegression_Valg[[#This Row],[Intet overlap]],INDEX(DataTitel_liste,LineærRegression_Valg[[#This Row],[Uafhængig variabel ID]]),INDEX(DataTitel_liste,IF(LineærRegression_Valg[[#This Row],[Afhængig variabel ID]]=1,2,1))),$B$7)</f>
        <v>Eksempel 2 (interval)</v>
      </c>
      <c r="H399" s="45">
        <f>_xlfn.AGGREGATE(2,5,LineærRegression_Valg[[#This Row],[Tabel ID]])</f>
        <v>1</v>
      </c>
    </row>
    <row r="400" spans="1:8" x14ac:dyDescent="0.2">
      <c r="A400">
        <f>ROW(LineærRegression_Valg[[#This Row],[Tabel ID]])-ROW(LineærRegression_Valg[[#Headers],[Tabel ID]])</f>
        <v>390</v>
      </c>
      <c r="B400" s="45">
        <f>ROUNDDOWN((LineærRegression_Valg[[#This Row],[Tabel ID]]-1)/$B$5,0)+1</f>
        <v>98</v>
      </c>
      <c r="C400" s="45">
        <f t="shared" si="6"/>
        <v>2</v>
      </c>
      <c r="D400" s="45" t="b">
        <f>LineærRegression_Valg[[#This Row],[Afhængig variabel ID]]&lt;&gt;LineærRegression_Valg[[#This Row],[Uafhængig variabel ID]]</f>
        <v>1</v>
      </c>
      <c r="E400" t="b">
        <f>LineærRegression_Valg[[#This Row],[Afhængig variabel ID]]&lt;=$B$5</f>
        <v>0</v>
      </c>
      <c r="F400" t="str" cm="1">
        <f t="array" ref="F400">IF(LineærRegression_Valg[[#This Row],[Indenfor range]],INDEX(DataTitel_liste,LineærRegression_Valg[[#This Row],[Afhængig variabel ID]]),INDEX(DataTitel_liste,1))</f>
        <v>Eksempel 1 (interval)</v>
      </c>
      <c r="G400" s="45" t="str" cm="1">
        <f t="array" ref="G400">IF(LineærRegression_Valg[[#This Row],[Indenfor range]],IF(LineærRegression_Valg[[#This Row],[Intet overlap]],INDEX(DataTitel_liste,LineærRegression_Valg[[#This Row],[Uafhængig variabel ID]]),INDEX(DataTitel_liste,IF(LineærRegression_Valg[[#This Row],[Afhængig variabel ID]]=1,2,1))),$B$7)</f>
        <v>Eksempel 2 (interval)</v>
      </c>
      <c r="H400" s="45">
        <f>_xlfn.AGGREGATE(2,5,LineærRegression_Valg[[#This Row],[Tabel ID]])</f>
        <v>1</v>
      </c>
    </row>
    <row r="401" spans="1:8" x14ac:dyDescent="0.2">
      <c r="A401">
        <f>ROW(LineærRegression_Valg[[#This Row],[Tabel ID]])-ROW(LineærRegression_Valg[[#Headers],[Tabel ID]])</f>
        <v>391</v>
      </c>
      <c r="B401" s="45">
        <f>ROUNDDOWN((LineærRegression_Valg[[#This Row],[Tabel ID]]-1)/$B$5,0)+1</f>
        <v>98</v>
      </c>
      <c r="C401" s="45">
        <f t="shared" si="6"/>
        <v>3</v>
      </c>
      <c r="D401" s="45" t="b">
        <f>LineærRegression_Valg[[#This Row],[Afhængig variabel ID]]&lt;&gt;LineærRegression_Valg[[#This Row],[Uafhængig variabel ID]]</f>
        <v>1</v>
      </c>
      <c r="E401" t="b">
        <f>LineærRegression_Valg[[#This Row],[Afhængig variabel ID]]&lt;=$B$5</f>
        <v>0</v>
      </c>
      <c r="F401" t="str" cm="1">
        <f t="array" ref="F401">IF(LineærRegression_Valg[[#This Row],[Indenfor range]],INDEX(DataTitel_liste,LineærRegression_Valg[[#This Row],[Afhængig variabel ID]]),INDEX(DataTitel_liste,1))</f>
        <v>Eksempel 1 (interval)</v>
      </c>
      <c r="G401" s="45" t="str" cm="1">
        <f t="array" ref="G401">IF(LineærRegression_Valg[[#This Row],[Indenfor range]],IF(LineærRegression_Valg[[#This Row],[Intet overlap]],INDEX(DataTitel_liste,LineærRegression_Valg[[#This Row],[Uafhængig variabel ID]]),INDEX(DataTitel_liste,IF(LineærRegression_Valg[[#This Row],[Afhængig variabel ID]]=1,2,1))),$B$7)</f>
        <v>Eksempel 2 (interval)</v>
      </c>
      <c r="H401" s="45">
        <f>_xlfn.AGGREGATE(2,5,LineærRegression_Valg[[#This Row],[Tabel ID]])</f>
        <v>1</v>
      </c>
    </row>
    <row r="402" spans="1:8" x14ac:dyDescent="0.2">
      <c r="A402">
        <f>ROW(LineærRegression_Valg[[#This Row],[Tabel ID]])-ROW(LineærRegression_Valg[[#Headers],[Tabel ID]])</f>
        <v>392</v>
      </c>
      <c r="B402" s="45">
        <f>ROUNDDOWN((LineærRegression_Valg[[#This Row],[Tabel ID]]-1)/$B$5,0)+1</f>
        <v>98</v>
      </c>
      <c r="C402" s="45">
        <f t="shared" si="6"/>
        <v>4</v>
      </c>
      <c r="D402" s="45" t="b">
        <f>LineærRegression_Valg[[#This Row],[Afhængig variabel ID]]&lt;&gt;LineærRegression_Valg[[#This Row],[Uafhængig variabel ID]]</f>
        <v>1</v>
      </c>
      <c r="E402" t="b">
        <f>LineærRegression_Valg[[#This Row],[Afhængig variabel ID]]&lt;=$B$5</f>
        <v>0</v>
      </c>
      <c r="F402" t="str" cm="1">
        <f t="array" ref="F402">IF(LineærRegression_Valg[[#This Row],[Indenfor range]],INDEX(DataTitel_liste,LineærRegression_Valg[[#This Row],[Afhængig variabel ID]]),INDEX(DataTitel_liste,1))</f>
        <v>Eksempel 1 (interval)</v>
      </c>
      <c r="G402" s="45" t="str" cm="1">
        <f t="array" ref="G402">IF(LineærRegression_Valg[[#This Row],[Indenfor range]],IF(LineærRegression_Valg[[#This Row],[Intet overlap]],INDEX(DataTitel_liste,LineærRegression_Valg[[#This Row],[Uafhængig variabel ID]]),INDEX(DataTitel_liste,IF(LineærRegression_Valg[[#This Row],[Afhængig variabel ID]]=1,2,1))),$B$7)</f>
        <v>Eksempel 2 (interval)</v>
      </c>
      <c r="H402" s="45">
        <f>_xlfn.AGGREGATE(2,5,LineærRegression_Valg[[#This Row],[Tabel ID]])</f>
        <v>1</v>
      </c>
    </row>
    <row r="403" spans="1:8" x14ac:dyDescent="0.2">
      <c r="A403">
        <f>ROW(LineærRegression_Valg[[#This Row],[Tabel ID]])-ROW(LineærRegression_Valg[[#Headers],[Tabel ID]])</f>
        <v>393</v>
      </c>
      <c r="B403" s="45">
        <f>ROUNDDOWN((LineærRegression_Valg[[#This Row],[Tabel ID]]-1)/$B$5,0)+1</f>
        <v>99</v>
      </c>
      <c r="C403" s="45">
        <f t="shared" si="6"/>
        <v>1</v>
      </c>
      <c r="D403" s="45" t="b">
        <f>LineærRegression_Valg[[#This Row],[Afhængig variabel ID]]&lt;&gt;LineærRegression_Valg[[#This Row],[Uafhængig variabel ID]]</f>
        <v>1</v>
      </c>
      <c r="E403" t="b">
        <f>LineærRegression_Valg[[#This Row],[Afhængig variabel ID]]&lt;=$B$5</f>
        <v>0</v>
      </c>
      <c r="F403" t="str" cm="1">
        <f t="array" ref="F403">IF(LineærRegression_Valg[[#This Row],[Indenfor range]],INDEX(DataTitel_liste,LineærRegression_Valg[[#This Row],[Afhængig variabel ID]]),INDEX(DataTitel_liste,1))</f>
        <v>Eksempel 1 (interval)</v>
      </c>
      <c r="G403" s="45" t="str" cm="1">
        <f t="array" ref="G403">IF(LineærRegression_Valg[[#This Row],[Indenfor range]],IF(LineærRegression_Valg[[#This Row],[Intet overlap]],INDEX(DataTitel_liste,LineærRegression_Valg[[#This Row],[Uafhængig variabel ID]]),INDEX(DataTitel_liste,IF(LineærRegression_Valg[[#This Row],[Afhængig variabel ID]]=1,2,1))),$B$7)</f>
        <v>Eksempel 2 (interval)</v>
      </c>
      <c r="H403" s="45">
        <f>_xlfn.AGGREGATE(2,5,LineærRegression_Valg[[#This Row],[Tabel ID]])</f>
        <v>1</v>
      </c>
    </row>
    <row r="404" spans="1:8" x14ac:dyDescent="0.2">
      <c r="A404">
        <f>ROW(LineærRegression_Valg[[#This Row],[Tabel ID]])-ROW(LineærRegression_Valg[[#Headers],[Tabel ID]])</f>
        <v>394</v>
      </c>
      <c r="B404" s="45">
        <f>ROUNDDOWN((LineærRegression_Valg[[#This Row],[Tabel ID]]-1)/$B$5,0)+1</f>
        <v>99</v>
      </c>
      <c r="C404" s="45">
        <f t="shared" si="6"/>
        <v>2</v>
      </c>
      <c r="D404" s="45" t="b">
        <f>LineærRegression_Valg[[#This Row],[Afhængig variabel ID]]&lt;&gt;LineærRegression_Valg[[#This Row],[Uafhængig variabel ID]]</f>
        <v>1</v>
      </c>
      <c r="E404" t="b">
        <f>LineærRegression_Valg[[#This Row],[Afhængig variabel ID]]&lt;=$B$5</f>
        <v>0</v>
      </c>
      <c r="F404" t="str" cm="1">
        <f t="array" ref="F404">IF(LineærRegression_Valg[[#This Row],[Indenfor range]],INDEX(DataTitel_liste,LineærRegression_Valg[[#This Row],[Afhængig variabel ID]]),INDEX(DataTitel_liste,1))</f>
        <v>Eksempel 1 (interval)</v>
      </c>
      <c r="G404" s="45" t="str" cm="1">
        <f t="array" ref="G404">IF(LineærRegression_Valg[[#This Row],[Indenfor range]],IF(LineærRegression_Valg[[#This Row],[Intet overlap]],INDEX(DataTitel_liste,LineærRegression_Valg[[#This Row],[Uafhængig variabel ID]]),INDEX(DataTitel_liste,IF(LineærRegression_Valg[[#This Row],[Afhængig variabel ID]]=1,2,1))),$B$7)</f>
        <v>Eksempel 2 (interval)</v>
      </c>
      <c r="H404" s="45">
        <f>_xlfn.AGGREGATE(2,5,LineærRegression_Valg[[#This Row],[Tabel ID]])</f>
        <v>1</v>
      </c>
    </row>
    <row r="405" spans="1:8" x14ac:dyDescent="0.2">
      <c r="A405">
        <f>ROW(LineærRegression_Valg[[#This Row],[Tabel ID]])-ROW(LineærRegression_Valg[[#Headers],[Tabel ID]])</f>
        <v>395</v>
      </c>
      <c r="B405" s="45">
        <f>ROUNDDOWN((LineærRegression_Valg[[#This Row],[Tabel ID]]-1)/$B$5,0)+1</f>
        <v>99</v>
      </c>
      <c r="C405" s="45">
        <f t="shared" si="6"/>
        <v>3</v>
      </c>
      <c r="D405" s="45" t="b">
        <f>LineærRegression_Valg[[#This Row],[Afhængig variabel ID]]&lt;&gt;LineærRegression_Valg[[#This Row],[Uafhængig variabel ID]]</f>
        <v>1</v>
      </c>
      <c r="E405" t="b">
        <f>LineærRegression_Valg[[#This Row],[Afhængig variabel ID]]&lt;=$B$5</f>
        <v>0</v>
      </c>
      <c r="F405" t="str" cm="1">
        <f t="array" ref="F405">IF(LineærRegression_Valg[[#This Row],[Indenfor range]],INDEX(DataTitel_liste,LineærRegression_Valg[[#This Row],[Afhængig variabel ID]]),INDEX(DataTitel_liste,1))</f>
        <v>Eksempel 1 (interval)</v>
      </c>
      <c r="G405" s="45" t="str" cm="1">
        <f t="array" ref="G405">IF(LineærRegression_Valg[[#This Row],[Indenfor range]],IF(LineærRegression_Valg[[#This Row],[Intet overlap]],INDEX(DataTitel_liste,LineærRegression_Valg[[#This Row],[Uafhængig variabel ID]]),INDEX(DataTitel_liste,IF(LineærRegression_Valg[[#This Row],[Afhængig variabel ID]]=1,2,1))),$B$7)</f>
        <v>Eksempel 2 (interval)</v>
      </c>
      <c r="H405" s="45">
        <f>_xlfn.AGGREGATE(2,5,LineærRegression_Valg[[#This Row],[Tabel ID]])</f>
        <v>1</v>
      </c>
    </row>
    <row r="406" spans="1:8" x14ac:dyDescent="0.2">
      <c r="A406">
        <f>ROW(LineærRegression_Valg[[#This Row],[Tabel ID]])-ROW(LineærRegression_Valg[[#Headers],[Tabel ID]])</f>
        <v>396</v>
      </c>
      <c r="B406" s="45">
        <f>ROUNDDOWN((LineærRegression_Valg[[#This Row],[Tabel ID]]-1)/$B$5,0)+1</f>
        <v>99</v>
      </c>
      <c r="C406" s="45">
        <f t="shared" si="6"/>
        <v>4</v>
      </c>
      <c r="D406" s="45" t="b">
        <f>LineærRegression_Valg[[#This Row],[Afhængig variabel ID]]&lt;&gt;LineærRegression_Valg[[#This Row],[Uafhængig variabel ID]]</f>
        <v>1</v>
      </c>
      <c r="E406" t="b">
        <f>LineærRegression_Valg[[#This Row],[Afhængig variabel ID]]&lt;=$B$5</f>
        <v>0</v>
      </c>
      <c r="F406" t="str" cm="1">
        <f t="array" ref="F406">IF(LineærRegression_Valg[[#This Row],[Indenfor range]],INDEX(DataTitel_liste,LineærRegression_Valg[[#This Row],[Afhængig variabel ID]]),INDEX(DataTitel_liste,1))</f>
        <v>Eksempel 1 (interval)</v>
      </c>
      <c r="G406" s="45" t="str" cm="1">
        <f t="array" ref="G406">IF(LineærRegression_Valg[[#This Row],[Indenfor range]],IF(LineærRegression_Valg[[#This Row],[Intet overlap]],INDEX(DataTitel_liste,LineærRegression_Valg[[#This Row],[Uafhængig variabel ID]]),INDEX(DataTitel_liste,IF(LineærRegression_Valg[[#This Row],[Afhængig variabel ID]]=1,2,1))),$B$7)</f>
        <v>Eksempel 2 (interval)</v>
      </c>
      <c r="H406" s="45">
        <f>_xlfn.AGGREGATE(2,5,LineærRegression_Valg[[#This Row],[Tabel ID]])</f>
        <v>1</v>
      </c>
    </row>
    <row r="407" spans="1:8" x14ac:dyDescent="0.2">
      <c r="A407">
        <f>ROW(LineærRegression_Valg[[#This Row],[Tabel ID]])-ROW(LineærRegression_Valg[[#Headers],[Tabel ID]])</f>
        <v>397</v>
      </c>
      <c r="B407" s="45">
        <f>ROUNDDOWN((LineærRegression_Valg[[#This Row],[Tabel ID]]-1)/$B$5,0)+1</f>
        <v>100</v>
      </c>
      <c r="C407" s="45">
        <f t="shared" si="6"/>
        <v>1</v>
      </c>
      <c r="D407" s="45" t="b">
        <f>LineærRegression_Valg[[#This Row],[Afhængig variabel ID]]&lt;&gt;LineærRegression_Valg[[#This Row],[Uafhængig variabel ID]]</f>
        <v>1</v>
      </c>
      <c r="E407" t="b">
        <f>LineærRegression_Valg[[#This Row],[Afhængig variabel ID]]&lt;=$B$5</f>
        <v>0</v>
      </c>
      <c r="F407" t="str" cm="1">
        <f t="array" ref="F407">IF(LineærRegression_Valg[[#This Row],[Indenfor range]],INDEX(DataTitel_liste,LineærRegression_Valg[[#This Row],[Afhængig variabel ID]]),INDEX(DataTitel_liste,1))</f>
        <v>Eksempel 1 (interval)</v>
      </c>
      <c r="G407" s="45" t="str" cm="1">
        <f t="array" ref="G407">IF(LineærRegression_Valg[[#This Row],[Indenfor range]],IF(LineærRegression_Valg[[#This Row],[Intet overlap]],INDEX(DataTitel_liste,LineærRegression_Valg[[#This Row],[Uafhængig variabel ID]]),INDEX(DataTitel_liste,IF(LineærRegression_Valg[[#This Row],[Afhængig variabel ID]]=1,2,1))),$B$7)</f>
        <v>Eksempel 2 (interval)</v>
      </c>
      <c r="H407" s="45">
        <f>_xlfn.AGGREGATE(2,5,LineærRegression_Valg[[#This Row],[Tabel ID]])</f>
        <v>1</v>
      </c>
    </row>
    <row r="408" spans="1:8" x14ac:dyDescent="0.2">
      <c r="A408">
        <f>ROW(LineærRegression_Valg[[#This Row],[Tabel ID]])-ROW(LineærRegression_Valg[[#Headers],[Tabel ID]])</f>
        <v>398</v>
      </c>
      <c r="B408" s="45">
        <f>ROUNDDOWN((LineærRegression_Valg[[#This Row],[Tabel ID]]-1)/$B$5,0)+1</f>
        <v>100</v>
      </c>
      <c r="C408" s="45">
        <f t="shared" si="6"/>
        <v>2</v>
      </c>
      <c r="D408" s="45" t="b">
        <f>LineærRegression_Valg[[#This Row],[Afhængig variabel ID]]&lt;&gt;LineærRegression_Valg[[#This Row],[Uafhængig variabel ID]]</f>
        <v>1</v>
      </c>
      <c r="E408" t="b">
        <f>LineærRegression_Valg[[#This Row],[Afhængig variabel ID]]&lt;=$B$5</f>
        <v>0</v>
      </c>
      <c r="F408" t="str" cm="1">
        <f t="array" ref="F408">IF(LineærRegression_Valg[[#This Row],[Indenfor range]],INDEX(DataTitel_liste,LineærRegression_Valg[[#This Row],[Afhængig variabel ID]]),INDEX(DataTitel_liste,1))</f>
        <v>Eksempel 1 (interval)</v>
      </c>
      <c r="G408" s="45" t="str" cm="1">
        <f t="array" ref="G408">IF(LineærRegression_Valg[[#This Row],[Indenfor range]],IF(LineærRegression_Valg[[#This Row],[Intet overlap]],INDEX(DataTitel_liste,LineærRegression_Valg[[#This Row],[Uafhængig variabel ID]]),INDEX(DataTitel_liste,IF(LineærRegression_Valg[[#This Row],[Afhængig variabel ID]]=1,2,1))),$B$7)</f>
        <v>Eksempel 2 (interval)</v>
      </c>
      <c r="H408" s="45">
        <f>_xlfn.AGGREGATE(2,5,LineærRegression_Valg[[#This Row],[Tabel ID]])</f>
        <v>1</v>
      </c>
    </row>
    <row r="409" spans="1:8" x14ac:dyDescent="0.2">
      <c r="A409">
        <f>ROW(LineærRegression_Valg[[#This Row],[Tabel ID]])-ROW(LineærRegression_Valg[[#Headers],[Tabel ID]])</f>
        <v>399</v>
      </c>
      <c r="B409" s="45">
        <f>ROUNDDOWN((LineærRegression_Valg[[#This Row],[Tabel ID]]-1)/$B$5,0)+1</f>
        <v>100</v>
      </c>
      <c r="C409" s="45">
        <f t="shared" si="6"/>
        <v>3</v>
      </c>
      <c r="D409" s="45" t="b">
        <f>LineærRegression_Valg[[#This Row],[Afhængig variabel ID]]&lt;&gt;LineærRegression_Valg[[#This Row],[Uafhængig variabel ID]]</f>
        <v>1</v>
      </c>
      <c r="E409" t="b">
        <f>LineærRegression_Valg[[#This Row],[Afhængig variabel ID]]&lt;=$B$5</f>
        <v>0</v>
      </c>
      <c r="F409" t="str" cm="1">
        <f t="array" ref="F409">IF(LineærRegression_Valg[[#This Row],[Indenfor range]],INDEX(DataTitel_liste,LineærRegression_Valg[[#This Row],[Afhængig variabel ID]]),INDEX(DataTitel_liste,1))</f>
        <v>Eksempel 1 (interval)</v>
      </c>
      <c r="G409" s="45" t="str" cm="1">
        <f t="array" ref="G409">IF(LineærRegression_Valg[[#This Row],[Indenfor range]],IF(LineærRegression_Valg[[#This Row],[Intet overlap]],INDEX(DataTitel_liste,LineærRegression_Valg[[#This Row],[Uafhængig variabel ID]]),INDEX(DataTitel_liste,IF(LineærRegression_Valg[[#This Row],[Afhængig variabel ID]]=1,2,1))),$B$7)</f>
        <v>Eksempel 2 (interval)</v>
      </c>
      <c r="H409" s="45">
        <f>_xlfn.AGGREGATE(2,5,LineærRegression_Valg[[#This Row],[Tabel ID]])</f>
        <v>1</v>
      </c>
    </row>
    <row r="410" spans="1:8" x14ac:dyDescent="0.2">
      <c r="A410">
        <f>ROW(LineærRegression_Valg[[#This Row],[Tabel ID]])-ROW(LineærRegression_Valg[[#Headers],[Tabel ID]])</f>
        <v>400</v>
      </c>
      <c r="B410" s="45">
        <f>ROUNDDOWN((LineærRegression_Valg[[#This Row],[Tabel ID]]-1)/$B$5,0)+1</f>
        <v>100</v>
      </c>
      <c r="C410" s="45">
        <f t="shared" si="6"/>
        <v>4</v>
      </c>
      <c r="D410" s="45" t="b">
        <f>LineærRegression_Valg[[#This Row],[Afhængig variabel ID]]&lt;&gt;LineærRegression_Valg[[#This Row],[Uafhængig variabel ID]]</f>
        <v>1</v>
      </c>
      <c r="E410" t="b">
        <f>LineærRegression_Valg[[#This Row],[Afhængig variabel ID]]&lt;=$B$5</f>
        <v>0</v>
      </c>
      <c r="F410" t="str" cm="1">
        <f t="array" ref="F410">IF(LineærRegression_Valg[[#This Row],[Indenfor range]],INDEX(DataTitel_liste,LineærRegression_Valg[[#This Row],[Afhængig variabel ID]]),INDEX(DataTitel_liste,1))</f>
        <v>Eksempel 1 (interval)</v>
      </c>
      <c r="G410" s="45" t="str" cm="1">
        <f t="array" ref="G410">IF(LineærRegression_Valg[[#This Row],[Indenfor range]],IF(LineærRegression_Valg[[#This Row],[Intet overlap]],INDEX(DataTitel_liste,LineærRegression_Valg[[#This Row],[Uafhængig variabel ID]]),INDEX(DataTitel_liste,IF(LineærRegression_Valg[[#This Row],[Afhængig variabel ID]]=1,2,1))),$B$7)</f>
        <v>Eksempel 2 (interval)</v>
      </c>
      <c r="H410" s="45">
        <f>_xlfn.AGGREGATE(2,5,LineærRegression_Valg[[#This Row],[Tabel ID]])</f>
        <v>1</v>
      </c>
    </row>
    <row r="411" spans="1:8" x14ac:dyDescent="0.2">
      <c r="A411">
        <f>ROW(LineærRegression_Valg[[#This Row],[Tabel ID]])-ROW(LineærRegression_Valg[[#Headers],[Tabel ID]])</f>
        <v>401</v>
      </c>
      <c r="B411" s="45">
        <f>ROUNDDOWN((LineærRegression_Valg[[#This Row],[Tabel ID]]-1)/$B$5,0)+1</f>
        <v>101</v>
      </c>
      <c r="C411" s="45">
        <f t="shared" si="6"/>
        <v>1</v>
      </c>
      <c r="D411" s="45" t="b">
        <f>LineærRegression_Valg[[#This Row],[Afhængig variabel ID]]&lt;&gt;LineærRegression_Valg[[#This Row],[Uafhængig variabel ID]]</f>
        <v>1</v>
      </c>
      <c r="E411" t="b">
        <f>LineærRegression_Valg[[#This Row],[Afhængig variabel ID]]&lt;=$B$5</f>
        <v>0</v>
      </c>
      <c r="F411" t="str" cm="1">
        <f t="array" ref="F411">IF(LineærRegression_Valg[[#This Row],[Indenfor range]],INDEX(DataTitel_liste,LineærRegression_Valg[[#This Row],[Afhængig variabel ID]]),INDEX(DataTitel_liste,1))</f>
        <v>Eksempel 1 (interval)</v>
      </c>
      <c r="G411" s="45" t="str" cm="1">
        <f t="array" ref="G411">IF(LineærRegression_Valg[[#This Row],[Indenfor range]],IF(LineærRegression_Valg[[#This Row],[Intet overlap]],INDEX(DataTitel_liste,LineærRegression_Valg[[#This Row],[Uafhængig variabel ID]]),INDEX(DataTitel_liste,IF(LineærRegression_Valg[[#This Row],[Afhængig variabel ID]]=1,2,1))),$B$7)</f>
        <v>Eksempel 2 (interval)</v>
      </c>
      <c r="H411" s="45">
        <f>_xlfn.AGGREGATE(2,5,LineærRegression_Valg[[#This Row],[Tabel ID]])</f>
        <v>1</v>
      </c>
    </row>
    <row r="412" spans="1:8" x14ac:dyDescent="0.2">
      <c r="A412">
        <f>ROW(LineærRegression_Valg[[#This Row],[Tabel ID]])-ROW(LineærRegression_Valg[[#Headers],[Tabel ID]])</f>
        <v>402</v>
      </c>
      <c r="B412" s="45">
        <f>ROUNDDOWN((LineærRegression_Valg[[#This Row],[Tabel ID]]-1)/$B$5,0)+1</f>
        <v>101</v>
      </c>
      <c r="C412" s="45">
        <f t="shared" si="6"/>
        <v>2</v>
      </c>
      <c r="D412" s="45" t="b">
        <f>LineærRegression_Valg[[#This Row],[Afhængig variabel ID]]&lt;&gt;LineærRegression_Valg[[#This Row],[Uafhængig variabel ID]]</f>
        <v>1</v>
      </c>
      <c r="E412" t="b">
        <f>LineærRegression_Valg[[#This Row],[Afhængig variabel ID]]&lt;=$B$5</f>
        <v>0</v>
      </c>
      <c r="F412" t="str" cm="1">
        <f t="array" ref="F412">IF(LineærRegression_Valg[[#This Row],[Indenfor range]],INDEX(DataTitel_liste,LineærRegression_Valg[[#This Row],[Afhængig variabel ID]]),INDEX(DataTitel_liste,1))</f>
        <v>Eksempel 1 (interval)</v>
      </c>
      <c r="G412" s="45" t="str" cm="1">
        <f t="array" ref="G412">IF(LineærRegression_Valg[[#This Row],[Indenfor range]],IF(LineærRegression_Valg[[#This Row],[Intet overlap]],INDEX(DataTitel_liste,LineærRegression_Valg[[#This Row],[Uafhængig variabel ID]]),INDEX(DataTitel_liste,IF(LineærRegression_Valg[[#This Row],[Afhængig variabel ID]]=1,2,1))),$B$7)</f>
        <v>Eksempel 2 (interval)</v>
      </c>
      <c r="H412" s="45">
        <f>_xlfn.AGGREGATE(2,5,LineærRegression_Valg[[#This Row],[Tabel ID]])</f>
        <v>1</v>
      </c>
    </row>
    <row r="413" spans="1:8" x14ac:dyDescent="0.2">
      <c r="A413">
        <f>ROW(LineærRegression_Valg[[#This Row],[Tabel ID]])-ROW(LineærRegression_Valg[[#Headers],[Tabel ID]])</f>
        <v>403</v>
      </c>
      <c r="B413" s="45">
        <f>ROUNDDOWN((LineærRegression_Valg[[#This Row],[Tabel ID]]-1)/$B$5,0)+1</f>
        <v>101</v>
      </c>
      <c r="C413" s="45">
        <f t="shared" si="6"/>
        <v>3</v>
      </c>
      <c r="D413" s="45" t="b">
        <f>LineærRegression_Valg[[#This Row],[Afhængig variabel ID]]&lt;&gt;LineærRegression_Valg[[#This Row],[Uafhængig variabel ID]]</f>
        <v>1</v>
      </c>
      <c r="E413" t="b">
        <f>LineærRegression_Valg[[#This Row],[Afhængig variabel ID]]&lt;=$B$5</f>
        <v>0</v>
      </c>
      <c r="F413" t="str" cm="1">
        <f t="array" ref="F413">IF(LineærRegression_Valg[[#This Row],[Indenfor range]],INDEX(DataTitel_liste,LineærRegression_Valg[[#This Row],[Afhængig variabel ID]]),INDEX(DataTitel_liste,1))</f>
        <v>Eksempel 1 (interval)</v>
      </c>
      <c r="G413" s="45" t="str" cm="1">
        <f t="array" ref="G413">IF(LineærRegression_Valg[[#This Row],[Indenfor range]],IF(LineærRegression_Valg[[#This Row],[Intet overlap]],INDEX(DataTitel_liste,LineærRegression_Valg[[#This Row],[Uafhængig variabel ID]]),INDEX(DataTitel_liste,IF(LineærRegression_Valg[[#This Row],[Afhængig variabel ID]]=1,2,1))),$B$7)</f>
        <v>Eksempel 2 (interval)</v>
      </c>
      <c r="H413" s="45">
        <f>_xlfn.AGGREGATE(2,5,LineærRegression_Valg[[#This Row],[Tabel ID]])</f>
        <v>1</v>
      </c>
    </row>
    <row r="414" spans="1:8" x14ac:dyDescent="0.2">
      <c r="A414">
        <f>ROW(LineærRegression_Valg[[#This Row],[Tabel ID]])-ROW(LineærRegression_Valg[[#Headers],[Tabel ID]])</f>
        <v>404</v>
      </c>
      <c r="B414" s="45">
        <f>ROUNDDOWN((LineærRegression_Valg[[#This Row],[Tabel ID]]-1)/$B$5,0)+1</f>
        <v>101</v>
      </c>
      <c r="C414" s="45">
        <f t="shared" si="6"/>
        <v>4</v>
      </c>
      <c r="D414" s="45" t="b">
        <f>LineærRegression_Valg[[#This Row],[Afhængig variabel ID]]&lt;&gt;LineærRegression_Valg[[#This Row],[Uafhængig variabel ID]]</f>
        <v>1</v>
      </c>
      <c r="E414" t="b">
        <f>LineærRegression_Valg[[#This Row],[Afhængig variabel ID]]&lt;=$B$5</f>
        <v>0</v>
      </c>
      <c r="F414" t="str" cm="1">
        <f t="array" ref="F414">IF(LineærRegression_Valg[[#This Row],[Indenfor range]],INDEX(DataTitel_liste,LineærRegression_Valg[[#This Row],[Afhængig variabel ID]]),INDEX(DataTitel_liste,1))</f>
        <v>Eksempel 1 (interval)</v>
      </c>
      <c r="G414" s="45" t="str" cm="1">
        <f t="array" ref="G414">IF(LineærRegression_Valg[[#This Row],[Indenfor range]],IF(LineærRegression_Valg[[#This Row],[Intet overlap]],INDEX(DataTitel_liste,LineærRegression_Valg[[#This Row],[Uafhængig variabel ID]]),INDEX(DataTitel_liste,IF(LineærRegression_Valg[[#This Row],[Afhængig variabel ID]]=1,2,1))),$B$7)</f>
        <v>Eksempel 2 (interval)</v>
      </c>
      <c r="H414" s="45">
        <f>_xlfn.AGGREGATE(2,5,LineærRegression_Valg[[#This Row],[Tabel ID]])</f>
        <v>1</v>
      </c>
    </row>
    <row r="415" spans="1:8" x14ac:dyDescent="0.2">
      <c r="A415">
        <f>ROW(LineærRegression_Valg[[#This Row],[Tabel ID]])-ROW(LineærRegression_Valg[[#Headers],[Tabel ID]])</f>
        <v>405</v>
      </c>
      <c r="B415" s="45">
        <f>ROUNDDOWN((LineærRegression_Valg[[#This Row],[Tabel ID]]-1)/$B$5,0)+1</f>
        <v>102</v>
      </c>
      <c r="C415" s="45">
        <f t="shared" si="6"/>
        <v>1</v>
      </c>
      <c r="D415" s="45" t="b">
        <f>LineærRegression_Valg[[#This Row],[Afhængig variabel ID]]&lt;&gt;LineærRegression_Valg[[#This Row],[Uafhængig variabel ID]]</f>
        <v>1</v>
      </c>
      <c r="E415" t="b">
        <f>LineærRegression_Valg[[#This Row],[Afhængig variabel ID]]&lt;=$B$5</f>
        <v>0</v>
      </c>
      <c r="F415" t="str" cm="1">
        <f t="array" ref="F415">IF(LineærRegression_Valg[[#This Row],[Indenfor range]],INDEX(DataTitel_liste,LineærRegression_Valg[[#This Row],[Afhængig variabel ID]]),INDEX(DataTitel_liste,1))</f>
        <v>Eksempel 1 (interval)</v>
      </c>
      <c r="G415" s="45" t="str" cm="1">
        <f t="array" ref="G415">IF(LineærRegression_Valg[[#This Row],[Indenfor range]],IF(LineærRegression_Valg[[#This Row],[Intet overlap]],INDEX(DataTitel_liste,LineærRegression_Valg[[#This Row],[Uafhængig variabel ID]]),INDEX(DataTitel_liste,IF(LineærRegression_Valg[[#This Row],[Afhængig variabel ID]]=1,2,1))),$B$7)</f>
        <v>Eksempel 2 (interval)</v>
      </c>
      <c r="H415" s="45">
        <f>_xlfn.AGGREGATE(2,5,LineærRegression_Valg[[#This Row],[Tabel ID]])</f>
        <v>1</v>
      </c>
    </row>
    <row r="416" spans="1:8" x14ac:dyDescent="0.2">
      <c r="A416">
        <f>ROW(LineærRegression_Valg[[#This Row],[Tabel ID]])-ROW(LineærRegression_Valg[[#Headers],[Tabel ID]])</f>
        <v>406</v>
      </c>
      <c r="B416" s="45">
        <f>ROUNDDOWN((LineærRegression_Valg[[#This Row],[Tabel ID]]-1)/$B$5,0)+1</f>
        <v>102</v>
      </c>
      <c r="C416" s="45">
        <f t="shared" si="6"/>
        <v>2</v>
      </c>
      <c r="D416" s="45" t="b">
        <f>LineærRegression_Valg[[#This Row],[Afhængig variabel ID]]&lt;&gt;LineærRegression_Valg[[#This Row],[Uafhængig variabel ID]]</f>
        <v>1</v>
      </c>
      <c r="E416" t="b">
        <f>LineærRegression_Valg[[#This Row],[Afhængig variabel ID]]&lt;=$B$5</f>
        <v>0</v>
      </c>
      <c r="F416" t="str" cm="1">
        <f t="array" ref="F416">IF(LineærRegression_Valg[[#This Row],[Indenfor range]],INDEX(DataTitel_liste,LineærRegression_Valg[[#This Row],[Afhængig variabel ID]]),INDEX(DataTitel_liste,1))</f>
        <v>Eksempel 1 (interval)</v>
      </c>
      <c r="G416" s="45" t="str" cm="1">
        <f t="array" ref="G416">IF(LineærRegression_Valg[[#This Row],[Indenfor range]],IF(LineærRegression_Valg[[#This Row],[Intet overlap]],INDEX(DataTitel_liste,LineærRegression_Valg[[#This Row],[Uafhængig variabel ID]]),INDEX(DataTitel_liste,IF(LineærRegression_Valg[[#This Row],[Afhængig variabel ID]]=1,2,1))),$B$7)</f>
        <v>Eksempel 2 (interval)</v>
      </c>
      <c r="H416" s="45">
        <f>_xlfn.AGGREGATE(2,5,LineærRegression_Valg[[#This Row],[Tabel ID]])</f>
        <v>1</v>
      </c>
    </row>
    <row r="417" spans="1:8" x14ac:dyDescent="0.2">
      <c r="A417">
        <f>ROW(LineærRegression_Valg[[#This Row],[Tabel ID]])-ROW(LineærRegression_Valg[[#Headers],[Tabel ID]])</f>
        <v>407</v>
      </c>
      <c r="B417" s="45">
        <f>ROUNDDOWN((LineærRegression_Valg[[#This Row],[Tabel ID]]-1)/$B$5,0)+1</f>
        <v>102</v>
      </c>
      <c r="C417" s="45">
        <f t="shared" si="6"/>
        <v>3</v>
      </c>
      <c r="D417" s="45" t="b">
        <f>LineærRegression_Valg[[#This Row],[Afhængig variabel ID]]&lt;&gt;LineærRegression_Valg[[#This Row],[Uafhængig variabel ID]]</f>
        <v>1</v>
      </c>
      <c r="E417" t="b">
        <f>LineærRegression_Valg[[#This Row],[Afhængig variabel ID]]&lt;=$B$5</f>
        <v>0</v>
      </c>
      <c r="F417" t="str" cm="1">
        <f t="array" ref="F417">IF(LineærRegression_Valg[[#This Row],[Indenfor range]],INDEX(DataTitel_liste,LineærRegression_Valg[[#This Row],[Afhængig variabel ID]]),INDEX(DataTitel_liste,1))</f>
        <v>Eksempel 1 (interval)</v>
      </c>
      <c r="G417" s="45" t="str" cm="1">
        <f t="array" ref="G417">IF(LineærRegression_Valg[[#This Row],[Indenfor range]],IF(LineærRegression_Valg[[#This Row],[Intet overlap]],INDEX(DataTitel_liste,LineærRegression_Valg[[#This Row],[Uafhængig variabel ID]]),INDEX(DataTitel_liste,IF(LineærRegression_Valg[[#This Row],[Afhængig variabel ID]]=1,2,1))),$B$7)</f>
        <v>Eksempel 2 (interval)</v>
      </c>
      <c r="H417" s="45">
        <f>_xlfn.AGGREGATE(2,5,LineærRegression_Valg[[#This Row],[Tabel ID]])</f>
        <v>1</v>
      </c>
    </row>
    <row r="418" spans="1:8" x14ac:dyDescent="0.2">
      <c r="A418">
        <f>ROW(LineærRegression_Valg[[#This Row],[Tabel ID]])-ROW(LineærRegression_Valg[[#Headers],[Tabel ID]])</f>
        <v>408</v>
      </c>
      <c r="B418" s="45">
        <f>ROUNDDOWN((LineærRegression_Valg[[#This Row],[Tabel ID]]-1)/$B$5,0)+1</f>
        <v>102</v>
      </c>
      <c r="C418" s="45">
        <f t="shared" si="6"/>
        <v>4</v>
      </c>
      <c r="D418" s="45" t="b">
        <f>LineærRegression_Valg[[#This Row],[Afhængig variabel ID]]&lt;&gt;LineærRegression_Valg[[#This Row],[Uafhængig variabel ID]]</f>
        <v>1</v>
      </c>
      <c r="E418" t="b">
        <f>LineærRegression_Valg[[#This Row],[Afhængig variabel ID]]&lt;=$B$5</f>
        <v>0</v>
      </c>
      <c r="F418" t="str" cm="1">
        <f t="array" ref="F418">IF(LineærRegression_Valg[[#This Row],[Indenfor range]],INDEX(DataTitel_liste,LineærRegression_Valg[[#This Row],[Afhængig variabel ID]]),INDEX(DataTitel_liste,1))</f>
        <v>Eksempel 1 (interval)</v>
      </c>
      <c r="G418" s="45" t="str" cm="1">
        <f t="array" ref="G418">IF(LineærRegression_Valg[[#This Row],[Indenfor range]],IF(LineærRegression_Valg[[#This Row],[Intet overlap]],INDEX(DataTitel_liste,LineærRegression_Valg[[#This Row],[Uafhængig variabel ID]]),INDEX(DataTitel_liste,IF(LineærRegression_Valg[[#This Row],[Afhængig variabel ID]]=1,2,1))),$B$7)</f>
        <v>Eksempel 2 (interval)</v>
      </c>
      <c r="H418" s="45">
        <f>_xlfn.AGGREGATE(2,5,LineærRegression_Valg[[#This Row],[Tabel ID]])</f>
        <v>1</v>
      </c>
    </row>
    <row r="419" spans="1:8" x14ac:dyDescent="0.2">
      <c r="A419">
        <f>ROW(LineærRegression_Valg[[#This Row],[Tabel ID]])-ROW(LineærRegression_Valg[[#Headers],[Tabel ID]])</f>
        <v>409</v>
      </c>
      <c r="B419" s="45">
        <f>ROUNDDOWN((LineærRegression_Valg[[#This Row],[Tabel ID]]-1)/$B$5,0)+1</f>
        <v>103</v>
      </c>
      <c r="C419" s="45">
        <f t="shared" si="6"/>
        <v>1</v>
      </c>
      <c r="D419" s="45" t="b">
        <f>LineærRegression_Valg[[#This Row],[Afhængig variabel ID]]&lt;&gt;LineærRegression_Valg[[#This Row],[Uafhængig variabel ID]]</f>
        <v>1</v>
      </c>
      <c r="E419" t="b">
        <f>LineærRegression_Valg[[#This Row],[Afhængig variabel ID]]&lt;=$B$5</f>
        <v>0</v>
      </c>
      <c r="F419" t="str" cm="1">
        <f t="array" ref="F419">IF(LineærRegression_Valg[[#This Row],[Indenfor range]],INDEX(DataTitel_liste,LineærRegression_Valg[[#This Row],[Afhængig variabel ID]]),INDEX(DataTitel_liste,1))</f>
        <v>Eksempel 1 (interval)</v>
      </c>
      <c r="G419" s="45" t="str" cm="1">
        <f t="array" ref="G419">IF(LineærRegression_Valg[[#This Row],[Indenfor range]],IF(LineærRegression_Valg[[#This Row],[Intet overlap]],INDEX(DataTitel_liste,LineærRegression_Valg[[#This Row],[Uafhængig variabel ID]]),INDEX(DataTitel_liste,IF(LineærRegression_Valg[[#This Row],[Afhængig variabel ID]]=1,2,1))),$B$7)</f>
        <v>Eksempel 2 (interval)</v>
      </c>
      <c r="H419" s="45">
        <f>_xlfn.AGGREGATE(2,5,LineærRegression_Valg[[#This Row],[Tabel ID]])</f>
        <v>1</v>
      </c>
    </row>
    <row r="420" spans="1:8" x14ac:dyDescent="0.2">
      <c r="A420">
        <f>ROW(LineærRegression_Valg[[#This Row],[Tabel ID]])-ROW(LineærRegression_Valg[[#Headers],[Tabel ID]])</f>
        <v>410</v>
      </c>
      <c r="B420" s="45">
        <f>ROUNDDOWN((LineærRegression_Valg[[#This Row],[Tabel ID]]-1)/$B$5,0)+1</f>
        <v>103</v>
      </c>
      <c r="C420" s="45">
        <f t="shared" si="6"/>
        <v>2</v>
      </c>
      <c r="D420" s="45" t="b">
        <f>LineærRegression_Valg[[#This Row],[Afhængig variabel ID]]&lt;&gt;LineærRegression_Valg[[#This Row],[Uafhængig variabel ID]]</f>
        <v>1</v>
      </c>
      <c r="E420" t="b">
        <f>LineærRegression_Valg[[#This Row],[Afhængig variabel ID]]&lt;=$B$5</f>
        <v>0</v>
      </c>
      <c r="F420" t="str" cm="1">
        <f t="array" ref="F420">IF(LineærRegression_Valg[[#This Row],[Indenfor range]],INDEX(DataTitel_liste,LineærRegression_Valg[[#This Row],[Afhængig variabel ID]]),INDEX(DataTitel_liste,1))</f>
        <v>Eksempel 1 (interval)</v>
      </c>
      <c r="G420" s="45" t="str" cm="1">
        <f t="array" ref="G420">IF(LineærRegression_Valg[[#This Row],[Indenfor range]],IF(LineærRegression_Valg[[#This Row],[Intet overlap]],INDEX(DataTitel_liste,LineærRegression_Valg[[#This Row],[Uafhængig variabel ID]]),INDEX(DataTitel_liste,IF(LineærRegression_Valg[[#This Row],[Afhængig variabel ID]]=1,2,1))),$B$7)</f>
        <v>Eksempel 2 (interval)</v>
      </c>
      <c r="H420" s="45">
        <f>_xlfn.AGGREGATE(2,5,LineærRegression_Valg[[#This Row],[Tabel ID]])</f>
        <v>1</v>
      </c>
    </row>
    <row r="421" spans="1:8" x14ac:dyDescent="0.2">
      <c r="A421">
        <f>ROW(LineærRegression_Valg[[#This Row],[Tabel ID]])-ROW(LineærRegression_Valg[[#Headers],[Tabel ID]])</f>
        <v>411</v>
      </c>
      <c r="B421" s="45">
        <f>ROUNDDOWN((LineærRegression_Valg[[#This Row],[Tabel ID]]-1)/$B$5,0)+1</f>
        <v>103</v>
      </c>
      <c r="C421" s="45">
        <f t="shared" si="6"/>
        <v>3</v>
      </c>
      <c r="D421" s="45" t="b">
        <f>LineærRegression_Valg[[#This Row],[Afhængig variabel ID]]&lt;&gt;LineærRegression_Valg[[#This Row],[Uafhængig variabel ID]]</f>
        <v>1</v>
      </c>
      <c r="E421" t="b">
        <f>LineærRegression_Valg[[#This Row],[Afhængig variabel ID]]&lt;=$B$5</f>
        <v>0</v>
      </c>
      <c r="F421" t="str" cm="1">
        <f t="array" ref="F421">IF(LineærRegression_Valg[[#This Row],[Indenfor range]],INDEX(DataTitel_liste,LineærRegression_Valg[[#This Row],[Afhængig variabel ID]]),INDEX(DataTitel_liste,1))</f>
        <v>Eksempel 1 (interval)</v>
      </c>
      <c r="G421" s="45" t="str" cm="1">
        <f t="array" ref="G421">IF(LineærRegression_Valg[[#This Row],[Indenfor range]],IF(LineærRegression_Valg[[#This Row],[Intet overlap]],INDEX(DataTitel_liste,LineærRegression_Valg[[#This Row],[Uafhængig variabel ID]]),INDEX(DataTitel_liste,IF(LineærRegression_Valg[[#This Row],[Afhængig variabel ID]]=1,2,1))),$B$7)</f>
        <v>Eksempel 2 (interval)</v>
      </c>
      <c r="H421" s="45">
        <f>_xlfn.AGGREGATE(2,5,LineærRegression_Valg[[#This Row],[Tabel ID]])</f>
        <v>1</v>
      </c>
    </row>
    <row r="422" spans="1:8" x14ac:dyDescent="0.2">
      <c r="A422">
        <f>ROW(LineærRegression_Valg[[#This Row],[Tabel ID]])-ROW(LineærRegression_Valg[[#Headers],[Tabel ID]])</f>
        <v>412</v>
      </c>
      <c r="B422" s="45">
        <f>ROUNDDOWN((LineærRegression_Valg[[#This Row],[Tabel ID]]-1)/$B$5,0)+1</f>
        <v>103</v>
      </c>
      <c r="C422" s="45">
        <f t="shared" si="6"/>
        <v>4</v>
      </c>
      <c r="D422" s="45" t="b">
        <f>LineærRegression_Valg[[#This Row],[Afhængig variabel ID]]&lt;&gt;LineærRegression_Valg[[#This Row],[Uafhængig variabel ID]]</f>
        <v>1</v>
      </c>
      <c r="E422" t="b">
        <f>LineærRegression_Valg[[#This Row],[Afhængig variabel ID]]&lt;=$B$5</f>
        <v>0</v>
      </c>
      <c r="F422" t="str" cm="1">
        <f t="array" ref="F422">IF(LineærRegression_Valg[[#This Row],[Indenfor range]],INDEX(DataTitel_liste,LineærRegression_Valg[[#This Row],[Afhængig variabel ID]]),INDEX(DataTitel_liste,1))</f>
        <v>Eksempel 1 (interval)</v>
      </c>
      <c r="G422" s="45" t="str" cm="1">
        <f t="array" ref="G422">IF(LineærRegression_Valg[[#This Row],[Indenfor range]],IF(LineærRegression_Valg[[#This Row],[Intet overlap]],INDEX(DataTitel_liste,LineærRegression_Valg[[#This Row],[Uafhængig variabel ID]]),INDEX(DataTitel_liste,IF(LineærRegression_Valg[[#This Row],[Afhængig variabel ID]]=1,2,1))),$B$7)</f>
        <v>Eksempel 2 (interval)</v>
      </c>
      <c r="H422" s="45">
        <f>_xlfn.AGGREGATE(2,5,LineærRegression_Valg[[#This Row],[Tabel ID]])</f>
        <v>1</v>
      </c>
    </row>
    <row r="423" spans="1:8" x14ac:dyDescent="0.2">
      <c r="A423">
        <f>ROW(LineærRegression_Valg[[#This Row],[Tabel ID]])-ROW(LineærRegression_Valg[[#Headers],[Tabel ID]])</f>
        <v>413</v>
      </c>
      <c r="B423" s="45">
        <f>ROUNDDOWN((LineærRegression_Valg[[#This Row],[Tabel ID]]-1)/$B$5,0)+1</f>
        <v>104</v>
      </c>
      <c r="C423" s="45">
        <f t="shared" si="6"/>
        <v>1</v>
      </c>
      <c r="D423" s="45" t="b">
        <f>LineærRegression_Valg[[#This Row],[Afhængig variabel ID]]&lt;&gt;LineærRegression_Valg[[#This Row],[Uafhængig variabel ID]]</f>
        <v>1</v>
      </c>
      <c r="E423" t="b">
        <f>LineærRegression_Valg[[#This Row],[Afhængig variabel ID]]&lt;=$B$5</f>
        <v>0</v>
      </c>
      <c r="F423" t="str" cm="1">
        <f t="array" ref="F423">IF(LineærRegression_Valg[[#This Row],[Indenfor range]],INDEX(DataTitel_liste,LineærRegression_Valg[[#This Row],[Afhængig variabel ID]]),INDEX(DataTitel_liste,1))</f>
        <v>Eksempel 1 (interval)</v>
      </c>
      <c r="G423" s="45" t="str" cm="1">
        <f t="array" ref="G423">IF(LineærRegression_Valg[[#This Row],[Indenfor range]],IF(LineærRegression_Valg[[#This Row],[Intet overlap]],INDEX(DataTitel_liste,LineærRegression_Valg[[#This Row],[Uafhængig variabel ID]]),INDEX(DataTitel_liste,IF(LineærRegression_Valg[[#This Row],[Afhængig variabel ID]]=1,2,1))),$B$7)</f>
        <v>Eksempel 2 (interval)</v>
      </c>
      <c r="H423" s="45">
        <f>_xlfn.AGGREGATE(2,5,LineærRegression_Valg[[#This Row],[Tabel ID]])</f>
        <v>1</v>
      </c>
    </row>
    <row r="424" spans="1:8" x14ac:dyDescent="0.2">
      <c r="A424">
        <f>ROW(LineærRegression_Valg[[#This Row],[Tabel ID]])-ROW(LineærRegression_Valg[[#Headers],[Tabel ID]])</f>
        <v>414</v>
      </c>
      <c r="B424" s="45">
        <f>ROUNDDOWN((LineærRegression_Valg[[#This Row],[Tabel ID]]-1)/$B$5,0)+1</f>
        <v>104</v>
      </c>
      <c r="C424" s="45">
        <f t="shared" si="6"/>
        <v>2</v>
      </c>
      <c r="D424" s="45" t="b">
        <f>LineærRegression_Valg[[#This Row],[Afhængig variabel ID]]&lt;&gt;LineærRegression_Valg[[#This Row],[Uafhængig variabel ID]]</f>
        <v>1</v>
      </c>
      <c r="E424" t="b">
        <f>LineærRegression_Valg[[#This Row],[Afhængig variabel ID]]&lt;=$B$5</f>
        <v>0</v>
      </c>
      <c r="F424" t="str" cm="1">
        <f t="array" ref="F424">IF(LineærRegression_Valg[[#This Row],[Indenfor range]],INDEX(DataTitel_liste,LineærRegression_Valg[[#This Row],[Afhængig variabel ID]]),INDEX(DataTitel_liste,1))</f>
        <v>Eksempel 1 (interval)</v>
      </c>
      <c r="G424" s="45" t="str" cm="1">
        <f t="array" ref="G424">IF(LineærRegression_Valg[[#This Row],[Indenfor range]],IF(LineærRegression_Valg[[#This Row],[Intet overlap]],INDEX(DataTitel_liste,LineærRegression_Valg[[#This Row],[Uafhængig variabel ID]]),INDEX(DataTitel_liste,IF(LineærRegression_Valg[[#This Row],[Afhængig variabel ID]]=1,2,1))),$B$7)</f>
        <v>Eksempel 2 (interval)</v>
      </c>
      <c r="H424" s="45">
        <f>_xlfn.AGGREGATE(2,5,LineærRegression_Valg[[#This Row],[Tabel ID]])</f>
        <v>1</v>
      </c>
    </row>
    <row r="425" spans="1:8" x14ac:dyDescent="0.2">
      <c r="A425">
        <f>ROW(LineærRegression_Valg[[#This Row],[Tabel ID]])-ROW(LineærRegression_Valg[[#Headers],[Tabel ID]])</f>
        <v>415</v>
      </c>
      <c r="B425" s="45">
        <f>ROUNDDOWN((LineærRegression_Valg[[#This Row],[Tabel ID]]-1)/$B$5,0)+1</f>
        <v>104</v>
      </c>
      <c r="C425" s="45">
        <f t="shared" si="6"/>
        <v>3</v>
      </c>
      <c r="D425" s="45" t="b">
        <f>LineærRegression_Valg[[#This Row],[Afhængig variabel ID]]&lt;&gt;LineærRegression_Valg[[#This Row],[Uafhængig variabel ID]]</f>
        <v>1</v>
      </c>
      <c r="E425" t="b">
        <f>LineærRegression_Valg[[#This Row],[Afhængig variabel ID]]&lt;=$B$5</f>
        <v>0</v>
      </c>
      <c r="F425" t="str" cm="1">
        <f t="array" ref="F425">IF(LineærRegression_Valg[[#This Row],[Indenfor range]],INDEX(DataTitel_liste,LineærRegression_Valg[[#This Row],[Afhængig variabel ID]]),INDEX(DataTitel_liste,1))</f>
        <v>Eksempel 1 (interval)</v>
      </c>
      <c r="G425" s="45" t="str" cm="1">
        <f t="array" ref="G425">IF(LineærRegression_Valg[[#This Row],[Indenfor range]],IF(LineærRegression_Valg[[#This Row],[Intet overlap]],INDEX(DataTitel_liste,LineærRegression_Valg[[#This Row],[Uafhængig variabel ID]]),INDEX(DataTitel_liste,IF(LineærRegression_Valg[[#This Row],[Afhængig variabel ID]]=1,2,1))),$B$7)</f>
        <v>Eksempel 2 (interval)</v>
      </c>
      <c r="H425" s="45">
        <f>_xlfn.AGGREGATE(2,5,LineærRegression_Valg[[#This Row],[Tabel ID]])</f>
        <v>1</v>
      </c>
    </row>
    <row r="426" spans="1:8" x14ac:dyDescent="0.2">
      <c r="A426">
        <f>ROW(LineærRegression_Valg[[#This Row],[Tabel ID]])-ROW(LineærRegression_Valg[[#Headers],[Tabel ID]])</f>
        <v>416</v>
      </c>
      <c r="B426" s="45">
        <f>ROUNDDOWN((LineærRegression_Valg[[#This Row],[Tabel ID]]-1)/$B$5,0)+1</f>
        <v>104</v>
      </c>
      <c r="C426" s="45">
        <f t="shared" si="6"/>
        <v>4</v>
      </c>
      <c r="D426" s="45" t="b">
        <f>LineærRegression_Valg[[#This Row],[Afhængig variabel ID]]&lt;&gt;LineærRegression_Valg[[#This Row],[Uafhængig variabel ID]]</f>
        <v>1</v>
      </c>
      <c r="E426" t="b">
        <f>LineærRegression_Valg[[#This Row],[Afhængig variabel ID]]&lt;=$B$5</f>
        <v>0</v>
      </c>
      <c r="F426" t="str" cm="1">
        <f t="array" ref="F426">IF(LineærRegression_Valg[[#This Row],[Indenfor range]],INDEX(DataTitel_liste,LineærRegression_Valg[[#This Row],[Afhængig variabel ID]]),INDEX(DataTitel_liste,1))</f>
        <v>Eksempel 1 (interval)</v>
      </c>
      <c r="G426" s="45" t="str" cm="1">
        <f t="array" ref="G426">IF(LineærRegression_Valg[[#This Row],[Indenfor range]],IF(LineærRegression_Valg[[#This Row],[Intet overlap]],INDEX(DataTitel_liste,LineærRegression_Valg[[#This Row],[Uafhængig variabel ID]]),INDEX(DataTitel_liste,IF(LineærRegression_Valg[[#This Row],[Afhængig variabel ID]]=1,2,1))),$B$7)</f>
        <v>Eksempel 2 (interval)</v>
      </c>
      <c r="H426" s="45">
        <f>_xlfn.AGGREGATE(2,5,LineærRegression_Valg[[#This Row],[Tabel ID]])</f>
        <v>1</v>
      </c>
    </row>
    <row r="427" spans="1:8" x14ac:dyDescent="0.2">
      <c r="A427">
        <f>ROW(LineærRegression_Valg[[#This Row],[Tabel ID]])-ROW(LineærRegression_Valg[[#Headers],[Tabel ID]])</f>
        <v>417</v>
      </c>
      <c r="B427" s="45">
        <f>ROUNDDOWN((LineærRegression_Valg[[#This Row],[Tabel ID]]-1)/$B$5,0)+1</f>
        <v>105</v>
      </c>
      <c r="C427" s="45">
        <f t="shared" si="6"/>
        <v>1</v>
      </c>
      <c r="D427" s="45" t="b">
        <f>LineærRegression_Valg[[#This Row],[Afhængig variabel ID]]&lt;&gt;LineærRegression_Valg[[#This Row],[Uafhængig variabel ID]]</f>
        <v>1</v>
      </c>
      <c r="E427" t="b">
        <f>LineærRegression_Valg[[#This Row],[Afhængig variabel ID]]&lt;=$B$5</f>
        <v>0</v>
      </c>
      <c r="F427" t="str" cm="1">
        <f t="array" ref="F427">IF(LineærRegression_Valg[[#This Row],[Indenfor range]],INDEX(DataTitel_liste,LineærRegression_Valg[[#This Row],[Afhængig variabel ID]]),INDEX(DataTitel_liste,1))</f>
        <v>Eksempel 1 (interval)</v>
      </c>
      <c r="G427" s="45" t="str" cm="1">
        <f t="array" ref="G427">IF(LineærRegression_Valg[[#This Row],[Indenfor range]],IF(LineærRegression_Valg[[#This Row],[Intet overlap]],INDEX(DataTitel_liste,LineærRegression_Valg[[#This Row],[Uafhængig variabel ID]]),INDEX(DataTitel_liste,IF(LineærRegression_Valg[[#This Row],[Afhængig variabel ID]]=1,2,1))),$B$7)</f>
        <v>Eksempel 2 (interval)</v>
      </c>
      <c r="H427" s="45">
        <f>_xlfn.AGGREGATE(2,5,LineærRegression_Valg[[#This Row],[Tabel ID]])</f>
        <v>1</v>
      </c>
    </row>
    <row r="428" spans="1:8" x14ac:dyDescent="0.2">
      <c r="A428">
        <f>ROW(LineærRegression_Valg[[#This Row],[Tabel ID]])-ROW(LineærRegression_Valg[[#Headers],[Tabel ID]])</f>
        <v>418</v>
      </c>
      <c r="B428" s="45">
        <f>ROUNDDOWN((LineærRegression_Valg[[#This Row],[Tabel ID]]-1)/$B$5,0)+1</f>
        <v>105</v>
      </c>
      <c r="C428" s="45">
        <f t="shared" si="6"/>
        <v>2</v>
      </c>
      <c r="D428" s="45" t="b">
        <f>LineærRegression_Valg[[#This Row],[Afhængig variabel ID]]&lt;&gt;LineærRegression_Valg[[#This Row],[Uafhængig variabel ID]]</f>
        <v>1</v>
      </c>
      <c r="E428" t="b">
        <f>LineærRegression_Valg[[#This Row],[Afhængig variabel ID]]&lt;=$B$5</f>
        <v>0</v>
      </c>
      <c r="F428" t="str" cm="1">
        <f t="array" ref="F428">IF(LineærRegression_Valg[[#This Row],[Indenfor range]],INDEX(DataTitel_liste,LineærRegression_Valg[[#This Row],[Afhængig variabel ID]]),INDEX(DataTitel_liste,1))</f>
        <v>Eksempel 1 (interval)</v>
      </c>
      <c r="G428" s="45" t="str" cm="1">
        <f t="array" ref="G428">IF(LineærRegression_Valg[[#This Row],[Indenfor range]],IF(LineærRegression_Valg[[#This Row],[Intet overlap]],INDEX(DataTitel_liste,LineærRegression_Valg[[#This Row],[Uafhængig variabel ID]]),INDEX(DataTitel_liste,IF(LineærRegression_Valg[[#This Row],[Afhængig variabel ID]]=1,2,1))),$B$7)</f>
        <v>Eksempel 2 (interval)</v>
      </c>
      <c r="H428" s="45">
        <f>_xlfn.AGGREGATE(2,5,LineærRegression_Valg[[#This Row],[Tabel ID]])</f>
        <v>1</v>
      </c>
    </row>
    <row r="429" spans="1:8" x14ac:dyDescent="0.2">
      <c r="A429">
        <f>ROW(LineærRegression_Valg[[#This Row],[Tabel ID]])-ROW(LineærRegression_Valg[[#Headers],[Tabel ID]])</f>
        <v>419</v>
      </c>
      <c r="B429" s="45">
        <f>ROUNDDOWN((LineærRegression_Valg[[#This Row],[Tabel ID]]-1)/$B$5,0)+1</f>
        <v>105</v>
      </c>
      <c r="C429" s="45">
        <f t="shared" si="6"/>
        <v>3</v>
      </c>
      <c r="D429" s="45" t="b">
        <f>LineærRegression_Valg[[#This Row],[Afhængig variabel ID]]&lt;&gt;LineærRegression_Valg[[#This Row],[Uafhængig variabel ID]]</f>
        <v>1</v>
      </c>
      <c r="E429" t="b">
        <f>LineærRegression_Valg[[#This Row],[Afhængig variabel ID]]&lt;=$B$5</f>
        <v>0</v>
      </c>
      <c r="F429" t="str" cm="1">
        <f t="array" ref="F429">IF(LineærRegression_Valg[[#This Row],[Indenfor range]],INDEX(DataTitel_liste,LineærRegression_Valg[[#This Row],[Afhængig variabel ID]]),INDEX(DataTitel_liste,1))</f>
        <v>Eksempel 1 (interval)</v>
      </c>
      <c r="G429" s="45" t="str" cm="1">
        <f t="array" ref="G429">IF(LineærRegression_Valg[[#This Row],[Indenfor range]],IF(LineærRegression_Valg[[#This Row],[Intet overlap]],INDEX(DataTitel_liste,LineærRegression_Valg[[#This Row],[Uafhængig variabel ID]]),INDEX(DataTitel_liste,IF(LineærRegression_Valg[[#This Row],[Afhængig variabel ID]]=1,2,1))),$B$7)</f>
        <v>Eksempel 2 (interval)</v>
      </c>
      <c r="H429" s="45">
        <f>_xlfn.AGGREGATE(2,5,LineærRegression_Valg[[#This Row],[Tabel ID]])</f>
        <v>1</v>
      </c>
    </row>
    <row r="430" spans="1:8" x14ac:dyDescent="0.2">
      <c r="A430">
        <f>ROW(LineærRegression_Valg[[#This Row],[Tabel ID]])-ROW(LineærRegression_Valg[[#Headers],[Tabel ID]])</f>
        <v>420</v>
      </c>
      <c r="B430" s="45">
        <f>ROUNDDOWN((LineærRegression_Valg[[#This Row],[Tabel ID]]-1)/$B$5,0)+1</f>
        <v>105</v>
      </c>
      <c r="C430" s="45">
        <f t="shared" si="6"/>
        <v>4</v>
      </c>
      <c r="D430" s="45" t="b">
        <f>LineærRegression_Valg[[#This Row],[Afhængig variabel ID]]&lt;&gt;LineærRegression_Valg[[#This Row],[Uafhængig variabel ID]]</f>
        <v>1</v>
      </c>
      <c r="E430" t="b">
        <f>LineærRegression_Valg[[#This Row],[Afhængig variabel ID]]&lt;=$B$5</f>
        <v>0</v>
      </c>
      <c r="F430" t="str" cm="1">
        <f t="array" ref="F430">IF(LineærRegression_Valg[[#This Row],[Indenfor range]],INDEX(DataTitel_liste,LineærRegression_Valg[[#This Row],[Afhængig variabel ID]]),INDEX(DataTitel_liste,1))</f>
        <v>Eksempel 1 (interval)</v>
      </c>
      <c r="G430" s="45" t="str" cm="1">
        <f t="array" ref="G430">IF(LineærRegression_Valg[[#This Row],[Indenfor range]],IF(LineærRegression_Valg[[#This Row],[Intet overlap]],INDEX(DataTitel_liste,LineærRegression_Valg[[#This Row],[Uafhængig variabel ID]]),INDEX(DataTitel_liste,IF(LineærRegression_Valg[[#This Row],[Afhængig variabel ID]]=1,2,1))),$B$7)</f>
        <v>Eksempel 2 (interval)</v>
      </c>
      <c r="H430" s="45">
        <f>_xlfn.AGGREGATE(2,5,LineærRegression_Valg[[#This Row],[Tabel ID]])</f>
        <v>1</v>
      </c>
    </row>
    <row r="431" spans="1:8" x14ac:dyDescent="0.2">
      <c r="A431">
        <f>ROW(LineærRegression_Valg[[#This Row],[Tabel ID]])-ROW(LineærRegression_Valg[[#Headers],[Tabel ID]])</f>
        <v>421</v>
      </c>
      <c r="B431" s="45">
        <f>ROUNDDOWN((LineærRegression_Valg[[#This Row],[Tabel ID]]-1)/$B$5,0)+1</f>
        <v>106</v>
      </c>
      <c r="C431" s="45">
        <f t="shared" si="6"/>
        <v>1</v>
      </c>
      <c r="D431" s="45" t="b">
        <f>LineærRegression_Valg[[#This Row],[Afhængig variabel ID]]&lt;&gt;LineærRegression_Valg[[#This Row],[Uafhængig variabel ID]]</f>
        <v>1</v>
      </c>
      <c r="E431" t="b">
        <f>LineærRegression_Valg[[#This Row],[Afhængig variabel ID]]&lt;=$B$5</f>
        <v>0</v>
      </c>
      <c r="F431" t="str" cm="1">
        <f t="array" ref="F431">IF(LineærRegression_Valg[[#This Row],[Indenfor range]],INDEX(DataTitel_liste,LineærRegression_Valg[[#This Row],[Afhængig variabel ID]]),INDEX(DataTitel_liste,1))</f>
        <v>Eksempel 1 (interval)</v>
      </c>
      <c r="G431" s="45" t="str" cm="1">
        <f t="array" ref="G431">IF(LineærRegression_Valg[[#This Row],[Indenfor range]],IF(LineærRegression_Valg[[#This Row],[Intet overlap]],INDEX(DataTitel_liste,LineærRegression_Valg[[#This Row],[Uafhængig variabel ID]]),INDEX(DataTitel_liste,IF(LineærRegression_Valg[[#This Row],[Afhængig variabel ID]]=1,2,1))),$B$7)</f>
        <v>Eksempel 2 (interval)</v>
      </c>
      <c r="H431" s="45">
        <f>_xlfn.AGGREGATE(2,5,LineærRegression_Valg[[#This Row],[Tabel ID]])</f>
        <v>1</v>
      </c>
    </row>
    <row r="432" spans="1:8" x14ac:dyDescent="0.2">
      <c r="A432">
        <f>ROW(LineærRegression_Valg[[#This Row],[Tabel ID]])-ROW(LineærRegression_Valg[[#Headers],[Tabel ID]])</f>
        <v>422</v>
      </c>
      <c r="B432" s="45">
        <f>ROUNDDOWN((LineærRegression_Valg[[#This Row],[Tabel ID]]-1)/$B$5,0)+1</f>
        <v>106</v>
      </c>
      <c r="C432" s="45">
        <f t="shared" si="6"/>
        <v>2</v>
      </c>
      <c r="D432" s="45" t="b">
        <f>LineærRegression_Valg[[#This Row],[Afhængig variabel ID]]&lt;&gt;LineærRegression_Valg[[#This Row],[Uafhængig variabel ID]]</f>
        <v>1</v>
      </c>
      <c r="E432" t="b">
        <f>LineærRegression_Valg[[#This Row],[Afhængig variabel ID]]&lt;=$B$5</f>
        <v>0</v>
      </c>
      <c r="F432" t="str" cm="1">
        <f t="array" ref="F432">IF(LineærRegression_Valg[[#This Row],[Indenfor range]],INDEX(DataTitel_liste,LineærRegression_Valg[[#This Row],[Afhængig variabel ID]]),INDEX(DataTitel_liste,1))</f>
        <v>Eksempel 1 (interval)</v>
      </c>
      <c r="G432" s="45" t="str" cm="1">
        <f t="array" ref="G432">IF(LineærRegression_Valg[[#This Row],[Indenfor range]],IF(LineærRegression_Valg[[#This Row],[Intet overlap]],INDEX(DataTitel_liste,LineærRegression_Valg[[#This Row],[Uafhængig variabel ID]]),INDEX(DataTitel_liste,IF(LineærRegression_Valg[[#This Row],[Afhængig variabel ID]]=1,2,1))),$B$7)</f>
        <v>Eksempel 2 (interval)</v>
      </c>
      <c r="H432" s="45">
        <f>_xlfn.AGGREGATE(2,5,LineærRegression_Valg[[#This Row],[Tabel ID]])</f>
        <v>1</v>
      </c>
    </row>
    <row r="433" spans="1:8" x14ac:dyDescent="0.2">
      <c r="A433">
        <f>ROW(LineærRegression_Valg[[#This Row],[Tabel ID]])-ROW(LineærRegression_Valg[[#Headers],[Tabel ID]])</f>
        <v>423</v>
      </c>
      <c r="B433" s="45">
        <f>ROUNDDOWN((LineærRegression_Valg[[#This Row],[Tabel ID]]-1)/$B$5,0)+1</f>
        <v>106</v>
      </c>
      <c r="C433" s="45">
        <f t="shared" si="6"/>
        <v>3</v>
      </c>
      <c r="D433" s="45" t="b">
        <f>LineærRegression_Valg[[#This Row],[Afhængig variabel ID]]&lt;&gt;LineærRegression_Valg[[#This Row],[Uafhængig variabel ID]]</f>
        <v>1</v>
      </c>
      <c r="E433" t="b">
        <f>LineærRegression_Valg[[#This Row],[Afhængig variabel ID]]&lt;=$B$5</f>
        <v>0</v>
      </c>
      <c r="F433" t="str" cm="1">
        <f t="array" ref="F433">IF(LineærRegression_Valg[[#This Row],[Indenfor range]],INDEX(DataTitel_liste,LineærRegression_Valg[[#This Row],[Afhængig variabel ID]]),INDEX(DataTitel_liste,1))</f>
        <v>Eksempel 1 (interval)</v>
      </c>
      <c r="G433" s="45" t="str" cm="1">
        <f t="array" ref="G433">IF(LineærRegression_Valg[[#This Row],[Indenfor range]],IF(LineærRegression_Valg[[#This Row],[Intet overlap]],INDEX(DataTitel_liste,LineærRegression_Valg[[#This Row],[Uafhængig variabel ID]]),INDEX(DataTitel_liste,IF(LineærRegression_Valg[[#This Row],[Afhængig variabel ID]]=1,2,1))),$B$7)</f>
        <v>Eksempel 2 (interval)</v>
      </c>
      <c r="H433" s="45">
        <f>_xlfn.AGGREGATE(2,5,LineærRegression_Valg[[#This Row],[Tabel ID]])</f>
        <v>1</v>
      </c>
    </row>
    <row r="434" spans="1:8" x14ac:dyDescent="0.2">
      <c r="A434">
        <f>ROW(LineærRegression_Valg[[#This Row],[Tabel ID]])-ROW(LineærRegression_Valg[[#Headers],[Tabel ID]])</f>
        <v>424</v>
      </c>
      <c r="B434" s="45">
        <f>ROUNDDOWN((LineærRegression_Valg[[#This Row],[Tabel ID]]-1)/$B$5,0)+1</f>
        <v>106</v>
      </c>
      <c r="C434" s="45">
        <f t="shared" si="6"/>
        <v>4</v>
      </c>
      <c r="D434" s="45" t="b">
        <f>LineærRegression_Valg[[#This Row],[Afhængig variabel ID]]&lt;&gt;LineærRegression_Valg[[#This Row],[Uafhængig variabel ID]]</f>
        <v>1</v>
      </c>
      <c r="E434" t="b">
        <f>LineærRegression_Valg[[#This Row],[Afhængig variabel ID]]&lt;=$B$5</f>
        <v>0</v>
      </c>
      <c r="F434" t="str" cm="1">
        <f t="array" ref="F434">IF(LineærRegression_Valg[[#This Row],[Indenfor range]],INDEX(DataTitel_liste,LineærRegression_Valg[[#This Row],[Afhængig variabel ID]]),INDEX(DataTitel_liste,1))</f>
        <v>Eksempel 1 (interval)</v>
      </c>
      <c r="G434" s="45" t="str" cm="1">
        <f t="array" ref="G434">IF(LineærRegression_Valg[[#This Row],[Indenfor range]],IF(LineærRegression_Valg[[#This Row],[Intet overlap]],INDEX(DataTitel_liste,LineærRegression_Valg[[#This Row],[Uafhængig variabel ID]]),INDEX(DataTitel_liste,IF(LineærRegression_Valg[[#This Row],[Afhængig variabel ID]]=1,2,1))),$B$7)</f>
        <v>Eksempel 2 (interval)</v>
      </c>
      <c r="H434" s="45">
        <f>_xlfn.AGGREGATE(2,5,LineærRegression_Valg[[#This Row],[Tabel ID]])</f>
        <v>1</v>
      </c>
    </row>
    <row r="435" spans="1:8" x14ac:dyDescent="0.2">
      <c r="A435">
        <f>ROW(LineærRegression_Valg[[#This Row],[Tabel ID]])-ROW(LineærRegression_Valg[[#Headers],[Tabel ID]])</f>
        <v>425</v>
      </c>
      <c r="B435" s="45">
        <f>ROUNDDOWN((LineærRegression_Valg[[#This Row],[Tabel ID]]-1)/$B$5,0)+1</f>
        <v>107</v>
      </c>
      <c r="C435" s="45">
        <f t="shared" si="6"/>
        <v>1</v>
      </c>
      <c r="D435" s="45" t="b">
        <f>LineærRegression_Valg[[#This Row],[Afhængig variabel ID]]&lt;&gt;LineærRegression_Valg[[#This Row],[Uafhængig variabel ID]]</f>
        <v>1</v>
      </c>
      <c r="E435" t="b">
        <f>LineærRegression_Valg[[#This Row],[Afhængig variabel ID]]&lt;=$B$5</f>
        <v>0</v>
      </c>
      <c r="F435" t="str" cm="1">
        <f t="array" ref="F435">IF(LineærRegression_Valg[[#This Row],[Indenfor range]],INDEX(DataTitel_liste,LineærRegression_Valg[[#This Row],[Afhængig variabel ID]]),INDEX(DataTitel_liste,1))</f>
        <v>Eksempel 1 (interval)</v>
      </c>
      <c r="G435" s="45" t="str" cm="1">
        <f t="array" ref="G435">IF(LineærRegression_Valg[[#This Row],[Indenfor range]],IF(LineærRegression_Valg[[#This Row],[Intet overlap]],INDEX(DataTitel_liste,LineærRegression_Valg[[#This Row],[Uafhængig variabel ID]]),INDEX(DataTitel_liste,IF(LineærRegression_Valg[[#This Row],[Afhængig variabel ID]]=1,2,1))),$B$7)</f>
        <v>Eksempel 2 (interval)</v>
      </c>
      <c r="H435" s="45">
        <f>_xlfn.AGGREGATE(2,5,LineærRegression_Valg[[#This Row],[Tabel ID]])</f>
        <v>1</v>
      </c>
    </row>
    <row r="436" spans="1:8" x14ac:dyDescent="0.2">
      <c r="A436">
        <f>ROW(LineærRegression_Valg[[#This Row],[Tabel ID]])-ROW(LineærRegression_Valg[[#Headers],[Tabel ID]])</f>
        <v>426</v>
      </c>
      <c r="B436" s="45">
        <f>ROUNDDOWN((LineærRegression_Valg[[#This Row],[Tabel ID]]-1)/$B$5,0)+1</f>
        <v>107</v>
      </c>
      <c r="C436" s="45">
        <f t="shared" si="6"/>
        <v>2</v>
      </c>
      <c r="D436" s="45" t="b">
        <f>LineærRegression_Valg[[#This Row],[Afhængig variabel ID]]&lt;&gt;LineærRegression_Valg[[#This Row],[Uafhængig variabel ID]]</f>
        <v>1</v>
      </c>
      <c r="E436" t="b">
        <f>LineærRegression_Valg[[#This Row],[Afhængig variabel ID]]&lt;=$B$5</f>
        <v>0</v>
      </c>
      <c r="F436" t="str" cm="1">
        <f t="array" ref="F436">IF(LineærRegression_Valg[[#This Row],[Indenfor range]],INDEX(DataTitel_liste,LineærRegression_Valg[[#This Row],[Afhængig variabel ID]]),INDEX(DataTitel_liste,1))</f>
        <v>Eksempel 1 (interval)</v>
      </c>
      <c r="G436" s="45" t="str" cm="1">
        <f t="array" ref="G436">IF(LineærRegression_Valg[[#This Row],[Indenfor range]],IF(LineærRegression_Valg[[#This Row],[Intet overlap]],INDEX(DataTitel_liste,LineærRegression_Valg[[#This Row],[Uafhængig variabel ID]]),INDEX(DataTitel_liste,IF(LineærRegression_Valg[[#This Row],[Afhængig variabel ID]]=1,2,1))),$B$7)</f>
        <v>Eksempel 2 (interval)</v>
      </c>
      <c r="H436" s="45">
        <f>_xlfn.AGGREGATE(2,5,LineærRegression_Valg[[#This Row],[Tabel ID]])</f>
        <v>1</v>
      </c>
    </row>
    <row r="437" spans="1:8" x14ac:dyDescent="0.2">
      <c r="A437">
        <f>ROW(LineærRegression_Valg[[#This Row],[Tabel ID]])-ROW(LineærRegression_Valg[[#Headers],[Tabel ID]])</f>
        <v>427</v>
      </c>
      <c r="B437" s="45">
        <f>ROUNDDOWN((LineærRegression_Valg[[#This Row],[Tabel ID]]-1)/$B$5,0)+1</f>
        <v>107</v>
      </c>
      <c r="C437" s="45">
        <f t="shared" si="6"/>
        <v>3</v>
      </c>
      <c r="D437" s="45" t="b">
        <f>LineærRegression_Valg[[#This Row],[Afhængig variabel ID]]&lt;&gt;LineærRegression_Valg[[#This Row],[Uafhængig variabel ID]]</f>
        <v>1</v>
      </c>
      <c r="E437" t="b">
        <f>LineærRegression_Valg[[#This Row],[Afhængig variabel ID]]&lt;=$B$5</f>
        <v>0</v>
      </c>
      <c r="F437" t="str" cm="1">
        <f t="array" ref="F437">IF(LineærRegression_Valg[[#This Row],[Indenfor range]],INDEX(DataTitel_liste,LineærRegression_Valg[[#This Row],[Afhængig variabel ID]]),INDEX(DataTitel_liste,1))</f>
        <v>Eksempel 1 (interval)</v>
      </c>
      <c r="G437" s="45" t="str" cm="1">
        <f t="array" ref="G437">IF(LineærRegression_Valg[[#This Row],[Indenfor range]],IF(LineærRegression_Valg[[#This Row],[Intet overlap]],INDEX(DataTitel_liste,LineærRegression_Valg[[#This Row],[Uafhængig variabel ID]]),INDEX(DataTitel_liste,IF(LineærRegression_Valg[[#This Row],[Afhængig variabel ID]]=1,2,1))),$B$7)</f>
        <v>Eksempel 2 (interval)</v>
      </c>
      <c r="H437" s="45">
        <f>_xlfn.AGGREGATE(2,5,LineærRegression_Valg[[#This Row],[Tabel ID]])</f>
        <v>1</v>
      </c>
    </row>
    <row r="438" spans="1:8" x14ac:dyDescent="0.2">
      <c r="A438">
        <f>ROW(LineærRegression_Valg[[#This Row],[Tabel ID]])-ROW(LineærRegression_Valg[[#Headers],[Tabel ID]])</f>
        <v>428</v>
      </c>
      <c r="B438" s="45">
        <f>ROUNDDOWN((LineærRegression_Valg[[#This Row],[Tabel ID]]-1)/$B$5,0)+1</f>
        <v>107</v>
      </c>
      <c r="C438" s="45">
        <f t="shared" si="6"/>
        <v>4</v>
      </c>
      <c r="D438" s="45" t="b">
        <f>LineærRegression_Valg[[#This Row],[Afhængig variabel ID]]&lt;&gt;LineærRegression_Valg[[#This Row],[Uafhængig variabel ID]]</f>
        <v>1</v>
      </c>
      <c r="E438" t="b">
        <f>LineærRegression_Valg[[#This Row],[Afhængig variabel ID]]&lt;=$B$5</f>
        <v>0</v>
      </c>
      <c r="F438" t="str" cm="1">
        <f t="array" ref="F438">IF(LineærRegression_Valg[[#This Row],[Indenfor range]],INDEX(DataTitel_liste,LineærRegression_Valg[[#This Row],[Afhængig variabel ID]]),INDEX(DataTitel_liste,1))</f>
        <v>Eksempel 1 (interval)</v>
      </c>
      <c r="G438" s="45" t="str" cm="1">
        <f t="array" ref="G438">IF(LineærRegression_Valg[[#This Row],[Indenfor range]],IF(LineærRegression_Valg[[#This Row],[Intet overlap]],INDEX(DataTitel_liste,LineærRegression_Valg[[#This Row],[Uafhængig variabel ID]]),INDEX(DataTitel_liste,IF(LineærRegression_Valg[[#This Row],[Afhængig variabel ID]]=1,2,1))),$B$7)</f>
        <v>Eksempel 2 (interval)</v>
      </c>
      <c r="H438" s="45">
        <f>_xlfn.AGGREGATE(2,5,LineærRegression_Valg[[#This Row],[Tabel ID]])</f>
        <v>1</v>
      </c>
    </row>
    <row r="439" spans="1:8" x14ac:dyDescent="0.2">
      <c r="A439">
        <f>ROW(LineærRegression_Valg[[#This Row],[Tabel ID]])-ROW(LineærRegression_Valg[[#Headers],[Tabel ID]])</f>
        <v>429</v>
      </c>
      <c r="B439" s="45">
        <f>ROUNDDOWN((LineærRegression_Valg[[#This Row],[Tabel ID]]-1)/$B$5,0)+1</f>
        <v>108</v>
      </c>
      <c r="C439" s="45">
        <f t="shared" si="6"/>
        <v>1</v>
      </c>
      <c r="D439" s="45" t="b">
        <f>LineærRegression_Valg[[#This Row],[Afhængig variabel ID]]&lt;&gt;LineærRegression_Valg[[#This Row],[Uafhængig variabel ID]]</f>
        <v>1</v>
      </c>
      <c r="E439" t="b">
        <f>LineærRegression_Valg[[#This Row],[Afhængig variabel ID]]&lt;=$B$5</f>
        <v>0</v>
      </c>
      <c r="F439" t="str" cm="1">
        <f t="array" ref="F439">IF(LineærRegression_Valg[[#This Row],[Indenfor range]],INDEX(DataTitel_liste,LineærRegression_Valg[[#This Row],[Afhængig variabel ID]]),INDEX(DataTitel_liste,1))</f>
        <v>Eksempel 1 (interval)</v>
      </c>
      <c r="G439" s="45" t="str" cm="1">
        <f t="array" ref="G439">IF(LineærRegression_Valg[[#This Row],[Indenfor range]],IF(LineærRegression_Valg[[#This Row],[Intet overlap]],INDEX(DataTitel_liste,LineærRegression_Valg[[#This Row],[Uafhængig variabel ID]]),INDEX(DataTitel_liste,IF(LineærRegression_Valg[[#This Row],[Afhængig variabel ID]]=1,2,1))),$B$7)</f>
        <v>Eksempel 2 (interval)</v>
      </c>
      <c r="H439" s="45">
        <f>_xlfn.AGGREGATE(2,5,LineærRegression_Valg[[#This Row],[Tabel ID]])</f>
        <v>1</v>
      </c>
    </row>
    <row r="440" spans="1:8" x14ac:dyDescent="0.2">
      <c r="A440">
        <f>ROW(LineærRegression_Valg[[#This Row],[Tabel ID]])-ROW(LineærRegression_Valg[[#Headers],[Tabel ID]])</f>
        <v>430</v>
      </c>
      <c r="B440" s="45">
        <f>ROUNDDOWN((LineærRegression_Valg[[#This Row],[Tabel ID]]-1)/$B$5,0)+1</f>
        <v>108</v>
      </c>
      <c r="C440" s="45">
        <f t="shared" si="6"/>
        <v>2</v>
      </c>
      <c r="D440" s="45" t="b">
        <f>LineærRegression_Valg[[#This Row],[Afhængig variabel ID]]&lt;&gt;LineærRegression_Valg[[#This Row],[Uafhængig variabel ID]]</f>
        <v>1</v>
      </c>
      <c r="E440" t="b">
        <f>LineærRegression_Valg[[#This Row],[Afhængig variabel ID]]&lt;=$B$5</f>
        <v>0</v>
      </c>
      <c r="F440" t="str" cm="1">
        <f t="array" ref="F440">IF(LineærRegression_Valg[[#This Row],[Indenfor range]],INDEX(DataTitel_liste,LineærRegression_Valg[[#This Row],[Afhængig variabel ID]]),INDEX(DataTitel_liste,1))</f>
        <v>Eksempel 1 (interval)</v>
      </c>
      <c r="G440" s="45" t="str" cm="1">
        <f t="array" ref="G440">IF(LineærRegression_Valg[[#This Row],[Indenfor range]],IF(LineærRegression_Valg[[#This Row],[Intet overlap]],INDEX(DataTitel_liste,LineærRegression_Valg[[#This Row],[Uafhængig variabel ID]]),INDEX(DataTitel_liste,IF(LineærRegression_Valg[[#This Row],[Afhængig variabel ID]]=1,2,1))),$B$7)</f>
        <v>Eksempel 2 (interval)</v>
      </c>
      <c r="H440" s="45">
        <f>_xlfn.AGGREGATE(2,5,LineærRegression_Valg[[#This Row],[Tabel ID]])</f>
        <v>1</v>
      </c>
    </row>
    <row r="441" spans="1:8" x14ac:dyDescent="0.2">
      <c r="A441">
        <f>ROW(LineærRegression_Valg[[#This Row],[Tabel ID]])-ROW(LineærRegression_Valg[[#Headers],[Tabel ID]])</f>
        <v>431</v>
      </c>
      <c r="B441" s="45">
        <f>ROUNDDOWN((LineærRegression_Valg[[#This Row],[Tabel ID]]-1)/$B$5,0)+1</f>
        <v>108</v>
      </c>
      <c r="C441" s="45">
        <f t="shared" si="6"/>
        <v>3</v>
      </c>
      <c r="D441" s="45" t="b">
        <f>LineærRegression_Valg[[#This Row],[Afhængig variabel ID]]&lt;&gt;LineærRegression_Valg[[#This Row],[Uafhængig variabel ID]]</f>
        <v>1</v>
      </c>
      <c r="E441" t="b">
        <f>LineærRegression_Valg[[#This Row],[Afhængig variabel ID]]&lt;=$B$5</f>
        <v>0</v>
      </c>
      <c r="F441" t="str" cm="1">
        <f t="array" ref="F441">IF(LineærRegression_Valg[[#This Row],[Indenfor range]],INDEX(DataTitel_liste,LineærRegression_Valg[[#This Row],[Afhængig variabel ID]]),INDEX(DataTitel_liste,1))</f>
        <v>Eksempel 1 (interval)</v>
      </c>
      <c r="G441" s="45" t="str" cm="1">
        <f t="array" ref="G441">IF(LineærRegression_Valg[[#This Row],[Indenfor range]],IF(LineærRegression_Valg[[#This Row],[Intet overlap]],INDEX(DataTitel_liste,LineærRegression_Valg[[#This Row],[Uafhængig variabel ID]]),INDEX(DataTitel_liste,IF(LineærRegression_Valg[[#This Row],[Afhængig variabel ID]]=1,2,1))),$B$7)</f>
        <v>Eksempel 2 (interval)</v>
      </c>
      <c r="H441" s="45">
        <f>_xlfn.AGGREGATE(2,5,LineærRegression_Valg[[#This Row],[Tabel ID]])</f>
        <v>1</v>
      </c>
    </row>
    <row r="442" spans="1:8" x14ac:dyDescent="0.2">
      <c r="A442">
        <f>ROW(LineærRegression_Valg[[#This Row],[Tabel ID]])-ROW(LineærRegression_Valg[[#Headers],[Tabel ID]])</f>
        <v>432</v>
      </c>
      <c r="B442" s="45">
        <f>ROUNDDOWN((LineærRegression_Valg[[#This Row],[Tabel ID]]-1)/$B$5,0)+1</f>
        <v>108</v>
      </c>
      <c r="C442" s="45">
        <f t="shared" si="6"/>
        <v>4</v>
      </c>
      <c r="D442" s="45" t="b">
        <f>LineærRegression_Valg[[#This Row],[Afhængig variabel ID]]&lt;&gt;LineærRegression_Valg[[#This Row],[Uafhængig variabel ID]]</f>
        <v>1</v>
      </c>
      <c r="E442" t="b">
        <f>LineærRegression_Valg[[#This Row],[Afhængig variabel ID]]&lt;=$B$5</f>
        <v>0</v>
      </c>
      <c r="F442" t="str" cm="1">
        <f t="array" ref="F442">IF(LineærRegression_Valg[[#This Row],[Indenfor range]],INDEX(DataTitel_liste,LineærRegression_Valg[[#This Row],[Afhængig variabel ID]]),INDEX(DataTitel_liste,1))</f>
        <v>Eksempel 1 (interval)</v>
      </c>
      <c r="G442" s="45" t="str" cm="1">
        <f t="array" ref="G442">IF(LineærRegression_Valg[[#This Row],[Indenfor range]],IF(LineærRegression_Valg[[#This Row],[Intet overlap]],INDEX(DataTitel_liste,LineærRegression_Valg[[#This Row],[Uafhængig variabel ID]]),INDEX(DataTitel_liste,IF(LineærRegression_Valg[[#This Row],[Afhængig variabel ID]]=1,2,1))),$B$7)</f>
        <v>Eksempel 2 (interval)</v>
      </c>
      <c r="H442" s="45">
        <f>_xlfn.AGGREGATE(2,5,LineærRegression_Valg[[#This Row],[Tabel ID]])</f>
        <v>1</v>
      </c>
    </row>
    <row r="443" spans="1:8" x14ac:dyDescent="0.2">
      <c r="A443">
        <f>ROW(LineærRegression_Valg[[#This Row],[Tabel ID]])-ROW(LineærRegression_Valg[[#Headers],[Tabel ID]])</f>
        <v>433</v>
      </c>
      <c r="B443" s="45">
        <f>ROUNDDOWN((LineærRegression_Valg[[#This Row],[Tabel ID]]-1)/$B$5,0)+1</f>
        <v>109</v>
      </c>
      <c r="C443" s="45">
        <f t="shared" si="6"/>
        <v>1</v>
      </c>
      <c r="D443" s="45" t="b">
        <f>LineærRegression_Valg[[#This Row],[Afhængig variabel ID]]&lt;&gt;LineærRegression_Valg[[#This Row],[Uafhængig variabel ID]]</f>
        <v>1</v>
      </c>
      <c r="E443" t="b">
        <f>LineærRegression_Valg[[#This Row],[Afhængig variabel ID]]&lt;=$B$5</f>
        <v>0</v>
      </c>
      <c r="F443" t="str" cm="1">
        <f t="array" ref="F443">IF(LineærRegression_Valg[[#This Row],[Indenfor range]],INDEX(DataTitel_liste,LineærRegression_Valg[[#This Row],[Afhængig variabel ID]]),INDEX(DataTitel_liste,1))</f>
        <v>Eksempel 1 (interval)</v>
      </c>
      <c r="G443" s="45" t="str" cm="1">
        <f t="array" ref="G443">IF(LineærRegression_Valg[[#This Row],[Indenfor range]],IF(LineærRegression_Valg[[#This Row],[Intet overlap]],INDEX(DataTitel_liste,LineærRegression_Valg[[#This Row],[Uafhængig variabel ID]]),INDEX(DataTitel_liste,IF(LineærRegression_Valg[[#This Row],[Afhængig variabel ID]]=1,2,1))),$B$7)</f>
        <v>Eksempel 2 (interval)</v>
      </c>
      <c r="H443" s="45">
        <f>_xlfn.AGGREGATE(2,5,LineærRegression_Valg[[#This Row],[Tabel ID]])</f>
        <v>1</v>
      </c>
    </row>
    <row r="444" spans="1:8" x14ac:dyDescent="0.2">
      <c r="A444">
        <f>ROW(LineærRegression_Valg[[#This Row],[Tabel ID]])-ROW(LineærRegression_Valg[[#Headers],[Tabel ID]])</f>
        <v>434</v>
      </c>
      <c r="B444" s="45">
        <f>ROUNDDOWN((LineærRegression_Valg[[#This Row],[Tabel ID]]-1)/$B$5,0)+1</f>
        <v>109</v>
      </c>
      <c r="C444" s="45">
        <f t="shared" si="6"/>
        <v>2</v>
      </c>
      <c r="D444" s="45" t="b">
        <f>LineærRegression_Valg[[#This Row],[Afhængig variabel ID]]&lt;&gt;LineærRegression_Valg[[#This Row],[Uafhængig variabel ID]]</f>
        <v>1</v>
      </c>
      <c r="E444" t="b">
        <f>LineærRegression_Valg[[#This Row],[Afhængig variabel ID]]&lt;=$B$5</f>
        <v>0</v>
      </c>
      <c r="F444" t="str" cm="1">
        <f t="array" ref="F444">IF(LineærRegression_Valg[[#This Row],[Indenfor range]],INDEX(DataTitel_liste,LineærRegression_Valg[[#This Row],[Afhængig variabel ID]]),INDEX(DataTitel_liste,1))</f>
        <v>Eksempel 1 (interval)</v>
      </c>
      <c r="G444" s="45" t="str" cm="1">
        <f t="array" ref="G444">IF(LineærRegression_Valg[[#This Row],[Indenfor range]],IF(LineærRegression_Valg[[#This Row],[Intet overlap]],INDEX(DataTitel_liste,LineærRegression_Valg[[#This Row],[Uafhængig variabel ID]]),INDEX(DataTitel_liste,IF(LineærRegression_Valg[[#This Row],[Afhængig variabel ID]]=1,2,1))),$B$7)</f>
        <v>Eksempel 2 (interval)</v>
      </c>
      <c r="H444" s="45">
        <f>_xlfn.AGGREGATE(2,5,LineærRegression_Valg[[#This Row],[Tabel ID]])</f>
        <v>1</v>
      </c>
    </row>
    <row r="445" spans="1:8" x14ac:dyDescent="0.2">
      <c r="A445">
        <f>ROW(LineærRegression_Valg[[#This Row],[Tabel ID]])-ROW(LineærRegression_Valg[[#Headers],[Tabel ID]])</f>
        <v>435</v>
      </c>
      <c r="B445" s="45">
        <f>ROUNDDOWN((LineærRegression_Valg[[#This Row],[Tabel ID]]-1)/$B$5,0)+1</f>
        <v>109</v>
      </c>
      <c r="C445" s="45">
        <f t="shared" si="6"/>
        <v>3</v>
      </c>
      <c r="D445" s="45" t="b">
        <f>LineærRegression_Valg[[#This Row],[Afhængig variabel ID]]&lt;&gt;LineærRegression_Valg[[#This Row],[Uafhængig variabel ID]]</f>
        <v>1</v>
      </c>
      <c r="E445" t="b">
        <f>LineærRegression_Valg[[#This Row],[Afhængig variabel ID]]&lt;=$B$5</f>
        <v>0</v>
      </c>
      <c r="F445" t="str" cm="1">
        <f t="array" ref="F445">IF(LineærRegression_Valg[[#This Row],[Indenfor range]],INDEX(DataTitel_liste,LineærRegression_Valg[[#This Row],[Afhængig variabel ID]]),INDEX(DataTitel_liste,1))</f>
        <v>Eksempel 1 (interval)</v>
      </c>
      <c r="G445" s="45" t="str" cm="1">
        <f t="array" ref="G445">IF(LineærRegression_Valg[[#This Row],[Indenfor range]],IF(LineærRegression_Valg[[#This Row],[Intet overlap]],INDEX(DataTitel_liste,LineærRegression_Valg[[#This Row],[Uafhængig variabel ID]]),INDEX(DataTitel_liste,IF(LineærRegression_Valg[[#This Row],[Afhængig variabel ID]]=1,2,1))),$B$7)</f>
        <v>Eksempel 2 (interval)</v>
      </c>
      <c r="H445" s="45">
        <f>_xlfn.AGGREGATE(2,5,LineærRegression_Valg[[#This Row],[Tabel ID]])</f>
        <v>1</v>
      </c>
    </row>
    <row r="446" spans="1:8" x14ac:dyDescent="0.2">
      <c r="A446">
        <f>ROW(LineærRegression_Valg[[#This Row],[Tabel ID]])-ROW(LineærRegression_Valg[[#Headers],[Tabel ID]])</f>
        <v>436</v>
      </c>
      <c r="B446" s="45">
        <f>ROUNDDOWN((LineærRegression_Valg[[#This Row],[Tabel ID]]-1)/$B$5,0)+1</f>
        <v>109</v>
      </c>
      <c r="C446" s="45">
        <f t="shared" si="6"/>
        <v>4</v>
      </c>
      <c r="D446" s="45" t="b">
        <f>LineærRegression_Valg[[#This Row],[Afhængig variabel ID]]&lt;&gt;LineærRegression_Valg[[#This Row],[Uafhængig variabel ID]]</f>
        <v>1</v>
      </c>
      <c r="E446" t="b">
        <f>LineærRegression_Valg[[#This Row],[Afhængig variabel ID]]&lt;=$B$5</f>
        <v>0</v>
      </c>
      <c r="F446" t="str" cm="1">
        <f t="array" ref="F446">IF(LineærRegression_Valg[[#This Row],[Indenfor range]],INDEX(DataTitel_liste,LineærRegression_Valg[[#This Row],[Afhængig variabel ID]]),INDEX(DataTitel_liste,1))</f>
        <v>Eksempel 1 (interval)</v>
      </c>
      <c r="G446" s="45" t="str" cm="1">
        <f t="array" ref="G446">IF(LineærRegression_Valg[[#This Row],[Indenfor range]],IF(LineærRegression_Valg[[#This Row],[Intet overlap]],INDEX(DataTitel_liste,LineærRegression_Valg[[#This Row],[Uafhængig variabel ID]]),INDEX(DataTitel_liste,IF(LineærRegression_Valg[[#This Row],[Afhængig variabel ID]]=1,2,1))),$B$7)</f>
        <v>Eksempel 2 (interval)</v>
      </c>
      <c r="H446" s="45">
        <f>_xlfn.AGGREGATE(2,5,LineærRegression_Valg[[#This Row],[Tabel ID]])</f>
        <v>1</v>
      </c>
    </row>
    <row r="447" spans="1:8" x14ac:dyDescent="0.2">
      <c r="A447">
        <f>ROW(LineærRegression_Valg[[#This Row],[Tabel ID]])-ROW(LineærRegression_Valg[[#Headers],[Tabel ID]])</f>
        <v>437</v>
      </c>
      <c r="B447" s="45">
        <f>ROUNDDOWN((LineærRegression_Valg[[#This Row],[Tabel ID]]-1)/$B$5,0)+1</f>
        <v>110</v>
      </c>
      <c r="C447" s="45">
        <f t="shared" si="6"/>
        <v>1</v>
      </c>
      <c r="D447" s="45" t="b">
        <f>LineærRegression_Valg[[#This Row],[Afhængig variabel ID]]&lt;&gt;LineærRegression_Valg[[#This Row],[Uafhængig variabel ID]]</f>
        <v>1</v>
      </c>
      <c r="E447" t="b">
        <f>LineærRegression_Valg[[#This Row],[Afhængig variabel ID]]&lt;=$B$5</f>
        <v>0</v>
      </c>
      <c r="F447" t="str" cm="1">
        <f t="array" ref="F447">IF(LineærRegression_Valg[[#This Row],[Indenfor range]],INDEX(DataTitel_liste,LineærRegression_Valg[[#This Row],[Afhængig variabel ID]]),INDEX(DataTitel_liste,1))</f>
        <v>Eksempel 1 (interval)</v>
      </c>
      <c r="G447" s="45" t="str" cm="1">
        <f t="array" ref="G447">IF(LineærRegression_Valg[[#This Row],[Indenfor range]],IF(LineærRegression_Valg[[#This Row],[Intet overlap]],INDEX(DataTitel_liste,LineærRegression_Valg[[#This Row],[Uafhængig variabel ID]]),INDEX(DataTitel_liste,IF(LineærRegression_Valg[[#This Row],[Afhængig variabel ID]]=1,2,1))),$B$7)</f>
        <v>Eksempel 2 (interval)</v>
      </c>
      <c r="H447" s="45">
        <f>_xlfn.AGGREGATE(2,5,LineærRegression_Valg[[#This Row],[Tabel ID]])</f>
        <v>1</v>
      </c>
    </row>
    <row r="448" spans="1:8" x14ac:dyDescent="0.2">
      <c r="A448">
        <f>ROW(LineærRegression_Valg[[#This Row],[Tabel ID]])-ROW(LineærRegression_Valg[[#Headers],[Tabel ID]])</f>
        <v>438</v>
      </c>
      <c r="B448" s="45">
        <f>ROUNDDOWN((LineærRegression_Valg[[#This Row],[Tabel ID]]-1)/$B$5,0)+1</f>
        <v>110</v>
      </c>
      <c r="C448" s="45">
        <f t="shared" si="6"/>
        <v>2</v>
      </c>
      <c r="D448" s="45" t="b">
        <f>LineærRegression_Valg[[#This Row],[Afhængig variabel ID]]&lt;&gt;LineærRegression_Valg[[#This Row],[Uafhængig variabel ID]]</f>
        <v>1</v>
      </c>
      <c r="E448" t="b">
        <f>LineærRegression_Valg[[#This Row],[Afhængig variabel ID]]&lt;=$B$5</f>
        <v>0</v>
      </c>
      <c r="F448" t="str" cm="1">
        <f t="array" ref="F448">IF(LineærRegression_Valg[[#This Row],[Indenfor range]],INDEX(DataTitel_liste,LineærRegression_Valg[[#This Row],[Afhængig variabel ID]]),INDEX(DataTitel_liste,1))</f>
        <v>Eksempel 1 (interval)</v>
      </c>
      <c r="G448" s="45" t="str" cm="1">
        <f t="array" ref="G448">IF(LineærRegression_Valg[[#This Row],[Indenfor range]],IF(LineærRegression_Valg[[#This Row],[Intet overlap]],INDEX(DataTitel_liste,LineærRegression_Valg[[#This Row],[Uafhængig variabel ID]]),INDEX(DataTitel_liste,IF(LineærRegression_Valg[[#This Row],[Afhængig variabel ID]]=1,2,1))),$B$7)</f>
        <v>Eksempel 2 (interval)</v>
      </c>
      <c r="H448" s="45">
        <f>_xlfn.AGGREGATE(2,5,LineærRegression_Valg[[#This Row],[Tabel ID]])</f>
        <v>1</v>
      </c>
    </row>
    <row r="449" spans="1:8" x14ac:dyDescent="0.2">
      <c r="A449">
        <f>ROW(LineærRegression_Valg[[#This Row],[Tabel ID]])-ROW(LineærRegression_Valg[[#Headers],[Tabel ID]])</f>
        <v>439</v>
      </c>
      <c r="B449" s="45">
        <f>ROUNDDOWN((LineærRegression_Valg[[#This Row],[Tabel ID]]-1)/$B$5,0)+1</f>
        <v>110</v>
      </c>
      <c r="C449" s="45">
        <f t="shared" si="6"/>
        <v>3</v>
      </c>
      <c r="D449" s="45" t="b">
        <f>LineærRegression_Valg[[#This Row],[Afhængig variabel ID]]&lt;&gt;LineærRegression_Valg[[#This Row],[Uafhængig variabel ID]]</f>
        <v>1</v>
      </c>
      <c r="E449" t="b">
        <f>LineærRegression_Valg[[#This Row],[Afhængig variabel ID]]&lt;=$B$5</f>
        <v>0</v>
      </c>
      <c r="F449" t="str" cm="1">
        <f t="array" ref="F449">IF(LineærRegression_Valg[[#This Row],[Indenfor range]],INDEX(DataTitel_liste,LineærRegression_Valg[[#This Row],[Afhængig variabel ID]]),INDEX(DataTitel_liste,1))</f>
        <v>Eksempel 1 (interval)</v>
      </c>
      <c r="G449" s="45" t="str" cm="1">
        <f t="array" ref="G449">IF(LineærRegression_Valg[[#This Row],[Indenfor range]],IF(LineærRegression_Valg[[#This Row],[Intet overlap]],INDEX(DataTitel_liste,LineærRegression_Valg[[#This Row],[Uafhængig variabel ID]]),INDEX(DataTitel_liste,IF(LineærRegression_Valg[[#This Row],[Afhængig variabel ID]]=1,2,1))),$B$7)</f>
        <v>Eksempel 2 (interval)</v>
      </c>
      <c r="H449" s="45">
        <f>_xlfn.AGGREGATE(2,5,LineærRegression_Valg[[#This Row],[Tabel ID]])</f>
        <v>1</v>
      </c>
    </row>
    <row r="450" spans="1:8" x14ac:dyDescent="0.2">
      <c r="A450">
        <f>ROW(LineærRegression_Valg[[#This Row],[Tabel ID]])-ROW(LineærRegression_Valg[[#Headers],[Tabel ID]])</f>
        <v>440</v>
      </c>
      <c r="B450" s="45">
        <f>ROUNDDOWN((LineærRegression_Valg[[#This Row],[Tabel ID]]-1)/$B$5,0)+1</f>
        <v>110</v>
      </c>
      <c r="C450" s="45">
        <f t="shared" si="6"/>
        <v>4</v>
      </c>
      <c r="D450" s="45" t="b">
        <f>LineærRegression_Valg[[#This Row],[Afhængig variabel ID]]&lt;&gt;LineærRegression_Valg[[#This Row],[Uafhængig variabel ID]]</f>
        <v>1</v>
      </c>
      <c r="E450" t="b">
        <f>LineærRegression_Valg[[#This Row],[Afhængig variabel ID]]&lt;=$B$5</f>
        <v>0</v>
      </c>
      <c r="F450" t="str" cm="1">
        <f t="array" ref="F450">IF(LineærRegression_Valg[[#This Row],[Indenfor range]],INDEX(DataTitel_liste,LineærRegression_Valg[[#This Row],[Afhængig variabel ID]]),INDEX(DataTitel_liste,1))</f>
        <v>Eksempel 1 (interval)</v>
      </c>
      <c r="G450" s="45" t="str" cm="1">
        <f t="array" ref="G450">IF(LineærRegression_Valg[[#This Row],[Indenfor range]],IF(LineærRegression_Valg[[#This Row],[Intet overlap]],INDEX(DataTitel_liste,LineærRegression_Valg[[#This Row],[Uafhængig variabel ID]]),INDEX(DataTitel_liste,IF(LineærRegression_Valg[[#This Row],[Afhængig variabel ID]]=1,2,1))),$B$7)</f>
        <v>Eksempel 2 (interval)</v>
      </c>
      <c r="H450" s="45">
        <f>_xlfn.AGGREGATE(2,5,LineærRegression_Valg[[#This Row],[Tabel ID]])</f>
        <v>1</v>
      </c>
    </row>
    <row r="451" spans="1:8" x14ac:dyDescent="0.2">
      <c r="A451">
        <f>ROW(LineærRegression_Valg[[#This Row],[Tabel ID]])-ROW(LineærRegression_Valg[[#Headers],[Tabel ID]])</f>
        <v>441</v>
      </c>
      <c r="B451" s="45">
        <f>ROUNDDOWN((LineærRegression_Valg[[#This Row],[Tabel ID]]-1)/$B$5,0)+1</f>
        <v>111</v>
      </c>
      <c r="C451" s="45">
        <f t="shared" si="6"/>
        <v>1</v>
      </c>
      <c r="D451" s="45" t="b">
        <f>LineærRegression_Valg[[#This Row],[Afhængig variabel ID]]&lt;&gt;LineærRegression_Valg[[#This Row],[Uafhængig variabel ID]]</f>
        <v>1</v>
      </c>
      <c r="E451" t="b">
        <f>LineærRegression_Valg[[#This Row],[Afhængig variabel ID]]&lt;=$B$5</f>
        <v>0</v>
      </c>
      <c r="F451" t="str" cm="1">
        <f t="array" ref="F451">IF(LineærRegression_Valg[[#This Row],[Indenfor range]],INDEX(DataTitel_liste,LineærRegression_Valg[[#This Row],[Afhængig variabel ID]]),INDEX(DataTitel_liste,1))</f>
        <v>Eksempel 1 (interval)</v>
      </c>
      <c r="G451" s="45" t="str" cm="1">
        <f t="array" ref="G451">IF(LineærRegression_Valg[[#This Row],[Indenfor range]],IF(LineærRegression_Valg[[#This Row],[Intet overlap]],INDEX(DataTitel_liste,LineærRegression_Valg[[#This Row],[Uafhængig variabel ID]]),INDEX(DataTitel_liste,IF(LineærRegression_Valg[[#This Row],[Afhængig variabel ID]]=1,2,1))),$B$7)</f>
        <v>Eksempel 2 (interval)</v>
      </c>
      <c r="H451" s="45">
        <f>_xlfn.AGGREGATE(2,5,LineærRegression_Valg[[#This Row],[Tabel ID]])</f>
        <v>1</v>
      </c>
    </row>
    <row r="452" spans="1:8" x14ac:dyDescent="0.2">
      <c r="A452">
        <f>ROW(LineærRegression_Valg[[#This Row],[Tabel ID]])-ROW(LineærRegression_Valg[[#Headers],[Tabel ID]])</f>
        <v>442</v>
      </c>
      <c r="B452" s="45">
        <f>ROUNDDOWN((LineærRegression_Valg[[#This Row],[Tabel ID]]-1)/$B$5,0)+1</f>
        <v>111</v>
      </c>
      <c r="C452" s="45">
        <f t="shared" si="6"/>
        <v>2</v>
      </c>
      <c r="D452" s="45" t="b">
        <f>LineærRegression_Valg[[#This Row],[Afhængig variabel ID]]&lt;&gt;LineærRegression_Valg[[#This Row],[Uafhængig variabel ID]]</f>
        <v>1</v>
      </c>
      <c r="E452" t="b">
        <f>LineærRegression_Valg[[#This Row],[Afhængig variabel ID]]&lt;=$B$5</f>
        <v>0</v>
      </c>
      <c r="F452" t="str" cm="1">
        <f t="array" ref="F452">IF(LineærRegression_Valg[[#This Row],[Indenfor range]],INDEX(DataTitel_liste,LineærRegression_Valg[[#This Row],[Afhængig variabel ID]]),INDEX(DataTitel_liste,1))</f>
        <v>Eksempel 1 (interval)</v>
      </c>
      <c r="G452" s="45" t="str" cm="1">
        <f t="array" ref="G452">IF(LineærRegression_Valg[[#This Row],[Indenfor range]],IF(LineærRegression_Valg[[#This Row],[Intet overlap]],INDEX(DataTitel_liste,LineærRegression_Valg[[#This Row],[Uafhængig variabel ID]]),INDEX(DataTitel_liste,IF(LineærRegression_Valg[[#This Row],[Afhængig variabel ID]]=1,2,1))),$B$7)</f>
        <v>Eksempel 2 (interval)</v>
      </c>
      <c r="H452" s="45">
        <f>_xlfn.AGGREGATE(2,5,LineærRegression_Valg[[#This Row],[Tabel ID]])</f>
        <v>1</v>
      </c>
    </row>
    <row r="453" spans="1:8" x14ac:dyDescent="0.2">
      <c r="A453">
        <f>ROW(LineærRegression_Valg[[#This Row],[Tabel ID]])-ROW(LineærRegression_Valg[[#Headers],[Tabel ID]])</f>
        <v>443</v>
      </c>
      <c r="B453" s="45">
        <f>ROUNDDOWN((LineærRegression_Valg[[#This Row],[Tabel ID]]-1)/$B$5,0)+1</f>
        <v>111</v>
      </c>
      <c r="C453" s="45">
        <f t="shared" si="6"/>
        <v>3</v>
      </c>
      <c r="D453" s="45" t="b">
        <f>LineærRegression_Valg[[#This Row],[Afhængig variabel ID]]&lt;&gt;LineærRegression_Valg[[#This Row],[Uafhængig variabel ID]]</f>
        <v>1</v>
      </c>
      <c r="E453" t="b">
        <f>LineærRegression_Valg[[#This Row],[Afhængig variabel ID]]&lt;=$B$5</f>
        <v>0</v>
      </c>
      <c r="F453" t="str" cm="1">
        <f t="array" ref="F453">IF(LineærRegression_Valg[[#This Row],[Indenfor range]],INDEX(DataTitel_liste,LineærRegression_Valg[[#This Row],[Afhængig variabel ID]]),INDEX(DataTitel_liste,1))</f>
        <v>Eksempel 1 (interval)</v>
      </c>
      <c r="G453" s="45" t="str" cm="1">
        <f t="array" ref="G453">IF(LineærRegression_Valg[[#This Row],[Indenfor range]],IF(LineærRegression_Valg[[#This Row],[Intet overlap]],INDEX(DataTitel_liste,LineærRegression_Valg[[#This Row],[Uafhængig variabel ID]]),INDEX(DataTitel_liste,IF(LineærRegression_Valg[[#This Row],[Afhængig variabel ID]]=1,2,1))),$B$7)</f>
        <v>Eksempel 2 (interval)</v>
      </c>
      <c r="H453" s="45">
        <f>_xlfn.AGGREGATE(2,5,LineærRegression_Valg[[#This Row],[Tabel ID]])</f>
        <v>1</v>
      </c>
    </row>
    <row r="454" spans="1:8" x14ac:dyDescent="0.2">
      <c r="A454">
        <f>ROW(LineærRegression_Valg[[#This Row],[Tabel ID]])-ROW(LineærRegression_Valg[[#Headers],[Tabel ID]])</f>
        <v>444</v>
      </c>
      <c r="B454" s="45">
        <f>ROUNDDOWN((LineærRegression_Valg[[#This Row],[Tabel ID]]-1)/$B$5,0)+1</f>
        <v>111</v>
      </c>
      <c r="C454" s="45">
        <f t="shared" si="6"/>
        <v>4</v>
      </c>
      <c r="D454" s="45" t="b">
        <f>LineærRegression_Valg[[#This Row],[Afhængig variabel ID]]&lt;&gt;LineærRegression_Valg[[#This Row],[Uafhængig variabel ID]]</f>
        <v>1</v>
      </c>
      <c r="E454" t="b">
        <f>LineærRegression_Valg[[#This Row],[Afhængig variabel ID]]&lt;=$B$5</f>
        <v>0</v>
      </c>
      <c r="F454" t="str" cm="1">
        <f t="array" ref="F454">IF(LineærRegression_Valg[[#This Row],[Indenfor range]],INDEX(DataTitel_liste,LineærRegression_Valg[[#This Row],[Afhængig variabel ID]]),INDEX(DataTitel_liste,1))</f>
        <v>Eksempel 1 (interval)</v>
      </c>
      <c r="G454" s="45" t="str" cm="1">
        <f t="array" ref="G454">IF(LineærRegression_Valg[[#This Row],[Indenfor range]],IF(LineærRegression_Valg[[#This Row],[Intet overlap]],INDEX(DataTitel_liste,LineærRegression_Valg[[#This Row],[Uafhængig variabel ID]]),INDEX(DataTitel_liste,IF(LineærRegression_Valg[[#This Row],[Afhængig variabel ID]]=1,2,1))),$B$7)</f>
        <v>Eksempel 2 (interval)</v>
      </c>
      <c r="H454" s="45">
        <f>_xlfn.AGGREGATE(2,5,LineærRegression_Valg[[#This Row],[Tabel ID]])</f>
        <v>1</v>
      </c>
    </row>
    <row r="455" spans="1:8" x14ac:dyDescent="0.2">
      <c r="A455">
        <f>ROW(LineærRegression_Valg[[#This Row],[Tabel ID]])-ROW(LineærRegression_Valg[[#Headers],[Tabel ID]])</f>
        <v>445</v>
      </c>
      <c r="B455" s="45">
        <f>ROUNDDOWN((LineærRegression_Valg[[#This Row],[Tabel ID]]-1)/$B$5,0)+1</f>
        <v>112</v>
      </c>
      <c r="C455" s="45">
        <f t="shared" si="6"/>
        <v>1</v>
      </c>
      <c r="D455" s="45" t="b">
        <f>LineærRegression_Valg[[#This Row],[Afhængig variabel ID]]&lt;&gt;LineærRegression_Valg[[#This Row],[Uafhængig variabel ID]]</f>
        <v>1</v>
      </c>
      <c r="E455" t="b">
        <f>LineærRegression_Valg[[#This Row],[Afhængig variabel ID]]&lt;=$B$5</f>
        <v>0</v>
      </c>
      <c r="F455" t="str" cm="1">
        <f t="array" ref="F455">IF(LineærRegression_Valg[[#This Row],[Indenfor range]],INDEX(DataTitel_liste,LineærRegression_Valg[[#This Row],[Afhængig variabel ID]]),INDEX(DataTitel_liste,1))</f>
        <v>Eksempel 1 (interval)</v>
      </c>
      <c r="G455" s="45" t="str" cm="1">
        <f t="array" ref="G455">IF(LineærRegression_Valg[[#This Row],[Indenfor range]],IF(LineærRegression_Valg[[#This Row],[Intet overlap]],INDEX(DataTitel_liste,LineærRegression_Valg[[#This Row],[Uafhængig variabel ID]]),INDEX(DataTitel_liste,IF(LineærRegression_Valg[[#This Row],[Afhængig variabel ID]]=1,2,1))),$B$7)</f>
        <v>Eksempel 2 (interval)</v>
      </c>
      <c r="H455" s="45">
        <f>_xlfn.AGGREGATE(2,5,LineærRegression_Valg[[#This Row],[Tabel ID]])</f>
        <v>1</v>
      </c>
    </row>
    <row r="456" spans="1:8" x14ac:dyDescent="0.2">
      <c r="A456">
        <f>ROW(LineærRegression_Valg[[#This Row],[Tabel ID]])-ROW(LineærRegression_Valg[[#Headers],[Tabel ID]])</f>
        <v>446</v>
      </c>
      <c r="B456" s="45">
        <f>ROUNDDOWN((LineærRegression_Valg[[#This Row],[Tabel ID]]-1)/$B$5,0)+1</f>
        <v>112</v>
      </c>
      <c r="C456" s="45">
        <f t="shared" si="6"/>
        <v>2</v>
      </c>
      <c r="D456" s="45" t="b">
        <f>LineærRegression_Valg[[#This Row],[Afhængig variabel ID]]&lt;&gt;LineærRegression_Valg[[#This Row],[Uafhængig variabel ID]]</f>
        <v>1</v>
      </c>
      <c r="E456" t="b">
        <f>LineærRegression_Valg[[#This Row],[Afhængig variabel ID]]&lt;=$B$5</f>
        <v>0</v>
      </c>
      <c r="F456" t="str" cm="1">
        <f t="array" ref="F456">IF(LineærRegression_Valg[[#This Row],[Indenfor range]],INDEX(DataTitel_liste,LineærRegression_Valg[[#This Row],[Afhængig variabel ID]]),INDEX(DataTitel_liste,1))</f>
        <v>Eksempel 1 (interval)</v>
      </c>
      <c r="G456" s="45" t="str" cm="1">
        <f t="array" ref="G456">IF(LineærRegression_Valg[[#This Row],[Indenfor range]],IF(LineærRegression_Valg[[#This Row],[Intet overlap]],INDEX(DataTitel_liste,LineærRegression_Valg[[#This Row],[Uafhængig variabel ID]]),INDEX(DataTitel_liste,IF(LineærRegression_Valg[[#This Row],[Afhængig variabel ID]]=1,2,1))),$B$7)</f>
        <v>Eksempel 2 (interval)</v>
      </c>
      <c r="H456" s="45">
        <f>_xlfn.AGGREGATE(2,5,LineærRegression_Valg[[#This Row],[Tabel ID]])</f>
        <v>1</v>
      </c>
    </row>
    <row r="457" spans="1:8" x14ac:dyDescent="0.2">
      <c r="A457">
        <f>ROW(LineærRegression_Valg[[#This Row],[Tabel ID]])-ROW(LineærRegression_Valg[[#Headers],[Tabel ID]])</f>
        <v>447</v>
      </c>
      <c r="B457" s="45">
        <f>ROUNDDOWN((LineærRegression_Valg[[#This Row],[Tabel ID]]-1)/$B$5,0)+1</f>
        <v>112</v>
      </c>
      <c r="C457" s="45">
        <f t="shared" si="6"/>
        <v>3</v>
      </c>
      <c r="D457" s="45" t="b">
        <f>LineærRegression_Valg[[#This Row],[Afhængig variabel ID]]&lt;&gt;LineærRegression_Valg[[#This Row],[Uafhængig variabel ID]]</f>
        <v>1</v>
      </c>
      <c r="E457" t="b">
        <f>LineærRegression_Valg[[#This Row],[Afhængig variabel ID]]&lt;=$B$5</f>
        <v>0</v>
      </c>
      <c r="F457" t="str" cm="1">
        <f t="array" ref="F457">IF(LineærRegression_Valg[[#This Row],[Indenfor range]],INDEX(DataTitel_liste,LineærRegression_Valg[[#This Row],[Afhængig variabel ID]]),INDEX(DataTitel_liste,1))</f>
        <v>Eksempel 1 (interval)</v>
      </c>
      <c r="G457" s="45" t="str" cm="1">
        <f t="array" ref="G457">IF(LineærRegression_Valg[[#This Row],[Indenfor range]],IF(LineærRegression_Valg[[#This Row],[Intet overlap]],INDEX(DataTitel_liste,LineærRegression_Valg[[#This Row],[Uafhængig variabel ID]]),INDEX(DataTitel_liste,IF(LineærRegression_Valg[[#This Row],[Afhængig variabel ID]]=1,2,1))),$B$7)</f>
        <v>Eksempel 2 (interval)</v>
      </c>
      <c r="H457" s="45">
        <f>_xlfn.AGGREGATE(2,5,LineærRegression_Valg[[#This Row],[Tabel ID]])</f>
        <v>1</v>
      </c>
    </row>
    <row r="458" spans="1:8" x14ac:dyDescent="0.2">
      <c r="A458">
        <f>ROW(LineærRegression_Valg[[#This Row],[Tabel ID]])-ROW(LineærRegression_Valg[[#Headers],[Tabel ID]])</f>
        <v>448</v>
      </c>
      <c r="B458" s="45">
        <f>ROUNDDOWN((LineærRegression_Valg[[#This Row],[Tabel ID]]-1)/$B$5,0)+1</f>
        <v>112</v>
      </c>
      <c r="C458" s="45">
        <f t="shared" si="6"/>
        <v>4</v>
      </c>
      <c r="D458" s="45" t="b">
        <f>LineærRegression_Valg[[#This Row],[Afhængig variabel ID]]&lt;&gt;LineærRegression_Valg[[#This Row],[Uafhængig variabel ID]]</f>
        <v>1</v>
      </c>
      <c r="E458" t="b">
        <f>LineærRegression_Valg[[#This Row],[Afhængig variabel ID]]&lt;=$B$5</f>
        <v>0</v>
      </c>
      <c r="F458" t="str" cm="1">
        <f t="array" ref="F458">IF(LineærRegression_Valg[[#This Row],[Indenfor range]],INDEX(DataTitel_liste,LineærRegression_Valg[[#This Row],[Afhængig variabel ID]]),INDEX(DataTitel_liste,1))</f>
        <v>Eksempel 1 (interval)</v>
      </c>
      <c r="G458" s="45" t="str" cm="1">
        <f t="array" ref="G458">IF(LineærRegression_Valg[[#This Row],[Indenfor range]],IF(LineærRegression_Valg[[#This Row],[Intet overlap]],INDEX(DataTitel_liste,LineærRegression_Valg[[#This Row],[Uafhængig variabel ID]]),INDEX(DataTitel_liste,IF(LineærRegression_Valg[[#This Row],[Afhængig variabel ID]]=1,2,1))),$B$7)</f>
        <v>Eksempel 2 (interval)</v>
      </c>
      <c r="H458" s="45">
        <f>_xlfn.AGGREGATE(2,5,LineærRegression_Valg[[#This Row],[Tabel ID]])</f>
        <v>1</v>
      </c>
    </row>
    <row r="459" spans="1:8" x14ac:dyDescent="0.2">
      <c r="A459">
        <f>ROW(LineærRegression_Valg[[#This Row],[Tabel ID]])-ROW(LineærRegression_Valg[[#Headers],[Tabel ID]])</f>
        <v>449</v>
      </c>
      <c r="B459" s="45">
        <f>ROUNDDOWN((LineærRegression_Valg[[#This Row],[Tabel ID]]-1)/$B$5,0)+1</f>
        <v>113</v>
      </c>
      <c r="C459" s="45">
        <f t="shared" ref="C459:C522" si="7">MOD(A459-1,$B$5)+1</f>
        <v>1</v>
      </c>
      <c r="D459" s="45" t="b">
        <f>LineærRegression_Valg[[#This Row],[Afhængig variabel ID]]&lt;&gt;LineærRegression_Valg[[#This Row],[Uafhængig variabel ID]]</f>
        <v>1</v>
      </c>
      <c r="E459" t="b">
        <f>LineærRegression_Valg[[#This Row],[Afhængig variabel ID]]&lt;=$B$5</f>
        <v>0</v>
      </c>
      <c r="F459" t="str" cm="1">
        <f t="array" ref="F459">IF(LineærRegression_Valg[[#This Row],[Indenfor range]],INDEX(DataTitel_liste,LineærRegression_Valg[[#This Row],[Afhængig variabel ID]]),INDEX(DataTitel_liste,1))</f>
        <v>Eksempel 1 (interval)</v>
      </c>
      <c r="G459" s="45" t="str" cm="1">
        <f t="array" ref="G459">IF(LineærRegression_Valg[[#This Row],[Indenfor range]],IF(LineærRegression_Valg[[#This Row],[Intet overlap]],INDEX(DataTitel_liste,LineærRegression_Valg[[#This Row],[Uafhængig variabel ID]]),INDEX(DataTitel_liste,IF(LineærRegression_Valg[[#This Row],[Afhængig variabel ID]]=1,2,1))),$B$7)</f>
        <v>Eksempel 2 (interval)</v>
      </c>
      <c r="H459" s="45">
        <f>_xlfn.AGGREGATE(2,5,LineærRegression_Valg[[#This Row],[Tabel ID]])</f>
        <v>1</v>
      </c>
    </row>
    <row r="460" spans="1:8" x14ac:dyDescent="0.2">
      <c r="A460">
        <f>ROW(LineærRegression_Valg[[#This Row],[Tabel ID]])-ROW(LineærRegression_Valg[[#Headers],[Tabel ID]])</f>
        <v>450</v>
      </c>
      <c r="B460" s="45">
        <f>ROUNDDOWN((LineærRegression_Valg[[#This Row],[Tabel ID]]-1)/$B$5,0)+1</f>
        <v>113</v>
      </c>
      <c r="C460" s="45">
        <f t="shared" si="7"/>
        <v>2</v>
      </c>
      <c r="D460" s="45" t="b">
        <f>LineærRegression_Valg[[#This Row],[Afhængig variabel ID]]&lt;&gt;LineærRegression_Valg[[#This Row],[Uafhængig variabel ID]]</f>
        <v>1</v>
      </c>
      <c r="E460" t="b">
        <f>LineærRegression_Valg[[#This Row],[Afhængig variabel ID]]&lt;=$B$5</f>
        <v>0</v>
      </c>
      <c r="F460" t="str" cm="1">
        <f t="array" ref="F460">IF(LineærRegression_Valg[[#This Row],[Indenfor range]],INDEX(DataTitel_liste,LineærRegression_Valg[[#This Row],[Afhængig variabel ID]]),INDEX(DataTitel_liste,1))</f>
        <v>Eksempel 1 (interval)</v>
      </c>
      <c r="G460" s="45" t="str" cm="1">
        <f t="array" ref="G460">IF(LineærRegression_Valg[[#This Row],[Indenfor range]],IF(LineærRegression_Valg[[#This Row],[Intet overlap]],INDEX(DataTitel_liste,LineærRegression_Valg[[#This Row],[Uafhængig variabel ID]]),INDEX(DataTitel_liste,IF(LineærRegression_Valg[[#This Row],[Afhængig variabel ID]]=1,2,1))),$B$7)</f>
        <v>Eksempel 2 (interval)</v>
      </c>
      <c r="H460" s="45">
        <f>_xlfn.AGGREGATE(2,5,LineærRegression_Valg[[#This Row],[Tabel ID]])</f>
        <v>1</v>
      </c>
    </row>
    <row r="461" spans="1:8" x14ac:dyDescent="0.2">
      <c r="A461">
        <f>ROW(LineærRegression_Valg[[#This Row],[Tabel ID]])-ROW(LineærRegression_Valg[[#Headers],[Tabel ID]])</f>
        <v>451</v>
      </c>
      <c r="B461" s="45">
        <f>ROUNDDOWN((LineærRegression_Valg[[#This Row],[Tabel ID]]-1)/$B$5,0)+1</f>
        <v>113</v>
      </c>
      <c r="C461" s="45">
        <f t="shared" si="7"/>
        <v>3</v>
      </c>
      <c r="D461" s="45" t="b">
        <f>LineærRegression_Valg[[#This Row],[Afhængig variabel ID]]&lt;&gt;LineærRegression_Valg[[#This Row],[Uafhængig variabel ID]]</f>
        <v>1</v>
      </c>
      <c r="E461" t="b">
        <f>LineærRegression_Valg[[#This Row],[Afhængig variabel ID]]&lt;=$B$5</f>
        <v>0</v>
      </c>
      <c r="F461" t="str" cm="1">
        <f t="array" ref="F461">IF(LineærRegression_Valg[[#This Row],[Indenfor range]],INDEX(DataTitel_liste,LineærRegression_Valg[[#This Row],[Afhængig variabel ID]]),INDEX(DataTitel_liste,1))</f>
        <v>Eksempel 1 (interval)</v>
      </c>
      <c r="G461" s="45" t="str" cm="1">
        <f t="array" ref="G461">IF(LineærRegression_Valg[[#This Row],[Indenfor range]],IF(LineærRegression_Valg[[#This Row],[Intet overlap]],INDEX(DataTitel_liste,LineærRegression_Valg[[#This Row],[Uafhængig variabel ID]]),INDEX(DataTitel_liste,IF(LineærRegression_Valg[[#This Row],[Afhængig variabel ID]]=1,2,1))),$B$7)</f>
        <v>Eksempel 2 (interval)</v>
      </c>
      <c r="H461" s="45">
        <f>_xlfn.AGGREGATE(2,5,LineærRegression_Valg[[#This Row],[Tabel ID]])</f>
        <v>1</v>
      </c>
    </row>
    <row r="462" spans="1:8" x14ac:dyDescent="0.2">
      <c r="A462">
        <f>ROW(LineærRegression_Valg[[#This Row],[Tabel ID]])-ROW(LineærRegression_Valg[[#Headers],[Tabel ID]])</f>
        <v>452</v>
      </c>
      <c r="B462" s="45">
        <f>ROUNDDOWN((LineærRegression_Valg[[#This Row],[Tabel ID]]-1)/$B$5,0)+1</f>
        <v>113</v>
      </c>
      <c r="C462" s="45">
        <f t="shared" si="7"/>
        <v>4</v>
      </c>
      <c r="D462" s="45" t="b">
        <f>LineærRegression_Valg[[#This Row],[Afhængig variabel ID]]&lt;&gt;LineærRegression_Valg[[#This Row],[Uafhængig variabel ID]]</f>
        <v>1</v>
      </c>
      <c r="E462" t="b">
        <f>LineærRegression_Valg[[#This Row],[Afhængig variabel ID]]&lt;=$B$5</f>
        <v>0</v>
      </c>
      <c r="F462" t="str" cm="1">
        <f t="array" ref="F462">IF(LineærRegression_Valg[[#This Row],[Indenfor range]],INDEX(DataTitel_liste,LineærRegression_Valg[[#This Row],[Afhængig variabel ID]]),INDEX(DataTitel_liste,1))</f>
        <v>Eksempel 1 (interval)</v>
      </c>
      <c r="G462" s="45" t="str" cm="1">
        <f t="array" ref="G462">IF(LineærRegression_Valg[[#This Row],[Indenfor range]],IF(LineærRegression_Valg[[#This Row],[Intet overlap]],INDEX(DataTitel_liste,LineærRegression_Valg[[#This Row],[Uafhængig variabel ID]]),INDEX(DataTitel_liste,IF(LineærRegression_Valg[[#This Row],[Afhængig variabel ID]]=1,2,1))),$B$7)</f>
        <v>Eksempel 2 (interval)</v>
      </c>
      <c r="H462" s="45">
        <f>_xlfn.AGGREGATE(2,5,LineærRegression_Valg[[#This Row],[Tabel ID]])</f>
        <v>1</v>
      </c>
    </row>
    <row r="463" spans="1:8" x14ac:dyDescent="0.2">
      <c r="A463">
        <f>ROW(LineærRegression_Valg[[#This Row],[Tabel ID]])-ROW(LineærRegression_Valg[[#Headers],[Tabel ID]])</f>
        <v>453</v>
      </c>
      <c r="B463" s="45">
        <f>ROUNDDOWN((LineærRegression_Valg[[#This Row],[Tabel ID]]-1)/$B$5,0)+1</f>
        <v>114</v>
      </c>
      <c r="C463" s="45">
        <f t="shared" si="7"/>
        <v>1</v>
      </c>
      <c r="D463" s="45" t="b">
        <f>LineærRegression_Valg[[#This Row],[Afhængig variabel ID]]&lt;&gt;LineærRegression_Valg[[#This Row],[Uafhængig variabel ID]]</f>
        <v>1</v>
      </c>
      <c r="E463" t="b">
        <f>LineærRegression_Valg[[#This Row],[Afhængig variabel ID]]&lt;=$B$5</f>
        <v>0</v>
      </c>
      <c r="F463" t="str" cm="1">
        <f t="array" ref="F463">IF(LineærRegression_Valg[[#This Row],[Indenfor range]],INDEX(DataTitel_liste,LineærRegression_Valg[[#This Row],[Afhængig variabel ID]]),INDEX(DataTitel_liste,1))</f>
        <v>Eksempel 1 (interval)</v>
      </c>
      <c r="G463" s="45" t="str" cm="1">
        <f t="array" ref="G463">IF(LineærRegression_Valg[[#This Row],[Indenfor range]],IF(LineærRegression_Valg[[#This Row],[Intet overlap]],INDEX(DataTitel_liste,LineærRegression_Valg[[#This Row],[Uafhængig variabel ID]]),INDEX(DataTitel_liste,IF(LineærRegression_Valg[[#This Row],[Afhængig variabel ID]]=1,2,1))),$B$7)</f>
        <v>Eksempel 2 (interval)</v>
      </c>
      <c r="H463" s="45">
        <f>_xlfn.AGGREGATE(2,5,LineærRegression_Valg[[#This Row],[Tabel ID]])</f>
        <v>1</v>
      </c>
    </row>
    <row r="464" spans="1:8" x14ac:dyDescent="0.2">
      <c r="A464">
        <f>ROW(LineærRegression_Valg[[#This Row],[Tabel ID]])-ROW(LineærRegression_Valg[[#Headers],[Tabel ID]])</f>
        <v>454</v>
      </c>
      <c r="B464" s="45">
        <f>ROUNDDOWN((LineærRegression_Valg[[#This Row],[Tabel ID]]-1)/$B$5,0)+1</f>
        <v>114</v>
      </c>
      <c r="C464" s="45">
        <f t="shared" si="7"/>
        <v>2</v>
      </c>
      <c r="D464" s="45" t="b">
        <f>LineærRegression_Valg[[#This Row],[Afhængig variabel ID]]&lt;&gt;LineærRegression_Valg[[#This Row],[Uafhængig variabel ID]]</f>
        <v>1</v>
      </c>
      <c r="E464" t="b">
        <f>LineærRegression_Valg[[#This Row],[Afhængig variabel ID]]&lt;=$B$5</f>
        <v>0</v>
      </c>
      <c r="F464" t="str" cm="1">
        <f t="array" ref="F464">IF(LineærRegression_Valg[[#This Row],[Indenfor range]],INDEX(DataTitel_liste,LineærRegression_Valg[[#This Row],[Afhængig variabel ID]]),INDEX(DataTitel_liste,1))</f>
        <v>Eksempel 1 (interval)</v>
      </c>
      <c r="G464" s="45" t="str" cm="1">
        <f t="array" ref="G464">IF(LineærRegression_Valg[[#This Row],[Indenfor range]],IF(LineærRegression_Valg[[#This Row],[Intet overlap]],INDEX(DataTitel_liste,LineærRegression_Valg[[#This Row],[Uafhængig variabel ID]]),INDEX(DataTitel_liste,IF(LineærRegression_Valg[[#This Row],[Afhængig variabel ID]]=1,2,1))),$B$7)</f>
        <v>Eksempel 2 (interval)</v>
      </c>
      <c r="H464" s="45">
        <f>_xlfn.AGGREGATE(2,5,LineærRegression_Valg[[#This Row],[Tabel ID]])</f>
        <v>1</v>
      </c>
    </row>
    <row r="465" spans="1:8" x14ac:dyDescent="0.2">
      <c r="A465">
        <f>ROW(LineærRegression_Valg[[#This Row],[Tabel ID]])-ROW(LineærRegression_Valg[[#Headers],[Tabel ID]])</f>
        <v>455</v>
      </c>
      <c r="B465" s="45">
        <f>ROUNDDOWN((LineærRegression_Valg[[#This Row],[Tabel ID]]-1)/$B$5,0)+1</f>
        <v>114</v>
      </c>
      <c r="C465" s="45">
        <f t="shared" si="7"/>
        <v>3</v>
      </c>
      <c r="D465" s="45" t="b">
        <f>LineærRegression_Valg[[#This Row],[Afhængig variabel ID]]&lt;&gt;LineærRegression_Valg[[#This Row],[Uafhængig variabel ID]]</f>
        <v>1</v>
      </c>
      <c r="E465" t="b">
        <f>LineærRegression_Valg[[#This Row],[Afhængig variabel ID]]&lt;=$B$5</f>
        <v>0</v>
      </c>
      <c r="F465" t="str" cm="1">
        <f t="array" ref="F465">IF(LineærRegression_Valg[[#This Row],[Indenfor range]],INDEX(DataTitel_liste,LineærRegression_Valg[[#This Row],[Afhængig variabel ID]]),INDEX(DataTitel_liste,1))</f>
        <v>Eksempel 1 (interval)</v>
      </c>
      <c r="G465" s="45" t="str" cm="1">
        <f t="array" ref="G465">IF(LineærRegression_Valg[[#This Row],[Indenfor range]],IF(LineærRegression_Valg[[#This Row],[Intet overlap]],INDEX(DataTitel_liste,LineærRegression_Valg[[#This Row],[Uafhængig variabel ID]]),INDEX(DataTitel_liste,IF(LineærRegression_Valg[[#This Row],[Afhængig variabel ID]]=1,2,1))),$B$7)</f>
        <v>Eksempel 2 (interval)</v>
      </c>
      <c r="H465" s="45">
        <f>_xlfn.AGGREGATE(2,5,LineærRegression_Valg[[#This Row],[Tabel ID]])</f>
        <v>1</v>
      </c>
    </row>
    <row r="466" spans="1:8" x14ac:dyDescent="0.2">
      <c r="A466">
        <f>ROW(LineærRegression_Valg[[#This Row],[Tabel ID]])-ROW(LineærRegression_Valg[[#Headers],[Tabel ID]])</f>
        <v>456</v>
      </c>
      <c r="B466" s="45">
        <f>ROUNDDOWN((LineærRegression_Valg[[#This Row],[Tabel ID]]-1)/$B$5,0)+1</f>
        <v>114</v>
      </c>
      <c r="C466" s="45">
        <f t="shared" si="7"/>
        <v>4</v>
      </c>
      <c r="D466" s="45" t="b">
        <f>LineærRegression_Valg[[#This Row],[Afhængig variabel ID]]&lt;&gt;LineærRegression_Valg[[#This Row],[Uafhængig variabel ID]]</f>
        <v>1</v>
      </c>
      <c r="E466" t="b">
        <f>LineærRegression_Valg[[#This Row],[Afhængig variabel ID]]&lt;=$B$5</f>
        <v>0</v>
      </c>
      <c r="F466" t="str" cm="1">
        <f t="array" ref="F466">IF(LineærRegression_Valg[[#This Row],[Indenfor range]],INDEX(DataTitel_liste,LineærRegression_Valg[[#This Row],[Afhængig variabel ID]]),INDEX(DataTitel_liste,1))</f>
        <v>Eksempel 1 (interval)</v>
      </c>
      <c r="G466" s="45" t="str" cm="1">
        <f t="array" ref="G466">IF(LineærRegression_Valg[[#This Row],[Indenfor range]],IF(LineærRegression_Valg[[#This Row],[Intet overlap]],INDEX(DataTitel_liste,LineærRegression_Valg[[#This Row],[Uafhængig variabel ID]]),INDEX(DataTitel_liste,IF(LineærRegression_Valg[[#This Row],[Afhængig variabel ID]]=1,2,1))),$B$7)</f>
        <v>Eksempel 2 (interval)</v>
      </c>
      <c r="H466" s="45">
        <f>_xlfn.AGGREGATE(2,5,LineærRegression_Valg[[#This Row],[Tabel ID]])</f>
        <v>1</v>
      </c>
    </row>
    <row r="467" spans="1:8" x14ac:dyDescent="0.2">
      <c r="A467">
        <f>ROW(LineærRegression_Valg[[#This Row],[Tabel ID]])-ROW(LineærRegression_Valg[[#Headers],[Tabel ID]])</f>
        <v>457</v>
      </c>
      <c r="B467" s="45">
        <f>ROUNDDOWN((LineærRegression_Valg[[#This Row],[Tabel ID]]-1)/$B$5,0)+1</f>
        <v>115</v>
      </c>
      <c r="C467" s="45">
        <f t="shared" si="7"/>
        <v>1</v>
      </c>
      <c r="D467" s="45" t="b">
        <f>LineærRegression_Valg[[#This Row],[Afhængig variabel ID]]&lt;&gt;LineærRegression_Valg[[#This Row],[Uafhængig variabel ID]]</f>
        <v>1</v>
      </c>
      <c r="E467" t="b">
        <f>LineærRegression_Valg[[#This Row],[Afhængig variabel ID]]&lt;=$B$5</f>
        <v>0</v>
      </c>
      <c r="F467" t="str" cm="1">
        <f t="array" ref="F467">IF(LineærRegression_Valg[[#This Row],[Indenfor range]],INDEX(DataTitel_liste,LineærRegression_Valg[[#This Row],[Afhængig variabel ID]]),INDEX(DataTitel_liste,1))</f>
        <v>Eksempel 1 (interval)</v>
      </c>
      <c r="G467" s="45" t="str" cm="1">
        <f t="array" ref="G467">IF(LineærRegression_Valg[[#This Row],[Indenfor range]],IF(LineærRegression_Valg[[#This Row],[Intet overlap]],INDEX(DataTitel_liste,LineærRegression_Valg[[#This Row],[Uafhængig variabel ID]]),INDEX(DataTitel_liste,IF(LineærRegression_Valg[[#This Row],[Afhængig variabel ID]]=1,2,1))),$B$7)</f>
        <v>Eksempel 2 (interval)</v>
      </c>
      <c r="H467" s="45">
        <f>_xlfn.AGGREGATE(2,5,LineærRegression_Valg[[#This Row],[Tabel ID]])</f>
        <v>1</v>
      </c>
    </row>
    <row r="468" spans="1:8" x14ac:dyDescent="0.2">
      <c r="A468">
        <f>ROW(LineærRegression_Valg[[#This Row],[Tabel ID]])-ROW(LineærRegression_Valg[[#Headers],[Tabel ID]])</f>
        <v>458</v>
      </c>
      <c r="B468" s="45">
        <f>ROUNDDOWN((LineærRegression_Valg[[#This Row],[Tabel ID]]-1)/$B$5,0)+1</f>
        <v>115</v>
      </c>
      <c r="C468" s="45">
        <f t="shared" si="7"/>
        <v>2</v>
      </c>
      <c r="D468" s="45" t="b">
        <f>LineærRegression_Valg[[#This Row],[Afhængig variabel ID]]&lt;&gt;LineærRegression_Valg[[#This Row],[Uafhængig variabel ID]]</f>
        <v>1</v>
      </c>
      <c r="E468" t="b">
        <f>LineærRegression_Valg[[#This Row],[Afhængig variabel ID]]&lt;=$B$5</f>
        <v>0</v>
      </c>
      <c r="F468" t="str" cm="1">
        <f t="array" ref="F468">IF(LineærRegression_Valg[[#This Row],[Indenfor range]],INDEX(DataTitel_liste,LineærRegression_Valg[[#This Row],[Afhængig variabel ID]]),INDEX(DataTitel_liste,1))</f>
        <v>Eksempel 1 (interval)</v>
      </c>
      <c r="G468" s="45" t="str" cm="1">
        <f t="array" ref="G468">IF(LineærRegression_Valg[[#This Row],[Indenfor range]],IF(LineærRegression_Valg[[#This Row],[Intet overlap]],INDEX(DataTitel_liste,LineærRegression_Valg[[#This Row],[Uafhængig variabel ID]]),INDEX(DataTitel_liste,IF(LineærRegression_Valg[[#This Row],[Afhængig variabel ID]]=1,2,1))),$B$7)</f>
        <v>Eksempel 2 (interval)</v>
      </c>
      <c r="H468" s="45">
        <f>_xlfn.AGGREGATE(2,5,LineærRegression_Valg[[#This Row],[Tabel ID]])</f>
        <v>1</v>
      </c>
    </row>
    <row r="469" spans="1:8" x14ac:dyDescent="0.2">
      <c r="A469">
        <f>ROW(LineærRegression_Valg[[#This Row],[Tabel ID]])-ROW(LineærRegression_Valg[[#Headers],[Tabel ID]])</f>
        <v>459</v>
      </c>
      <c r="B469" s="45">
        <f>ROUNDDOWN((LineærRegression_Valg[[#This Row],[Tabel ID]]-1)/$B$5,0)+1</f>
        <v>115</v>
      </c>
      <c r="C469" s="45">
        <f t="shared" si="7"/>
        <v>3</v>
      </c>
      <c r="D469" s="45" t="b">
        <f>LineærRegression_Valg[[#This Row],[Afhængig variabel ID]]&lt;&gt;LineærRegression_Valg[[#This Row],[Uafhængig variabel ID]]</f>
        <v>1</v>
      </c>
      <c r="E469" t="b">
        <f>LineærRegression_Valg[[#This Row],[Afhængig variabel ID]]&lt;=$B$5</f>
        <v>0</v>
      </c>
      <c r="F469" t="str" cm="1">
        <f t="array" ref="F469">IF(LineærRegression_Valg[[#This Row],[Indenfor range]],INDEX(DataTitel_liste,LineærRegression_Valg[[#This Row],[Afhængig variabel ID]]),INDEX(DataTitel_liste,1))</f>
        <v>Eksempel 1 (interval)</v>
      </c>
      <c r="G469" s="45" t="str" cm="1">
        <f t="array" ref="G469">IF(LineærRegression_Valg[[#This Row],[Indenfor range]],IF(LineærRegression_Valg[[#This Row],[Intet overlap]],INDEX(DataTitel_liste,LineærRegression_Valg[[#This Row],[Uafhængig variabel ID]]),INDEX(DataTitel_liste,IF(LineærRegression_Valg[[#This Row],[Afhængig variabel ID]]=1,2,1))),$B$7)</f>
        <v>Eksempel 2 (interval)</v>
      </c>
      <c r="H469" s="45">
        <f>_xlfn.AGGREGATE(2,5,LineærRegression_Valg[[#This Row],[Tabel ID]])</f>
        <v>1</v>
      </c>
    </row>
    <row r="470" spans="1:8" x14ac:dyDescent="0.2">
      <c r="A470">
        <f>ROW(LineærRegression_Valg[[#This Row],[Tabel ID]])-ROW(LineærRegression_Valg[[#Headers],[Tabel ID]])</f>
        <v>460</v>
      </c>
      <c r="B470" s="45">
        <f>ROUNDDOWN((LineærRegression_Valg[[#This Row],[Tabel ID]]-1)/$B$5,0)+1</f>
        <v>115</v>
      </c>
      <c r="C470" s="45">
        <f t="shared" si="7"/>
        <v>4</v>
      </c>
      <c r="D470" s="45" t="b">
        <f>LineærRegression_Valg[[#This Row],[Afhængig variabel ID]]&lt;&gt;LineærRegression_Valg[[#This Row],[Uafhængig variabel ID]]</f>
        <v>1</v>
      </c>
      <c r="E470" t="b">
        <f>LineærRegression_Valg[[#This Row],[Afhængig variabel ID]]&lt;=$B$5</f>
        <v>0</v>
      </c>
      <c r="F470" t="str" cm="1">
        <f t="array" ref="F470">IF(LineærRegression_Valg[[#This Row],[Indenfor range]],INDEX(DataTitel_liste,LineærRegression_Valg[[#This Row],[Afhængig variabel ID]]),INDEX(DataTitel_liste,1))</f>
        <v>Eksempel 1 (interval)</v>
      </c>
      <c r="G470" s="45" t="str" cm="1">
        <f t="array" ref="G470">IF(LineærRegression_Valg[[#This Row],[Indenfor range]],IF(LineærRegression_Valg[[#This Row],[Intet overlap]],INDEX(DataTitel_liste,LineærRegression_Valg[[#This Row],[Uafhængig variabel ID]]),INDEX(DataTitel_liste,IF(LineærRegression_Valg[[#This Row],[Afhængig variabel ID]]=1,2,1))),$B$7)</f>
        <v>Eksempel 2 (interval)</v>
      </c>
      <c r="H470" s="45">
        <f>_xlfn.AGGREGATE(2,5,LineærRegression_Valg[[#This Row],[Tabel ID]])</f>
        <v>1</v>
      </c>
    </row>
    <row r="471" spans="1:8" x14ac:dyDescent="0.2">
      <c r="A471">
        <f>ROW(LineærRegression_Valg[[#This Row],[Tabel ID]])-ROW(LineærRegression_Valg[[#Headers],[Tabel ID]])</f>
        <v>461</v>
      </c>
      <c r="B471" s="45">
        <f>ROUNDDOWN((LineærRegression_Valg[[#This Row],[Tabel ID]]-1)/$B$5,0)+1</f>
        <v>116</v>
      </c>
      <c r="C471" s="45">
        <f t="shared" si="7"/>
        <v>1</v>
      </c>
      <c r="D471" s="45" t="b">
        <f>LineærRegression_Valg[[#This Row],[Afhængig variabel ID]]&lt;&gt;LineærRegression_Valg[[#This Row],[Uafhængig variabel ID]]</f>
        <v>1</v>
      </c>
      <c r="E471" t="b">
        <f>LineærRegression_Valg[[#This Row],[Afhængig variabel ID]]&lt;=$B$5</f>
        <v>0</v>
      </c>
      <c r="F471" t="str" cm="1">
        <f t="array" ref="F471">IF(LineærRegression_Valg[[#This Row],[Indenfor range]],INDEX(DataTitel_liste,LineærRegression_Valg[[#This Row],[Afhængig variabel ID]]),INDEX(DataTitel_liste,1))</f>
        <v>Eksempel 1 (interval)</v>
      </c>
      <c r="G471" s="45" t="str" cm="1">
        <f t="array" ref="G471">IF(LineærRegression_Valg[[#This Row],[Indenfor range]],IF(LineærRegression_Valg[[#This Row],[Intet overlap]],INDEX(DataTitel_liste,LineærRegression_Valg[[#This Row],[Uafhængig variabel ID]]),INDEX(DataTitel_liste,IF(LineærRegression_Valg[[#This Row],[Afhængig variabel ID]]=1,2,1))),$B$7)</f>
        <v>Eksempel 2 (interval)</v>
      </c>
      <c r="H471" s="45">
        <f>_xlfn.AGGREGATE(2,5,LineærRegression_Valg[[#This Row],[Tabel ID]])</f>
        <v>1</v>
      </c>
    </row>
    <row r="472" spans="1:8" x14ac:dyDescent="0.2">
      <c r="A472">
        <f>ROW(LineærRegression_Valg[[#This Row],[Tabel ID]])-ROW(LineærRegression_Valg[[#Headers],[Tabel ID]])</f>
        <v>462</v>
      </c>
      <c r="B472" s="45">
        <f>ROUNDDOWN((LineærRegression_Valg[[#This Row],[Tabel ID]]-1)/$B$5,0)+1</f>
        <v>116</v>
      </c>
      <c r="C472" s="45">
        <f t="shared" si="7"/>
        <v>2</v>
      </c>
      <c r="D472" s="45" t="b">
        <f>LineærRegression_Valg[[#This Row],[Afhængig variabel ID]]&lt;&gt;LineærRegression_Valg[[#This Row],[Uafhængig variabel ID]]</f>
        <v>1</v>
      </c>
      <c r="E472" t="b">
        <f>LineærRegression_Valg[[#This Row],[Afhængig variabel ID]]&lt;=$B$5</f>
        <v>0</v>
      </c>
      <c r="F472" t="str" cm="1">
        <f t="array" ref="F472">IF(LineærRegression_Valg[[#This Row],[Indenfor range]],INDEX(DataTitel_liste,LineærRegression_Valg[[#This Row],[Afhængig variabel ID]]),INDEX(DataTitel_liste,1))</f>
        <v>Eksempel 1 (interval)</v>
      </c>
      <c r="G472" s="45" t="str" cm="1">
        <f t="array" ref="G472">IF(LineærRegression_Valg[[#This Row],[Indenfor range]],IF(LineærRegression_Valg[[#This Row],[Intet overlap]],INDEX(DataTitel_liste,LineærRegression_Valg[[#This Row],[Uafhængig variabel ID]]),INDEX(DataTitel_liste,IF(LineærRegression_Valg[[#This Row],[Afhængig variabel ID]]=1,2,1))),$B$7)</f>
        <v>Eksempel 2 (interval)</v>
      </c>
      <c r="H472" s="45">
        <f>_xlfn.AGGREGATE(2,5,LineærRegression_Valg[[#This Row],[Tabel ID]])</f>
        <v>1</v>
      </c>
    </row>
    <row r="473" spans="1:8" x14ac:dyDescent="0.2">
      <c r="A473">
        <f>ROW(LineærRegression_Valg[[#This Row],[Tabel ID]])-ROW(LineærRegression_Valg[[#Headers],[Tabel ID]])</f>
        <v>463</v>
      </c>
      <c r="B473" s="45">
        <f>ROUNDDOWN((LineærRegression_Valg[[#This Row],[Tabel ID]]-1)/$B$5,0)+1</f>
        <v>116</v>
      </c>
      <c r="C473" s="45">
        <f t="shared" si="7"/>
        <v>3</v>
      </c>
      <c r="D473" s="45" t="b">
        <f>LineærRegression_Valg[[#This Row],[Afhængig variabel ID]]&lt;&gt;LineærRegression_Valg[[#This Row],[Uafhængig variabel ID]]</f>
        <v>1</v>
      </c>
      <c r="E473" t="b">
        <f>LineærRegression_Valg[[#This Row],[Afhængig variabel ID]]&lt;=$B$5</f>
        <v>0</v>
      </c>
      <c r="F473" t="str" cm="1">
        <f t="array" ref="F473">IF(LineærRegression_Valg[[#This Row],[Indenfor range]],INDEX(DataTitel_liste,LineærRegression_Valg[[#This Row],[Afhængig variabel ID]]),INDEX(DataTitel_liste,1))</f>
        <v>Eksempel 1 (interval)</v>
      </c>
      <c r="G473" s="45" t="str" cm="1">
        <f t="array" ref="G473">IF(LineærRegression_Valg[[#This Row],[Indenfor range]],IF(LineærRegression_Valg[[#This Row],[Intet overlap]],INDEX(DataTitel_liste,LineærRegression_Valg[[#This Row],[Uafhængig variabel ID]]),INDEX(DataTitel_liste,IF(LineærRegression_Valg[[#This Row],[Afhængig variabel ID]]=1,2,1))),$B$7)</f>
        <v>Eksempel 2 (interval)</v>
      </c>
      <c r="H473" s="45">
        <f>_xlfn.AGGREGATE(2,5,LineærRegression_Valg[[#This Row],[Tabel ID]])</f>
        <v>1</v>
      </c>
    </row>
    <row r="474" spans="1:8" x14ac:dyDescent="0.2">
      <c r="A474">
        <f>ROW(LineærRegression_Valg[[#This Row],[Tabel ID]])-ROW(LineærRegression_Valg[[#Headers],[Tabel ID]])</f>
        <v>464</v>
      </c>
      <c r="B474" s="45">
        <f>ROUNDDOWN((LineærRegression_Valg[[#This Row],[Tabel ID]]-1)/$B$5,0)+1</f>
        <v>116</v>
      </c>
      <c r="C474" s="45">
        <f t="shared" si="7"/>
        <v>4</v>
      </c>
      <c r="D474" s="45" t="b">
        <f>LineærRegression_Valg[[#This Row],[Afhængig variabel ID]]&lt;&gt;LineærRegression_Valg[[#This Row],[Uafhængig variabel ID]]</f>
        <v>1</v>
      </c>
      <c r="E474" t="b">
        <f>LineærRegression_Valg[[#This Row],[Afhængig variabel ID]]&lt;=$B$5</f>
        <v>0</v>
      </c>
      <c r="F474" t="str" cm="1">
        <f t="array" ref="F474">IF(LineærRegression_Valg[[#This Row],[Indenfor range]],INDEX(DataTitel_liste,LineærRegression_Valg[[#This Row],[Afhængig variabel ID]]),INDEX(DataTitel_liste,1))</f>
        <v>Eksempel 1 (interval)</v>
      </c>
      <c r="G474" s="45" t="str" cm="1">
        <f t="array" ref="G474">IF(LineærRegression_Valg[[#This Row],[Indenfor range]],IF(LineærRegression_Valg[[#This Row],[Intet overlap]],INDEX(DataTitel_liste,LineærRegression_Valg[[#This Row],[Uafhængig variabel ID]]),INDEX(DataTitel_liste,IF(LineærRegression_Valg[[#This Row],[Afhængig variabel ID]]=1,2,1))),$B$7)</f>
        <v>Eksempel 2 (interval)</v>
      </c>
      <c r="H474" s="45">
        <f>_xlfn.AGGREGATE(2,5,LineærRegression_Valg[[#This Row],[Tabel ID]])</f>
        <v>1</v>
      </c>
    </row>
    <row r="475" spans="1:8" x14ac:dyDescent="0.2">
      <c r="A475">
        <f>ROW(LineærRegression_Valg[[#This Row],[Tabel ID]])-ROW(LineærRegression_Valg[[#Headers],[Tabel ID]])</f>
        <v>465</v>
      </c>
      <c r="B475" s="45">
        <f>ROUNDDOWN((LineærRegression_Valg[[#This Row],[Tabel ID]]-1)/$B$5,0)+1</f>
        <v>117</v>
      </c>
      <c r="C475" s="45">
        <f t="shared" si="7"/>
        <v>1</v>
      </c>
      <c r="D475" s="45" t="b">
        <f>LineærRegression_Valg[[#This Row],[Afhængig variabel ID]]&lt;&gt;LineærRegression_Valg[[#This Row],[Uafhængig variabel ID]]</f>
        <v>1</v>
      </c>
      <c r="E475" t="b">
        <f>LineærRegression_Valg[[#This Row],[Afhængig variabel ID]]&lt;=$B$5</f>
        <v>0</v>
      </c>
      <c r="F475" t="str" cm="1">
        <f t="array" ref="F475">IF(LineærRegression_Valg[[#This Row],[Indenfor range]],INDEX(DataTitel_liste,LineærRegression_Valg[[#This Row],[Afhængig variabel ID]]),INDEX(DataTitel_liste,1))</f>
        <v>Eksempel 1 (interval)</v>
      </c>
      <c r="G475" s="45" t="str" cm="1">
        <f t="array" ref="G475">IF(LineærRegression_Valg[[#This Row],[Indenfor range]],IF(LineærRegression_Valg[[#This Row],[Intet overlap]],INDEX(DataTitel_liste,LineærRegression_Valg[[#This Row],[Uafhængig variabel ID]]),INDEX(DataTitel_liste,IF(LineærRegression_Valg[[#This Row],[Afhængig variabel ID]]=1,2,1))),$B$7)</f>
        <v>Eksempel 2 (interval)</v>
      </c>
      <c r="H475" s="45">
        <f>_xlfn.AGGREGATE(2,5,LineærRegression_Valg[[#This Row],[Tabel ID]])</f>
        <v>1</v>
      </c>
    </row>
    <row r="476" spans="1:8" x14ac:dyDescent="0.2">
      <c r="A476">
        <f>ROW(LineærRegression_Valg[[#This Row],[Tabel ID]])-ROW(LineærRegression_Valg[[#Headers],[Tabel ID]])</f>
        <v>466</v>
      </c>
      <c r="B476" s="45">
        <f>ROUNDDOWN((LineærRegression_Valg[[#This Row],[Tabel ID]]-1)/$B$5,0)+1</f>
        <v>117</v>
      </c>
      <c r="C476" s="45">
        <f t="shared" si="7"/>
        <v>2</v>
      </c>
      <c r="D476" s="45" t="b">
        <f>LineærRegression_Valg[[#This Row],[Afhængig variabel ID]]&lt;&gt;LineærRegression_Valg[[#This Row],[Uafhængig variabel ID]]</f>
        <v>1</v>
      </c>
      <c r="E476" t="b">
        <f>LineærRegression_Valg[[#This Row],[Afhængig variabel ID]]&lt;=$B$5</f>
        <v>0</v>
      </c>
      <c r="F476" t="str" cm="1">
        <f t="array" ref="F476">IF(LineærRegression_Valg[[#This Row],[Indenfor range]],INDEX(DataTitel_liste,LineærRegression_Valg[[#This Row],[Afhængig variabel ID]]),INDEX(DataTitel_liste,1))</f>
        <v>Eksempel 1 (interval)</v>
      </c>
      <c r="G476" s="45" t="str" cm="1">
        <f t="array" ref="G476">IF(LineærRegression_Valg[[#This Row],[Indenfor range]],IF(LineærRegression_Valg[[#This Row],[Intet overlap]],INDEX(DataTitel_liste,LineærRegression_Valg[[#This Row],[Uafhængig variabel ID]]),INDEX(DataTitel_liste,IF(LineærRegression_Valg[[#This Row],[Afhængig variabel ID]]=1,2,1))),$B$7)</f>
        <v>Eksempel 2 (interval)</v>
      </c>
      <c r="H476" s="45">
        <f>_xlfn.AGGREGATE(2,5,LineærRegression_Valg[[#This Row],[Tabel ID]])</f>
        <v>1</v>
      </c>
    </row>
    <row r="477" spans="1:8" x14ac:dyDescent="0.2">
      <c r="A477">
        <f>ROW(LineærRegression_Valg[[#This Row],[Tabel ID]])-ROW(LineærRegression_Valg[[#Headers],[Tabel ID]])</f>
        <v>467</v>
      </c>
      <c r="B477" s="45">
        <f>ROUNDDOWN((LineærRegression_Valg[[#This Row],[Tabel ID]]-1)/$B$5,0)+1</f>
        <v>117</v>
      </c>
      <c r="C477" s="45">
        <f t="shared" si="7"/>
        <v>3</v>
      </c>
      <c r="D477" s="45" t="b">
        <f>LineærRegression_Valg[[#This Row],[Afhængig variabel ID]]&lt;&gt;LineærRegression_Valg[[#This Row],[Uafhængig variabel ID]]</f>
        <v>1</v>
      </c>
      <c r="E477" t="b">
        <f>LineærRegression_Valg[[#This Row],[Afhængig variabel ID]]&lt;=$B$5</f>
        <v>0</v>
      </c>
      <c r="F477" t="str" cm="1">
        <f t="array" ref="F477">IF(LineærRegression_Valg[[#This Row],[Indenfor range]],INDEX(DataTitel_liste,LineærRegression_Valg[[#This Row],[Afhængig variabel ID]]),INDEX(DataTitel_liste,1))</f>
        <v>Eksempel 1 (interval)</v>
      </c>
      <c r="G477" s="45" t="str" cm="1">
        <f t="array" ref="G477">IF(LineærRegression_Valg[[#This Row],[Indenfor range]],IF(LineærRegression_Valg[[#This Row],[Intet overlap]],INDEX(DataTitel_liste,LineærRegression_Valg[[#This Row],[Uafhængig variabel ID]]),INDEX(DataTitel_liste,IF(LineærRegression_Valg[[#This Row],[Afhængig variabel ID]]=1,2,1))),$B$7)</f>
        <v>Eksempel 2 (interval)</v>
      </c>
      <c r="H477" s="45">
        <f>_xlfn.AGGREGATE(2,5,LineærRegression_Valg[[#This Row],[Tabel ID]])</f>
        <v>1</v>
      </c>
    </row>
    <row r="478" spans="1:8" x14ac:dyDescent="0.2">
      <c r="A478">
        <f>ROW(LineærRegression_Valg[[#This Row],[Tabel ID]])-ROW(LineærRegression_Valg[[#Headers],[Tabel ID]])</f>
        <v>468</v>
      </c>
      <c r="B478" s="45">
        <f>ROUNDDOWN((LineærRegression_Valg[[#This Row],[Tabel ID]]-1)/$B$5,0)+1</f>
        <v>117</v>
      </c>
      <c r="C478" s="45">
        <f t="shared" si="7"/>
        <v>4</v>
      </c>
      <c r="D478" s="45" t="b">
        <f>LineærRegression_Valg[[#This Row],[Afhængig variabel ID]]&lt;&gt;LineærRegression_Valg[[#This Row],[Uafhængig variabel ID]]</f>
        <v>1</v>
      </c>
      <c r="E478" t="b">
        <f>LineærRegression_Valg[[#This Row],[Afhængig variabel ID]]&lt;=$B$5</f>
        <v>0</v>
      </c>
      <c r="F478" t="str" cm="1">
        <f t="array" ref="F478">IF(LineærRegression_Valg[[#This Row],[Indenfor range]],INDEX(DataTitel_liste,LineærRegression_Valg[[#This Row],[Afhængig variabel ID]]),INDEX(DataTitel_liste,1))</f>
        <v>Eksempel 1 (interval)</v>
      </c>
      <c r="G478" s="45" t="str" cm="1">
        <f t="array" ref="G478">IF(LineærRegression_Valg[[#This Row],[Indenfor range]],IF(LineærRegression_Valg[[#This Row],[Intet overlap]],INDEX(DataTitel_liste,LineærRegression_Valg[[#This Row],[Uafhængig variabel ID]]),INDEX(DataTitel_liste,IF(LineærRegression_Valg[[#This Row],[Afhængig variabel ID]]=1,2,1))),$B$7)</f>
        <v>Eksempel 2 (interval)</v>
      </c>
      <c r="H478" s="45">
        <f>_xlfn.AGGREGATE(2,5,LineærRegression_Valg[[#This Row],[Tabel ID]])</f>
        <v>1</v>
      </c>
    </row>
    <row r="479" spans="1:8" x14ac:dyDescent="0.2">
      <c r="A479">
        <f>ROW(LineærRegression_Valg[[#This Row],[Tabel ID]])-ROW(LineærRegression_Valg[[#Headers],[Tabel ID]])</f>
        <v>469</v>
      </c>
      <c r="B479" s="45">
        <f>ROUNDDOWN((LineærRegression_Valg[[#This Row],[Tabel ID]]-1)/$B$5,0)+1</f>
        <v>118</v>
      </c>
      <c r="C479" s="45">
        <f t="shared" si="7"/>
        <v>1</v>
      </c>
      <c r="D479" s="45" t="b">
        <f>LineærRegression_Valg[[#This Row],[Afhængig variabel ID]]&lt;&gt;LineærRegression_Valg[[#This Row],[Uafhængig variabel ID]]</f>
        <v>1</v>
      </c>
      <c r="E479" t="b">
        <f>LineærRegression_Valg[[#This Row],[Afhængig variabel ID]]&lt;=$B$5</f>
        <v>0</v>
      </c>
      <c r="F479" t="str" cm="1">
        <f t="array" ref="F479">IF(LineærRegression_Valg[[#This Row],[Indenfor range]],INDEX(DataTitel_liste,LineærRegression_Valg[[#This Row],[Afhængig variabel ID]]),INDEX(DataTitel_liste,1))</f>
        <v>Eksempel 1 (interval)</v>
      </c>
      <c r="G479" s="45" t="str" cm="1">
        <f t="array" ref="G479">IF(LineærRegression_Valg[[#This Row],[Indenfor range]],IF(LineærRegression_Valg[[#This Row],[Intet overlap]],INDEX(DataTitel_liste,LineærRegression_Valg[[#This Row],[Uafhængig variabel ID]]),INDEX(DataTitel_liste,IF(LineærRegression_Valg[[#This Row],[Afhængig variabel ID]]=1,2,1))),$B$7)</f>
        <v>Eksempel 2 (interval)</v>
      </c>
      <c r="H479" s="45">
        <f>_xlfn.AGGREGATE(2,5,LineærRegression_Valg[[#This Row],[Tabel ID]])</f>
        <v>1</v>
      </c>
    </row>
    <row r="480" spans="1:8" x14ac:dyDescent="0.2">
      <c r="A480">
        <f>ROW(LineærRegression_Valg[[#This Row],[Tabel ID]])-ROW(LineærRegression_Valg[[#Headers],[Tabel ID]])</f>
        <v>470</v>
      </c>
      <c r="B480" s="45">
        <f>ROUNDDOWN((LineærRegression_Valg[[#This Row],[Tabel ID]]-1)/$B$5,0)+1</f>
        <v>118</v>
      </c>
      <c r="C480" s="45">
        <f t="shared" si="7"/>
        <v>2</v>
      </c>
      <c r="D480" s="45" t="b">
        <f>LineærRegression_Valg[[#This Row],[Afhængig variabel ID]]&lt;&gt;LineærRegression_Valg[[#This Row],[Uafhængig variabel ID]]</f>
        <v>1</v>
      </c>
      <c r="E480" t="b">
        <f>LineærRegression_Valg[[#This Row],[Afhængig variabel ID]]&lt;=$B$5</f>
        <v>0</v>
      </c>
      <c r="F480" t="str" cm="1">
        <f t="array" ref="F480">IF(LineærRegression_Valg[[#This Row],[Indenfor range]],INDEX(DataTitel_liste,LineærRegression_Valg[[#This Row],[Afhængig variabel ID]]),INDEX(DataTitel_liste,1))</f>
        <v>Eksempel 1 (interval)</v>
      </c>
      <c r="G480" s="45" t="str" cm="1">
        <f t="array" ref="G480">IF(LineærRegression_Valg[[#This Row],[Indenfor range]],IF(LineærRegression_Valg[[#This Row],[Intet overlap]],INDEX(DataTitel_liste,LineærRegression_Valg[[#This Row],[Uafhængig variabel ID]]),INDEX(DataTitel_liste,IF(LineærRegression_Valg[[#This Row],[Afhængig variabel ID]]=1,2,1))),$B$7)</f>
        <v>Eksempel 2 (interval)</v>
      </c>
      <c r="H480" s="45">
        <f>_xlfn.AGGREGATE(2,5,LineærRegression_Valg[[#This Row],[Tabel ID]])</f>
        <v>1</v>
      </c>
    </row>
    <row r="481" spans="1:8" x14ac:dyDescent="0.2">
      <c r="A481">
        <f>ROW(LineærRegression_Valg[[#This Row],[Tabel ID]])-ROW(LineærRegression_Valg[[#Headers],[Tabel ID]])</f>
        <v>471</v>
      </c>
      <c r="B481" s="45">
        <f>ROUNDDOWN((LineærRegression_Valg[[#This Row],[Tabel ID]]-1)/$B$5,0)+1</f>
        <v>118</v>
      </c>
      <c r="C481" s="45">
        <f t="shared" si="7"/>
        <v>3</v>
      </c>
      <c r="D481" s="45" t="b">
        <f>LineærRegression_Valg[[#This Row],[Afhængig variabel ID]]&lt;&gt;LineærRegression_Valg[[#This Row],[Uafhængig variabel ID]]</f>
        <v>1</v>
      </c>
      <c r="E481" t="b">
        <f>LineærRegression_Valg[[#This Row],[Afhængig variabel ID]]&lt;=$B$5</f>
        <v>0</v>
      </c>
      <c r="F481" t="str" cm="1">
        <f t="array" ref="F481">IF(LineærRegression_Valg[[#This Row],[Indenfor range]],INDEX(DataTitel_liste,LineærRegression_Valg[[#This Row],[Afhængig variabel ID]]),INDEX(DataTitel_liste,1))</f>
        <v>Eksempel 1 (interval)</v>
      </c>
      <c r="G481" s="45" t="str" cm="1">
        <f t="array" ref="G481">IF(LineærRegression_Valg[[#This Row],[Indenfor range]],IF(LineærRegression_Valg[[#This Row],[Intet overlap]],INDEX(DataTitel_liste,LineærRegression_Valg[[#This Row],[Uafhængig variabel ID]]),INDEX(DataTitel_liste,IF(LineærRegression_Valg[[#This Row],[Afhængig variabel ID]]=1,2,1))),$B$7)</f>
        <v>Eksempel 2 (interval)</v>
      </c>
      <c r="H481" s="45">
        <f>_xlfn.AGGREGATE(2,5,LineærRegression_Valg[[#This Row],[Tabel ID]])</f>
        <v>1</v>
      </c>
    </row>
    <row r="482" spans="1:8" x14ac:dyDescent="0.2">
      <c r="A482">
        <f>ROW(LineærRegression_Valg[[#This Row],[Tabel ID]])-ROW(LineærRegression_Valg[[#Headers],[Tabel ID]])</f>
        <v>472</v>
      </c>
      <c r="B482" s="45">
        <f>ROUNDDOWN((LineærRegression_Valg[[#This Row],[Tabel ID]]-1)/$B$5,0)+1</f>
        <v>118</v>
      </c>
      <c r="C482" s="45">
        <f t="shared" si="7"/>
        <v>4</v>
      </c>
      <c r="D482" s="45" t="b">
        <f>LineærRegression_Valg[[#This Row],[Afhængig variabel ID]]&lt;&gt;LineærRegression_Valg[[#This Row],[Uafhængig variabel ID]]</f>
        <v>1</v>
      </c>
      <c r="E482" t="b">
        <f>LineærRegression_Valg[[#This Row],[Afhængig variabel ID]]&lt;=$B$5</f>
        <v>0</v>
      </c>
      <c r="F482" t="str" cm="1">
        <f t="array" ref="F482">IF(LineærRegression_Valg[[#This Row],[Indenfor range]],INDEX(DataTitel_liste,LineærRegression_Valg[[#This Row],[Afhængig variabel ID]]),INDEX(DataTitel_liste,1))</f>
        <v>Eksempel 1 (interval)</v>
      </c>
      <c r="G482" s="45" t="str" cm="1">
        <f t="array" ref="G482">IF(LineærRegression_Valg[[#This Row],[Indenfor range]],IF(LineærRegression_Valg[[#This Row],[Intet overlap]],INDEX(DataTitel_liste,LineærRegression_Valg[[#This Row],[Uafhængig variabel ID]]),INDEX(DataTitel_liste,IF(LineærRegression_Valg[[#This Row],[Afhængig variabel ID]]=1,2,1))),$B$7)</f>
        <v>Eksempel 2 (interval)</v>
      </c>
      <c r="H482" s="45">
        <f>_xlfn.AGGREGATE(2,5,LineærRegression_Valg[[#This Row],[Tabel ID]])</f>
        <v>1</v>
      </c>
    </row>
    <row r="483" spans="1:8" x14ac:dyDescent="0.2">
      <c r="A483">
        <f>ROW(LineærRegression_Valg[[#This Row],[Tabel ID]])-ROW(LineærRegression_Valg[[#Headers],[Tabel ID]])</f>
        <v>473</v>
      </c>
      <c r="B483" s="45">
        <f>ROUNDDOWN((LineærRegression_Valg[[#This Row],[Tabel ID]]-1)/$B$5,0)+1</f>
        <v>119</v>
      </c>
      <c r="C483" s="45">
        <f t="shared" si="7"/>
        <v>1</v>
      </c>
      <c r="D483" s="45" t="b">
        <f>LineærRegression_Valg[[#This Row],[Afhængig variabel ID]]&lt;&gt;LineærRegression_Valg[[#This Row],[Uafhængig variabel ID]]</f>
        <v>1</v>
      </c>
      <c r="E483" t="b">
        <f>LineærRegression_Valg[[#This Row],[Afhængig variabel ID]]&lt;=$B$5</f>
        <v>0</v>
      </c>
      <c r="F483" t="str" cm="1">
        <f t="array" ref="F483">IF(LineærRegression_Valg[[#This Row],[Indenfor range]],INDEX(DataTitel_liste,LineærRegression_Valg[[#This Row],[Afhængig variabel ID]]),INDEX(DataTitel_liste,1))</f>
        <v>Eksempel 1 (interval)</v>
      </c>
      <c r="G483" s="45" t="str" cm="1">
        <f t="array" ref="G483">IF(LineærRegression_Valg[[#This Row],[Indenfor range]],IF(LineærRegression_Valg[[#This Row],[Intet overlap]],INDEX(DataTitel_liste,LineærRegression_Valg[[#This Row],[Uafhængig variabel ID]]),INDEX(DataTitel_liste,IF(LineærRegression_Valg[[#This Row],[Afhængig variabel ID]]=1,2,1))),$B$7)</f>
        <v>Eksempel 2 (interval)</v>
      </c>
      <c r="H483" s="45">
        <f>_xlfn.AGGREGATE(2,5,LineærRegression_Valg[[#This Row],[Tabel ID]])</f>
        <v>1</v>
      </c>
    </row>
    <row r="484" spans="1:8" x14ac:dyDescent="0.2">
      <c r="A484">
        <f>ROW(LineærRegression_Valg[[#This Row],[Tabel ID]])-ROW(LineærRegression_Valg[[#Headers],[Tabel ID]])</f>
        <v>474</v>
      </c>
      <c r="B484" s="45">
        <f>ROUNDDOWN((LineærRegression_Valg[[#This Row],[Tabel ID]]-1)/$B$5,0)+1</f>
        <v>119</v>
      </c>
      <c r="C484" s="45">
        <f t="shared" si="7"/>
        <v>2</v>
      </c>
      <c r="D484" s="45" t="b">
        <f>LineærRegression_Valg[[#This Row],[Afhængig variabel ID]]&lt;&gt;LineærRegression_Valg[[#This Row],[Uafhængig variabel ID]]</f>
        <v>1</v>
      </c>
      <c r="E484" t="b">
        <f>LineærRegression_Valg[[#This Row],[Afhængig variabel ID]]&lt;=$B$5</f>
        <v>0</v>
      </c>
      <c r="F484" t="str" cm="1">
        <f t="array" ref="F484">IF(LineærRegression_Valg[[#This Row],[Indenfor range]],INDEX(DataTitel_liste,LineærRegression_Valg[[#This Row],[Afhængig variabel ID]]),INDEX(DataTitel_liste,1))</f>
        <v>Eksempel 1 (interval)</v>
      </c>
      <c r="G484" s="45" t="str" cm="1">
        <f t="array" ref="G484">IF(LineærRegression_Valg[[#This Row],[Indenfor range]],IF(LineærRegression_Valg[[#This Row],[Intet overlap]],INDEX(DataTitel_liste,LineærRegression_Valg[[#This Row],[Uafhængig variabel ID]]),INDEX(DataTitel_liste,IF(LineærRegression_Valg[[#This Row],[Afhængig variabel ID]]=1,2,1))),$B$7)</f>
        <v>Eksempel 2 (interval)</v>
      </c>
      <c r="H484" s="45">
        <f>_xlfn.AGGREGATE(2,5,LineærRegression_Valg[[#This Row],[Tabel ID]])</f>
        <v>1</v>
      </c>
    </row>
    <row r="485" spans="1:8" x14ac:dyDescent="0.2">
      <c r="A485">
        <f>ROW(LineærRegression_Valg[[#This Row],[Tabel ID]])-ROW(LineærRegression_Valg[[#Headers],[Tabel ID]])</f>
        <v>475</v>
      </c>
      <c r="B485" s="45">
        <f>ROUNDDOWN((LineærRegression_Valg[[#This Row],[Tabel ID]]-1)/$B$5,0)+1</f>
        <v>119</v>
      </c>
      <c r="C485" s="45">
        <f t="shared" si="7"/>
        <v>3</v>
      </c>
      <c r="D485" s="45" t="b">
        <f>LineærRegression_Valg[[#This Row],[Afhængig variabel ID]]&lt;&gt;LineærRegression_Valg[[#This Row],[Uafhængig variabel ID]]</f>
        <v>1</v>
      </c>
      <c r="E485" t="b">
        <f>LineærRegression_Valg[[#This Row],[Afhængig variabel ID]]&lt;=$B$5</f>
        <v>0</v>
      </c>
      <c r="F485" t="str" cm="1">
        <f t="array" ref="F485">IF(LineærRegression_Valg[[#This Row],[Indenfor range]],INDEX(DataTitel_liste,LineærRegression_Valg[[#This Row],[Afhængig variabel ID]]),INDEX(DataTitel_liste,1))</f>
        <v>Eksempel 1 (interval)</v>
      </c>
      <c r="G485" s="45" t="str" cm="1">
        <f t="array" ref="G485">IF(LineærRegression_Valg[[#This Row],[Indenfor range]],IF(LineærRegression_Valg[[#This Row],[Intet overlap]],INDEX(DataTitel_liste,LineærRegression_Valg[[#This Row],[Uafhængig variabel ID]]),INDEX(DataTitel_liste,IF(LineærRegression_Valg[[#This Row],[Afhængig variabel ID]]=1,2,1))),$B$7)</f>
        <v>Eksempel 2 (interval)</v>
      </c>
      <c r="H485" s="45">
        <f>_xlfn.AGGREGATE(2,5,LineærRegression_Valg[[#This Row],[Tabel ID]])</f>
        <v>1</v>
      </c>
    </row>
    <row r="486" spans="1:8" x14ac:dyDescent="0.2">
      <c r="A486">
        <f>ROW(LineærRegression_Valg[[#This Row],[Tabel ID]])-ROW(LineærRegression_Valg[[#Headers],[Tabel ID]])</f>
        <v>476</v>
      </c>
      <c r="B486" s="45">
        <f>ROUNDDOWN((LineærRegression_Valg[[#This Row],[Tabel ID]]-1)/$B$5,0)+1</f>
        <v>119</v>
      </c>
      <c r="C486" s="45">
        <f t="shared" si="7"/>
        <v>4</v>
      </c>
      <c r="D486" s="45" t="b">
        <f>LineærRegression_Valg[[#This Row],[Afhængig variabel ID]]&lt;&gt;LineærRegression_Valg[[#This Row],[Uafhængig variabel ID]]</f>
        <v>1</v>
      </c>
      <c r="E486" t="b">
        <f>LineærRegression_Valg[[#This Row],[Afhængig variabel ID]]&lt;=$B$5</f>
        <v>0</v>
      </c>
      <c r="F486" t="str" cm="1">
        <f t="array" ref="F486">IF(LineærRegression_Valg[[#This Row],[Indenfor range]],INDEX(DataTitel_liste,LineærRegression_Valg[[#This Row],[Afhængig variabel ID]]),INDEX(DataTitel_liste,1))</f>
        <v>Eksempel 1 (interval)</v>
      </c>
      <c r="G486" s="45" t="str" cm="1">
        <f t="array" ref="G486">IF(LineærRegression_Valg[[#This Row],[Indenfor range]],IF(LineærRegression_Valg[[#This Row],[Intet overlap]],INDEX(DataTitel_liste,LineærRegression_Valg[[#This Row],[Uafhængig variabel ID]]),INDEX(DataTitel_liste,IF(LineærRegression_Valg[[#This Row],[Afhængig variabel ID]]=1,2,1))),$B$7)</f>
        <v>Eksempel 2 (interval)</v>
      </c>
      <c r="H486" s="45">
        <f>_xlfn.AGGREGATE(2,5,LineærRegression_Valg[[#This Row],[Tabel ID]])</f>
        <v>1</v>
      </c>
    </row>
    <row r="487" spans="1:8" x14ac:dyDescent="0.2">
      <c r="A487">
        <f>ROW(LineærRegression_Valg[[#This Row],[Tabel ID]])-ROW(LineærRegression_Valg[[#Headers],[Tabel ID]])</f>
        <v>477</v>
      </c>
      <c r="B487" s="45">
        <f>ROUNDDOWN((LineærRegression_Valg[[#This Row],[Tabel ID]]-1)/$B$5,0)+1</f>
        <v>120</v>
      </c>
      <c r="C487" s="45">
        <f t="shared" si="7"/>
        <v>1</v>
      </c>
      <c r="D487" s="45" t="b">
        <f>LineærRegression_Valg[[#This Row],[Afhængig variabel ID]]&lt;&gt;LineærRegression_Valg[[#This Row],[Uafhængig variabel ID]]</f>
        <v>1</v>
      </c>
      <c r="E487" t="b">
        <f>LineærRegression_Valg[[#This Row],[Afhængig variabel ID]]&lt;=$B$5</f>
        <v>0</v>
      </c>
      <c r="F487" t="str" cm="1">
        <f t="array" ref="F487">IF(LineærRegression_Valg[[#This Row],[Indenfor range]],INDEX(DataTitel_liste,LineærRegression_Valg[[#This Row],[Afhængig variabel ID]]),INDEX(DataTitel_liste,1))</f>
        <v>Eksempel 1 (interval)</v>
      </c>
      <c r="G487" s="45" t="str" cm="1">
        <f t="array" ref="G487">IF(LineærRegression_Valg[[#This Row],[Indenfor range]],IF(LineærRegression_Valg[[#This Row],[Intet overlap]],INDEX(DataTitel_liste,LineærRegression_Valg[[#This Row],[Uafhængig variabel ID]]),INDEX(DataTitel_liste,IF(LineærRegression_Valg[[#This Row],[Afhængig variabel ID]]=1,2,1))),$B$7)</f>
        <v>Eksempel 2 (interval)</v>
      </c>
      <c r="H487" s="45">
        <f>_xlfn.AGGREGATE(2,5,LineærRegression_Valg[[#This Row],[Tabel ID]])</f>
        <v>1</v>
      </c>
    </row>
    <row r="488" spans="1:8" x14ac:dyDescent="0.2">
      <c r="A488">
        <f>ROW(LineærRegression_Valg[[#This Row],[Tabel ID]])-ROW(LineærRegression_Valg[[#Headers],[Tabel ID]])</f>
        <v>478</v>
      </c>
      <c r="B488" s="45">
        <f>ROUNDDOWN((LineærRegression_Valg[[#This Row],[Tabel ID]]-1)/$B$5,0)+1</f>
        <v>120</v>
      </c>
      <c r="C488" s="45">
        <f t="shared" si="7"/>
        <v>2</v>
      </c>
      <c r="D488" s="45" t="b">
        <f>LineærRegression_Valg[[#This Row],[Afhængig variabel ID]]&lt;&gt;LineærRegression_Valg[[#This Row],[Uafhængig variabel ID]]</f>
        <v>1</v>
      </c>
      <c r="E488" t="b">
        <f>LineærRegression_Valg[[#This Row],[Afhængig variabel ID]]&lt;=$B$5</f>
        <v>0</v>
      </c>
      <c r="F488" t="str" cm="1">
        <f t="array" ref="F488">IF(LineærRegression_Valg[[#This Row],[Indenfor range]],INDEX(DataTitel_liste,LineærRegression_Valg[[#This Row],[Afhængig variabel ID]]),INDEX(DataTitel_liste,1))</f>
        <v>Eksempel 1 (interval)</v>
      </c>
      <c r="G488" s="45" t="str" cm="1">
        <f t="array" ref="G488">IF(LineærRegression_Valg[[#This Row],[Indenfor range]],IF(LineærRegression_Valg[[#This Row],[Intet overlap]],INDEX(DataTitel_liste,LineærRegression_Valg[[#This Row],[Uafhængig variabel ID]]),INDEX(DataTitel_liste,IF(LineærRegression_Valg[[#This Row],[Afhængig variabel ID]]=1,2,1))),$B$7)</f>
        <v>Eksempel 2 (interval)</v>
      </c>
      <c r="H488" s="45">
        <f>_xlfn.AGGREGATE(2,5,LineærRegression_Valg[[#This Row],[Tabel ID]])</f>
        <v>1</v>
      </c>
    </row>
    <row r="489" spans="1:8" x14ac:dyDescent="0.2">
      <c r="A489">
        <f>ROW(LineærRegression_Valg[[#This Row],[Tabel ID]])-ROW(LineærRegression_Valg[[#Headers],[Tabel ID]])</f>
        <v>479</v>
      </c>
      <c r="B489" s="45">
        <f>ROUNDDOWN((LineærRegression_Valg[[#This Row],[Tabel ID]]-1)/$B$5,0)+1</f>
        <v>120</v>
      </c>
      <c r="C489" s="45">
        <f t="shared" si="7"/>
        <v>3</v>
      </c>
      <c r="D489" s="45" t="b">
        <f>LineærRegression_Valg[[#This Row],[Afhængig variabel ID]]&lt;&gt;LineærRegression_Valg[[#This Row],[Uafhængig variabel ID]]</f>
        <v>1</v>
      </c>
      <c r="E489" t="b">
        <f>LineærRegression_Valg[[#This Row],[Afhængig variabel ID]]&lt;=$B$5</f>
        <v>0</v>
      </c>
      <c r="F489" t="str" cm="1">
        <f t="array" ref="F489">IF(LineærRegression_Valg[[#This Row],[Indenfor range]],INDEX(DataTitel_liste,LineærRegression_Valg[[#This Row],[Afhængig variabel ID]]),INDEX(DataTitel_liste,1))</f>
        <v>Eksempel 1 (interval)</v>
      </c>
      <c r="G489" s="45" t="str" cm="1">
        <f t="array" ref="G489">IF(LineærRegression_Valg[[#This Row],[Indenfor range]],IF(LineærRegression_Valg[[#This Row],[Intet overlap]],INDEX(DataTitel_liste,LineærRegression_Valg[[#This Row],[Uafhængig variabel ID]]),INDEX(DataTitel_liste,IF(LineærRegression_Valg[[#This Row],[Afhængig variabel ID]]=1,2,1))),$B$7)</f>
        <v>Eksempel 2 (interval)</v>
      </c>
      <c r="H489" s="45">
        <f>_xlfn.AGGREGATE(2,5,LineærRegression_Valg[[#This Row],[Tabel ID]])</f>
        <v>1</v>
      </c>
    </row>
    <row r="490" spans="1:8" x14ac:dyDescent="0.2">
      <c r="A490">
        <f>ROW(LineærRegression_Valg[[#This Row],[Tabel ID]])-ROW(LineærRegression_Valg[[#Headers],[Tabel ID]])</f>
        <v>480</v>
      </c>
      <c r="B490" s="45">
        <f>ROUNDDOWN((LineærRegression_Valg[[#This Row],[Tabel ID]]-1)/$B$5,0)+1</f>
        <v>120</v>
      </c>
      <c r="C490" s="45">
        <f t="shared" si="7"/>
        <v>4</v>
      </c>
      <c r="D490" s="45" t="b">
        <f>LineærRegression_Valg[[#This Row],[Afhængig variabel ID]]&lt;&gt;LineærRegression_Valg[[#This Row],[Uafhængig variabel ID]]</f>
        <v>1</v>
      </c>
      <c r="E490" t="b">
        <f>LineærRegression_Valg[[#This Row],[Afhængig variabel ID]]&lt;=$B$5</f>
        <v>0</v>
      </c>
      <c r="F490" t="str" cm="1">
        <f t="array" ref="F490">IF(LineærRegression_Valg[[#This Row],[Indenfor range]],INDEX(DataTitel_liste,LineærRegression_Valg[[#This Row],[Afhængig variabel ID]]),INDEX(DataTitel_liste,1))</f>
        <v>Eksempel 1 (interval)</v>
      </c>
      <c r="G490" s="45" t="str" cm="1">
        <f t="array" ref="G490">IF(LineærRegression_Valg[[#This Row],[Indenfor range]],IF(LineærRegression_Valg[[#This Row],[Intet overlap]],INDEX(DataTitel_liste,LineærRegression_Valg[[#This Row],[Uafhængig variabel ID]]),INDEX(DataTitel_liste,IF(LineærRegression_Valg[[#This Row],[Afhængig variabel ID]]=1,2,1))),$B$7)</f>
        <v>Eksempel 2 (interval)</v>
      </c>
      <c r="H490" s="45">
        <f>_xlfn.AGGREGATE(2,5,LineærRegression_Valg[[#This Row],[Tabel ID]])</f>
        <v>1</v>
      </c>
    </row>
    <row r="491" spans="1:8" x14ac:dyDescent="0.2">
      <c r="A491">
        <f>ROW(LineærRegression_Valg[[#This Row],[Tabel ID]])-ROW(LineærRegression_Valg[[#Headers],[Tabel ID]])</f>
        <v>481</v>
      </c>
      <c r="B491" s="45">
        <f>ROUNDDOWN((LineærRegression_Valg[[#This Row],[Tabel ID]]-1)/$B$5,0)+1</f>
        <v>121</v>
      </c>
      <c r="C491" s="45">
        <f t="shared" si="7"/>
        <v>1</v>
      </c>
      <c r="D491" s="45" t="b">
        <f>LineærRegression_Valg[[#This Row],[Afhængig variabel ID]]&lt;&gt;LineærRegression_Valg[[#This Row],[Uafhængig variabel ID]]</f>
        <v>1</v>
      </c>
      <c r="E491" t="b">
        <f>LineærRegression_Valg[[#This Row],[Afhængig variabel ID]]&lt;=$B$5</f>
        <v>0</v>
      </c>
      <c r="F491" t="str" cm="1">
        <f t="array" ref="F491">IF(LineærRegression_Valg[[#This Row],[Indenfor range]],INDEX(DataTitel_liste,LineærRegression_Valg[[#This Row],[Afhængig variabel ID]]),INDEX(DataTitel_liste,1))</f>
        <v>Eksempel 1 (interval)</v>
      </c>
      <c r="G491" s="45" t="str" cm="1">
        <f t="array" ref="G491">IF(LineærRegression_Valg[[#This Row],[Indenfor range]],IF(LineærRegression_Valg[[#This Row],[Intet overlap]],INDEX(DataTitel_liste,LineærRegression_Valg[[#This Row],[Uafhængig variabel ID]]),INDEX(DataTitel_liste,IF(LineærRegression_Valg[[#This Row],[Afhængig variabel ID]]=1,2,1))),$B$7)</f>
        <v>Eksempel 2 (interval)</v>
      </c>
      <c r="H491" s="45">
        <f>_xlfn.AGGREGATE(2,5,LineærRegression_Valg[[#This Row],[Tabel ID]])</f>
        <v>1</v>
      </c>
    </row>
    <row r="492" spans="1:8" x14ac:dyDescent="0.2">
      <c r="A492">
        <f>ROW(LineærRegression_Valg[[#This Row],[Tabel ID]])-ROW(LineærRegression_Valg[[#Headers],[Tabel ID]])</f>
        <v>482</v>
      </c>
      <c r="B492" s="45">
        <f>ROUNDDOWN((LineærRegression_Valg[[#This Row],[Tabel ID]]-1)/$B$5,0)+1</f>
        <v>121</v>
      </c>
      <c r="C492" s="45">
        <f t="shared" si="7"/>
        <v>2</v>
      </c>
      <c r="D492" s="45" t="b">
        <f>LineærRegression_Valg[[#This Row],[Afhængig variabel ID]]&lt;&gt;LineærRegression_Valg[[#This Row],[Uafhængig variabel ID]]</f>
        <v>1</v>
      </c>
      <c r="E492" t="b">
        <f>LineærRegression_Valg[[#This Row],[Afhængig variabel ID]]&lt;=$B$5</f>
        <v>0</v>
      </c>
      <c r="F492" t="str" cm="1">
        <f t="array" ref="F492">IF(LineærRegression_Valg[[#This Row],[Indenfor range]],INDEX(DataTitel_liste,LineærRegression_Valg[[#This Row],[Afhængig variabel ID]]),INDEX(DataTitel_liste,1))</f>
        <v>Eksempel 1 (interval)</v>
      </c>
      <c r="G492" s="45" t="str" cm="1">
        <f t="array" ref="G492">IF(LineærRegression_Valg[[#This Row],[Indenfor range]],IF(LineærRegression_Valg[[#This Row],[Intet overlap]],INDEX(DataTitel_liste,LineærRegression_Valg[[#This Row],[Uafhængig variabel ID]]),INDEX(DataTitel_liste,IF(LineærRegression_Valg[[#This Row],[Afhængig variabel ID]]=1,2,1))),$B$7)</f>
        <v>Eksempel 2 (interval)</v>
      </c>
      <c r="H492" s="45">
        <f>_xlfn.AGGREGATE(2,5,LineærRegression_Valg[[#This Row],[Tabel ID]])</f>
        <v>1</v>
      </c>
    </row>
    <row r="493" spans="1:8" x14ac:dyDescent="0.2">
      <c r="A493">
        <f>ROW(LineærRegression_Valg[[#This Row],[Tabel ID]])-ROW(LineærRegression_Valg[[#Headers],[Tabel ID]])</f>
        <v>483</v>
      </c>
      <c r="B493" s="45">
        <f>ROUNDDOWN((LineærRegression_Valg[[#This Row],[Tabel ID]]-1)/$B$5,0)+1</f>
        <v>121</v>
      </c>
      <c r="C493" s="45">
        <f t="shared" si="7"/>
        <v>3</v>
      </c>
      <c r="D493" s="45" t="b">
        <f>LineærRegression_Valg[[#This Row],[Afhængig variabel ID]]&lt;&gt;LineærRegression_Valg[[#This Row],[Uafhængig variabel ID]]</f>
        <v>1</v>
      </c>
      <c r="E493" t="b">
        <f>LineærRegression_Valg[[#This Row],[Afhængig variabel ID]]&lt;=$B$5</f>
        <v>0</v>
      </c>
      <c r="F493" t="str" cm="1">
        <f t="array" ref="F493">IF(LineærRegression_Valg[[#This Row],[Indenfor range]],INDEX(DataTitel_liste,LineærRegression_Valg[[#This Row],[Afhængig variabel ID]]),INDEX(DataTitel_liste,1))</f>
        <v>Eksempel 1 (interval)</v>
      </c>
      <c r="G493" s="45" t="str" cm="1">
        <f t="array" ref="G493">IF(LineærRegression_Valg[[#This Row],[Indenfor range]],IF(LineærRegression_Valg[[#This Row],[Intet overlap]],INDEX(DataTitel_liste,LineærRegression_Valg[[#This Row],[Uafhængig variabel ID]]),INDEX(DataTitel_liste,IF(LineærRegression_Valg[[#This Row],[Afhængig variabel ID]]=1,2,1))),$B$7)</f>
        <v>Eksempel 2 (interval)</v>
      </c>
      <c r="H493" s="45">
        <f>_xlfn.AGGREGATE(2,5,LineærRegression_Valg[[#This Row],[Tabel ID]])</f>
        <v>1</v>
      </c>
    </row>
    <row r="494" spans="1:8" x14ac:dyDescent="0.2">
      <c r="A494">
        <f>ROW(LineærRegression_Valg[[#This Row],[Tabel ID]])-ROW(LineærRegression_Valg[[#Headers],[Tabel ID]])</f>
        <v>484</v>
      </c>
      <c r="B494" s="45">
        <f>ROUNDDOWN((LineærRegression_Valg[[#This Row],[Tabel ID]]-1)/$B$5,0)+1</f>
        <v>121</v>
      </c>
      <c r="C494" s="45">
        <f t="shared" si="7"/>
        <v>4</v>
      </c>
      <c r="D494" s="45" t="b">
        <f>LineærRegression_Valg[[#This Row],[Afhængig variabel ID]]&lt;&gt;LineærRegression_Valg[[#This Row],[Uafhængig variabel ID]]</f>
        <v>1</v>
      </c>
      <c r="E494" t="b">
        <f>LineærRegression_Valg[[#This Row],[Afhængig variabel ID]]&lt;=$B$5</f>
        <v>0</v>
      </c>
      <c r="F494" t="str" cm="1">
        <f t="array" ref="F494">IF(LineærRegression_Valg[[#This Row],[Indenfor range]],INDEX(DataTitel_liste,LineærRegression_Valg[[#This Row],[Afhængig variabel ID]]),INDEX(DataTitel_liste,1))</f>
        <v>Eksempel 1 (interval)</v>
      </c>
      <c r="G494" s="45" t="str" cm="1">
        <f t="array" ref="G494">IF(LineærRegression_Valg[[#This Row],[Indenfor range]],IF(LineærRegression_Valg[[#This Row],[Intet overlap]],INDEX(DataTitel_liste,LineærRegression_Valg[[#This Row],[Uafhængig variabel ID]]),INDEX(DataTitel_liste,IF(LineærRegression_Valg[[#This Row],[Afhængig variabel ID]]=1,2,1))),$B$7)</f>
        <v>Eksempel 2 (interval)</v>
      </c>
      <c r="H494" s="45">
        <f>_xlfn.AGGREGATE(2,5,LineærRegression_Valg[[#This Row],[Tabel ID]])</f>
        <v>1</v>
      </c>
    </row>
    <row r="495" spans="1:8" x14ac:dyDescent="0.2">
      <c r="A495">
        <f>ROW(LineærRegression_Valg[[#This Row],[Tabel ID]])-ROW(LineærRegression_Valg[[#Headers],[Tabel ID]])</f>
        <v>485</v>
      </c>
      <c r="B495" s="45">
        <f>ROUNDDOWN((LineærRegression_Valg[[#This Row],[Tabel ID]]-1)/$B$5,0)+1</f>
        <v>122</v>
      </c>
      <c r="C495" s="45">
        <f t="shared" si="7"/>
        <v>1</v>
      </c>
      <c r="D495" s="45" t="b">
        <f>LineærRegression_Valg[[#This Row],[Afhængig variabel ID]]&lt;&gt;LineærRegression_Valg[[#This Row],[Uafhængig variabel ID]]</f>
        <v>1</v>
      </c>
      <c r="E495" t="b">
        <f>LineærRegression_Valg[[#This Row],[Afhængig variabel ID]]&lt;=$B$5</f>
        <v>0</v>
      </c>
      <c r="F495" t="str" cm="1">
        <f t="array" ref="F495">IF(LineærRegression_Valg[[#This Row],[Indenfor range]],INDEX(DataTitel_liste,LineærRegression_Valg[[#This Row],[Afhængig variabel ID]]),INDEX(DataTitel_liste,1))</f>
        <v>Eksempel 1 (interval)</v>
      </c>
      <c r="G495" s="45" t="str" cm="1">
        <f t="array" ref="G495">IF(LineærRegression_Valg[[#This Row],[Indenfor range]],IF(LineærRegression_Valg[[#This Row],[Intet overlap]],INDEX(DataTitel_liste,LineærRegression_Valg[[#This Row],[Uafhængig variabel ID]]),INDEX(DataTitel_liste,IF(LineærRegression_Valg[[#This Row],[Afhængig variabel ID]]=1,2,1))),$B$7)</f>
        <v>Eksempel 2 (interval)</v>
      </c>
      <c r="H495" s="45">
        <f>_xlfn.AGGREGATE(2,5,LineærRegression_Valg[[#This Row],[Tabel ID]])</f>
        <v>1</v>
      </c>
    </row>
    <row r="496" spans="1:8" x14ac:dyDescent="0.2">
      <c r="A496">
        <f>ROW(LineærRegression_Valg[[#This Row],[Tabel ID]])-ROW(LineærRegression_Valg[[#Headers],[Tabel ID]])</f>
        <v>486</v>
      </c>
      <c r="B496" s="45">
        <f>ROUNDDOWN((LineærRegression_Valg[[#This Row],[Tabel ID]]-1)/$B$5,0)+1</f>
        <v>122</v>
      </c>
      <c r="C496" s="45">
        <f t="shared" si="7"/>
        <v>2</v>
      </c>
      <c r="D496" s="45" t="b">
        <f>LineærRegression_Valg[[#This Row],[Afhængig variabel ID]]&lt;&gt;LineærRegression_Valg[[#This Row],[Uafhængig variabel ID]]</f>
        <v>1</v>
      </c>
      <c r="E496" t="b">
        <f>LineærRegression_Valg[[#This Row],[Afhængig variabel ID]]&lt;=$B$5</f>
        <v>0</v>
      </c>
      <c r="F496" t="str" cm="1">
        <f t="array" ref="F496">IF(LineærRegression_Valg[[#This Row],[Indenfor range]],INDEX(DataTitel_liste,LineærRegression_Valg[[#This Row],[Afhængig variabel ID]]),INDEX(DataTitel_liste,1))</f>
        <v>Eksempel 1 (interval)</v>
      </c>
      <c r="G496" s="45" t="str" cm="1">
        <f t="array" ref="G496">IF(LineærRegression_Valg[[#This Row],[Indenfor range]],IF(LineærRegression_Valg[[#This Row],[Intet overlap]],INDEX(DataTitel_liste,LineærRegression_Valg[[#This Row],[Uafhængig variabel ID]]),INDEX(DataTitel_liste,IF(LineærRegression_Valg[[#This Row],[Afhængig variabel ID]]=1,2,1))),$B$7)</f>
        <v>Eksempel 2 (interval)</v>
      </c>
      <c r="H496" s="45">
        <f>_xlfn.AGGREGATE(2,5,LineærRegression_Valg[[#This Row],[Tabel ID]])</f>
        <v>1</v>
      </c>
    </row>
    <row r="497" spans="1:8" x14ac:dyDescent="0.2">
      <c r="A497">
        <f>ROW(LineærRegression_Valg[[#This Row],[Tabel ID]])-ROW(LineærRegression_Valg[[#Headers],[Tabel ID]])</f>
        <v>487</v>
      </c>
      <c r="B497" s="45">
        <f>ROUNDDOWN((LineærRegression_Valg[[#This Row],[Tabel ID]]-1)/$B$5,0)+1</f>
        <v>122</v>
      </c>
      <c r="C497" s="45">
        <f t="shared" si="7"/>
        <v>3</v>
      </c>
      <c r="D497" s="45" t="b">
        <f>LineærRegression_Valg[[#This Row],[Afhængig variabel ID]]&lt;&gt;LineærRegression_Valg[[#This Row],[Uafhængig variabel ID]]</f>
        <v>1</v>
      </c>
      <c r="E497" t="b">
        <f>LineærRegression_Valg[[#This Row],[Afhængig variabel ID]]&lt;=$B$5</f>
        <v>0</v>
      </c>
      <c r="F497" t="str" cm="1">
        <f t="array" ref="F497">IF(LineærRegression_Valg[[#This Row],[Indenfor range]],INDEX(DataTitel_liste,LineærRegression_Valg[[#This Row],[Afhængig variabel ID]]),INDEX(DataTitel_liste,1))</f>
        <v>Eksempel 1 (interval)</v>
      </c>
      <c r="G497" s="45" t="str" cm="1">
        <f t="array" ref="G497">IF(LineærRegression_Valg[[#This Row],[Indenfor range]],IF(LineærRegression_Valg[[#This Row],[Intet overlap]],INDEX(DataTitel_liste,LineærRegression_Valg[[#This Row],[Uafhængig variabel ID]]),INDEX(DataTitel_liste,IF(LineærRegression_Valg[[#This Row],[Afhængig variabel ID]]=1,2,1))),$B$7)</f>
        <v>Eksempel 2 (interval)</v>
      </c>
      <c r="H497" s="45">
        <f>_xlfn.AGGREGATE(2,5,LineærRegression_Valg[[#This Row],[Tabel ID]])</f>
        <v>1</v>
      </c>
    </row>
    <row r="498" spans="1:8" x14ac:dyDescent="0.2">
      <c r="A498">
        <f>ROW(LineærRegression_Valg[[#This Row],[Tabel ID]])-ROW(LineærRegression_Valg[[#Headers],[Tabel ID]])</f>
        <v>488</v>
      </c>
      <c r="B498" s="45">
        <f>ROUNDDOWN((LineærRegression_Valg[[#This Row],[Tabel ID]]-1)/$B$5,0)+1</f>
        <v>122</v>
      </c>
      <c r="C498" s="45">
        <f t="shared" si="7"/>
        <v>4</v>
      </c>
      <c r="D498" s="45" t="b">
        <f>LineærRegression_Valg[[#This Row],[Afhængig variabel ID]]&lt;&gt;LineærRegression_Valg[[#This Row],[Uafhængig variabel ID]]</f>
        <v>1</v>
      </c>
      <c r="E498" t="b">
        <f>LineærRegression_Valg[[#This Row],[Afhængig variabel ID]]&lt;=$B$5</f>
        <v>0</v>
      </c>
      <c r="F498" t="str" cm="1">
        <f t="array" ref="F498">IF(LineærRegression_Valg[[#This Row],[Indenfor range]],INDEX(DataTitel_liste,LineærRegression_Valg[[#This Row],[Afhængig variabel ID]]),INDEX(DataTitel_liste,1))</f>
        <v>Eksempel 1 (interval)</v>
      </c>
      <c r="G498" s="45" t="str" cm="1">
        <f t="array" ref="G498">IF(LineærRegression_Valg[[#This Row],[Indenfor range]],IF(LineærRegression_Valg[[#This Row],[Intet overlap]],INDEX(DataTitel_liste,LineærRegression_Valg[[#This Row],[Uafhængig variabel ID]]),INDEX(DataTitel_liste,IF(LineærRegression_Valg[[#This Row],[Afhængig variabel ID]]=1,2,1))),$B$7)</f>
        <v>Eksempel 2 (interval)</v>
      </c>
      <c r="H498" s="45">
        <f>_xlfn.AGGREGATE(2,5,LineærRegression_Valg[[#This Row],[Tabel ID]])</f>
        <v>1</v>
      </c>
    </row>
    <row r="499" spans="1:8" x14ac:dyDescent="0.2">
      <c r="A499">
        <f>ROW(LineærRegression_Valg[[#This Row],[Tabel ID]])-ROW(LineærRegression_Valg[[#Headers],[Tabel ID]])</f>
        <v>489</v>
      </c>
      <c r="B499" s="45">
        <f>ROUNDDOWN((LineærRegression_Valg[[#This Row],[Tabel ID]]-1)/$B$5,0)+1</f>
        <v>123</v>
      </c>
      <c r="C499" s="45">
        <f t="shared" si="7"/>
        <v>1</v>
      </c>
      <c r="D499" s="45" t="b">
        <f>LineærRegression_Valg[[#This Row],[Afhængig variabel ID]]&lt;&gt;LineærRegression_Valg[[#This Row],[Uafhængig variabel ID]]</f>
        <v>1</v>
      </c>
      <c r="E499" t="b">
        <f>LineærRegression_Valg[[#This Row],[Afhængig variabel ID]]&lt;=$B$5</f>
        <v>0</v>
      </c>
      <c r="F499" t="str" cm="1">
        <f t="array" ref="F499">IF(LineærRegression_Valg[[#This Row],[Indenfor range]],INDEX(DataTitel_liste,LineærRegression_Valg[[#This Row],[Afhængig variabel ID]]),INDEX(DataTitel_liste,1))</f>
        <v>Eksempel 1 (interval)</v>
      </c>
      <c r="G499" s="45" t="str" cm="1">
        <f t="array" ref="G499">IF(LineærRegression_Valg[[#This Row],[Indenfor range]],IF(LineærRegression_Valg[[#This Row],[Intet overlap]],INDEX(DataTitel_liste,LineærRegression_Valg[[#This Row],[Uafhængig variabel ID]]),INDEX(DataTitel_liste,IF(LineærRegression_Valg[[#This Row],[Afhængig variabel ID]]=1,2,1))),$B$7)</f>
        <v>Eksempel 2 (interval)</v>
      </c>
      <c r="H499" s="45">
        <f>_xlfn.AGGREGATE(2,5,LineærRegression_Valg[[#This Row],[Tabel ID]])</f>
        <v>1</v>
      </c>
    </row>
    <row r="500" spans="1:8" x14ac:dyDescent="0.2">
      <c r="A500">
        <f>ROW(LineærRegression_Valg[[#This Row],[Tabel ID]])-ROW(LineærRegression_Valg[[#Headers],[Tabel ID]])</f>
        <v>490</v>
      </c>
      <c r="B500" s="45">
        <f>ROUNDDOWN((LineærRegression_Valg[[#This Row],[Tabel ID]]-1)/$B$5,0)+1</f>
        <v>123</v>
      </c>
      <c r="C500" s="45">
        <f t="shared" si="7"/>
        <v>2</v>
      </c>
      <c r="D500" s="45" t="b">
        <f>LineærRegression_Valg[[#This Row],[Afhængig variabel ID]]&lt;&gt;LineærRegression_Valg[[#This Row],[Uafhængig variabel ID]]</f>
        <v>1</v>
      </c>
      <c r="E500" t="b">
        <f>LineærRegression_Valg[[#This Row],[Afhængig variabel ID]]&lt;=$B$5</f>
        <v>0</v>
      </c>
      <c r="F500" t="str" cm="1">
        <f t="array" ref="F500">IF(LineærRegression_Valg[[#This Row],[Indenfor range]],INDEX(DataTitel_liste,LineærRegression_Valg[[#This Row],[Afhængig variabel ID]]),INDEX(DataTitel_liste,1))</f>
        <v>Eksempel 1 (interval)</v>
      </c>
      <c r="G500" s="45" t="str" cm="1">
        <f t="array" ref="G500">IF(LineærRegression_Valg[[#This Row],[Indenfor range]],IF(LineærRegression_Valg[[#This Row],[Intet overlap]],INDEX(DataTitel_liste,LineærRegression_Valg[[#This Row],[Uafhængig variabel ID]]),INDEX(DataTitel_liste,IF(LineærRegression_Valg[[#This Row],[Afhængig variabel ID]]=1,2,1))),$B$7)</f>
        <v>Eksempel 2 (interval)</v>
      </c>
      <c r="H500" s="45">
        <f>_xlfn.AGGREGATE(2,5,LineærRegression_Valg[[#This Row],[Tabel ID]])</f>
        <v>1</v>
      </c>
    </row>
    <row r="501" spans="1:8" x14ac:dyDescent="0.2">
      <c r="A501">
        <f>ROW(LineærRegression_Valg[[#This Row],[Tabel ID]])-ROW(LineærRegression_Valg[[#Headers],[Tabel ID]])</f>
        <v>491</v>
      </c>
      <c r="B501" s="45">
        <f>ROUNDDOWN((LineærRegression_Valg[[#This Row],[Tabel ID]]-1)/$B$5,0)+1</f>
        <v>123</v>
      </c>
      <c r="C501" s="45">
        <f t="shared" si="7"/>
        <v>3</v>
      </c>
      <c r="D501" s="45" t="b">
        <f>LineærRegression_Valg[[#This Row],[Afhængig variabel ID]]&lt;&gt;LineærRegression_Valg[[#This Row],[Uafhængig variabel ID]]</f>
        <v>1</v>
      </c>
      <c r="E501" t="b">
        <f>LineærRegression_Valg[[#This Row],[Afhængig variabel ID]]&lt;=$B$5</f>
        <v>0</v>
      </c>
      <c r="F501" t="str" cm="1">
        <f t="array" ref="F501">IF(LineærRegression_Valg[[#This Row],[Indenfor range]],INDEX(DataTitel_liste,LineærRegression_Valg[[#This Row],[Afhængig variabel ID]]),INDEX(DataTitel_liste,1))</f>
        <v>Eksempel 1 (interval)</v>
      </c>
      <c r="G501" s="45" t="str" cm="1">
        <f t="array" ref="G501">IF(LineærRegression_Valg[[#This Row],[Indenfor range]],IF(LineærRegression_Valg[[#This Row],[Intet overlap]],INDEX(DataTitel_liste,LineærRegression_Valg[[#This Row],[Uafhængig variabel ID]]),INDEX(DataTitel_liste,IF(LineærRegression_Valg[[#This Row],[Afhængig variabel ID]]=1,2,1))),$B$7)</f>
        <v>Eksempel 2 (interval)</v>
      </c>
      <c r="H501" s="45">
        <f>_xlfn.AGGREGATE(2,5,LineærRegression_Valg[[#This Row],[Tabel ID]])</f>
        <v>1</v>
      </c>
    </row>
    <row r="502" spans="1:8" x14ac:dyDescent="0.2">
      <c r="A502">
        <f>ROW(LineærRegression_Valg[[#This Row],[Tabel ID]])-ROW(LineærRegression_Valg[[#Headers],[Tabel ID]])</f>
        <v>492</v>
      </c>
      <c r="B502" s="45">
        <f>ROUNDDOWN((LineærRegression_Valg[[#This Row],[Tabel ID]]-1)/$B$5,0)+1</f>
        <v>123</v>
      </c>
      <c r="C502" s="45">
        <f t="shared" si="7"/>
        <v>4</v>
      </c>
      <c r="D502" s="45" t="b">
        <f>LineærRegression_Valg[[#This Row],[Afhængig variabel ID]]&lt;&gt;LineærRegression_Valg[[#This Row],[Uafhængig variabel ID]]</f>
        <v>1</v>
      </c>
      <c r="E502" t="b">
        <f>LineærRegression_Valg[[#This Row],[Afhængig variabel ID]]&lt;=$B$5</f>
        <v>0</v>
      </c>
      <c r="F502" t="str" cm="1">
        <f t="array" ref="F502">IF(LineærRegression_Valg[[#This Row],[Indenfor range]],INDEX(DataTitel_liste,LineærRegression_Valg[[#This Row],[Afhængig variabel ID]]),INDEX(DataTitel_liste,1))</f>
        <v>Eksempel 1 (interval)</v>
      </c>
      <c r="G502" s="45" t="str" cm="1">
        <f t="array" ref="G502">IF(LineærRegression_Valg[[#This Row],[Indenfor range]],IF(LineærRegression_Valg[[#This Row],[Intet overlap]],INDEX(DataTitel_liste,LineærRegression_Valg[[#This Row],[Uafhængig variabel ID]]),INDEX(DataTitel_liste,IF(LineærRegression_Valg[[#This Row],[Afhængig variabel ID]]=1,2,1))),$B$7)</f>
        <v>Eksempel 2 (interval)</v>
      </c>
      <c r="H502" s="45">
        <f>_xlfn.AGGREGATE(2,5,LineærRegression_Valg[[#This Row],[Tabel ID]])</f>
        <v>1</v>
      </c>
    </row>
    <row r="503" spans="1:8" x14ac:dyDescent="0.2">
      <c r="A503">
        <f>ROW(LineærRegression_Valg[[#This Row],[Tabel ID]])-ROW(LineærRegression_Valg[[#Headers],[Tabel ID]])</f>
        <v>493</v>
      </c>
      <c r="B503" s="45">
        <f>ROUNDDOWN((LineærRegression_Valg[[#This Row],[Tabel ID]]-1)/$B$5,0)+1</f>
        <v>124</v>
      </c>
      <c r="C503" s="45">
        <f t="shared" si="7"/>
        <v>1</v>
      </c>
      <c r="D503" s="45" t="b">
        <f>LineærRegression_Valg[[#This Row],[Afhængig variabel ID]]&lt;&gt;LineærRegression_Valg[[#This Row],[Uafhængig variabel ID]]</f>
        <v>1</v>
      </c>
      <c r="E503" t="b">
        <f>LineærRegression_Valg[[#This Row],[Afhængig variabel ID]]&lt;=$B$5</f>
        <v>0</v>
      </c>
      <c r="F503" t="str" cm="1">
        <f t="array" ref="F503">IF(LineærRegression_Valg[[#This Row],[Indenfor range]],INDEX(DataTitel_liste,LineærRegression_Valg[[#This Row],[Afhængig variabel ID]]),INDEX(DataTitel_liste,1))</f>
        <v>Eksempel 1 (interval)</v>
      </c>
      <c r="G503" s="45" t="str" cm="1">
        <f t="array" ref="G503">IF(LineærRegression_Valg[[#This Row],[Indenfor range]],IF(LineærRegression_Valg[[#This Row],[Intet overlap]],INDEX(DataTitel_liste,LineærRegression_Valg[[#This Row],[Uafhængig variabel ID]]),INDEX(DataTitel_liste,IF(LineærRegression_Valg[[#This Row],[Afhængig variabel ID]]=1,2,1))),$B$7)</f>
        <v>Eksempel 2 (interval)</v>
      </c>
      <c r="H503" s="45">
        <f>_xlfn.AGGREGATE(2,5,LineærRegression_Valg[[#This Row],[Tabel ID]])</f>
        <v>1</v>
      </c>
    </row>
    <row r="504" spans="1:8" x14ac:dyDescent="0.2">
      <c r="A504">
        <f>ROW(LineærRegression_Valg[[#This Row],[Tabel ID]])-ROW(LineærRegression_Valg[[#Headers],[Tabel ID]])</f>
        <v>494</v>
      </c>
      <c r="B504" s="45">
        <f>ROUNDDOWN((LineærRegression_Valg[[#This Row],[Tabel ID]]-1)/$B$5,0)+1</f>
        <v>124</v>
      </c>
      <c r="C504" s="45">
        <f t="shared" si="7"/>
        <v>2</v>
      </c>
      <c r="D504" s="45" t="b">
        <f>LineærRegression_Valg[[#This Row],[Afhængig variabel ID]]&lt;&gt;LineærRegression_Valg[[#This Row],[Uafhængig variabel ID]]</f>
        <v>1</v>
      </c>
      <c r="E504" t="b">
        <f>LineærRegression_Valg[[#This Row],[Afhængig variabel ID]]&lt;=$B$5</f>
        <v>0</v>
      </c>
      <c r="F504" t="str" cm="1">
        <f t="array" ref="F504">IF(LineærRegression_Valg[[#This Row],[Indenfor range]],INDEX(DataTitel_liste,LineærRegression_Valg[[#This Row],[Afhængig variabel ID]]),INDEX(DataTitel_liste,1))</f>
        <v>Eksempel 1 (interval)</v>
      </c>
      <c r="G504" s="45" t="str" cm="1">
        <f t="array" ref="G504">IF(LineærRegression_Valg[[#This Row],[Indenfor range]],IF(LineærRegression_Valg[[#This Row],[Intet overlap]],INDEX(DataTitel_liste,LineærRegression_Valg[[#This Row],[Uafhængig variabel ID]]),INDEX(DataTitel_liste,IF(LineærRegression_Valg[[#This Row],[Afhængig variabel ID]]=1,2,1))),$B$7)</f>
        <v>Eksempel 2 (interval)</v>
      </c>
      <c r="H504" s="45">
        <f>_xlfn.AGGREGATE(2,5,LineærRegression_Valg[[#This Row],[Tabel ID]])</f>
        <v>1</v>
      </c>
    </row>
    <row r="505" spans="1:8" x14ac:dyDescent="0.2">
      <c r="A505">
        <f>ROW(LineærRegression_Valg[[#This Row],[Tabel ID]])-ROW(LineærRegression_Valg[[#Headers],[Tabel ID]])</f>
        <v>495</v>
      </c>
      <c r="B505" s="45">
        <f>ROUNDDOWN((LineærRegression_Valg[[#This Row],[Tabel ID]]-1)/$B$5,0)+1</f>
        <v>124</v>
      </c>
      <c r="C505" s="45">
        <f t="shared" si="7"/>
        <v>3</v>
      </c>
      <c r="D505" s="45" t="b">
        <f>LineærRegression_Valg[[#This Row],[Afhængig variabel ID]]&lt;&gt;LineærRegression_Valg[[#This Row],[Uafhængig variabel ID]]</f>
        <v>1</v>
      </c>
      <c r="E505" t="b">
        <f>LineærRegression_Valg[[#This Row],[Afhængig variabel ID]]&lt;=$B$5</f>
        <v>0</v>
      </c>
      <c r="F505" t="str" cm="1">
        <f t="array" ref="F505">IF(LineærRegression_Valg[[#This Row],[Indenfor range]],INDEX(DataTitel_liste,LineærRegression_Valg[[#This Row],[Afhængig variabel ID]]),INDEX(DataTitel_liste,1))</f>
        <v>Eksempel 1 (interval)</v>
      </c>
      <c r="G505" s="45" t="str" cm="1">
        <f t="array" ref="G505">IF(LineærRegression_Valg[[#This Row],[Indenfor range]],IF(LineærRegression_Valg[[#This Row],[Intet overlap]],INDEX(DataTitel_liste,LineærRegression_Valg[[#This Row],[Uafhængig variabel ID]]),INDEX(DataTitel_liste,IF(LineærRegression_Valg[[#This Row],[Afhængig variabel ID]]=1,2,1))),$B$7)</f>
        <v>Eksempel 2 (interval)</v>
      </c>
      <c r="H505" s="45">
        <f>_xlfn.AGGREGATE(2,5,LineærRegression_Valg[[#This Row],[Tabel ID]])</f>
        <v>1</v>
      </c>
    </row>
    <row r="506" spans="1:8" x14ac:dyDescent="0.2">
      <c r="A506">
        <f>ROW(LineærRegression_Valg[[#This Row],[Tabel ID]])-ROW(LineærRegression_Valg[[#Headers],[Tabel ID]])</f>
        <v>496</v>
      </c>
      <c r="B506" s="45">
        <f>ROUNDDOWN((LineærRegression_Valg[[#This Row],[Tabel ID]]-1)/$B$5,0)+1</f>
        <v>124</v>
      </c>
      <c r="C506" s="45">
        <f t="shared" si="7"/>
        <v>4</v>
      </c>
      <c r="D506" s="45" t="b">
        <f>LineærRegression_Valg[[#This Row],[Afhængig variabel ID]]&lt;&gt;LineærRegression_Valg[[#This Row],[Uafhængig variabel ID]]</f>
        <v>1</v>
      </c>
      <c r="E506" t="b">
        <f>LineærRegression_Valg[[#This Row],[Afhængig variabel ID]]&lt;=$B$5</f>
        <v>0</v>
      </c>
      <c r="F506" t="str" cm="1">
        <f t="array" ref="F506">IF(LineærRegression_Valg[[#This Row],[Indenfor range]],INDEX(DataTitel_liste,LineærRegression_Valg[[#This Row],[Afhængig variabel ID]]),INDEX(DataTitel_liste,1))</f>
        <v>Eksempel 1 (interval)</v>
      </c>
      <c r="G506" s="45" t="str" cm="1">
        <f t="array" ref="G506">IF(LineærRegression_Valg[[#This Row],[Indenfor range]],IF(LineærRegression_Valg[[#This Row],[Intet overlap]],INDEX(DataTitel_liste,LineærRegression_Valg[[#This Row],[Uafhængig variabel ID]]),INDEX(DataTitel_liste,IF(LineærRegression_Valg[[#This Row],[Afhængig variabel ID]]=1,2,1))),$B$7)</f>
        <v>Eksempel 2 (interval)</v>
      </c>
      <c r="H506" s="45">
        <f>_xlfn.AGGREGATE(2,5,LineærRegression_Valg[[#This Row],[Tabel ID]])</f>
        <v>1</v>
      </c>
    </row>
    <row r="507" spans="1:8" x14ac:dyDescent="0.2">
      <c r="A507">
        <f>ROW(LineærRegression_Valg[[#This Row],[Tabel ID]])-ROW(LineærRegression_Valg[[#Headers],[Tabel ID]])</f>
        <v>497</v>
      </c>
      <c r="B507" s="45">
        <f>ROUNDDOWN((LineærRegression_Valg[[#This Row],[Tabel ID]]-1)/$B$5,0)+1</f>
        <v>125</v>
      </c>
      <c r="C507" s="45">
        <f t="shared" si="7"/>
        <v>1</v>
      </c>
      <c r="D507" s="45" t="b">
        <f>LineærRegression_Valg[[#This Row],[Afhængig variabel ID]]&lt;&gt;LineærRegression_Valg[[#This Row],[Uafhængig variabel ID]]</f>
        <v>1</v>
      </c>
      <c r="E507" t="b">
        <f>LineærRegression_Valg[[#This Row],[Afhængig variabel ID]]&lt;=$B$5</f>
        <v>0</v>
      </c>
      <c r="F507" t="str" cm="1">
        <f t="array" ref="F507">IF(LineærRegression_Valg[[#This Row],[Indenfor range]],INDEX(DataTitel_liste,LineærRegression_Valg[[#This Row],[Afhængig variabel ID]]),INDEX(DataTitel_liste,1))</f>
        <v>Eksempel 1 (interval)</v>
      </c>
      <c r="G507" s="45" t="str" cm="1">
        <f t="array" ref="G507">IF(LineærRegression_Valg[[#This Row],[Indenfor range]],IF(LineærRegression_Valg[[#This Row],[Intet overlap]],INDEX(DataTitel_liste,LineærRegression_Valg[[#This Row],[Uafhængig variabel ID]]),INDEX(DataTitel_liste,IF(LineærRegression_Valg[[#This Row],[Afhængig variabel ID]]=1,2,1))),$B$7)</f>
        <v>Eksempel 2 (interval)</v>
      </c>
      <c r="H507" s="45">
        <f>_xlfn.AGGREGATE(2,5,LineærRegression_Valg[[#This Row],[Tabel ID]])</f>
        <v>1</v>
      </c>
    </row>
    <row r="508" spans="1:8" x14ac:dyDescent="0.2">
      <c r="A508">
        <f>ROW(LineærRegression_Valg[[#This Row],[Tabel ID]])-ROW(LineærRegression_Valg[[#Headers],[Tabel ID]])</f>
        <v>498</v>
      </c>
      <c r="B508" s="45">
        <f>ROUNDDOWN((LineærRegression_Valg[[#This Row],[Tabel ID]]-1)/$B$5,0)+1</f>
        <v>125</v>
      </c>
      <c r="C508" s="45">
        <f t="shared" si="7"/>
        <v>2</v>
      </c>
      <c r="D508" s="45" t="b">
        <f>LineærRegression_Valg[[#This Row],[Afhængig variabel ID]]&lt;&gt;LineærRegression_Valg[[#This Row],[Uafhængig variabel ID]]</f>
        <v>1</v>
      </c>
      <c r="E508" t="b">
        <f>LineærRegression_Valg[[#This Row],[Afhængig variabel ID]]&lt;=$B$5</f>
        <v>0</v>
      </c>
      <c r="F508" t="str" cm="1">
        <f t="array" ref="F508">IF(LineærRegression_Valg[[#This Row],[Indenfor range]],INDEX(DataTitel_liste,LineærRegression_Valg[[#This Row],[Afhængig variabel ID]]),INDEX(DataTitel_liste,1))</f>
        <v>Eksempel 1 (interval)</v>
      </c>
      <c r="G508" s="45" t="str" cm="1">
        <f t="array" ref="G508">IF(LineærRegression_Valg[[#This Row],[Indenfor range]],IF(LineærRegression_Valg[[#This Row],[Intet overlap]],INDEX(DataTitel_liste,LineærRegression_Valg[[#This Row],[Uafhængig variabel ID]]),INDEX(DataTitel_liste,IF(LineærRegression_Valg[[#This Row],[Afhængig variabel ID]]=1,2,1))),$B$7)</f>
        <v>Eksempel 2 (interval)</v>
      </c>
      <c r="H508" s="45">
        <f>_xlfn.AGGREGATE(2,5,LineærRegression_Valg[[#This Row],[Tabel ID]])</f>
        <v>1</v>
      </c>
    </row>
    <row r="509" spans="1:8" x14ac:dyDescent="0.2">
      <c r="A509">
        <f>ROW(LineærRegression_Valg[[#This Row],[Tabel ID]])-ROW(LineærRegression_Valg[[#Headers],[Tabel ID]])</f>
        <v>499</v>
      </c>
      <c r="B509" s="45">
        <f>ROUNDDOWN((LineærRegression_Valg[[#This Row],[Tabel ID]]-1)/$B$5,0)+1</f>
        <v>125</v>
      </c>
      <c r="C509" s="45">
        <f t="shared" si="7"/>
        <v>3</v>
      </c>
      <c r="D509" s="45" t="b">
        <f>LineærRegression_Valg[[#This Row],[Afhængig variabel ID]]&lt;&gt;LineærRegression_Valg[[#This Row],[Uafhængig variabel ID]]</f>
        <v>1</v>
      </c>
      <c r="E509" t="b">
        <f>LineærRegression_Valg[[#This Row],[Afhængig variabel ID]]&lt;=$B$5</f>
        <v>0</v>
      </c>
      <c r="F509" t="str" cm="1">
        <f t="array" ref="F509">IF(LineærRegression_Valg[[#This Row],[Indenfor range]],INDEX(DataTitel_liste,LineærRegression_Valg[[#This Row],[Afhængig variabel ID]]),INDEX(DataTitel_liste,1))</f>
        <v>Eksempel 1 (interval)</v>
      </c>
      <c r="G509" s="45" t="str" cm="1">
        <f t="array" ref="G509">IF(LineærRegression_Valg[[#This Row],[Indenfor range]],IF(LineærRegression_Valg[[#This Row],[Intet overlap]],INDEX(DataTitel_liste,LineærRegression_Valg[[#This Row],[Uafhængig variabel ID]]),INDEX(DataTitel_liste,IF(LineærRegression_Valg[[#This Row],[Afhængig variabel ID]]=1,2,1))),$B$7)</f>
        <v>Eksempel 2 (interval)</v>
      </c>
      <c r="H509" s="45">
        <f>_xlfn.AGGREGATE(2,5,LineærRegression_Valg[[#This Row],[Tabel ID]])</f>
        <v>1</v>
      </c>
    </row>
    <row r="510" spans="1:8" x14ac:dyDescent="0.2">
      <c r="A510">
        <f>ROW(LineærRegression_Valg[[#This Row],[Tabel ID]])-ROW(LineærRegression_Valg[[#Headers],[Tabel ID]])</f>
        <v>500</v>
      </c>
      <c r="B510" s="45">
        <f>ROUNDDOWN((LineærRegression_Valg[[#This Row],[Tabel ID]]-1)/$B$5,0)+1</f>
        <v>125</v>
      </c>
      <c r="C510" s="45">
        <f t="shared" si="7"/>
        <v>4</v>
      </c>
      <c r="D510" s="45" t="b">
        <f>LineærRegression_Valg[[#This Row],[Afhængig variabel ID]]&lt;&gt;LineærRegression_Valg[[#This Row],[Uafhængig variabel ID]]</f>
        <v>1</v>
      </c>
      <c r="E510" t="b">
        <f>LineærRegression_Valg[[#This Row],[Afhængig variabel ID]]&lt;=$B$5</f>
        <v>0</v>
      </c>
      <c r="F510" t="str" cm="1">
        <f t="array" ref="F510">IF(LineærRegression_Valg[[#This Row],[Indenfor range]],INDEX(DataTitel_liste,LineærRegression_Valg[[#This Row],[Afhængig variabel ID]]),INDEX(DataTitel_liste,1))</f>
        <v>Eksempel 1 (interval)</v>
      </c>
      <c r="G510" s="45" t="str" cm="1">
        <f t="array" ref="G510">IF(LineærRegression_Valg[[#This Row],[Indenfor range]],IF(LineærRegression_Valg[[#This Row],[Intet overlap]],INDEX(DataTitel_liste,LineærRegression_Valg[[#This Row],[Uafhængig variabel ID]]),INDEX(DataTitel_liste,IF(LineærRegression_Valg[[#This Row],[Afhængig variabel ID]]=1,2,1))),$B$7)</f>
        <v>Eksempel 2 (interval)</v>
      </c>
      <c r="H510" s="45">
        <f>_xlfn.AGGREGATE(2,5,LineærRegression_Valg[[#This Row],[Tabel ID]])</f>
        <v>1</v>
      </c>
    </row>
    <row r="511" spans="1:8" x14ac:dyDescent="0.2">
      <c r="A511">
        <f>ROW(LineærRegression_Valg[[#This Row],[Tabel ID]])-ROW(LineærRegression_Valg[[#Headers],[Tabel ID]])</f>
        <v>501</v>
      </c>
      <c r="B511" s="45">
        <f>ROUNDDOWN((LineærRegression_Valg[[#This Row],[Tabel ID]]-1)/$B$5,0)+1</f>
        <v>126</v>
      </c>
      <c r="C511" s="45">
        <f t="shared" si="7"/>
        <v>1</v>
      </c>
      <c r="D511" s="45" t="b">
        <f>LineærRegression_Valg[[#This Row],[Afhængig variabel ID]]&lt;&gt;LineærRegression_Valg[[#This Row],[Uafhængig variabel ID]]</f>
        <v>1</v>
      </c>
      <c r="E511" t="b">
        <f>LineærRegression_Valg[[#This Row],[Afhængig variabel ID]]&lt;=$B$5</f>
        <v>0</v>
      </c>
      <c r="F511" t="str" cm="1">
        <f t="array" ref="F511">IF(LineærRegression_Valg[[#This Row],[Indenfor range]],INDEX(DataTitel_liste,LineærRegression_Valg[[#This Row],[Afhængig variabel ID]]),INDEX(DataTitel_liste,1))</f>
        <v>Eksempel 1 (interval)</v>
      </c>
      <c r="G511" s="45" t="str" cm="1">
        <f t="array" ref="G511">IF(LineærRegression_Valg[[#This Row],[Indenfor range]],IF(LineærRegression_Valg[[#This Row],[Intet overlap]],INDEX(DataTitel_liste,LineærRegression_Valg[[#This Row],[Uafhængig variabel ID]]),INDEX(DataTitel_liste,IF(LineærRegression_Valg[[#This Row],[Afhængig variabel ID]]=1,2,1))),$B$7)</f>
        <v>Eksempel 2 (interval)</v>
      </c>
      <c r="H511" s="45">
        <f>_xlfn.AGGREGATE(2,5,LineærRegression_Valg[[#This Row],[Tabel ID]])</f>
        <v>1</v>
      </c>
    </row>
    <row r="512" spans="1:8" x14ac:dyDescent="0.2">
      <c r="A512">
        <f>ROW(LineærRegression_Valg[[#This Row],[Tabel ID]])-ROW(LineærRegression_Valg[[#Headers],[Tabel ID]])</f>
        <v>502</v>
      </c>
      <c r="B512" s="45">
        <f>ROUNDDOWN((LineærRegression_Valg[[#This Row],[Tabel ID]]-1)/$B$5,0)+1</f>
        <v>126</v>
      </c>
      <c r="C512" s="45">
        <f t="shared" si="7"/>
        <v>2</v>
      </c>
      <c r="D512" s="45" t="b">
        <f>LineærRegression_Valg[[#This Row],[Afhængig variabel ID]]&lt;&gt;LineærRegression_Valg[[#This Row],[Uafhængig variabel ID]]</f>
        <v>1</v>
      </c>
      <c r="E512" t="b">
        <f>LineærRegression_Valg[[#This Row],[Afhængig variabel ID]]&lt;=$B$5</f>
        <v>0</v>
      </c>
      <c r="F512" t="str" cm="1">
        <f t="array" ref="F512">IF(LineærRegression_Valg[[#This Row],[Indenfor range]],INDEX(DataTitel_liste,LineærRegression_Valg[[#This Row],[Afhængig variabel ID]]),INDEX(DataTitel_liste,1))</f>
        <v>Eksempel 1 (interval)</v>
      </c>
      <c r="G512" s="45" t="str" cm="1">
        <f t="array" ref="G512">IF(LineærRegression_Valg[[#This Row],[Indenfor range]],IF(LineærRegression_Valg[[#This Row],[Intet overlap]],INDEX(DataTitel_liste,LineærRegression_Valg[[#This Row],[Uafhængig variabel ID]]),INDEX(DataTitel_liste,IF(LineærRegression_Valg[[#This Row],[Afhængig variabel ID]]=1,2,1))),$B$7)</f>
        <v>Eksempel 2 (interval)</v>
      </c>
      <c r="H512" s="45">
        <f>_xlfn.AGGREGATE(2,5,LineærRegression_Valg[[#This Row],[Tabel ID]])</f>
        <v>1</v>
      </c>
    </row>
    <row r="513" spans="1:8" x14ac:dyDescent="0.2">
      <c r="A513">
        <f>ROW(LineærRegression_Valg[[#This Row],[Tabel ID]])-ROW(LineærRegression_Valg[[#Headers],[Tabel ID]])</f>
        <v>503</v>
      </c>
      <c r="B513" s="45">
        <f>ROUNDDOWN((LineærRegression_Valg[[#This Row],[Tabel ID]]-1)/$B$5,0)+1</f>
        <v>126</v>
      </c>
      <c r="C513" s="45">
        <f t="shared" si="7"/>
        <v>3</v>
      </c>
      <c r="D513" s="45" t="b">
        <f>LineærRegression_Valg[[#This Row],[Afhængig variabel ID]]&lt;&gt;LineærRegression_Valg[[#This Row],[Uafhængig variabel ID]]</f>
        <v>1</v>
      </c>
      <c r="E513" t="b">
        <f>LineærRegression_Valg[[#This Row],[Afhængig variabel ID]]&lt;=$B$5</f>
        <v>0</v>
      </c>
      <c r="F513" t="str" cm="1">
        <f t="array" ref="F513">IF(LineærRegression_Valg[[#This Row],[Indenfor range]],INDEX(DataTitel_liste,LineærRegression_Valg[[#This Row],[Afhængig variabel ID]]),INDEX(DataTitel_liste,1))</f>
        <v>Eksempel 1 (interval)</v>
      </c>
      <c r="G513" s="45" t="str" cm="1">
        <f t="array" ref="G513">IF(LineærRegression_Valg[[#This Row],[Indenfor range]],IF(LineærRegression_Valg[[#This Row],[Intet overlap]],INDEX(DataTitel_liste,LineærRegression_Valg[[#This Row],[Uafhængig variabel ID]]),INDEX(DataTitel_liste,IF(LineærRegression_Valg[[#This Row],[Afhængig variabel ID]]=1,2,1))),$B$7)</f>
        <v>Eksempel 2 (interval)</v>
      </c>
      <c r="H513" s="45">
        <f>_xlfn.AGGREGATE(2,5,LineærRegression_Valg[[#This Row],[Tabel ID]])</f>
        <v>1</v>
      </c>
    </row>
    <row r="514" spans="1:8" x14ac:dyDescent="0.2">
      <c r="A514">
        <f>ROW(LineærRegression_Valg[[#This Row],[Tabel ID]])-ROW(LineærRegression_Valg[[#Headers],[Tabel ID]])</f>
        <v>504</v>
      </c>
      <c r="B514" s="45">
        <f>ROUNDDOWN((LineærRegression_Valg[[#This Row],[Tabel ID]]-1)/$B$5,0)+1</f>
        <v>126</v>
      </c>
      <c r="C514" s="45">
        <f t="shared" si="7"/>
        <v>4</v>
      </c>
      <c r="D514" s="45" t="b">
        <f>LineærRegression_Valg[[#This Row],[Afhængig variabel ID]]&lt;&gt;LineærRegression_Valg[[#This Row],[Uafhængig variabel ID]]</f>
        <v>1</v>
      </c>
      <c r="E514" t="b">
        <f>LineærRegression_Valg[[#This Row],[Afhængig variabel ID]]&lt;=$B$5</f>
        <v>0</v>
      </c>
      <c r="F514" t="str" cm="1">
        <f t="array" ref="F514">IF(LineærRegression_Valg[[#This Row],[Indenfor range]],INDEX(DataTitel_liste,LineærRegression_Valg[[#This Row],[Afhængig variabel ID]]),INDEX(DataTitel_liste,1))</f>
        <v>Eksempel 1 (interval)</v>
      </c>
      <c r="G514" s="45" t="str" cm="1">
        <f t="array" ref="G514">IF(LineærRegression_Valg[[#This Row],[Indenfor range]],IF(LineærRegression_Valg[[#This Row],[Intet overlap]],INDEX(DataTitel_liste,LineærRegression_Valg[[#This Row],[Uafhængig variabel ID]]),INDEX(DataTitel_liste,IF(LineærRegression_Valg[[#This Row],[Afhængig variabel ID]]=1,2,1))),$B$7)</f>
        <v>Eksempel 2 (interval)</v>
      </c>
      <c r="H514" s="45">
        <f>_xlfn.AGGREGATE(2,5,LineærRegression_Valg[[#This Row],[Tabel ID]])</f>
        <v>1</v>
      </c>
    </row>
    <row r="515" spans="1:8" x14ac:dyDescent="0.2">
      <c r="A515">
        <f>ROW(LineærRegression_Valg[[#This Row],[Tabel ID]])-ROW(LineærRegression_Valg[[#Headers],[Tabel ID]])</f>
        <v>505</v>
      </c>
      <c r="B515" s="45">
        <f>ROUNDDOWN((LineærRegression_Valg[[#This Row],[Tabel ID]]-1)/$B$5,0)+1</f>
        <v>127</v>
      </c>
      <c r="C515" s="45">
        <f t="shared" si="7"/>
        <v>1</v>
      </c>
      <c r="D515" s="45" t="b">
        <f>LineærRegression_Valg[[#This Row],[Afhængig variabel ID]]&lt;&gt;LineærRegression_Valg[[#This Row],[Uafhængig variabel ID]]</f>
        <v>1</v>
      </c>
      <c r="E515" t="b">
        <f>LineærRegression_Valg[[#This Row],[Afhængig variabel ID]]&lt;=$B$5</f>
        <v>0</v>
      </c>
      <c r="F515" t="str" cm="1">
        <f t="array" ref="F515">IF(LineærRegression_Valg[[#This Row],[Indenfor range]],INDEX(DataTitel_liste,LineærRegression_Valg[[#This Row],[Afhængig variabel ID]]),INDEX(DataTitel_liste,1))</f>
        <v>Eksempel 1 (interval)</v>
      </c>
      <c r="G515" s="45" t="str" cm="1">
        <f t="array" ref="G515">IF(LineærRegression_Valg[[#This Row],[Indenfor range]],IF(LineærRegression_Valg[[#This Row],[Intet overlap]],INDEX(DataTitel_liste,LineærRegression_Valg[[#This Row],[Uafhængig variabel ID]]),INDEX(DataTitel_liste,IF(LineærRegression_Valg[[#This Row],[Afhængig variabel ID]]=1,2,1))),$B$7)</f>
        <v>Eksempel 2 (interval)</v>
      </c>
      <c r="H515" s="45">
        <f>_xlfn.AGGREGATE(2,5,LineærRegression_Valg[[#This Row],[Tabel ID]])</f>
        <v>1</v>
      </c>
    </row>
    <row r="516" spans="1:8" x14ac:dyDescent="0.2">
      <c r="A516">
        <f>ROW(LineærRegression_Valg[[#This Row],[Tabel ID]])-ROW(LineærRegression_Valg[[#Headers],[Tabel ID]])</f>
        <v>506</v>
      </c>
      <c r="B516" s="45">
        <f>ROUNDDOWN((LineærRegression_Valg[[#This Row],[Tabel ID]]-1)/$B$5,0)+1</f>
        <v>127</v>
      </c>
      <c r="C516" s="45">
        <f t="shared" si="7"/>
        <v>2</v>
      </c>
      <c r="D516" s="45" t="b">
        <f>LineærRegression_Valg[[#This Row],[Afhængig variabel ID]]&lt;&gt;LineærRegression_Valg[[#This Row],[Uafhængig variabel ID]]</f>
        <v>1</v>
      </c>
      <c r="E516" t="b">
        <f>LineærRegression_Valg[[#This Row],[Afhængig variabel ID]]&lt;=$B$5</f>
        <v>0</v>
      </c>
      <c r="F516" t="str" cm="1">
        <f t="array" ref="F516">IF(LineærRegression_Valg[[#This Row],[Indenfor range]],INDEX(DataTitel_liste,LineærRegression_Valg[[#This Row],[Afhængig variabel ID]]),INDEX(DataTitel_liste,1))</f>
        <v>Eksempel 1 (interval)</v>
      </c>
      <c r="G516" s="45" t="str" cm="1">
        <f t="array" ref="G516">IF(LineærRegression_Valg[[#This Row],[Indenfor range]],IF(LineærRegression_Valg[[#This Row],[Intet overlap]],INDEX(DataTitel_liste,LineærRegression_Valg[[#This Row],[Uafhængig variabel ID]]),INDEX(DataTitel_liste,IF(LineærRegression_Valg[[#This Row],[Afhængig variabel ID]]=1,2,1))),$B$7)</f>
        <v>Eksempel 2 (interval)</v>
      </c>
      <c r="H516" s="45">
        <f>_xlfn.AGGREGATE(2,5,LineærRegression_Valg[[#This Row],[Tabel ID]])</f>
        <v>1</v>
      </c>
    </row>
    <row r="517" spans="1:8" x14ac:dyDescent="0.2">
      <c r="A517">
        <f>ROW(LineærRegression_Valg[[#This Row],[Tabel ID]])-ROW(LineærRegression_Valg[[#Headers],[Tabel ID]])</f>
        <v>507</v>
      </c>
      <c r="B517" s="45">
        <f>ROUNDDOWN((LineærRegression_Valg[[#This Row],[Tabel ID]]-1)/$B$5,0)+1</f>
        <v>127</v>
      </c>
      <c r="C517" s="45">
        <f t="shared" si="7"/>
        <v>3</v>
      </c>
      <c r="D517" s="45" t="b">
        <f>LineærRegression_Valg[[#This Row],[Afhængig variabel ID]]&lt;&gt;LineærRegression_Valg[[#This Row],[Uafhængig variabel ID]]</f>
        <v>1</v>
      </c>
      <c r="E517" t="b">
        <f>LineærRegression_Valg[[#This Row],[Afhængig variabel ID]]&lt;=$B$5</f>
        <v>0</v>
      </c>
      <c r="F517" t="str" cm="1">
        <f t="array" ref="F517">IF(LineærRegression_Valg[[#This Row],[Indenfor range]],INDEX(DataTitel_liste,LineærRegression_Valg[[#This Row],[Afhængig variabel ID]]),INDEX(DataTitel_liste,1))</f>
        <v>Eksempel 1 (interval)</v>
      </c>
      <c r="G517" s="45" t="str" cm="1">
        <f t="array" ref="G517">IF(LineærRegression_Valg[[#This Row],[Indenfor range]],IF(LineærRegression_Valg[[#This Row],[Intet overlap]],INDEX(DataTitel_liste,LineærRegression_Valg[[#This Row],[Uafhængig variabel ID]]),INDEX(DataTitel_liste,IF(LineærRegression_Valg[[#This Row],[Afhængig variabel ID]]=1,2,1))),$B$7)</f>
        <v>Eksempel 2 (interval)</v>
      </c>
      <c r="H517" s="45">
        <f>_xlfn.AGGREGATE(2,5,LineærRegression_Valg[[#This Row],[Tabel ID]])</f>
        <v>1</v>
      </c>
    </row>
    <row r="518" spans="1:8" x14ac:dyDescent="0.2">
      <c r="A518">
        <f>ROW(LineærRegression_Valg[[#This Row],[Tabel ID]])-ROW(LineærRegression_Valg[[#Headers],[Tabel ID]])</f>
        <v>508</v>
      </c>
      <c r="B518" s="45">
        <f>ROUNDDOWN((LineærRegression_Valg[[#This Row],[Tabel ID]]-1)/$B$5,0)+1</f>
        <v>127</v>
      </c>
      <c r="C518" s="45">
        <f t="shared" si="7"/>
        <v>4</v>
      </c>
      <c r="D518" s="45" t="b">
        <f>LineærRegression_Valg[[#This Row],[Afhængig variabel ID]]&lt;&gt;LineærRegression_Valg[[#This Row],[Uafhængig variabel ID]]</f>
        <v>1</v>
      </c>
      <c r="E518" t="b">
        <f>LineærRegression_Valg[[#This Row],[Afhængig variabel ID]]&lt;=$B$5</f>
        <v>0</v>
      </c>
      <c r="F518" t="str" cm="1">
        <f t="array" ref="F518">IF(LineærRegression_Valg[[#This Row],[Indenfor range]],INDEX(DataTitel_liste,LineærRegression_Valg[[#This Row],[Afhængig variabel ID]]),INDEX(DataTitel_liste,1))</f>
        <v>Eksempel 1 (interval)</v>
      </c>
      <c r="G518" s="45" t="str" cm="1">
        <f t="array" ref="G518">IF(LineærRegression_Valg[[#This Row],[Indenfor range]],IF(LineærRegression_Valg[[#This Row],[Intet overlap]],INDEX(DataTitel_liste,LineærRegression_Valg[[#This Row],[Uafhængig variabel ID]]),INDEX(DataTitel_liste,IF(LineærRegression_Valg[[#This Row],[Afhængig variabel ID]]=1,2,1))),$B$7)</f>
        <v>Eksempel 2 (interval)</v>
      </c>
      <c r="H518" s="45">
        <f>_xlfn.AGGREGATE(2,5,LineærRegression_Valg[[#This Row],[Tabel ID]])</f>
        <v>1</v>
      </c>
    </row>
    <row r="519" spans="1:8" x14ac:dyDescent="0.2">
      <c r="A519">
        <f>ROW(LineærRegression_Valg[[#This Row],[Tabel ID]])-ROW(LineærRegression_Valg[[#Headers],[Tabel ID]])</f>
        <v>509</v>
      </c>
      <c r="B519" s="45">
        <f>ROUNDDOWN((LineærRegression_Valg[[#This Row],[Tabel ID]]-1)/$B$5,0)+1</f>
        <v>128</v>
      </c>
      <c r="C519" s="45">
        <f t="shared" si="7"/>
        <v>1</v>
      </c>
      <c r="D519" s="45" t="b">
        <f>LineærRegression_Valg[[#This Row],[Afhængig variabel ID]]&lt;&gt;LineærRegression_Valg[[#This Row],[Uafhængig variabel ID]]</f>
        <v>1</v>
      </c>
      <c r="E519" t="b">
        <f>LineærRegression_Valg[[#This Row],[Afhængig variabel ID]]&lt;=$B$5</f>
        <v>0</v>
      </c>
      <c r="F519" t="str" cm="1">
        <f t="array" ref="F519">IF(LineærRegression_Valg[[#This Row],[Indenfor range]],INDEX(DataTitel_liste,LineærRegression_Valg[[#This Row],[Afhængig variabel ID]]),INDEX(DataTitel_liste,1))</f>
        <v>Eksempel 1 (interval)</v>
      </c>
      <c r="G519" s="45" t="str" cm="1">
        <f t="array" ref="G519">IF(LineærRegression_Valg[[#This Row],[Indenfor range]],IF(LineærRegression_Valg[[#This Row],[Intet overlap]],INDEX(DataTitel_liste,LineærRegression_Valg[[#This Row],[Uafhængig variabel ID]]),INDEX(DataTitel_liste,IF(LineærRegression_Valg[[#This Row],[Afhængig variabel ID]]=1,2,1))),$B$7)</f>
        <v>Eksempel 2 (interval)</v>
      </c>
      <c r="H519" s="45">
        <f>_xlfn.AGGREGATE(2,5,LineærRegression_Valg[[#This Row],[Tabel ID]])</f>
        <v>1</v>
      </c>
    </row>
    <row r="520" spans="1:8" x14ac:dyDescent="0.2">
      <c r="A520">
        <f>ROW(LineærRegression_Valg[[#This Row],[Tabel ID]])-ROW(LineærRegression_Valg[[#Headers],[Tabel ID]])</f>
        <v>510</v>
      </c>
      <c r="B520" s="45">
        <f>ROUNDDOWN((LineærRegression_Valg[[#This Row],[Tabel ID]]-1)/$B$5,0)+1</f>
        <v>128</v>
      </c>
      <c r="C520" s="45">
        <f t="shared" si="7"/>
        <v>2</v>
      </c>
      <c r="D520" s="45" t="b">
        <f>LineærRegression_Valg[[#This Row],[Afhængig variabel ID]]&lt;&gt;LineærRegression_Valg[[#This Row],[Uafhængig variabel ID]]</f>
        <v>1</v>
      </c>
      <c r="E520" t="b">
        <f>LineærRegression_Valg[[#This Row],[Afhængig variabel ID]]&lt;=$B$5</f>
        <v>0</v>
      </c>
      <c r="F520" t="str" cm="1">
        <f t="array" ref="F520">IF(LineærRegression_Valg[[#This Row],[Indenfor range]],INDEX(DataTitel_liste,LineærRegression_Valg[[#This Row],[Afhængig variabel ID]]),INDEX(DataTitel_liste,1))</f>
        <v>Eksempel 1 (interval)</v>
      </c>
      <c r="G520" s="45" t="str" cm="1">
        <f t="array" ref="G520">IF(LineærRegression_Valg[[#This Row],[Indenfor range]],IF(LineærRegression_Valg[[#This Row],[Intet overlap]],INDEX(DataTitel_liste,LineærRegression_Valg[[#This Row],[Uafhængig variabel ID]]),INDEX(DataTitel_liste,IF(LineærRegression_Valg[[#This Row],[Afhængig variabel ID]]=1,2,1))),$B$7)</f>
        <v>Eksempel 2 (interval)</v>
      </c>
      <c r="H520" s="45">
        <f>_xlfn.AGGREGATE(2,5,LineærRegression_Valg[[#This Row],[Tabel ID]])</f>
        <v>1</v>
      </c>
    </row>
    <row r="521" spans="1:8" x14ac:dyDescent="0.2">
      <c r="A521">
        <f>ROW(LineærRegression_Valg[[#This Row],[Tabel ID]])-ROW(LineærRegression_Valg[[#Headers],[Tabel ID]])</f>
        <v>511</v>
      </c>
      <c r="B521" s="45">
        <f>ROUNDDOWN((LineærRegression_Valg[[#This Row],[Tabel ID]]-1)/$B$5,0)+1</f>
        <v>128</v>
      </c>
      <c r="C521" s="45">
        <f t="shared" si="7"/>
        <v>3</v>
      </c>
      <c r="D521" s="45" t="b">
        <f>LineærRegression_Valg[[#This Row],[Afhængig variabel ID]]&lt;&gt;LineærRegression_Valg[[#This Row],[Uafhængig variabel ID]]</f>
        <v>1</v>
      </c>
      <c r="E521" t="b">
        <f>LineærRegression_Valg[[#This Row],[Afhængig variabel ID]]&lt;=$B$5</f>
        <v>0</v>
      </c>
      <c r="F521" t="str" cm="1">
        <f t="array" ref="F521">IF(LineærRegression_Valg[[#This Row],[Indenfor range]],INDEX(DataTitel_liste,LineærRegression_Valg[[#This Row],[Afhængig variabel ID]]),INDEX(DataTitel_liste,1))</f>
        <v>Eksempel 1 (interval)</v>
      </c>
      <c r="G521" s="45" t="str" cm="1">
        <f t="array" ref="G521">IF(LineærRegression_Valg[[#This Row],[Indenfor range]],IF(LineærRegression_Valg[[#This Row],[Intet overlap]],INDEX(DataTitel_liste,LineærRegression_Valg[[#This Row],[Uafhængig variabel ID]]),INDEX(DataTitel_liste,IF(LineærRegression_Valg[[#This Row],[Afhængig variabel ID]]=1,2,1))),$B$7)</f>
        <v>Eksempel 2 (interval)</v>
      </c>
      <c r="H521" s="45">
        <f>_xlfn.AGGREGATE(2,5,LineærRegression_Valg[[#This Row],[Tabel ID]])</f>
        <v>1</v>
      </c>
    </row>
    <row r="522" spans="1:8" x14ac:dyDescent="0.2">
      <c r="A522">
        <f>ROW(LineærRegression_Valg[[#This Row],[Tabel ID]])-ROW(LineærRegression_Valg[[#Headers],[Tabel ID]])</f>
        <v>512</v>
      </c>
      <c r="B522" s="45">
        <f>ROUNDDOWN((LineærRegression_Valg[[#This Row],[Tabel ID]]-1)/$B$5,0)+1</f>
        <v>128</v>
      </c>
      <c r="C522" s="45">
        <f t="shared" si="7"/>
        <v>4</v>
      </c>
      <c r="D522" s="45" t="b">
        <f>LineærRegression_Valg[[#This Row],[Afhængig variabel ID]]&lt;&gt;LineærRegression_Valg[[#This Row],[Uafhængig variabel ID]]</f>
        <v>1</v>
      </c>
      <c r="E522" t="b">
        <f>LineærRegression_Valg[[#This Row],[Afhængig variabel ID]]&lt;=$B$5</f>
        <v>0</v>
      </c>
      <c r="F522" t="str" cm="1">
        <f t="array" ref="F522">IF(LineærRegression_Valg[[#This Row],[Indenfor range]],INDEX(DataTitel_liste,LineærRegression_Valg[[#This Row],[Afhængig variabel ID]]),INDEX(DataTitel_liste,1))</f>
        <v>Eksempel 1 (interval)</v>
      </c>
      <c r="G522" s="45" t="str" cm="1">
        <f t="array" ref="G522">IF(LineærRegression_Valg[[#This Row],[Indenfor range]],IF(LineærRegression_Valg[[#This Row],[Intet overlap]],INDEX(DataTitel_liste,LineærRegression_Valg[[#This Row],[Uafhængig variabel ID]]),INDEX(DataTitel_liste,IF(LineærRegression_Valg[[#This Row],[Afhængig variabel ID]]=1,2,1))),$B$7)</f>
        <v>Eksempel 2 (interval)</v>
      </c>
      <c r="H522" s="45">
        <f>_xlfn.AGGREGATE(2,5,LineærRegression_Valg[[#This Row],[Tabel ID]])</f>
        <v>1</v>
      </c>
    </row>
    <row r="523" spans="1:8" x14ac:dyDescent="0.2">
      <c r="A523">
        <f>ROW(LineærRegression_Valg[[#This Row],[Tabel ID]])-ROW(LineærRegression_Valg[[#Headers],[Tabel ID]])</f>
        <v>513</v>
      </c>
      <c r="B523" s="45">
        <f>ROUNDDOWN((LineærRegression_Valg[[#This Row],[Tabel ID]]-1)/$B$5,0)+1</f>
        <v>129</v>
      </c>
      <c r="C523" s="45">
        <f t="shared" ref="C523:C586" si="8">MOD(A523-1,$B$5)+1</f>
        <v>1</v>
      </c>
      <c r="D523" s="45" t="b">
        <f>LineærRegression_Valg[[#This Row],[Afhængig variabel ID]]&lt;&gt;LineærRegression_Valg[[#This Row],[Uafhængig variabel ID]]</f>
        <v>1</v>
      </c>
      <c r="E523" t="b">
        <f>LineærRegression_Valg[[#This Row],[Afhængig variabel ID]]&lt;=$B$5</f>
        <v>0</v>
      </c>
      <c r="F523" t="str" cm="1">
        <f t="array" ref="F523">IF(LineærRegression_Valg[[#This Row],[Indenfor range]],INDEX(DataTitel_liste,LineærRegression_Valg[[#This Row],[Afhængig variabel ID]]),INDEX(DataTitel_liste,1))</f>
        <v>Eksempel 1 (interval)</v>
      </c>
      <c r="G523" s="45" t="str" cm="1">
        <f t="array" ref="G523">IF(LineærRegression_Valg[[#This Row],[Indenfor range]],IF(LineærRegression_Valg[[#This Row],[Intet overlap]],INDEX(DataTitel_liste,LineærRegression_Valg[[#This Row],[Uafhængig variabel ID]]),INDEX(DataTitel_liste,IF(LineærRegression_Valg[[#This Row],[Afhængig variabel ID]]=1,2,1))),$B$7)</f>
        <v>Eksempel 2 (interval)</v>
      </c>
      <c r="H523" s="45">
        <f>_xlfn.AGGREGATE(2,5,LineærRegression_Valg[[#This Row],[Tabel ID]])</f>
        <v>1</v>
      </c>
    </row>
    <row r="524" spans="1:8" x14ac:dyDescent="0.2">
      <c r="A524">
        <f>ROW(LineærRegression_Valg[[#This Row],[Tabel ID]])-ROW(LineærRegression_Valg[[#Headers],[Tabel ID]])</f>
        <v>514</v>
      </c>
      <c r="B524" s="45">
        <f>ROUNDDOWN((LineærRegression_Valg[[#This Row],[Tabel ID]]-1)/$B$5,0)+1</f>
        <v>129</v>
      </c>
      <c r="C524" s="45">
        <f t="shared" si="8"/>
        <v>2</v>
      </c>
      <c r="D524" s="45" t="b">
        <f>LineærRegression_Valg[[#This Row],[Afhængig variabel ID]]&lt;&gt;LineærRegression_Valg[[#This Row],[Uafhængig variabel ID]]</f>
        <v>1</v>
      </c>
      <c r="E524" t="b">
        <f>LineærRegression_Valg[[#This Row],[Afhængig variabel ID]]&lt;=$B$5</f>
        <v>0</v>
      </c>
      <c r="F524" t="str" cm="1">
        <f t="array" ref="F524">IF(LineærRegression_Valg[[#This Row],[Indenfor range]],INDEX(DataTitel_liste,LineærRegression_Valg[[#This Row],[Afhængig variabel ID]]),INDEX(DataTitel_liste,1))</f>
        <v>Eksempel 1 (interval)</v>
      </c>
      <c r="G524" s="45" t="str" cm="1">
        <f t="array" ref="G524">IF(LineærRegression_Valg[[#This Row],[Indenfor range]],IF(LineærRegression_Valg[[#This Row],[Intet overlap]],INDEX(DataTitel_liste,LineærRegression_Valg[[#This Row],[Uafhængig variabel ID]]),INDEX(DataTitel_liste,IF(LineærRegression_Valg[[#This Row],[Afhængig variabel ID]]=1,2,1))),$B$7)</f>
        <v>Eksempel 2 (interval)</v>
      </c>
      <c r="H524" s="45">
        <f>_xlfn.AGGREGATE(2,5,LineærRegression_Valg[[#This Row],[Tabel ID]])</f>
        <v>1</v>
      </c>
    </row>
    <row r="525" spans="1:8" x14ac:dyDescent="0.2">
      <c r="A525">
        <f>ROW(LineærRegression_Valg[[#This Row],[Tabel ID]])-ROW(LineærRegression_Valg[[#Headers],[Tabel ID]])</f>
        <v>515</v>
      </c>
      <c r="B525" s="45">
        <f>ROUNDDOWN((LineærRegression_Valg[[#This Row],[Tabel ID]]-1)/$B$5,0)+1</f>
        <v>129</v>
      </c>
      <c r="C525" s="45">
        <f t="shared" si="8"/>
        <v>3</v>
      </c>
      <c r="D525" s="45" t="b">
        <f>LineærRegression_Valg[[#This Row],[Afhængig variabel ID]]&lt;&gt;LineærRegression_Valg[[#This Row],[Uafhængig variabel ID]]</f>
        <v>1</v>
      </c>
      <c r="E525" t="b">
        <f>LineærRegression_Valg[[#This Row],[Afhængig variabel ID]]&lt;=$B$5</f>
        <v>0</v>
      </c>
      <c r="F525" t="str" cm="1">
        <f t="array" ref="F525">IF(LineærRegression_Valg[[#This Row],[Indenfor range]],INDEX(DataTitel_liste,LineærRegression_Valg[[#This Row],[Afhængig variabel ID]]),INDEX(DataTitel_liste,1))</f>
        <v>Eksempel 1 (interval)</v>
      </c>
      <c r="G525" s="45" t="str" cm="1">
        <f t="array" ref="G525">IF(LineærRegression_Valg[[#This Row],[Indenfor range]],IF(LineærRegression_Valg[[#This Row],[Intet overlap]],INDEX(DataTitel_liste,LineærRegression_Valg[[#This Row],[Uafhængig variabel ID]]),INDEX(DataTitel_liste,IF(LineærRegression_Valg[[#This Row],[Afhængig variabel ID]]=1,2,1))),$B$7)</f>
        <v>Eksempel 2 (interval)</v>
      </c>
      <c r="H525" s="45">
        <f>_xlfn.AGGREGATE(2,5,LineærRegression_Valg[[#This Row],[Tabel ID]])</f>
        <v>1</v>
      </c>
    </row>
    <row r="526" spans="1:8" x14ac:dyDescent="0.2">
      <c r="A526">
        <f>ROW(LineærRegression_Valg[[#This Row],[Tabel ID]])-ROW(LineærRegression_Valg[[#Headers],[Tabel ID]])</f>
        <v>516</v>
      </c>
      <c r="B526" s="45">
        <f>ROUNDDOWN((LineærRegression_Valg[[#This Row],[Tabel ID]]-1)/$B$5,0)+1</f>
        <v>129</v>
      </c>
      <c r="C526" s="45">
        <f t="shared" si="8"/>
        <v>4</v>
      </c>
      <c r="D526" s="45" t="b">
        <f>LineærRegression_Valg[[#This Row],[Afhængig variabel ID]]&lt;&gt;LineærRegression_Valg[[#This Row],[Uafhængig variabel ID]]</f>
        <v>1</v>
      </c>
      <c r="E526" t="b">
        <f>LineærRegression_Valg[[#This Row],[Afhængig variabel ID]]&lt;=$B$5</f>
        <v>0</v>
      </c>
      <c r="F526" t="str" cm="1">
        <f t="array" ref="F526">IF(LineærRegression_Valg[[#This Row],[Indenfor range]],INDEX(DataTitel_liste,LineærRegression_Valg[[#This Row],[Afhængig variabel ID]]),INDEX(DataTitel_liste,1))</f>
        <v>Eksempel 1 (interval)</v>
      </c>
      <c r="G526" s="45" t="str" cm="1">
        <f t="array" ref="G526">IF(LineærRegression_Valg[[#This Row],[Indenfor range]],IF(LineærRegression_Valg[[#This Row],[Intet overlap]],INDEX(DataTitel_liste,LineærRegression_Valg[[#This Row],[Uafhængig variabel ID]]),INDEX(DataTitel_liste,IF(LineærRegression_Valg[[#This Row],[Afhængig variabel ID]]=1,2,1))),$B$7)</f>
        <v>Eksempel 2 (interval)</v>
      </c>
      <c r="H526" s="45">
        <f>_xlfn.AGGREGATE(2,5,LineærRegression_Valg[[#This Row],[Tabel ID]])</f>
        <v>1</v>
      </c>
    </row>
    <row r="527" spans="1:8" x14ac:dyDescent="0.2">
      <c r="A527">
        <f>ROW(LineærRegression_Valg[[#This Row],[Tabel ID]])-ROW(LineærRegression_Valg[[#Headers],[Tabel ID]])</f>
        <v>517</v>
      </c>
      <c r="B527" s="45">
        <f>ROUNDDOWN((LineærRegression_Valg[[#This Row],[Tabel ID]]-1)/$B$5,0)+1</f>
        <v>130</v>
      </c>
      <c r="C527" s="45">
        <f t="shared" si="8"/>
        <v>1</v>
      </c>
      <c r="D527" s="45" t="b">
        <f>LineærRegression_Valg[[#This Row],[Afhængig variabel ID]]&lt;&gt;LineærRegression_Valg[[#This Row],[Uafhængig variabel ID]]</f>
        <v>1</v>
      </c>
      <c r="E527" t="b">
        <f>LineærRegression_Valg[[#This Row],[Afhængig variabel ID]]&lt;=$B$5</f>
        <v>0</v>
      </c>
      <c r="F527" t="str" cm="1">
        <f t="array" ref="F527">IF(LineærRegression_Valg[[#This Row],[Indenfor range]],INDEX(DataTitel_liste,LineærRegression_Valg[[#This Row],[Afhængig variabel ID]]),INDEX(DataTitel_liste,1))</f>
        <v>Eksempel 1 (interval)</v>
      </c>
      <c r="G527" s="45" t="str" cm="1">
        <f t="array" ref="G527">IF(LineærRegression_Valg[[#This Row],[Indenfor range]],IF(LineærRegression_Valg[[#This Row],[Intet overlap]],INDEX(DataTitel_liste,LineærRegression_Valg[[#This Row],[Uafhængig variabel ID]]),INDEX(DataTitel_liste,IF(LineærRegression_Valg[[#This Row],[Afhængig variabel ID]]=1,2,1))),$B$7)</f>
        <v>Eksempel 2 (interval)</v>
      </c>
      <c r="H527" s="45">
        <f>_xlfn.AGGREGATE(2,5,LineærRegression_Valg[[#This Row],[Tabel ID]])</f>
        <v>1</v>
      </c>
    </row>
    <row r="528" spans="1:8" x14ac:dyDescent="0.2">
      <c r="A528">
        <f>ROW(LineærRegression_Valg[[#This Row],[Tabel ID]])-ROW(LineærRegression_Valg[[#Headers],[Tabel ID]])</f>
        <v>518</v>
      </c>
      <c r="B528" s="45">
        <f>ROUNDDOWN((LineærRegression_Valg[[#This Row],[Tabel ID]]-1)/$B$5,0)+1</f>
        <v>130</v>
      </c>
      <c r="C528" s="45">
        <f t="shared" si="8"/>
        <v>2</v>
      </c>
      <c r="D528" s="45" t="b">
        <f>LineærRegression_Valg[[#This Row],[Afhængig variabel ID]]&lt;&gt;LineærRegression_Valg[[#This Row],[Uafhængig variabel ID]]</f>
        <v>1</v>
      </c>
      <c r="E528" t="b">
        <f>LineærRegression_Valg[[#This Row],[Afhængig variabel ID]]&lt;=$B$5</f>
        <v>0</v>
      </c>
      <c r="F528" t="str" cm="1">
        <f t="array" ref="F528">IF(LineærRegression_Valg[[#This Row],[Indenfor range]],INDEX(DataTitel_liste,LineærRegression_Valg[[#This Row],[Afhængig variabel ID]]),INDEX(DataTitel_liste,1))</f>
        <v>Eksempel 1 (interval)</v>
      </c>
      <c r="G528" s="45" t="str" cm="1">
        <f t="array" ref="G528">IF(LineærRegression_Valg[[#This Row],[Indenfor range]],IF(LineærRegression_Valg[[#This Row],[Intet overlap]],INDEX(DataTitel_liste,LineærRegression_Valg[[#This Row],[Uafhængig variabel ID]]),INDEX(DataTitel_liste,IF(LineærRegression_Valg[[#This Row],[Afhængig variabel ID]]=1,2,1))),$B$7)</f>
        <v>Eksempel 2 (interval)</v>
      </c>
      <c r="H528" s="45">
        <f>_xlfn.AGGREGATE(2,5,LineærRegression_Valg[[#This Row],[Tabel ID]])</f>
        <v>1</v>
      </c>
    </row>
    <row r="529" spans="1:8" x14ac:dyDescent="0.2">
      <c r="A529">
        <f>ROW(LineærRegression_Valg[[#This Row],[Tabel ID]])-ROW(LineærRegression_Valg[[#Headers],[Tabel ID]])</f>
        <v>519</v>
      </c>
      <c r="B529" s="45">
        <f>ROUNDDOWN((LineærRegression_Valg[[#This Row],[Tabel ID]]-1)/$B$5,0)+1</f>
        <v>130</v>
      </c>
      <c r="C529" s="45">
        <f t="shared" si="8"/>
        <v>3</v>
      </c>
      <c r="D529" s="45" t="b">
        <f>LineærRegression_Valg[[#This Row],[Afhængig variabel ID]]&lt;&gt;LineærRegression_Valg[[#This Row],[Uafhængig variabel ID]]</f>
        <v>1</v>
      </c>
      <c r="E529" t="b">
        <f>LineærRegression_Valg[[#This Row],[Afhængig variabel ID]]&lt;=$B$5</f>
        <v>0</v>
      </c>
      <c r="F529" t="str" cm="1">
        <f t="array" ref="F529">IF(LineærRegression_Valg[[#This Row],[Indenfor range]],INDEX(DataTitel_liste,LineærRegression_Valg[[#This Row],[Afhængig variabel ID]]),INDEX(DataTitel_liste,1))</f>
        <v>Eksempel 1 (interval)</v>
      </c>
      <c r="G529" s="45" t="str" cm="1">
        <f t="array" ref="G529">IF(LineærRegression_Valg[[#This Row],[Indenfor range]],IF(LineærRegression_Valg[[#This Row],[Intet overlap]],INDEX(DataTitel_liste,LineærRegression_Valg[[#This Row],[Uafhængig variabel ID]]),INDEX(DataTitel_liste,IF(LineærRegression_Valg[[#This Row],[Afhængig variabel ID]]=1,2,1))),$B$7)</f>
        <v>Eksempel 2 (interval)</v>
      </c>
      <c r="H529" s="45">
        <f>_xlfn.AGGREGATE(2,5,LineærRegression_Valg[[#This Row],[Tabel ID]])</f>
        <v>1</v>
      </c>
    </row>
    <row r="530" spans="1:8" x14ac:dyDescent="0.2">
      <c r="A530">
        <f>ROW(LineærRegression_Valg[[#This Row],[Tabel ID]])-ROW(LineærRegression_Valg[[#Headers],[Tabel ID]])</f>
        <v>520</v>
      </c>
      <c r="B530" s="45">
        <f>ROUNDDOWN((LineærRegression_Valg[[#This Row],[Tabel ID]]-1)/$B$5,0)+1</f>
        <v>130</v>
      </c>
      <c r="C530" s="45">
        <f t="shared" si="8"/>
        <v>4</v>
      </c>
      <c r="D530" s="45" t="b">
        <f>LineærRegression_Valg[[#This Row],[Afhængig variabel ID]]&lt;&gt;LineærRegression_Valg[[#This Row],[Uafhængig variabel ID]]</f>
        <v>1</v>
      </c>
      <c r="E530" t="b">
        <f>LineærRegression_Valg[[#This Row],[Afhængig variabel ID]]&lt;=$B$5</f>
        <v>0</v>
      </c>
      <c r="F530" t="str" cm="1">
        <f t="array" ref="F530">IF(LineærRegression_Valg[[#This Row],[Indenfor range]],INDEX(DataTitel_liste,LineærRegression_Valg[[#This Row],[Afhængig variabel ID]]),INDEX(DataTitel_liste,1))</f>
        <v>Eksempel 1 (interval)</v>
      </c>
      <c r="G530" s="45" t="str" cm="1">
        <f t="array" ref="G530">IF(LineærRegression_Valg[[#This Row],[Indenfor range]],IF(LineærRegression_Valg[[#This Row],[Intet overlap]],INDEX(DataTitel_liste,LineærRegression_Valg[[#This Row],[Uafhængig variabel ID]]),INDEX(DataTitel_liste,IF(LineærRegression_Valg[[#This Row],[Afhængig variabel ID]]=1,2,1))),$B$7)</f>
        <v>Eksempel 2 (interval)</v>
      </c>
      <c r="H530" s="45">
        <f>_xlfn.AGGREGATE(2,5,LineærRegression_Valg[[#This Row],[Tabel ID]])</f>
        <v>1</v>
      </c>
    </row>
    <row r="531" spans="1:8" x14ac:dyDescent="0.2">
      <c r="A531">
        <f>ROW(LineærRegression_Valg[[#This Row],[Tabel ID]])-ROW(LineærRegression_Valg[[#Headers],[Tabel ID]])</f>
        <v>521</v>
      </c>
      <c r="B531" s="45">
        <f>ROUNDDOWN((LineærRegression_Valg[[#This Row],[Tabel ID]]-1)/$B$5,0)+1</f>
        <v>131</v>
      </c>
      <c r="C531" s="45">
        <f t="shared" si="8"/>
        <v>1</v>
      </c>
      <c r="D531" s="45" t="b">
        <f>LineærRegression_Valg[[#This Row],[Afhængig variabel ID]]&lt;&gt;LineærRegression_Valg[[#This Row],[Uafhængig variabel ID]]</f>
        <v>1</v>
      </c>
      <c r="E531" t="b">
        <f>LineærRegression_Valg[[#This Row],[Afhængig variabel ID]]&lt;=$B$5</f>
        <v>0</v>
      </c>
      <c r="F531" t="str" cm="1">
        <f t="array" ref="F531">IF(LineærRegression_Valg[[#This Row],[Indenfor range]],INDEX(DataTitel_liste,LineærRegression_Valg[[#This Row],[Afhængig variabel ID]]),INDEX(DataTitel_liste,1))</f>
        <v>Eksempel 1 (interval)</v>
      </c>
      <c r="G531" s="45" t="str" cm="1">
        <f t="array" ref="G531">IF(LineærRegression_Valg[[#This Row],[Indenfor range]],IF(LineærRegression_Valg[[#This Row],[Intet overlap]],INDEX(DataTitel_liste,LineærRegression_Valg[[#This Row],[Uafhængig variabel ID]]),INDEX(DataTitel_liste,IF(LineærRegression_Valg[[#This Row],[Afhængig variabel ID]]=1,2,1))),$B$7)</f>
        <v>Eksempel 2 (interval)</v>
      </c>
      <c r="H531" s="45">
        <f>_xlfn.AGGREGATE(2,5,LineærRegression_Valg[[#This Row],[Tabel ID]])</f>
        <v>1</v>
      </c>
    </row>
    <row r="532" spans="1:8" x14ac:dyDescent="0.2">
      <c r="A532">
        <f>ROW(LineærRegression_Valg[[#This Row],[Tabel ID]])-ROW(LineærRegression_Valg[[#Headers],[Tabel ID]])</f>
        <v>522</v>
      </c>
      <c r="B532" s="45">
        <f>ROUNDDOWN((LineærRegression_Valg[[#This Row],[Tabel ID]]-1)/$B$5,0)+1</f>
        <v>131</v>
      </c>
      <c r="C532" s="45">
        <f t="shared" si="8"/>
        <v>2</v>
      </c>
      <c r="D532" s="45" t="b">
        <f>LineærRegression_Valg[[#This Row],[Afhængig variabel ID]]&lt;&gt;LineærRegression_Valg[[#This Row],[Uafhængig variabel ID]]</f>
        <v>1</v>
      </c>
      <c r="E532" t="b">
        <f>LineærRegression_Valg[[#This Row],[Afhængig variabel ID]]&lt;=$B$5</f>
        <v>0</v>
      </c>
      <c r="F532" t="str" cm="1">
        <f t="array" ref="F532">IF(LineærRegression_Valg[[#This Row],[Indenfor range]],INDEX(DataTitel_liste,LineærRegression_Valg[[#This Row],[Afhængig variabel ID]]),INDEX(DataTitel_liste,1))</f>
        <v>Eksempel 1 (interval)</v>
      </c>
      <c r="G532" s="45" t="str" cm="1">
        <f t="array" ref="G532">IF(LineærRegression_Valg[[#This Row],[Indenfor range]],IF(LineærRegression_Valg[[#This Row],[Intet overlap]],INDEX(DataTitel_liste,LineærRegression_Valg[[#This Row],[Uafhængig variabel ID]]),INDEX(DataTitel_liste,IF(LineærRegression_Valg[[#This Row],[Afhængig variabel ID]]=1,2,1))),$B$7)</f>
        <v>Eksempel 2 (interval)</v>
      </c>
      <c r="H532" s="45">
        <f>_xlfn.AGGREGATE(2,5,LineærRegression_Valg[[#This Row],[Tabel ID]])</f>
        <v>1</v>
      </c>
    </row>
    <row r="533" spans="1:8" x14ac:dyDescent="0.2">
      <c r="A533">
        <f>ROW(LineærRegression_Valg[[#This Row],[Tabel ID]])-ROW(LineærRegression_Valg[[#Headers],[Tabel ID]])</f>
        <v>523</v>
      </c>
      <c r="B533" s="45">
        <f>ROUNDDOWN((LineærRegression_Valg[[#This Row],[Tabel ID]]-1)/$B$5,0)+1</f>
        <v>131</v>
      </c>
      <c r="C533" s="45">
        <f t="shared" si="8"/>
        <v>3</v>
      </c>
      <c r="D533" s="45" t="b">
        <f>LineærRegression_Valg[[#This Row],[Afhængig variabel ID]]&lt;&gt;LineærRegression_Valg[[#This Row],[Uafhængig variabel ID]]</f>
        <v>1</v>
      </c>
      <c r="E533" t="b">
        <f>LineærRegression_Valg[[#This Row],[Afhængig variabel ID]]&lt;=$B$5</f>
        <v>0</v>
      </c>
      <c r="F533" t="str" cm="1">
        <f t="array" ref="F533">IF(LineærRegression_Valg[[#This Row],[Indenfor range]],INDEX(DataTitel_liste,LineærRegression_Valg[[#This Row],[Afhængig variabel ID]]),INDEX(DataTitel_liste,1))</f>
        <v>Eksempel 1 (interval)</v>
      </c>
      <c r="G533" s="45" t="str" cm="1">
        <f t="array" ref="G533">IF(LineærRegression_Valg[[#This Row],[Indenfor range]],IF(LineærRegression_Valg[[#This Row],[Intet overlap]],INDEX(DataTitel_liste,LineærRegression_Valg[[#This Row],[Uafhængig variabel ID]]),INDEX(DataTitel_liste,IF(LineærRegression_Valg[[#This Row],[Afhængig variabel ID]]=1,2,1))),$B$7)</f>
        <v>Eksempel 2 (interval)</v>
      </c>
      <c r="H533" s="45">
        <f>_xlfn.AGGREGATE(2,5,LineærRegression_Valg[[#This Row],[Tabel ID]])</f>
        <v>1</v>
      </c>
    </row>
    <row r="534" spans="1:8" x14ac:dyDescent="0.2">
      <c r="A534">
        <f>ROW(LineærRegression_Valg[[#This Row],[Tabel ID]])-ROW(LineærRegression_Valg[[#Headers],[Tabel ID]])</f>
        <v>524</v>
      </c>
      <c r="B534" s="45">
        <f>ROUNDDOWN((LineærRegression_Valg[[#This Row],[Tabel ID]]-1)/$B$5,0)+1</f>
        <v>131</v>
      </c>
      <c r="C534" s="45">
        <f t="shared" si="8"/>
        <v>4</v>
      </c>
      <c r="D534" s="45" t="b">
        <f>LineærRegression_Valg[[#This Row],[Afhængig variabel ID]]&lt;&gt;LineærRegression_Valg[[#This Row],[Uafhængig variabel ID]]</f>
        <v>1</v>
      </c>
      <c r="E534" t="b">
        <f>LineærRegression_Valg[[#This Row],[Afhængig variabel ID]]&lt;=$B$5</f>
        <v>0</v>
      </c>
      <c r="F534" t="str" cm="1">
        <f t="array" ref="F534">IF(LineærRegression_Valg[[#This Row],[Indenfor range]],INDEX(DataTitel_liste,LineærRegression_Valg[[#This Row],[Afhængig variabel ID]]),INDEX(DataTitel_liste,1))</f>
        <v>Eksempel 1 (interval)</v>
      </c>
      <c r="G534" s="45" t="str" cm="1">
        <f t="array" ref="G534">IF(LineærRegression_Valg[[#This Row],[Indenfor range]],IF(LineærRegression_Valg[[#This Row],[Intet overlap]],INDEX(DataTitel_liste,LineærRegression_Valg[[#This Row],[Uafhængig variabel ID]]),INDEX(DataTitel_liste,IF(LineærRegression_Valg[[#This Row],[Afhængig variabel ID]]=1,2,1))),$B$7)</f>
        <v>Eksempel 2 (interval)</v>
      </c>
      <c r="H534" s="45">
        <f>_xlfn.AGGREGATE(2,5,LineærRegression_Valg[[#This Row],[Tabel ID]])</f>
        <v>1</v>
      </c>
    </row>
    <row r="535" spans="1:8" x14ac:dyDescent="0.2">
      <c r="A535">
        <f>ROW(LineærRegression_Valg[[#This Row],[Tabel ID]])-ROW(LineærRegression_Valg[[#Headers],[Tabel ID]])</f>
        <v>525</v>
      </c>
      <c r="B535" s="45">
        <f>ROUNDDOWN((LineærRegression_Valg[[#This Row],[Tabel ID]]-1)/$B$5,0)+1</f>
        <v>132</v>
      </c>
      <c r="C535" s="45">
        <f t="shared" si="8"/>
        <v>1</v>
      </c>
      <c r="D535" s="45" t="b">
        <f>LineærRegression_Valg[[#This Row],[Afhængig variabel ID]]&lt;&gt;LineærRegression_Valg[[#This Row],[Uafhængig variabel ID]]</f>
        <v>1</v>
      </c>
      <c r="E535" t="b">
        <f>LineærRegression_Valg[[#This Row],[Afhængig variabel ID]]&lt;=$B$5</f>
        <v>0</v>
      </c>
      <c r="F535" t="str" cm="1">
        <f t="array" ref="F535">IF(LineærRegression_Valg[[#This Row],[Indenfor range]],INDEX(DataTitel_liste,LineærRegression_Valg[[#This Row],[Afhængig variabel ID]]),INDEX(DataTitel_liste,1))</f>
        <v>Eksempel 1 (interval)</v>
      </c>
      <c r="G535" s="45" t="str" cm="1">
        <f t="array" ref="G535">IF(LineærRegression_Valg[[#This Row],[Indenfor range]],IF(LineærRegression_Valg[[#This Row],[Intet overlap]],INDEX(DataTitel_liste,LineærRegression_Valg[[#This Row],[Uafhængig variabel ID]]),INDEX(DataTitel_liste,IF(LineærRegression_Valg[[#This Row],[Afhængig variabel ID]]=1,2,1))),$B$7)</f>
        <v>Eksempel 2 (interval)</v>
      </c>
      <c r="H535" s="45">
        <f>_xlfn.AGGREGATE(2,5,LineærRegression_Valg[[#This Row],[Tabel ID]])</f>
        <v>1</v>
      </c>
    </row>
    <row r="536" spans="1:8" x14ac:dyDescent="0.2">
      <c r="A536">
        <f>ROW(LineærRegression_Valg[[#This Row],[Tabel ID]])-ROW(LineærRegression_Valg[[#Headers],[Tabel ID]])</f>
        <v>526</v>
      </c>
      <c r="B536" s="45">
        <f>ROUNDDOWN((LineærRegression_Valg[[#This Row],[Tabel ID]]-1)/$B$5,0)+1</f>
        <v>132</v>
      </c>
      <c r="C536" s="45">
        <f t="shared" si="8"/>
        <v>2</v>
      </c>
      <c r="D536" s="45" t="b">
        <f>LineærRegression_Valg[[#This Row],[Afhængig variabel ID]]&lt;&gt;LineærRegression_Valg[[#This Row],[Uafhængig variabel ID]]</f>
        <v>1</v>
      </c>
      <c r="E536" t="b">
        <f>LineærRegression_Valg[[#This Row],[Afhængig variabel ID]]&lt;=$B$5</f>
        <v>0</v>
      </c>
      <c r="F536" t="str" cm="1">
        <f t="array" ref="F536">IF(LineærRegression_Valg[[#This Row],[Indenfor range]],INDEX(DataTitel_liste,LineærRegression_Valg[[#This Row],[Afhængig variabel ID]]),INDEX(DataTitel_liste,1))</f>
        <v>Eksempel 1 (interval)</v>
      </c>
      <c r="G536" s="45" t="str" cm="1">
        <f t="array" ref="G536">IF(LineærRegression_Valg[[#This Row],[Indenfor range]],IF(LineærRegression_Valg[[#This Row],[Intet overlap]],INDEX(DataTitel_liste,LineærRegression_Valg[[#This Row],[Uafhængig variabel ID]]),INDEX(DataTitel_liste,IF(LineærRegression_Valg[[#This Row],[Afhængig variabel ID]]=1,2,1))),$B$7)</f>
        <v>Eksempel 2 (interval)</v>
      </c>
      <c r="H536" s="45">
        <f>_xlfn.AGGREGATE(2,5,LineærRegression_Valg[[#This Row],[Tabel ID]])</f>
        <v>1</v>
      </c>
    </row>
    <row r="537" spans="1:8" x14ac:dyDescent="0.2">
      <c r="A537">
        <f>ROW(LineærRegression_Valg[[#This Row],[Tabel ID]])-ROW(LineærRegression_Valg[[#Headers],[Tabel ID]])</f>
        <v>527</v>
      </c>
      <c r="B537" s="45">
        <f>ROUNDDOWN((LineærRegression_Valg[[#This Row],[Tabel ID]]-1)/$B$5,0)+1</f>
        <v>132</v>
      </c>
      <c r="C537" s="45">
        <f t="shared" si="8"/>
        <v>3</v>
      </c>
      <c r="D537" s="45" t="b">
        <f>LineærRegression_Valg[[#This Row],[Afhængig variabel ID]]&lt;&gt;LineærRegression_Valg[[#This Row],[Uafhængig variabel ID]]</f>
        <v>1</v>
      </c>
      <c r="E537" t="b">
        <f>LineærRegression_Valg[[#This Row],[Afhængig variabel ID]]&lt;=$B$5</f>
        <v>0</v>
      </c>
      <c r="F537" t="str" cm="1">
        <f t="array" ref="F537">IF(LineærRegression_Valg[[#This Row],[Indenfor range]],INDEX(DataTitel_liste,LineærRegression_Valg[[#This Row],[Afhængig variabel ID]]),INDEX(DataTitel_liste,1))</f>
        <v>Eksempel 1 (interval)</v>
      </c>
      <c r="G537" s="45" t="str" cm="1">
        <f t="array" ref="G537">IF(LineærRegression_Valg[[#This Row],[Indenfor range]],IF(LineærRegression_Valg[[#This Row],[Intet overlap]],INDEX(DataTitel_liste,LineærRegression_Valg[[#This Row],[Uafhængig variabel ID]]),INDEX(DataTitel_liste,IF(LineærRegression_Valg[[#This Row],[Afhængig variabel ID]]=1,2,1))),$B$7)</f>
        <v>Eksempel 2 (interval)</v>
      </c>
      <c r="H537" s="45">
        <f>_xlfn.AGGREGATE(2,5,LineærRegression_Valg[[#This Row],[Tabel ID]])</f>
        <v>1</v>
      </c>
    </row>
    <row r="538" spans="1:8" x14ac:dyDescent="0.2">
      <c r="A538">
        <f>ROW(LineærRegression_Valg[[#This Row],[Tabel ID]])-ROW(LineærRegression_Valg[[#Headers],[Tabel ID]])</f>
        <v>528</v>
      </c>
      <c r="B538" s="45">
        <f>ROUNDDOWN((LineærRegression_Valg[[#This Row],[Tabel ID]]-1)/$B$5,0)+1</f>
        <v>132</v>
      </c>
      <c r="C538" s="45">
        <f t="shared" si="8"/>
        <v>4</v>
      </c>
      <c r="D538" s="45" t="b">
        <f>LineærRegression_Valg[[#This Row],[Afhængig variabel ID]]&lt;&gt;LineærRegression_Valg[[#This Row],[Uafhængig variabel ID]]</f>
        <v>1</v>
      </c>
      <c r="E538" t="b">
        <f>LineærRegression_Valg[[#This Row],[Afhængig variabel ID]]&lt;=$B$5</f>
        <v>0</v>
      </c>
      <c r="F538" t="str" cm="1">
        <f t="array" ref="F538">IF(LineærRegression_Valg[[#This Row],[Indenfor range]],INDEX(DataTitel_liste,LineærRegression_Valg[[#This Row],[Afhængig variabel ID]]),INDEX(DataTitel_liste,1))</f>
        <v>Eksempel 1 (interval)</v>
      </c>
      <c r="G538" s="45" t="str" cm="1">
        <f t="array" ref="G538">IF(LineærRegression_Valg[[#This Row],[Indenfor range]],IF(LineærRegression_Valg[[#This Row],[Intet overlap]],INDEX(DataTitel_liste,LineærRegression_Valg[[#This Row],[Uafhængig variabel ID]]),INDEX(DataTitel_liste,IF(LineærRegression_Valg[[#This Row],[Afhængig variabel ID]]=1,2,1))),$B$7)</f>
        <v>Eksempel 2 (interval)</v>
      </c>
      <c r="H538" s="45">
        <f>_xlfn.AGGREGATE(2,5,LineærRegression_Valg[[#This Row],[Tabel ID]])</f>
        <v>1</v>
      </c>
    </row>
    <row r="539" spans="1:8" x14ac:dyDescent="0.2">
      <c r="A539">
        <f>ROW(LineærRegression_Valg[[#This Row],[Tabel ID]])-ROW(LineærRegression_Valg[[#Headers],[Tabel ID]])</f>
        <v>529</v>
      </c>
      <c r="B539" s="45">
        <f>ROUNDDOWN((LineærRegression_Valg[[#This Row],[Tabel ID]]-1)/$B$5,0)+1</f>
        <v>133</v>
      </c>
      <c r="C539" s="45">
        <f t="shared" si="8"/>
        <v>1</v>
      </c>
      <c r="D539" s="45" t="b">
        <f>LineærRegression_Valg[[#This Row],[Afhængig variabel ID]]&lt;&gt;LineærRegression_Valg[[#This Row],[Uafhængig variabel ID]]</f>
        <v>1</v>
      </c>
      <c r="E539" t="b">
        <f>LineærRegression_Valg[[#This Row],[Afhængig variabel ID]]&lt;=$B$5</f>
        <v>0</v>
      </c>
      <c r="F539" t="str" cm="1">
        <f t="array" ref="F539">IF(LineærRegression_Valg[[#This Row],[Indenfor range]],INDEX(DataTitel_liste,LineærRegression_Valg[[#This Row],[Afhængig variabel ID]]),INDEX(DataTitel_liste,1))</f>
        <v>Eksempel 1 (interval)</v>
      </c>
      <c r="G539" s="45" t="str" cm="1">
        <f t="array" ref="G539">IF(LineærRegression_Valg[[#This Row],[Indenfor range]],IF(LineærRegression_Valg[[#This Row],[Intet overlap]],INDEX(DataTitel_liste,LineærRegression_Valg[[#This Row],[Uafhængig variabel ID]]),INDEX(DataTitel_liste,IF(LineærRegression_Valg[[#This Row],[Afhængig variabel ID]]=1,2,1))),$B$7)</f>
        <v>Eksempel 2 (interval)</v>
      </c>
      <c r="H539" s="45">
        <f>_xlfn.AGGREGATE(2,5,LineærRegression_Valg[[#This Row],[Tabel ID]])</f>
        <v>1</v>
      </c>
    </row>
    <row r="540" spans="1:8" x14ac:dyDescent="0.2">
      <c r="A540">
        <f>ROW(LineærRegression_Valg[[#This Row],[Tabel ID]])-ROW(LineærRegression_Valg[[#Headers],[Tabel ID]])</f>
        <v>530</v>
      </c>
      <c r="B540" s="45">
        <f>ROUNDDOWN((LineærRegression_Valg[[#This Row],[Tabel ID]]-1)/$B$5,0)+1</f>
        <v>133</v>
      </c>
      <c r="C540" s="45">
        <f t="shared" si="8"/>
        <v>2</v>
      </c>
      <c r="D540" s="45" t="b">
        <f>LineærRegression_Valg[[#This Row],[Afhængig variabel ID]]&lt;&gt;LineærRegression_Valg[[#This Row],[Uafhængig variabel ID]]</f>
        <v>1</v>
      </c>
      <c r="E540" t="b">
        <f>LineærRegression_Valg[[#This Row],[Afhængig variabel ID]]&lt;=$B$5</f>
        <v>0</v>
      </c>
      <c r="F540" t="str" cm="1">
        <f t="array" ref="F540">IF(LineærRegression_Valg[[#This Row],[Indenfor range]],INDEX(DataTitel_liste,LineærRegression_Valg[[#This Row],[Afhængig variabel ID]]),INDEX(DataTitel_liste,1))</f>
        <v>Eksempel 1 (interval)</v>
      </c>
      <c r="G540" s="45" t="str" cm="1">
        <f t="array" ref="G540">IF(LineærRegression_Valg[[#This Row],[Indenfor range]],IF(LineærRegression_Valg[[#This Row],[Intet overlap]],INDEX(DataTitel_liste,LineærRegression_Valg[[#This Row],[Uafhængig variabel ID]]),INDEX(DataTitel_liste,IF(LineærRegression_Valg[[#This Row],[Afhængig variabel ID]]=1,2,1))),$B$7)</f>
        <v>Eksempel 2 (interval)</v>
      </c>
      <c r="H540" s="45">
        <f>_xlfn.AGGREGATE(2,5,LineærRegression_Valg[[#This Row],[Tabel ID]])</f>
        <v>1</v>
      </c>
    </row>
    <row r="541" spans="1:8" x14ac:dyDescent="0.2">
      <c r="A541">
        <f>ROW(LineærRegression_Valg[[#This Row],[Tabel ID]])-ROW(LineærRegression_Valg[[#Headers],[Tabel ID]])</f>
        <v>531</v>
      </c>
      <c r="B541" s="45">
        <f>ROUNDDOWN((LineærRegression_Valg[[#This Row],[Tabel ID]]-1)/$B$5,0)+1</f>
        <v>133</v>
      </c>
      <c r="C541" s="45">
        <f t="shared" si="8"/>
        <v>3</v>
      </c>
      <c r="D541" s="45" t="b">
        <f>LineærRegression_Valg[[#This Row],[Afhængig variabel ID]]&lt;&gt;LineærRegression_Valg[[#This Row],[Uafhængig variabel ID]]</f>
        <v>1</v>
      </c>
      <c r="E541" t="b">
        <f>LineærRegression_Valg[[#This Row],[Afhængig variabel ID]]&lt;=$B$5</f>
        <v>0</v>
      </c>
      <c r="F541" t="str" cm="1">
        <f t="array" ref="F541">IF(LineærRegression_Valg[[#This Row],[Indenfor range]],INDEX(DataTitel_liste,LineærRegression_Valg[[#This Row],[Afhængig variabel ID]]),INDEX(DataTitel_liste,1))</f>
        <v>Eksempel 1 (interval)</v>
      </c>
      <c r="G541" s="45" t="str" cm="1">
        <f t="array" ref="G541">IF(LineærRegression_Valg[[#This Row],[Indenfor range]],IF(LineærRegression_Valg[[#This Row],[Intet overlap]],INDEX(DataTitel_liste,LineærRegression_Valg[[#This Row],[Uafhængig variabel ID]]),INDEX(DataTitel_liste,IF(LineærRegression_Valg[[#This Row],[Afhængig variabel ID]]=1,2,1))),$B$7)</f>
        <v>Eksempel 2 (interval)</v>
      </c>
      <c r="H541" s="45">
        <f>_xlfn.AGGREGATE(2,5,LineærRegression_Valg[[#This Row],[Tabel ID]])</f>
        <v>1</v>
      </c>
    </row>
    <row r="542" spans="1:8" x14ac:dyDescent="0.2">
      <c r="A542">
        <f>ROW(LineærRegression_Valg[[#This Row],[Tabel ID]])-ROW(LineærRegression_Valg[[#Headers],[Tabel ID]])</f>
        <v>532</v>
      </c>
      <c r="B542" s="45">
        <f>ROUNDDOWN((LineærRegression_Valg[[#This Row],[Tabel ID]]-1)/$B$5,0)+1</f>
        <v>133</v>
      </c>
      <c r="C542" s="45">
        <f t="shared" si="8"/>
        <v>4</v>
      </c>
      <c r="D542" s="45" t="b">
        <f>LineærRegression_Valg[[#This Row],[Afhængig variabel ID]]&lt;&gt;LineærRegression_Valg[[#This Row],[Uafhængig variabel ID]]</f>
        <v>1</v>
      </c>
      <c r="E542" t="b">
        <f>LineærRegression_Valg[[#This Row],[Afhængig variabel ID]]&lt;=$B$5</f>
        <v>0</v>
      </c>
      <c r="F542" t="str" cm="1">
        <f t="array" ref="F542">IF(LineærRegression_Valg[[#This Row],[Indenfor range]],INDEX(DataTitel_liste,LineærRegression_Valg[[#This Row],[Afhængig variabel ID]]),INDEX(DataTitel_liste,1))</f>
        <v>Eksempel 1 (interval)</v>
      </c>
      <c r="G542" s="45" t="str" cm="1">
        <f t="array" ref="G542">IF(LineærRegression_Valg[[#This Row],[Indenfor range]],IF(LineærRegression_Valg[[#This Row],[Intet overlap]],INDEX(DataTitel_liste,LineærRegression_Valg[[#This Row],[Uafhængig variabel ID]]),INDEX(DataTitel_liste,IF(LineærRegression_Valg[[#This Row],[Afhængig variabel ID]]=1,2,1))),$B$7)</f>
        <v>Eksempel 2 (interval)</v>
      </c>
      <c r="H542" s="45">
        <f>_xlfn.AGGREGATE(2,5,LineærRegression_Valg[[#This Row],[Tabel ID]])</f>
        <v>1</v>
      </c>
    </row>
    <row r="543" spans="1:8" x14ac:dyDescent="0.2">
      <c r="A543">
        <f>ROW(LineærRegression_Valg[[#This Row],[Tabel ID]])-ROW(LineærRegression_Valg[[#Headers],[Tabel ID]])</f>
        <v>533</v>
      </c>
      <c r="B543" s="45">
        <f>ROUNDDOWN((LineærRegression_Valg[[#This Row],[Tabel ID]]-1)/$B$5,0)+1</f>
        <v>134</v>
      </c>
      <c r="C543" s="45">
        <f t="shared" si="8"/>
        <v>1</v>
      </c>
      <c r="D543" s="45" t="b">
        <f>LineærRegression_Valg[[#This Row],[Afhængig variabel ID]]&lt;&gt;LineærRegression_Valg[[#This Row],[Uafhængig variabel ID]]</f>
        <v>1</v>
      </c>
      <c r="E543" t="b">
        <f>LineærRegression_Valg[[#This Row],[Afhængig variabel ID]]&lt;=$B$5</f>
        <v>0</v>
      </c>
      <c r="F543" t="str" cm="1">
        <f t="array" ref="F543">IF(LineærRegression_Valg[[#This Row],[Indenfor range]],INDEX(DataTitel_liste,LineærRegression_Valg[[#This Row],[Afhængig variabel ID]]),INDEX(DataTitel_liste,1))</f>
        <v>Eksempel 1 (interval)</v>
      </c>
      <c r="G543" s="45" t="str" cm="1">
        <f t="array" ref="G543">IF(LineærRegression_Valg[[#This Row],[Indenfor range]],IF(LineærRegression_Valg[[#This Row],[Intet overlap]],INDEX(DataTitel_liste,LineærRegression_Valg[[#This Row],[Uafhængig variabel ID]]),INDEX(DataTitel_liste,IF(LineærRegression_Valg[[#This Row],[Afhængig variabel ID]]=1,2,1))),$B$7)</f>
        <v>Eksempel 2 (interval)</v>
      </c>
      <c r="H543" s="45">
        <f>_xlfn.AGGREGATE(2,5,LineærRegression_Valg[[#This Row],[Tabel ID]])</f>
        <v>1</v>
      </c>
    </row>
    <row r="544" spans="1:8" x14ac:dyDescent="0.2">
      <c r="A544">
        <f>ROW(LineærRegression_Valg[[#This Row],[Tabel ID]])-ROW(LineærRegression_Valg[[#Headers],[Tabel ID]])</f>
        <v>534</v>
      </c>
      <c r="B544" s="45">
        <f>ROUNDDOWN((LineærRegression_Valg[[#This Row],[Tabel ID]]-1)/$B$5,0)+1</f>
        <v>134</v>
      </c>
      <c r="C544" s="45">
        <f t="shared" si="8"/>
        <v>2</v>
      </c>
      <c r="D544" s="45" t="b">
        <f>LineærRegression_Valg[[#This Row],[Afhængig variabel ID]]&lt;&gt;LineærRegression_Valg[[#This Row],[Uafhængig variabel ID]]</f>
        <v>1</v>
      </c>
      <c r="E544" t="b">
        <f>LineærRegression_Valg[[#This Row],[Afhængig variabel ID]]&lt;=$B$5</f>
        <v>0</v>
      </c>
      <c r="F544" t="str" cm="1">
        <f t="array" ref="F544">IF(LineærRegression_Valg[[#This Row],[Indenfor range]],INDEX(DataTitel_liste,LineærRegression_Valg[[#This Row],[Afhængig variabel ID]]),INDEX(DataTitel_liste,1))</f>
        <v>Eksempel 1 (interval)</v>
      </c>
      <c r="G544" s="45" t="str" cm="1">
        <f t="array" ref="G544">IF(LineærRegression_Valg[[#This Row],[Indenfor range]],IF(LineærRegression_Valg[[#This Row],[Intet overlap]],INDEX(DataTitel_liste,LineærRegression_Valg[[#This Row],[Uafhængig variabel ID]]),INDEX(DataTitel_liste,IF(LineærRegression_Valg[[#This Row],[Afhængig variabel ID]]=1,2,1))),$B$7)</f>
        <v>Eksempel 2 (interval)</v>
      </c>
      <c r="H544" s="45">
        <f>_xlfn.AGGREGATE(2,5,LineærRegression_Valg[[#This Row],[Tabel ID]])</f>
        <v>1</v>
      </c>
    </row>
    <row r="545" spans="1:8" x14ac:dyDescent="0.2">
      <c r="A545">
        <f>ROW(LineærRegression_Valg[[#This Row],[Tabel ID]])-ROW(LineærRegression_Valg[[#Headers],[Tabel ID]])</f>
        <v>535</v>
      </c>
      <c r="B545" s="45">
        <f>ROUNDDOWN((LineærRegression_Valg[[#This Row],[Tabel ID]]-1)/$B$5,0)+1</f>
        <v>134</v>
      </c>
      <c r="C545" s="45">
        <f t="shared" si="8"/>
        <v>3</v>
      </c>
      <c r="D545" s="45" t="b">
        <f>LineærRegression_Valg[[#This Row],[Afhængig variabel ID]]&lt;&gt;LineærRegression_Valg[[#This Row],[Uafhængig variabel ID]]</f>
        <v>1</v>
      </c>
      <c r="E545" t="b">
        <f>LineærRegression_Valg[[#This Row],[Afhængig variabel ID]]&lt;=$B$5</f>
        <v>0</v>
      </c>
      <c r="F545" t="str" cm="1">
        <f t="array" ref="F545">IF(LineærRegression_Valg[[#This Row],[Indenfor range]],INDEX(DataTitel_liste,LineærRegression_Valg[[#This Row],[Afhængig variabel ID]]),INDEX(DataTitel_liste,1))</f>
        <v>Eksempel 1 (interval)</v>
      </c>
      <c r="G545" s="45" t="str" cm="1">
        <f t="array" ref="G545">IF(LineærRegression_Valg[[#This Row],[Indenfor range]],IF(LineærRegression_Valg[[#This Row],[Intet overlap]],INDEX(DataTitel_liste,LineærRegression_Valg[[#This Row],[Uafhængig variabel ID]]),INDEX(DataTitel_liste,IF(LineærRegression_Valg[[#This Row],[Afhængig variabel ID]]=1,2,1))),$B$7)</f>
        <v>Eksempel 2 (interval)</v>
      </c>
      <c r="H545" s="45">
        <f>_xlfn.AGGREGATE(2,5,LineærRegression_Valg[[#This Row],[Tabel ID]])</f>
        <v>1</v>
      </c>
    </row>
    <row r="546" spans="1:8" x14ac:dyDescent="0.2">
      <c r="A546">
        <f>ROW(LineærRegression_Valg[[#This Row],[Tabel ID]])-ROW(LineærRegression_Valg[[#Headers],[Tabel ID]])</f>
        <v>536</v>
      </c>
      <c r="B546" s="45">
        <f>ROUNDDOWN((LineærRegression_Valg[[#This Row],[Tabel ID]]-1)/$B$5,0)+1</f>
        <v>134</v>
      </c>
      <c r="C546" s="45">
        <f t="shared" si="8"/>
        <v>4</v>
      </c>
      <c r="D546" s="45" t="b">
        <f>LineærRegression_Valg[[#This Row],[Afhængig variabel ID]]&lt;&gt;LineærRegression_Valg[[#This Row],[Uafhængig variabel ID]]</f>
        <v>1</v>
      </c>
      <c r="E546" t="b">
        <f>LineærRegression_Valg[[#This Row],[Afhængig variabel ID]]&lt;=$B$5</f>
        <v>0</v>
      </c>
      <c r="F546" t="str" cm="1">
        <f t="array" ref="F546">IF(LineærRegression_Valg[[#This Row],[Indenfor range]],INDEX(DataTitel_liste,LineærRegression_Valg[[#This Row],[Afhængig variabel ID]]),INDEX(DataTitel_liste,1))</f>
        <v>Eksempel 1 (interval)</v>
      </c>
      <c r="G546" s="45" t="str" cm="1">
        <f t="array" ref="G546">IF(LineærRegression_Valg[[#This Row],[Indenfor range]],IF(LineærRegression_Valg[[#This Row],[Intet overlap]],INDEX(DataTitel_liste,LineærRegression_Valg[[#This Row],[Uafhængig variabel ID]]),INDEX(DataTitel_liste,IF(LineærRegression_Valg[[#This Row],[Afhængig variabel ID]]=1,2,1))),$B$7)</f>
        <v>Eksempel 2 (interval)</v>
      </c>
      <c r="H546" s="45">
        <f>_xlfn.AGGREGATE(2,5,LineærRegression_Valg[[#This Row],[Tabel ID]])</f>
        <v>1</v>
      </c>
    </row>
    <row r="547" spans="1:8" x14ac:dyDescent="0.2">
      <c r="A547">
        <f>ROW(LineærRegression_Valg[[#This Row],[Tabel ID]])-ROW(LineærRegression_Valg[[#Headers],[Tabel ID]])</f>
        <v>537</v>
      </c>
      <c r="B547" s="45">
        <f>ROUNDDOWN((LineærRegression_Valg[[#This Row],[Tabel ID]]-1)/$B$5,0)+1</f>
        <v>135</v>
      </c>
      <c r="C547" s="45">
        <f t="shared" si="8"/>
        <v>1</v>
      </c>
      <c r="D547" s="45" t="b">
        <f>LineærRegression_Valg[[#This Row],[Afhængig variabel ID]]&lt;&gt;LineærRegression_Valg[[#This Row],[Uafhængig variabel ID]]</f>
        <v>1</v>
      </c>
      <c r="E547" t="b">
        <f>LineærRegression_Valg[[#This Row],[Afhængig variabel ID]]&lt;=$B$5</f>
        <v>0</v>
      </c>
      <c r="F547" t="str" cm="1">
        <f t="array" ref="F547">IF(LineærRegression_Valg[[#This Row],[Indenfor range]],INDEX(DataTitel_liste,LineærRegression_Valg[[#This Row],[Afhængig variabel ID]]),INDEX(DataTitel_liste,1))</f>
        <v>Eksempel 1 (interval)</v>
      </c>
      <c r="G547" s="45" t="str" cm="1">
        <f t="array" ref="G547">IF(LineærRegression_Valg[[#This Row],[Indenfor range]],IF(LineærRegression_Valg[[#This Row],[Intet overlap]],INDEX(DataTitel_liste,LineærRegression_Valg[[#This Row],[Uafhængig variabel ID]]),INDEX(DataTitel_liste,IF(LineærRegression_Valg[[#This Row],[Afhængig variabel ID]]=1,2,1))),$B$7)</f>
        <v>Eksempel 2 (interval)</v>
      </c>
      <c r="H547" s="45">
        <f>_xlfn.AGGREGATE(2,5,LineærRegression_Valg[[#This Row],[Tabel ID]])</f>
        <v>1</v>
      </c>
    </row>
    <row r="548" spans="1:8" x14ac:dyDescent="0.2">
      <c r="A548">
        <f>ROW(LineærRegression_Valg[[#This Row],[Tabel ID]])-ROW(LineærRegression_Valg[[#Headers],[Tabel ID]])</f>
        <v>538</v>
      </c>
      <c r="B548" s="45">
        <f>ROUNDDOWN((LineærRegression_Valg[[#This Row],[Tabel ID]]-1)/$B$5,0)+1</f>
        <v>135</v>
      </c>
      <c r="C548" s="45">
        <f t="shared" si="8"/>
        <v>2</v>
      </c>
      <c r="D548" s="45" t="b">
        <f>LineærRegression_Valg[[#This Row],[Afhængig variabel ID]]&lt;&gt;LineærRegression_Valg[[#This Row],[Uafhængig variabel ID]]</f>
        <v>1</v>
      </c>
      <c r="E548" t="b">
        <f>LineærRegression_Valg[[#This Row],[Afhængig variabel ID]]&lt;=$B$5</f>
        <v>0</v>
      </c>
      <c r="F548" t="str" cm="1">
        <f t="array" ref="F548">IF(LineærRegression_Valg[[#This Row],[Indenfor range]],INDEX(DataTitel_liste,LineærRegression_Valg[[#This Row],[Afhængig variabel ID]]),INDEX(DataTitel_liste,1))</f>
        <v>Eksempel 1 (interval)</v>
      </c>
      <c r="G548" s="45" t="str" cm="1">
        <f t="array" ref="G548">IF(LineærRegression_Valg[[#This Row],[Indenfor range]],IF(LineærRegression_Valg[[#This Row],[Intet overlap]],INDEX(DataTitel_liste,LineærRegression_Valg[[#This Row],[Uafhængig variabel ID]]),INDEX(DataTitel_liste,IF(LineærRegression_Valg[[#This Row],[Afhængig variabel ID]]=1,2,1))),$B$7)</f>
        <v>Eksempel 2 (interval)</v>
      </c>
      <c r="H548" s="45">
        <f>_xlfn.AGGREGATE(2,5,LineærRegression_Valg[[#This Row],[Tabel ID]])</f>
        <v>1</v>
      </c>
    </row>
    <row r="549" spans="1:8" x14ac:dyDescent="0.2">
      <c r="A549">
        <f>ROW(LineærRegression_Valg[[#This Row],[Tabel ID]])-ROW(LineærRegression_Valg[[#Headers],[Tabel ID]])</f>
        <v>539</v>
      </c>
      <c r="B549" s="45">
        <f>ROUNDDOWN((LineærRegression_Valg[[#This Row],[Tabel ID]]-1)/$B$5,0)+1</f>
        <v>135</v>
      </c>
      <c r="C549" s="45">
        <f t="shared" si="8"/>
        <v>3</v>
      </c>
      <c r="D549" s="45" t="b">
        <f>LineærRegression_Valg[[#This Row],[Afhængig variabel ID]]&lt;&gt;LineærRegression_Valg[[#This Row],[Uafhængig variabel ID]]</f>
        <v>1</v>
      </c>
      <c r="E549" t="b">
        <f>LineærRegression_Valg[[#This Row],[Afhængig variabel ID]]&lt;=$B$5</f>
        <v>0</v>
      </c>
      <c r="F549" t="str" cm="1">
        <f t="array" ref="F549">IF(LineærRegression_Valg[[#This Row],[Indenfor range]],INDEX(DataTitel_liste,LineærRegression_Valg[[#This Row],[Afhængig variabel ID]]),INDEX(DataTitel_liste,1))</f>
        <v>Eksempel 1 (interval)</v>
      </c>
      <c r="G549" s="45" t="str" cm="1">
        <f t="array" ref="G549">IF(LineærRegression_Valg[[#This Row],[Indenfor range]],IF(LineærRegression_Valg[[#This Row],[Intet overlap]],INDEX(DataTitel_liste,LineærRegression_Valg[[#This Row],[Uafhængig variabel ID]]),INDEX(DataTitel_liste,IF(LineærRegression_Valg[[#This Row],[Afhængig variabel ID]]=1,2,1))),$B$7)</f>
        <v>Eksempel 2 (interval)</v>
      </c>
      <c r="H549" s="45">
        <f>_xlfn.AGGREGATE(2,5,LineærRegression_Valg[[#This Row],[Tabel ID]])</f>
        <v>1</v>
      </c>
    </row>
    <row r="550" spans="1:8" x14ac:dyDescent="0.2">
      <c r="A550">
        <f>ROW(LineærRegression_Valg[[#This Row],[Tabel ID]])-ROW(LineærRegression_Valg[[#Headers],[Tabel ID]])</f>
        <v>540</v>
      </c>
      <c r="B550" s="45">
        <f>ROUNDDOWN((LineærRegression_Valg[[#This Row],[Tabel ID]]-1)/$B$5,0)+1</f>
        <v>135</v>
      </c>
      <c r="C550" s="45">
        <f t="shared" si="8"/>
        <v>4</v>
      </c>
      <c r="D550" s="45" t="b">
        <f>LineærRegression_Valg[[#This Row],[Afhængig variabel ID]]&lt;&gt;LineærRegression_Valg[[#This Row],[Uafhængig variabel ID]]</f>
        <v>1</v>
      </c>
      <c r="E550" t="b">
        <f>LineærRegression_Valg[[#This Row],[Afhængig variabel ID]]&lt;=$B$5</f>
        <v>0</v>
      </c>
      <c r="F550" t="str" cm="1">
        <f t="array" ref="F550">IF(LineærRegression_Valg[[#This Row],[Indenfor range]],INDEX(DataTitel_liste,LineærRegression_Valg[[#This Row],[Afhængig variabel ID]]),INDEX(DataTitel_liste,1))</f>
        <v>Eksempel 1 (interval)</v>
      </c>
      <c r="G550" s="45" t="str" cm="1">
        <f t="array" ref="G550">IF(LineærRegression_Valg[[#This Row],[Indenfor range]],IF(LineærRegression_Valg[[#This Row],[Intet overlap]],INDEX(DataTitel_liste,LineærRegression_Valg[[#This Row],[Uafhængig variabel ID]]),INDEX(DataTitel_liste,IF(LineærRegression_Valg[[#This Row],[Afhængig variabel ID]]=1,2,1))),$B$7)</f>
        <v>Eksempel 2 (interval)</v>
      </c>
      <c r="H550" s="45">
        <f>_xlfn.AGGREGATE(2,5,LineærRegression_Valg[[#This Row],[Tabel ID]])</f>
        <v>1</v>
      </c>
    </row>
    <row r="551" spans="1:8" x14ac:dyDescent="0.2">
      <c r="A551">
        <f>ROW(LineærRegression_Valg[[#This Row],[Tabel ID]])-ROW(LineærRegression_Valg[[#Headers],[Tabel ID]])</f>
        <v>541</v>
      </c>
      <c r="B551" s="45">
        <f>ROUNDDOWN((LineærRegression_Valg[[#This Row],[Tabel ID]]-1)/$B$5,0)+1</f>
        <v>136</v>
      </c>
      <c r="C551" s="45">
        <f t="shared" si="8"/>
        <v>1</v>
      </c>
      <c r="D551" s="45" t="b">
        <f>LineærRegression_Valg[[#This Row],[Afhængig variabel ID]]&lt;&gt;LineærRegression_Valg[[#This Row],[Uafhængig variabel ID]]</f>
        <v>1</v>
      </c>
      <c r="E551" t="b">
        <f>LineærRegression_Valg[[#This Row],[Afhængig variabel ID]]&lt;=$B$5</f>
        <v>0</v>
      </c>
      <c r="F551" t="str" cm="1">
        <f t="array" ref="F551">IF(LineærRegression_Valg[[#This Row],[Indenfor range]],INDEX(DataTitel_liste,LineærRegression_Valg[[#This Row],[Afhængig variabel ID]]),INDEX(DataTitel_liste,1))</f>
        <v>Eksempel 1 (interval)</v>
      </c>
      <c r="G551" s="45" t="str" cm="1">
        <f t="array" ref="G551">IF(LineærRegression_Valg[[#This Row],[Indenfor range]],IF(LineærRegression_Valg[[#This Row],[Intet overlap]],INDEX(DataTitel_liste,LineærRegression_Valg[[#This Row],[Uafhængig variabel ID]]),INDEX(DataTitel_liste,IF(LineærRegression_Valg[[#This Row],[Afhængig variabel ID]]=1,2,1))),$B$7)</f>
        <v>Eksempel 2 (interval)</v>
      </c>
      <c r="H551" s="45">
        <f>_xlfn.AGGREGATE(2,5,LineærRegression_Valg[[#This Row],[Tabel ID]])</f>
        <v>1</v>
      </c>
    </row>
    <row r="552" spans="1:8" x14ac:dyDescent="0.2">
      <c r="A552">
        <f>ROW(LineærRegression_Valg[[#This Row],[Tabel ID]])-ROW(LineærRegression_Valg[[#Headers],[Tabel ID]])</f>
        <v>542</v>
      </c>
      <c r="B552" s="45">
        <f>ROUNDDOWN((LineærRegression_Valg[[#This Row],[Tabel ID]]-1)/$B$5,0)+1</f>
        <v>136</v>
      </c>
      <c r="C552" s="45">
        <f t="shared" si="8"/>
        <v>2</v>
      </c>
      <c r="D552" s="45" t="b">
        <f>LineærRegression_Valg[[#This Row],[Afhængig variabel ID]]&lt;&gt;LineærRegression_Valg[[#This Row],[Uafhængig variabel ID]]</f>
        <v>1</v>
      </c>
      <c r="E552" t="b">
        <f>LineærRegression_Valg[[#This Row],[Afhængig variabel ID]]&lt;=$B$5</f>
        <v>0</v>
      </c>
      <c r="F552" t="str" cm="1">
        <f t="array" ref="F552">IF(LineærRegression_Valg[[#This Row],[Indenfor range]],INDEX(DataTitel_liste,LineærRegression_Valg[[#This Row],[Afhængig variabel ID]]),INDEX(DataTitel_liste,1))</f>
        <v>Eksempel 1 (interval)</v>
      </c>
      <c r="G552" s="45" t="str" cm="1">
        <f t="array" ref="G552">IF(LineærRegression_Valg[[#This Row],[Indenfor range]],IF(LineærRegression_Valg[[#This Row],[Intet overlap]],INDEX(DataTitel_liste,LineærRegression_Valg[[#This Row],[Uafhængig variabel ID]]),INDEX(DataTitel_liste,IF(LineærRegression_Valg[[#This Row],[Afhængig variabel ID]]=1,2,1))),$B$7)</f>
        <v>Eksempel 2 (interval)</v>
      </c>
      <c r="H552" s="45">
        <f>_xlfn.AGGREGATE(2,5,LineærRegression_Valg[[#This Row],[Tabel ID]])</f>
        <v>1</v>
      </c>
    </row>
    <row r="553" spans="1:8" x14ac:dyDescent="0.2">
      <c r="A553">
        <f>ROW(LineærRegression_Valg[[#This Row],[Tabel ID]])-ROW(LineærRegression_Valg[[#Headers],[Tabel ID]])</f>
        <v>543</v>
      </c>
      <c r="B553" s="45">
        <f>ROUNDDOWN((LineærRegression_Valg[[#This Row],[Tabel ID]]-1)/$B$5,0)+1</f>
        <v>136</v>
      </c>
      <c r="C553" s="45">
        <f t="shared" si="8"/>
        <v>3</v>
      </c>
      <c r="D553" s="45" t="b">
        <f>LineærRegression_Valg[[#This Row],[Afhængig variabel ID]]&lt;&gt;LineærRegression_Valg[[#This Row],[Uafhængig variabel ID]]</f>
        <v>1</v>
      </c>
      <c r="E553" t="b">
        <f>LineærRegression_Valg[[#This Row],[Afhængig variabel ID]]&lt;=$B$5</f>
        <v>0</v>
      </c>
      <c r="F553" t="str" cm="1">
        <f t="array" ref="F553">IF(LineærRegression_Valg[[#This Row],[Indenfor range]],INDEX(DataTitel_liste,LineærRegression_Valg[[#This Row],[Afhængig variabel ID]]),INDEX(DataTitel_liste,1))</f>
        <v>Eksempel 1 (interval)</v>
      </c>
      <c r="G553" s="45" t="str" cm="1">
        <f t="array" ref="G553">IF(LineærRegression_Valg[[#This Row],[Indenfor range]],IF(LineærRegression_Valg[[#This Row],[Intet overlap]],INDEX(DataTitel_liste,LineærRegression_Valg[[#This Row],[Uafhængig variabel ID]]),INDEX(DataTitel_liste,IF(LineærRegression_Valg[[#This Row],[Afhængig variabel ID]]=1,2,1))),$B$7)</f>
        <v>Eksempel 2 (interval)</v>
      </c>
      <c r="H553" s="45">
        <f>_xlfn.AGGREGATE(2,5,LineærRegression_Valg[[#This Row],[Tabel ID]])</f>
        <v>1</v>
      </c>
    </row>
    <row r="554" spans="1:8" x14ac:dyDescent="0.2">
      <c r="A554">
        <f>ROW(LineærRegression_Valg[[#This Row],[Tabel ID]])-ROW(LineærRegression_Valg[[#Headers],[Tabel ID]])</f>
        <v>544</v>
      </c>
      <c r="B554" s="45">
        <f>ROUNDDOWN((LineærRegression_Valg[[#This Row],[Tabel ID]]-1)/$B$5,0)+1</f>
        <v>136</v>
      </c>
      <c r="C554" s="45">
        <f t="shared" si="8"/>
        <v>4</v>
      </c>
      <c r="D554" s="45" t="b">
        <f>LineærRegression_Valg[[#This Row],[Afhængig variabel ID]]&lt;&gt;LineærRegression_Valg[[#This Row],[Uafhængig variabel ID]]</f>
        <v>1</v>
      </c>
      <c r="E554" t="b">
        <f>LineærRegression_Valg[[#This Row],[Afhængig variabel ID]]&lt;=$B$5</f>
        <v>0</v>
      </c>
      <c r="F554" t="str" cm="1">
        <f t="array" ref="F554">IF(LineærRegression_Valg[[#This Row],[Indenfor range]],INDEX(DataTitel_liste,LineærRegression_Valg[[#This Row],[Afhængig variabel ID]]),INDEX(DataTitel_liste,1))</f>
        <v>Eksempel 1 (interval)</v>
      </c>
      <c r="G554" s="45" t="str" cm="1">
        <f t="array" ref="G554">IF(LineærRegression_Valg[[#This Row],[Indenfor range]],IF(LineærRegression_Valg[[#This Row],[Intet overlap]],INDEX(DataTitel_liste,LineærRegression_Valg[[#This Row],[Uafhængig variabel ID]]),INDEX(DataTitel_liste,IF(LineærRegression_Valg[[#This Row],[Afhængig variabel ID]]=1,2,1))),$B$7)</f>
        <v>Eksempel 2 (interval)</v>
      </c>
      <c r="H554" s="45">
        <f>_xlfn.AGGREGATE(2,5,LineærRegression_Valg[[#This Row],[Tabel ID]])</f>
        <v>1</v>
      </c>
    </row>
    <row r="555" spans="1:8" x14ac:dyDescent="0.2">
      <c r="A555">
        <f>ROW(LineærRegression_Valg[[#This Row],[Tabel ID]])-ROW(LineærRegression_Valg[[#Headers],[Tabel ID]])</f>
        <v>545</v>
      </c>
      <c r="B555" s="45">
        <f>ROUNDDOWN((LineærRegression_Valg[[#This Row],[Tabel ID]]-1)/$B$5,0)+1</f>
        <v>137</v>
      </c>
      <c r="C555" s="45">
        <f t="shared" si="8"/>
        <v>1</v>
      </c>
      <c r="D555" s="45" t="b">
        <f>LineærRegression_Valg[[#This Row],[Afhængig variabel ID]]&lt;&gt;LineærRegression_Valg[[#This Row],[Uafhængig variabel ID]]</f>
        <v>1</v>
      </c>
      <c r="E555" t="b">
        <f>LineærRegression_Valg[[#This Row],[Afhængig variabel ID]]&lt;=$B$5</f>
        <v>0</v>
      </c>
      <c r="F555" t="str" cm="1">
        <f t="array" ref="F555">IF(LineærRegression_Valg[[#This Row],[Indenfor range]],INDEX(DataTitel_liste,LineærRegression_Valg[[#This Row],[Afhængig variabel ID]]),INDEX(DataTitel_liste,1))</f>
        <v>Eksempel 1 (interval)</v>
      </c>
      <c r="G555" s="45" t="str" cm="1">
        <f t="array" ref="G555">IF(LineærRegression_Valg[[#This Row],[Indenfor range]],IF(LineærRegression_Valg[[#This Row],[Intet overlap]],INDEX(DataTitel_liste,LineærRegression_Valg[[#This Row],[Uafhængig variabel ID]]),INDEX(DataTitel_liste,IF(LineærRegression_Valg[[#This Row],[Afhængig variabel ID]]=1,2,1))),$B$7)</f>
        <v>Eksempel 2 (interval)</v>
      </c>
      <c r="H555" s="45">
        <f>_xlfn.AGGREGATE(2,5,LineærRegression_Valg[[#This Row],[Tabel ID]])</f>
        <v>1</v>
      </c>
    </row>
    <row r="556" spans="1:8" x14ac:dyDescent="0.2">
      <c r="A556">
        <f>ROW(LineærRegression_Valg[[#This Row],[Tabel ID]])-ROW(LineærRegression_Valg[[#Headers],[Tabel ID]])</f>
        <v>546</v>
      </c>
      <c r="B556" s="45">
        <f>ROUNDDOWN((LineærRegression_Valg[[#This Row],[Tabel ID]]-1)/$B$5,0)+1</f>
        <v>137</v>
      </c>
      <c r="C556" s="45">
        <f t="shared" si="8"/>
        <v>2</v>
      </c>
      <c r="D556" s="45" t="b">
        <f>LineærRegression_Valg[[#This Row],[Afhængig variabel ID]]&lt;&gt;LineærRegression_Valg[[#This Row],[Uafhængig variabel ID]]</f>
        <v>1</v>
      </c>
      <c r="E556" t="b">
        <f>LineærRegression_Valg[[#This Row],[Afhængig variabel ID]]&lt;=$B$5</f>
        <v>0</v>
      </c>
      <c r="F556" t="str" cm="1">
        <f t="array" ref="F556">IF(LineærRegression_Valg[[#This Row],[Indenfor range]],INDEX(DataTitel_liste,LineærRegression_Valg[[#This Row],[Afhængig variabel ID]]),INDEX(DataTitel_liste,1))</f>
        <v>Eksempel 1 (interval)</v>
      </c>
      <c r="G556" s="45" t="str" cm="1">
        <f t="array" ref="G556">IF(LineærRegression_Valg[[#This Row],[Indenfor range]],IF(LineærRegression_Valg[[#This Row],[Intet overlap]],INDEX(DataTitel_liste,LineærRegression_Valg[[#This Row],[Uafhængig variabel ID]]),INDEX(DataTitel_liste,IF(LineærRegression_Valg[[#This Row],[Afhængig variabel ID]]=1,2,1))),$B$7)</f>
        <v>Eksempel 2 (interval)</v>
      </c>
      <c r="H556" s="45">
        <f>_xlfn.AGGREGATE(2,5,LineærRegression_Valg[[#This Row],[Tabel ID]])</f>
        <v>1</v>
      </c>
    </row>
    <row r="557" spans="1:8" x14ac:dyDescent="0.2">
      <c r="A557">
        <f>ROW(LineærRegression_Valg[[#This Row],[Tabel ID]])-ROW(LineærRegression_Valg[[#Headers],[Tabel ID]])</f>
        <v>547</v>
      </c>
      <c r="B557" s="45">
        <f>ROUNDDOWN((LineærRegression_Valg[[#This Row],[Tabel ID]]-1)/$B$5,0)+1</f>
        <v>137</v>
      </c>
      <c r="C557" s="45">
        <f t="shared" si="8"/>
        <v>3</v>
      </c>
      <c r="D557" s="45" t="b">
        <f>LineærRegression_Valg[[#This Row],[Afhængig variabel ID]]&lt;&gt;LineærRegression_Valg[[#This Row],[Uafhængig variabel ID]]</f>
        <v>1</v>
      </c>
      <c r="E557" t="b">
        <f>LineærRegression_Valg[[#This Row],[Afhængig variabel ID]]&lt;=$B$5</f>
        <v>0</v>
      </c>
      <c r="F557" t="str" cm="1">
        <f t="array" ref="F557">IF(LineærRegression_Valg[[#This Row],[Indenfor range]],INDEX(DataTitel_liste,LineærRegression_Valg[[#This Row],[Afhængig variabel ID]]),INDEX(DataTitel_liste,1))</f>
        <v>Eksempel 1 (interval)</v>
      </c>
      <c r="G557" s="45" t="str" cm="1">
        <f t="array" ref="G557">IF(LineærRegression_Valg[[#This Row],[Indenfor range]],IF(LineærRegression_Valg[[#This Row],[Intet overlap]],INDEX(DataTitel_liste,LineærRegression_Valg[[#This Row],[Uafhængig variabel ID]]),INDEX(DataTitel_liste,IF(LineærRegression_Valg[[#This Row],[Afhængig variabel ID]]=1,2,1))),$B$7)</f>
        <v>Eksempel 2 (interval)</v>
      </c>
      <c r="H557" s="45">
        <f>_xlfn.AGGREGATE(2,5,LineærRegression_Valg[[#This Row],[Tabel ID]])</f>
        <v>1</v>
      </c>
    </row>
    <row r="558" spans="1:8" x14ac:dyDescent="0.2">
      <c r="A558">
        <f>ROW(LineærRegression_Valg[[#This Row],[Tabel ID]])-ROW(LineærRegression_Valg[[#Headers],[Tabel ID]])</f>
        <v>548</v>
      </c>
      <c r="B558" s="45">
        <f>ROUNDDOWN((LineærRegression_Valg[[#This Row],[Tabel ID]]-1)/$B$5,0)+1</f>
        <v>137</v>
      </c>
      <c r="C558" s="45">
        <f t="shared" si="8"/>
        <v>4</v>
      </c>
      <c r="D558" s="45" t="b">
        <f>LineærRegression_Valg[[#This Row],[Afhængig variabel ID]]&lt;&gt;LineærRegression_Valg[[#This Row],[Uafhængig variabel ID]]</f>
        <v>1</v>
      </c>
      <c r="E558" t="b">
        <f>LineærRegression_Valg[[#This Row],[Afhængig variabel ID]]&lt;=$B$5</f>
        <v>0</v>
      </c>
      <c r="F558" t="str" cm="1">
        <f t="array" ref="F558">IF(LineærRegression_Valg[[#This Row],[Indenfor range]],INDEX(DataTitel_liste,LineærRegression_Valg[[#This Row],[Afhængig variabel ID]]),INDEX(DataTitel_liste,1))</f>
        <v>Eksempel 1 (interval)</v>
      </c>
      <c r="G558" s="45" t="str" cm="1">
        <f t="array" ref="G558">IF(LineærRegression_Valg[[#This Row],[Indenfor range]],IF(LineærRegression_Valg[[#This Row],[Intet overlap]],INDEX(DataTitel_liste,LineærRegression_Valg[[#This Row],[Uafhængig variabel ID]]),INDEX(DataTitel_liste,IF(LineærRegression_Valg[[#This Row],[Afhængig variabel ID]]=1,2,1))),$B$7)</f>
        <v>Eksempel 2 (interval)</v>
      </c>
      <c r="H558" s="45">
        <f>_xlfn.AGGREGATE(2,5,LineærRegression_Valg[[#This Row],[Tabel ID]])</f>
        <v>1</v>
      </c>
    </row>
    <row r="559" spans="1:8" x14ac:dyDescent="0.2">
      <c r="A559">
        <f>ROW(LineærRegression_Valg[[#This Row],[Tabel ID]])-ROW(LineærRegression_Valg[[#Headers],[Tabel ID]])</f>
        <v>549</v>
      </c>
      <c r="B559" s="45">
        <f>ROUNDDOWN((LineærRegression_Valg[[#This Row],[Tabel ID]]-1)/$B$5,0)+1</f>
        <v>138</v>
      </c>
      <c r="C559" s="45">
        <f t="shared" si="8"/>
        <v>1</v>
      </c>
      <c r="D559" s="45" t="b">
        <f>LineærRegression_Valg[[#This Row],[Afhængig variabel ID]]&lt;&gt;LineærRegression_Valg[[#This Row],[Uafhængig variabel ID]]</f>
        <v>1</v>
      </c>
      <c r="E559" t="b">
        <f>LineærRegression_Valg[[#This Row],[Afhængig variabel ID]]&lt;=$B$5</f>
        <v>0</v>
      </c>
      <c r="F559" t="str" cm="1">
        <f t="array" ref="F559">IF(LineærRegression_Valg[[#This Row],[Indenfor range]],INDEX(DataTitel_liste,LineærRegression_Valg[[#This Row],[Afhængig variabel ID]]),INDEX(DataTitel_liste,1))</f>
        <v>Eksempel 1 (interval)</v>
      </c>
      <c r="G559" s="45" t="str" cm="1">
        <f t="array" ref="G559">IF(LineærRegression_Valg[[#This Row],[Indenfor range]],IF(LineærRegression_Valg[[#This Row],[Intet overlap]],INDEX(DataTitel_liste,LineærRegression_Valg[[#This Row],[Uafhængig variabel ID]]),INDEX(DataTitel_liste,IF(LineærRegression_Valg[[#This Row],[Afhængig variabel ID]]=1,2,1))),$B$7)</f>
        <v>Eksempel 2 (interval)</v>
      </c>
      <c r="H559" s="45">
        <f>_xlfn.AGGREGATE(2,5,LineærRegression_Valg[[#This Row],[Tabel ID]])</f>
        <v>1</v>
      </c>
    </row>
    <row r="560" spans="1:8" x14ac:dyDescent="0.2">
      <c r="A560">
        <f>ROW(LineærRegression_Valg[[#This Row],[Tabel ID]])-ROW(LineærRegression_Valg[[#Headers],[Tabel ID]])</f>
        <v>550</v>
      </c>
      <c r="B560" s="45">
        <f>ROUNDDOWN((LineærRegression_Valg[[#This Row],[Tabel ID]]-1)/$B$5,0)+1</f>
        <v>138</v>
      </c>
      <c r="C560" s="45">
        <f t="shared" si="8"/>
        <v>2</v>
      </c>
      <c r="D560" s="45" t="b">
        <f>LineærRegression_Valg[[#This Row],[Afhængig variabel ID]]&lt;&gt;LineærRegression_Valg[[#This Row],[Uafhængig variabel ID]]</f>
        <v>1</v>
      </c>
      <c r="E560" t="b">
        <f>LineærRegression_Valg[[#This Row],[Afhængig variabel ID]]&lt;=$B$5</f>
        <v>0</v>
      </c>
      <c r="F560" t="str" cm="1">
        <f t="array" ref="F560">IF(LineærRegression_Valg[[#This Row],[Indenfor range]],INDEX(DataTitel_liste,LineærRegression_Valg[[#This Row],[Afhængig variabel ID]]),INDEX(DataTitel_liste,1))</f>
        <v>Eksempel 1 (interval)</v>
      </c>
      <c r="G560" s="45" t="str" cm="1">
        <f t="array" ref="G560">IF(LineærRegression_Valg[[#This Row],[Indenfor range]],IF(LineærRegression_Valg[[#This Row],[Intet overlap]],INDEX(DataTitel_liste,LineærRegression_Valg[[#This Row],[Uafhængig variabel ID]]),INDEX(DataTitel_liste,IF(LineærRegression_Valg[[#This Row],[Afhængig variabel ID]]=1,2,1))),$B$7)</f>
        <v>Eksempel 2 (interval)</v>
      </c>
      <c r="H560" s="45">
        <f>_xlfn.AGGREGATE(2,5,LineærRegression_Valg[[#This Row],[Tabel ID]])</f>
        <v>1</v>
      </c>
    </row>
    <row r="561" spans="1:8" x14ac:dyDescent="0.2">
      <c r="A561">
        <f>ROW(LineærRegression_Valg[[#This Row],[Tabel ID]])-ROW(LineærRegression_Valg[[#Headers],[Tabel ID]])</f>
        <v>551</v>
      </c>
      <c r="B561" s="45">
        <f>ROUNDDOWN((LineærRegression_Valg[[#This Row],[Tabel ID]]-1)/$B$5,0)+1</f>
        <v>138</v>
      </c>
      <c r="C561" s="45">
        <f t="shared" si="8"/>
        <v>3</v>
      </c>
      <c r="D561" s="45" t="b">
        <f>LineærRegression_Valg[[#This Row],[Afhængig variabel ID]]&lt;&gt;LineærRegression_Valg[[#This Row],[Uafhængig variabel ID]]</f>
        <v>1</v>
      </c>
      <c r="E561" t="b">
        <f>LineærRegression_Valg[[#This Row],[Afhængig variabel ID]]&lt;=$B$5</f>
        <v>0</v>
      </c>
      <c r="F561" t="str" cm="1">
        <f t="array" ref="F561">IF(LineærRegression_Valg[[#This Row],[Indenfor range]],INDEX(DataTitel_liste,LineærRegression_Valg[[#This Row],[Afhængig variabel ID]]),INDEX(DataTitel_liste,1))</f>
        <v>Eksempel 1 (interval)</v>
      </c>
      <c r="G561" s="45" t="str" cm="1">
        <f t="array" ref="G561">IF(LineærRegression_Valg[[#This Row],[Indenfor range]],IF(LineærRegression_Valg[[#This Row],[Intet overlap]],INDEX(DataTitel_liste,LineærRegression_Valg[[#This Row],[Uafhængig variabel ID]]),INDEX(DataTitel_liste,IF(LineærRegression_Valg[[#This Row],[Afhængig variabel ID]]=1,2,1))),$B$7)</f>
        <v>Eksempel 2 (interval)</v>
      </c>
      <c r="H561" s="45">
        <f>_xlfn.AGGREGATE(2,5,LineærRegression_Valg[[#This Row],[Tabel ID]])</f>
        <v>1</v>
      </c>
    </row>
    <row r="562" spans="1:8" x14ac:dyDescent="0.2">
      <c r="A562">
        <f>ROW(LineærRegression_Valg[[#This Row],[Tabel ID]])-ROW(LineærRegression_Valg[[#Headers],[Tabel ID]])</f>
        <v>552</v>
      </c>
      <c r="B562" s="45">
        <f>ROUNDDOWN((LineærRegression_Valg[[#This Row],[Tabel ID]]-1)/$B$5,0)+1</f>
        <v>138</v>
      </c>
      <c r="C562" s="45">
        <f t="shared" si="8"/>
        <v>4</v>
      </c>
      <c r="D562" s="45" t="b">
        <f>LineærRegression_Valg[[#This Row],[Afhængig variabel ID]]&lt;&gt;LineærRegression_Valg[[#This Row],[Uafhængig variabel ID]]</f>
        <v>1</v>
      </c>
      <c r="E562" t="b">
        <f>LineærRegression_Valg[[#This Row],[Afhængig variabel ID]]&lt;=$B$5</f>
        <v>0</v>
      </c>
      <c r="F562" t="str" cm="1">
        <f t="array" ref="F562">IF(LineærRegression_Valg[[#This Row],[Indenfor range]],INDEX(DataTitel_liste,LineærRegression_Valg[[#This Row],[Afhængig variabel ID]]),INDEX(DataTitel_liste,1))</f>
        <v>Eksempel 1 (interval)</v>
      </c>
      <c r="G562" s="45" t="str" cm="1">
        <f t="array" ref="G562">IF(LineærRegression_Valg[[#This Row],[Indenfor range]],IF(LineærRegression_Valg[[#This Row],[Intet overlap]],INDEX(DataTitel_liste,LineærRegression_Valg[[#This Row],[Uafhængig variabel ID]]),INDEX(DataTitel_liste,IF(LineærRegression_Valg[[#This Row],[Afhængig variabel ID]]=1,2,1))),$B$7)</f>
        <v>Eksempel 2 (interval)</v>
      </c>
      <c r="H562" s="45">
        <f>_xlfn.AGGREGATE(2,5,LineærRegression_Valg[[#This Row],[Tabel ID]])</f>
        <v>1</v>
      </c>
    </row>
    <row r="563" spans="1:8" x14ac:dyDescent="0.2">
      <c r="A563">
        <f>ROW(LineærRegression_Valg[[#This Row],[Tabel ID]])-ROW(LineærRegression_Valg[[#Headers],[Tabel ID]])</f>
        <v>553</v>
      </c>
      <c r="B563" s="45">
        <f>ROUNDDOWN((LineærRegression_Valg[[#This Row],[Tabel ID]]-1)/$B$5,0)+1</f>
        <v>139</v>
      </c>
      <c r="C563" s="45">
        <f t="shared" si="8"/>
        <v>1</v>
      </c>
      <c r="D563" s="45" t="b">
        <f>LineærRegression_Valg[[#This Row],[Afhængig variabel ID]]&lt;&gt;LineærRegression_Valg[[#This Row],[Uafhængig variabel ID]]</f>
        <v>1</v>
      </c>
      <c r="E563" t="b">
        <f>LineærRegression_Valg[[#This Row],[Afhængig variabel ID]]&lt;=$B$5</f>
        <v>0</v>
      </c>
      <c r="F563" t="str" cm="1">
        <f t="array" ref="F563">IF(LineærRegression_Valg[[#This Row],[Indenfor range]],INDEX(DataTitel_liste,LineærRegression_Valg[[#This Row],[Afhængig variabel ID]]),INDEX(DataTitel_liste,1))</f>
        <v>Eksempel 1 (interval)</v>
      </c>
      <c r="G563" s="45" t="str" cm="1">
        <f t="array" ref="G563">IF(LineærRegression_Valg[[#This Row],[Indenfor range]],IF(LineærRegression_Valg[[#This Row],[Intet overlap]],INDEX(DataTitel_liste,LineærRegression_Valg[[#This Row],[Uafhængig variabel ID]]),INDEX(DataTitel_liste,IF(LineærRegression_Valg[[#This Row],[Afhængig variabel ID]]=1,2,1))),$B$7)</f>
        <v>Eksempel 2 (interval)</v>
      </c>
      <c r="H563" s="45">
        <f>_xlfn.AGGREGATE(2,5,LineærRegression_Valg[[#This Row],[Tabel ID]])</f>
        <v>1</v>
      </c>
    </row>
    <row r="564" spans="1:8" x14ac:dyDescent="0.2">
      <c r="A564">
        <f>ROW(LineærRegression_Valg[[#This Row],[Tabel ID]])-ROW(LineærRegression_Valg[[#Headers],[Tabel ID]])</f>
        <v>554</v>
      </c>
      <c r="B564" s="45">
        <f>ROUNDDOWN((LineærRegression_Valg[[#This Row],[Tabel ID]]-1)/$B$5,0)+1</f>
        <v>139</v>
      </c>
      <c r="C564" s="45">
        <f t="shared" si="8"/>
        <v>2</v>
      </c>
      <c r="D564" s="45" t="b">
        <f>LineærRegression_Valg[[#This Row],[Afhængig variabel ID]]&lt;&gt;LineærRegression_Valg[[#This Row],[Uafhængig variabel ID]]</f>
        <v>1</v>
      </c>
      <c r="E564" t="b">
        <f>LineærRegression_Valg[[#This Row],[Afhængig variabel ID]]&lt;=$B$5</f>
        <v>0</v>
      </c>
      <c r="F564" t="str" cm="1">
        <f t="array" ref="F564">IF(LineærRegression_Valg[[#This Row],[Indenfor range]],INDEX(DataTitel_liste,LineærRegression_Valg[[#This Row],[Afhængig variabel ID]]),INDEX(DataTitel_liste,1))</f>
        <v>Eksempel 1 (interval)</v>
      </c>
      <c r="G564" s="45" t="str" cm="1">
        <f t="array" ref="G564">IF(LineærRegression_Valg[[#This Row],[Indenfor range]],IF(LineærRegression_Valg[[#This Row],[Intet overlap]],INDEX(DataTitel_liste,LineærRegression_Valg[[#This Row],[Uafhængig variabel ID]]),INDEX(DataTitel_liste,IF(LineærRegression_Valg[[#This Row],[Afhængig variabel ID]]=1,2,1))),$B$7)</f>
        <v>Eksempel 2 (interval)</v>
      </c>
      <c r="H564" s="45">
        <f>_xlfn.AGGREGATE(2,5,LineærRegression_Valg[[#This Row],[Tabel ID]])</f>
        <v>1</v>
      </c>
    </row>
    <row r="565" spans="1:8" x14ac:dyDescent="0.2">
      <c r="A565">
        <f>ROW(LineærRegression_Valg[[#This Row],[Tabel ID]])-ROW(LineærRegression_Valg[[#Headers],[Tabel ID]])</f>
        <v>555</v>
      </c>
      <c r="B565" s="45">
        <f>ROUNDDOWN((LineærRegression_Valg[[#This Row],[Tabel ID]]-1)/$B$5,0)+1</f>
        <v>139</v>
      </c>
      <c r="C565" s="45">
        <f t="shared" si="8"/>
        <v>3</v>
      </c>
      <c r="D565" s="45" t="b">
        <f>LineærRegression_Valg[[#This Row],[Afhængig variabel ID]]&lt;&gt;LineærRegression_Valg[[#This Row],[Uafhængig variabel ID]]</f>
        <v>1</v>
      </c>
      <c r="E565" t="b">
        <f>LineærRegression_Valg[[#This Row],[Afhængig variabel ID]]&lt;=$B$5</f>
        <v>0</v>
      </c>
      <c r="F565" t="str" cm="1">
        <f t="array" ref="F565">IF(LineærRegression_Valg[[#This Row],[Indenfor range]],INDEX(DataTitel_liste,LineærRegression_Valg[[#This Row],[Afhængig variabel ID]]),INDEX(DataTitel_liste,1))</f>
        <v>Eksempel 1 (interval)</v>
      </c>
      <c r="G565" s="45" t="str" cm="1">
        <f t="array" ref="G565">IF(LineærRegression_Valg[[#This Row],[Indenfor range]],IF(LineærRegression_Valg[[#This Row],[Intet overlap]],INDEX(DataTitel_liste,LineærRegression_Valg[[#This Row],[Uafhængig variabel ID]]),INDEX(DataTitel_liste,IF(LineærRegression_Valg[[#This Row],[Afhængig variabel ID]]=1,2,1))),$B$7)</f>
        <v>Eksempel 2 (interval)</v>
      </c>
      <c r="H565" s="45">
        <f>_xlfn.AGGREGATE(2,5,LineærRegression_Valg[[#This Row],[Tabel ID]])</f>
        <v>1</v>
      </c>
    </row>
    <row r="566" spans="1:8" x14ac:dyDescent="0.2">
      <c r="A566">
        <f>ROW(LineærRegression_Valg[[#This Row],[Tabel ID]])-ROW(LineærRegression_Valg[[#Headers],[Tabel ID]])</f>
        <v>556</v>
      </c>
      <c r="B566" s="45">
        <f>ROUNDDOWN((LineærRegression_Valg[[#This Row],[Tabel ID]]-1)/$B$5,0)+1</f>
        <v>139</v>
      </c>
      <c r="C566" s="45">
        <f t="shared" si="8"/>
        <v>4</v>
      </c>
      <c r="D566" s="45" t="b">
        <f>LineærRegression_Valg[[#This Row],[Afhængig variabel ID]]&lt;&gt;LineærRegression_Valg[[#This Row],[Uafhængig variabel ID]]</f>
        <v>1</v>
      </c>
      <c r="E566" t="b">
        <f>LineærRegression_Valg[[#This Row],[Afhængig variabel ID]]&lt;=$B$5</f>
        <v>0</v>
      </c>
      <c r="F566" t="str" cm="1">
        <f t="array" ref="F566">IF(LineærRegression_Valg[[#This Row],[Indenfor range]],INDEX(DataTitel_liste,LineærRegression_Valg[[#This Row],[Afhængig variabel ID]]),INDEX(DataTitel_liste,1))</f>
        <v>Eksempel 1 (interval)</v>
      </c>
      <c r="G566" s="45" t="str" cm="1">
        <f t="array" ref="G566">IF(LineærRegression_Valg[[#This Row],[Indenfor range]],IF(LineærRegression_Valg[[#This Row],[Intet overlap]],INDEX(DataTitel_liste,LineærRegression_Valg[[#This Row],[Uafhængig variabel ID]]),INDEX(DataTitel_liste,IF(LineærRegression_Valg[[#This Row],[Afhængig variabel ID]]=1,2,1))),$B$7)</f>
        <v>Eksempel 2 (interval)</v>
      </c>
      <c r="H566" s="45">
        <f>_xlfn.AGGREGATE(2,5,LineærRegression_Valg[[#This Row],[Tabel ID]])</f>
        <v>1</v>
      </c>
    </row>
    <row r="567" spans="1:8" x14ac:dyDescent="0.2">
      <c r="A567">
        <f>ROW(LineærRegression_Valg[[#This Row],[Tabel ID]])-ROW(LineærRegression_Valg[[#Headers],[Tabel ID]])</f>
        <v>557</v>
      </c>
      <c r="B567" s="45">
        <f>ROUNDDOWN((LineærRegression_Valg[[#This Row],[Tabel ID]]-1)/$B$5,0)+1</f>
        <v>140</v>
      </c>
      <c r="C567" s="45">
        <f t="shared" si="8"/>
        <v>1</v>
      </c>
      <c r="D567" s="45" t="b">
        <f>LineærRegression_Valg[[#This Row],[Afhængig variabel ID]]&lt;&gt;LineærRegression_Valg[[#This Row],[Uafhængig variabel ID]]</f>
        <v>1</v>
      </c>
      <c r="E567" t="b">
        <f>LineærRegression_Valg[[#This Row],[Afhængig variabel ID]]&lt;=$B$5</f>
        <v>0</v>
      </c>
      <c r="F567" t="str" cm="1">
        <f t="array" ref="F567">IF(LineærRegression_Valg[[#This Row],[Indenfor range]],INDEX(DataTitel_liste,LineærRegression_Valg[[#This Row],[Afhængig variabel ID]]),INDEX(DataTitel_liste,1))</f>
        <v>Eksempel 1 (interval)</v>
      </c>
      <c r="G567" s="45" t="str" cm="1">
        <f t="array" ref="G567">IF(LineærRegression_Valg[[#This Row],[Indenfor range]],IF(LineærRegression_Valg[[#This Row],[Intet overlap]],INDEX(DataTitel_liste,LineærRegression_Valg[[#This Row],[Uafhængig variabel ID]]),INDEX(DataTitel_liste,IF(LineærRegression_Valg[[#This Row],[Afhængig variabel ID]]=1,2,1))),$B$7)</f>
        <v>Eksempel 2 (interval)</v>
      </c>
      <c r="H567" s="45">
        <f>_xlfn.AGGREGATE(2,5,LineærRegression_Valg[[#This Row],[Tabel ID]])</f>
        <v>1</v>
      </c>
    </row>
    <row r="568" spans="1:8" x14ac:dyDescent="0.2">
      <c r="A568">
        <f>ROW(LineærRegression_Valg[[#This Row],[Tabel ID]])-ROW(LineærRegression_Valg[[#Headers],[Tabel ID]])</f>
        <v>558</v>
      </c>
      <c r="B568" s="45">
        <f>ROUNDDOWN((LineærRegression_Valg[[#This Row],[Tabel ID]]-1)/$B$5,0)+1</f>
        <v>140</v>
      </c>
      <c r="C568" s="45">
        <f t="shared" si="8"/>
        <v>2</v>
      </c>
      <c r="D568" s="45" t="b">
        <f>LineærRegression_Valg[[#This Row],[Afhængig variabel ID]]&lt;&gt;LineærRegression_Valg[[#This Row],[Uafhængig variabel ID]]</f>
        <v>1</v>
      </c>
      <c r="E568" t="b">
        <f>LineærRegression_Valg[[#This Row],[Afhængig variabel ID]]&lt;=$B$5</f>
        <v>0</v>
      </c>
      <c r="F568" t="str" cm="1">
        <f t="array" ref="F568">IF(LineærRegression_Valg[[#This Row],[Indenfor range]],INDEX(DataTitel_liste,LineærRegression_Valg[[#This Row],[Afhængig variabel ID]]),INDEX(DataTitel_liste,1))</f>
        <v>Eksempel 1 (interval)</v>
      </c>
      <c r="G568" s="45" t="str" cm="1">
        <f t="array" ref="G568">IF(LineærRegression_Valg[[#This Row],[Indenfor range]],IF(LineærRegression_Valg[[#This Row],[Intet overlap]],INDEX(DataTitel_liste,LineærRegression_Valg[[#This Row],[Uafhængig variabel ID]]),INDEX(DataTitel_liste,IF(LineærRegression_Valg[[#This Row],[Afhængig variabel ID]]=1,2,1))),$B$7)</f>
        <v>Eksempel 2 (interval)</v>
      </c>
      <c r="H568" s="45">
        <f>_xlfn.AGGREGATE(2,5,LineærRegression_Valg[[#This Row],[Tabel ID]])</f>
        <v>1</v>
      </c>
    </row>
    <row r="569" spans="1:8" x14ac:dyDescent="0.2">
      <c r="A569">
        <f>ROW(LineærRegression_Valg[[#This Row],[Tabel ID]])-ROW(LineærRegression_Valg[[#Headers],[Tabel ID]])</f>
        <v>559</v>
      </c>
      <c r="B569" s="45">
        <f>ROUNDDOWN((LineærRegression_Valg[[#This Row],[Tabel ID]]-1)/$B$5,0)+1</f>
        <v>140</v>
      </c>
      <c r="C569" s="45">
        <f t="shared" si="8"/>
        <v>3</v>
      </c>
      <c r="D569" s="45" t="b">
        <f>LineærRegression_Valg[[#This Row],[Afhængig variabel ID]]&lt;&gt;LineærRegression_Valg[[#This Row],[Uafhængig variabel ID]]</f>
        <v>1</v>
      </c>
      <c r="E569" t="b">
        <f>LineærRegression_Valg[[#This Row],[Afhængig variabel ID]]&lt;=$B$5</f>
        <v>0</v>
      </c>
      <c r="F569" t="str" cm="1">
        <f t="array" ref="F569">IF(LineærRegression_Valg[[#This Row],[Indenfor range]],INDEX(DataTitel_liste,LineærRegression_Valg[[#This Row],[Afhængig variabel ID]]),INDEX(DataTitel_liste,1))</f>
        <v>Eksempel 1 (interval)</v>
      </c>
      <c r="G569" s="45" t="str" cm="1">
        <f t="array" ref="G569">IF(LineærRegression_Valg[[#This Row],[Indenfor range]],IF(LineærRegression_Valg[[#This Row],[Intet overlap]],INDEX(DataTitel_liste,LineærRegression_Valg[[#This Row],[Uafhængig variabel ID]]),INDEX(DataTitel_liste,IF(LineærRegression_Valg[[#This Row],[Afhængig variabel ID]]=1,2,1))),$B$7)</f>
        <v>Eksempel 2 (interval)</v>
      </c>
      <c r="H569" s="45">
        <f>_xlfn.AGGREGATE(2,5,LineærRegression_Valg[[#This Row],[Tabel ID]])</f>
        <v>1</v>
      </c>
    </row>
    <row r="570" spans="1:8" x14ac:dyDescent="0.2">
      <c r="A570">
        <f>ROW(LineærRegression_Valg[[#This Row],[Tabel ID]])-ROW(LineærRegression_Valg[[#Headers],[Tabel ID]])</f>
        <v>560</v>
      </c>
      <c r="B570" s="45">
        <f>ROUNDDOWN((LineærRegression_Valg[[#This Row],[Tabel ID]]-1)/$B$5,0)+1</f>
        <v>140</v>
      </c>
      <c r="C570" s="45">
        <f t="shared" si="8"/>
        <v>4</v>
      </c>
      <c r="D570" s="45" t="b">
        <f>LineærRegression_Valg[[#This Row],[Afhængig variabel ID]]&lt;&gt;LineærRegression_Valg[[#This Row],[Uafhængig variabel ID]]</f>
        <v>1</v>
      </c>
      <c r="E570" t="b">
        <f>LineærRegression_Valg[[#This Row],[Afhængig variabel ID]]&lt;=$B$5</f>
        <v>0</v>
      </c>
      <c r="F570" t="str" cm="1">
        <f t="array" ref="F570">IF(LineærRegression_Valg[[#This Row],[Indenfor range]],INDEX(DataTitel_liste,LineærRegression_Valg[[#This Row],[Afhængig variabel ID]]),INDEX(DataTitel_liste,1))</f>
        <v>Eksempel 1 (interval)</v>
      </c>
      <c r="G570" s="45" t="str" cm="1">
        <f t="array" ref="G570">IF(LineærRegression_Valg[[#This Row],[Indenfor range]],IF(LineærRegression_Valg[[#This Row],[Intet overlap]],INDEX(DataTitel_liste,LineærRegression_Valg[[#This Row],[Uafhængig variabel ID]]),INDEX(DataTitel_liste,IF(LineærRegression_Valg[[#This Row],[Afhængig variabel ID]]=1,2,1))),$B$7)</f>
        <v>Eksempel 2 (interval)</v>
      </c>
      <c r="H570" s="45">
        <f>_xlfn.AGGREGATE(2,5,LineærRegression_Valg[[#This Row],[Tabel ID]])</f>
        <v>1</v>
      </c>
    </row>
    <row r="571" spans="1:8" x14ac:dyDescent="0.2">
      <c r="A571">
        <f>ROW(LineærRegression_Valg[[#This Row],[Tabel ID]])-ROW(LineærRegression_Valg[[#Headers],[Tabel ID]])</f>
        <v>561</v>
      </c>
      <c r="B571" s="45">
        <f>ROUNDDOWN((LineærRegression_Valg[[#This Row],[Tabel ID]]-1)/$B$5,0)+1</f>
        <v>141</v>
      </c>
      <c r="C571" s="45">
        <f t="shared" si="8"/>
        <v>1</v>
      </c>
      <c r="D571" s="45" t="b">
        <f>LineærRegression_Valg[[#This Row],[Afhængig variabel ID]]&lt;&gt;LineærRegression_Valg[[#This Row],[Uafhængig variabel ID]]</f>
        <v>1</v>
      </c>
      <c r="E571" t="b">
        <f>LineærRegression_Valg[[#This Row],[Afhængig variabel ID]]&lt;=$B$5</f>
        <v>0</v>
      </c>
      <c r="F571" t="str" cm="1">
        <f t="array" ref="F571">IF(LineærRegression_Valg[[#This Row],[Indenfor range]],INDEX(DataTitel_liste,LineærRegression_Valg[[#This Row],[Afhængig variabel ID]]),INDEX(DataTitel_liste,1))</f>
        <v>Eksempel 1 (interval)</v>
      </c>
      <c r="G571" s="45" t="str" cm="1">
        <f t="array" ref="G571">IF(LineærRegression_Valg[[#This Row],[Indenfor range]],IF(LineærRegression_Valg[[#This Row],[Intet overlap]],INDEX(DataTitel_liste,LineærRegression_Valg[[#This Row],[Uafhængig variabel ID]]),INDEX(DataTitel_liste,IF(LineærRegression_Valg[[#This Row],[Afhængig variabel ID]]=1,2,1))),$B$7)</f>
        <v>Eksempel 2 (interval)</v>
      </c>
      <c r="H571" s="45">
        <f>_xlfn.AGGREGATE(2,5,LineærRegression_Valg[[#This Row],[Tabel ID]])</f>
        <v>1</v>
      </c>
    </row>
    <row r="572" spans="1:8" x14ac:dyDescent="0.2">
      <c r="A572">
        <f>ROW(LineærRegression_Valg[[#This Row],[Tabel ID]])-ROW(LineærRegression_Valg[[#Headers],[Tabel ID]])</f>
        <v>562</v>
      </c>
      <c r="B572" s="45">
        <f>ROUNDDOWN((LineærRegression_Valg[[#This Row],[Tabel ID]]-1)/$B$5,0)+1</f>
        <v>141</v>
      </c>
      <c r="C572" s="45">
        <f t="shared" si="8"/>
        <v>2</v>
      </c>
      <c r="D572" s="45" t="b">
        <f>LineærRegression_Valg[[#This Row],[Afhængig variabel ID]]&lt;&gt;LineærRegression_Valg[[#This Row],[Uafhængig variabel ID]]</f>
        <v>1</v>
      </c>
      <c r="E572" t="b">
        <f>LineærRegression_Valg[[#This Row],[Afhængig variabel ID]]&lt;=$B$5</f>
        <v>0</v>
      </c>
      <c r="F572" t="str" cm="1">
        <f t="array" ref="F572">IF(LineærRegression_Valg[[#This Row],[Indenfor range]],INDEX(DataTitel_liste,LineærRegression_Valg[[#This Row],[Afhængig variabel ID]]),INDEX(DataTitel_liste,1))</f>
        <v>Eksempel 1 (interval)</v>
      </c>
      <c r="G572" s="45" t="str" cm="1">
        <f t="array" ref="G572">IF(LineærRegression_Valg[[#This Row],[Indenfor range]],IF(LineærRegression_Valg[[#This Row],[Intet overlap]],INDEX(DataTitel_liste,LineærRegression_Valg[[#This Row],[Uafhængig variabel ID]]),INDEX(DataTitel_liste,IF(LineærRegression_Valg[[#This Row],[Afhængig variabel ID]]=1,2,1))),$B$7)</f>
        <v>Eksempel 2 (interval)</v>
      </c>
      <c r="H572" s="45">
        <f>_xlfn.AGGREGATE(2,5,LineærRegression_Valg[[#This Row],[Tabel ID]])</f>
        <v>1</v>
      </c>
    </row>
    <row r="573" spans="1:8" x14ac:dyDescent="0.2">
      <c r="A573">
        <f>ROW(LineærRegression_Valg[[#This Row],[Tabel ID]])-ROW(LineærRegression_Valg[[#Headers],[Tabel ID]])</f>
        <v>563</v>
      </c>
      <c r="B573" s="45">
        <f>ROUNDDOWN((LineærRegression_Valg[[#This Row],[Tabel ID]]-1)/$B$5,0)+1</f>
        <v>141</v>
      </c>
      <c r="C573" s="45">
        <f t="shared" si="8"/>
        <v>3</v>
      </c>
      <c r="D573" s="45" t="b">
        <f>LineærRegression_Valg[[#This Row],[Afhængig variabel ID]]&lt;&gt;LineærRegression_Valg[[#This Row],[Uafhængig variabel ID]]</f>
        <v>1</v>
      </c>
      <c r="E573" t="b">
        <f>LineærRegression_Valg[[#This Row],[Afhængig variabel ID]]&lt;=$B$5</f>
        <v>0</v>
      </c>
      <c r="F573" t="str" cm="1">
        <f t="array" ref="F573">IF(LineærRegression_Valg[[#This Row],[Indenfor range]],INDEX(DataTitel_liste,LineærRegression_Valg[[#This Row],[Afhængig variabel ID]]),INDEX(DataTitel_liste,1))</f>
        <v>Eksempel 1 (interval)</v>
      </c>
      <c r="G573" s="45" t="str" cm="1">
        <f t="array" ref="G573">IF(LineærRegression_Valg[[#This Row],[Indenfor range]],IF(LineærRegression_Valg[[#This Row],[Intet overlap]],INDEX(DataTitel_liste,LineærRegression_Valg[[#This Row],[Uafhængig variabel ID]]),INDEX(DataTitel_liste,IF(LineærRegression_Valg[[#This Row],[Afhængig variabel ID]]=1,2,1))),$B$7)</f>
        <v>Eksempel 2 (interval)</v>
      </c>
      <c r="H573" s="45">
        <f>_xlfn.AGGREGATE(2,5,LineærRegression_Valg[[#This Row],[Tabel ID]])</f>
        <v>1</v>
      </c>
    </row>
    <row r="574" spans="1:8" x14ac:dyDescent="0.2">
      <c r="A574">
        <f>ROW(LineærRegression_Valg[[#This Row],[Tabel ID]])-ROW(LineærRegression_Valg[[#Headers],[Tabel ID]])</f>
        <v>564</v>
      </c>
      <c r="B574" s="45">
        <f>ROUNDDOWN((LineærRegression_Valg[[#This Row],[Tabel ID]]-1)/$B$5,0)+1</f>
        <v>141</v>
      </c>
      <c r="C574" s="45">
        <f t="shared" si="8"/>
        <v>4</v>
      </c>
      <c r="D574" s="45" t="b">
        <f>LineærRegression_Valg[[#This Row],[Afhængig variabel ID]]&lt;&gt;LineærRegression_Valg[[#This Row],[Uafhængig variabel ID]]</f>
        <v>1</v>
      </c>
      <c r="E574" t="b">
        <f>LineærRegression_Valg[[#This Row],[Afhængig variabel ID]]&lt;=$B$5</f>
        <v>0</v>
      </c>
      <c r="F574" t="str" cm="1">
        <f t="array" ref="F574">IF(LineærRegression_Valg[[#This Row],[Indenfor range]],INDEX(DataTitel_liste,LineærRegression_Valg[[#This Row],[Afhængig variabel ID]]),INDEX(DataTitel_liste,1))</f>
        <v>Eksempel 1 (interval)</v>
      </c>
      <c r="G574" s="45" t="str" cm="1">
        <f t="array" ref="G574">IF(LineærRegression_Valg[[#This Row],[Indenfor range]],IF(LineærRegression_Valg[[#This Row],[Intet overlap]],INDEX(DataTitel_liste,LineærRegression_Valg[[#This Row],[Uafhængig variabel ID]]),INDEX(DataTitel_liste,IF(LineærRegression_Valg[[#This Row],[Afhængig variabel ID]]=1,2,1))),$B$7)</f>
        <v>Eksempel 2 (interval)</v>
      </c>
      <c r="H574" s="45">
        <f>_xlfn.AGGREGATE(2,5,LineærRegression_Valg[[#This Row],[Tabel ID]])</f>
        <v>1</v>
      </c>
    </row>
    <row r="575" spans="1:8" x14ac:dyDescent="0.2">
      <c r="A575">
        <f>ROW(LineærRegression_Valg[[#This Row],[Tabel ID]])-ROW(LineærRegression_Valg[[#Headers],[Tabel ID]])</f>
        <v>565</v>
      </c>
      <c r="B575" s="45">
        <f>ROUNDDOWN((LineærRegression_Valg[[#This Row],[Tabel ID]]-1)/$B$5,0)+1</f>
        <v>142</v>
      </c>
      <c r="C575" s="45">
        <f t="shared" si="8"/>
        <v>1</v>
      </c>
      <c r="D575" s="45" t="b">
        <f>LineærRegression_Valg[[#This Row],[Afhængig variabel ID]]&lt;&gt;LineærRegression_Valg[[#This Row],[Uafhængig variabel ID]]</f>
        <v>1</v>
      </c>
      <c r="E575" t="b">
        <f>LineærRegression_Valg[[#This Row],[Afhængig variabel ID]]&lt;=$B$5</f>
        <v>0</v>
      </c>
      <c r="F575" t="str" cm="1">
        <f t="array" ref="F575">IF(LineærRegression_Valg[[#This Row],[Indenfor range]],INDEX(DataTitel_liste,LineærRegression_Valg[[#This Row],[Afhængig variabel ID]]),INDEX(DataTitel_liste,1))</f>
        <v>Eksempel 1 (interval)</v>
      </c>
      <c r="G575" s="45" t="str" cm="1">
        <f t="array" ref="G575">IF(LineærRegression_Valg[[#This Row],[Indenfor range]],IF(LineærRegression_Valg[[#This Row],[Intet overlap]],INDEX(DataTitel_liste,LineærRegression_Valg[[#This Row],[Uafhængig variabel ID]]),INDEX(DataTitel_liste,IF(LineærRegression_Valg[[#This Row],[Afhængig variabel ID]]=1,2,1))),$B$7)</f>
        <v>Eksempel 2 (interval)</v>
      </c>
      <c r="H575" s="45">
        <f>_xlfn.AGGREGATE(2,5,LineærRegression_Valg[[#This Row],[Tabel ID]])</f>
        <v>1</v>
      </c>
    </row>
    <row r="576" spans="1:8" x14ac:dyDescent="0.2">
      <c r="A576">
        <f>ROW(LineærRegression_Valg[[#This Row],[Tabel ID]])-ROW(LineærRegression_Valg[[#Headers],[Tabel ID]])</f>
        <v>566</v>
      </c>
      <c r="B576" s="45">
        <f>ROUNDDOWN((LineærRegression_Valg[[#This Row],[Tabel ID]]-1)/$B$5,0)+1</f>
        <v>142</v>
      </c>
      <c r="C576" s="45">
        <f t="shared" si="8"/>
        <v>2</v>
      </c>
      <c r="D576" s="45" t="b">
        <f>LineærRegression_Valg[[#This Row],[Afhængig variabel ID]]&lt;&gt;LineærRegression_Valg[[#This Row],[Uafhængig variabel ID]]</f>
        <v>1</v>
      </c>
      <c r="E576" t="b">
        <f>LineærRegression_Valg[[#This Row],[Afhængig variabel ID]]&lt;=$B$5</f>
        <v>0</v>
      </c>
      <c r="F576" t="str" cm="1">
        <f t="array" ref="F576">IF(LineærRegression_Valg[[#This Row],[Indenfor range]],INDEX(DataTitel_liste,LineærRegression_Valg[[#This Row],[Afhængig variabel ID]]),INDEX(DataTitel_liste,1))</f>
        <v>Eksempel 1 (interval)</v>
      </c>
      <c r="G576" s="45" t="str" cm="1">
        <f t="array" ref="G576">IF(LineærRegression_Valg[[#This Row],[Indenfor range]],IF(LineærRegression_Valg[[#This Row],[Intet overlap]],INDEX(DataTitel_liste,LineærRegression_Valg[[#This Row],[Uafhængig variabel ID]]),INDEX(DataTitel_liste,IF(LineærRegression_Valg[[#This Row],[Afhængig variabel ID]]=1,2,1))),$B$7)</f>
        <v>Eksempel 2 (interval)</v>
      </c>
      <c r="H576" s="45">
        <f>_xlfn.AGGREGATE(2,5,LineærRegression_Valg[[#This Row],[Tabel ID]])</f>
        <v>1</v>
      </c>
    </row>
    <row r="577" spans="1:8" x14ac:dyDescent="0.2">
      <c r="A577">
        <f>ROW(LineærRegression_Valg[[#This Row],[Tabel ID]])-ROW(LineærRegression_Valg[[#Headers],[Tabel ID]])</f>
        <v>567</v>
      </c>
      <c r="B577" s="45">
        <f>ROUNDDOWN((LineærRegression_Valg[[#This Row],[Tabel ID]]-1)/$B$5,0)+1</f>
        <v>142</v>
      </c>
      <c r="C577" s="45">
        <f t="shared" si="8"/>
        <v>3</v>
      </c>
      <c r="D577" s="45" t="b">
        <f>LineærRegression_Valg[[#This Row],[Afhængig variabel ID]]&lt;&gt;LineærRegression_Valg[[#This Row],[Uafhængig variabel ID]]</f>
        <v>1</v>
      </c>
      <c r="E577" t="b">
        <f>LineærRegression_Valg[[#This Row],[Afhængig variabel ID]]&lt;=$B$5</f>
        <v>0</v>
      </c>
      <c r="F577" t="str" cm="1">
        <f t="array" ref="F577">IF(LineærRegression_Valg[[#This Row],[Indenfor range]],INDEX(DataTitel_liste,LineærRegression_Valg[[#This Row],[Afhængig variabel ID]]),INDEX(DataTitel_liste,1))</f>
        <v>Eksempel 1 (interval)</v>
      </c>
      <c r="G577" s="45" t="str" cm="1">
        <f t="array" ref="G577">IF(LineærRegression_Valg[[#This Row],[Indenfor range]],IF(LineærRegression_Valg[[#This Row],[Intet overlap]],INDEX(DataTitel_liste,LineærRegression_Valg[[#This Row],[Uafhængig variabel ID]]),INDEX(DataTitel_liste,IF(LineærRegression_Valg[[#This Row],[Afhængig variabel ID]]=1,2,1))),$B$7)</f>
        <v>Eksempel 2 (interval)</v>
      </c>
      <c r="H577" s="45">
        <f>_xlfn.AGGREGATE(2,5,LineærRegression_Valg[[#This Row],[Tabel ID]])</f>
        <v>1</v>
      </c>
    </row>
    <row r="578" spans="1:8" x14ac:dyDescent="0.2">
      <c r="A578">
        <f>ROW(LineærRegression_Valg[[#This Row],[Tabel ID]])-ROW(LineærRegression_Valg[[#Headers],[Tabel ID]])</f>
        <v>568</v>
      </c>
      <c r="B578" s="45">
        <f>ROUNDDOWN((LineærRegression_Valg[[#This Row],[Tabel ID]]-1)/$B$5,0)+1</f>
        <v>142</v>
      </c>
      <c r="C578" s="45">
        <f t="shared" si="8"/>
        <v>4</v>
      </c>
      <c r="D578" s="45" t="b">
        <f>LineærRegression_Valg[[#This Row],[Afhængig variabel ID]]&lt;&gt;LineærRegression_Valg[[#This Row],[Uafhængig variabel ID]]</f>
        <v>1</v>
      </c>
      <c r="E578" t="b">
        <f>LineærRegression_Valg[[#This Row],[Afhængig variabel ID]]&lt;=$B$5</f>
        <v>0</v>
      </c>
      <c r="F578" t="str" cm="1">
        <f t="array" ref="F578">IF(LineærRegression_Valg[[#This Row],[Indenfor range]],INDEX(DataTitel_liste,LineærRegression_Valg[[#This Row],[Afhængig variabel ID]]),INDEX(DataTitel_liste,1))</f>
        <v>Eksempel 1 (interval)</v>
      </c>
      <c r="G578" s="45" t="str" cm="1">
        <f t="array" ref="G578">IF(LineærRegression_Valg[[#This Row],[Indenfor range]],IF(LineærRegression_Valg[[#This Row],[Intet overlap]],INDEX(DataTitel_liste,LineærRegression_Valg[[#This Row],[Uafhængig variabel ID]]),INDEX(DataTitel_liste,IF(LineærRegression_Valg[[#This Row],[Afhængig variabel ID]]=1,2,1))),$B$7)</f>
        <v>Eksempel 2 (interval)</v>
      </c>
      <c r="H578" s="45">
        <f>_xlfn.AGGREGATE(2,5,LineærRegression_Valg[[#This Row],[Tabel ID]])</f>
        <v>1</v>
      </c>
    </row>
    <row r="579" spans="1:8" x14ac:dyDescent="0.2">
      <c r="A579">
        <f>ROW(LineærRegression_Valg[[#This Row],[Tabel ID]])-ROW(LineærRegression_Valg[[#Headers],[Tabel ID]])</f>
        <v>569</v>
      </c>
      <c r="B579" s="45">
        <f>ROUNDDOWN((LineærRegression_Valg[[#This Row],[Tabel ID]]-1)/$B$5,0)+1</f>
        <v>143</v>
      </c>
      <c r="C579" s="45">
        <f t="shared" si="8"/>
        <v>1</v>
      </c>
      <c r="D579" s="45" t="b">
        <f>LineærRegression_Valg[[#This Row],[Afhængig variabel ID]]&lt;&gt;LineærRegression_Valg[[#This Row],[Uafhængig variabel ID]]</f>
        <v>1</v>
      </c>
      <c r="E579" t="b">
        <f>LineærRegression_Valg[[#This Row],[Afhængig variabel ID]]&lt;=$B$5</f>
        <v>0</v>
      </c>
      <c r="F579" t="str" cm="1">
        <f t="array" ref="F579">IF(LineærRegression_Valg[[#This Row],[Indenfor range]],INDEX(DataTitel_liste,LineærRegression_Valg[[#This Row],[Afhængig variabel ID]]),INDEX(DataTitel_liste,1))</f>
        <v>Eksempel 1 (interval)</v>
      </c>
      <c r="G579" s="45" t="str" cm="1">
        <f t="array" ref="G579">IF(LineærRegression_Valg[[#This Row],[Indenfor range]],IF(LineærRegression_Valg[[#This Row],[Intet overlap]],INDEX(DataTitel_liste,LineærRegression_Valg[[#This Row],[Uafhængig variabel ID]]),INDEX(DataTitel_liste,IF(LineærRegression_Valg[[#This Row],[Afhængig variabel ID]]=1,2,1))),$B$7)</f>
        <v>Eksempel 2 (interval)</v>
      </c>
      <c r="H579" s="45">
        <f>_xlfn.AGGREGATE(2,5,LineærRegression_Valg[[#This Row],[Tabel ID]])</f>
        <v>1</v>
      </c>
    </row>
    <row r="580" spans="1:8" x14ac:dyDescent="0.2">
      <c r="A580">
        <f>ROW(LineærRegression_Valg[[#This Row],[Tabel ID]])-ROW(LineærRegression_Valg[[#Headers],[Tabel ID]])</f>
        <v>570</v>
      </c>
      <c r="B580" s="45">
        <f>ROUNDDOWN((LineærRegression_Valg[[#This Row],[Tabel ID]]-1)/$B$5,0)+1</f>
        <v>143</v>
      </c>
      <c r="C580" s="45">
        <f t="shared" si="8"/>
        <v>2</v>
      </c>
      <c r="D580" s="45" t="b">
        <f>LineærRegression_Valg[[#This Row],[Afhængig variabel ID]]&lt;&gt;LineærRegression_Valg[[#This Row],[Uafhængig variabel ID]]</f>
        <v>1</v>
      </c>
      <c r="E580" t="b">
        <f>LineærRegression_Valg[[#This Row],[Afhængig variabel ID]]&lt;=$B$5</f>
        <v>0</v>
      </c>
      <c r="F580" t="str" cm="1">
        <f t="array" ref="F580">IF(LineærRegression_Valg[[#This Row],[Indenfor range]],INDEX(DataTitel_liste,LineærRegression_Valg[[#This Row],[Afhængig variabel ID]]),INDEX(DataTitel_liste,1))</f>
        <v>Eksempel 1 (interval)</v>
      </c>
      <c r="G580" s="45" t="str" cm="1">
        <f t="array" ref="G580">IF(LineærRegression_Valg[[#This Row],[Indenfor range]],IF(LineærRegression_Valg[[#This Row],[Intet overlap]],INDEX(DataTitel_liste,LineærRegression_Valg[[#This Row],[Uafhængig variabel ID]]),INDEX(DataTitel_liste,IF(LineærRegression_Valg[[#This Row],[Afhængig variabel ID]]=1,2,1))),$B$7)</f>
        <v>Eksempel 2 (interval)</v>
      </c>
      <c r="H580" s="45">
        <f>_xlfn.AGGREGATE(2,5,LineærRegression_Valg[[#This Row],[Tabel ID]])</f>
        <v>1</v>
      </c>
    </row>
    <row r="581" spans="1:8" x14ac:dyDescent="0.2">
      <c r="A581">
        <f>ROW(LineærRegression_Valg[[#This Row],[Tabel ID]])-ROW(LineærRegression_Valg[[#Headers],[Tabel ID]])</f>
        <v>571</v>
      </c>
      <c r="B581" s="45">
        <f>ROUNDDOWN((LineærRegression_Valg[[#This Row],[Tabel ID]]-1)/$B$5,0)+1</f>
        <v>143</v>
      </c>
      <c r="C581" s="45">
        <f t="shared" si="8"/>
        <v>3</v>
      </c>
      <c r="D581" s="45" t="b">
        <f>LineærRegression_Valg[[#This Row],[Afhængig variabel ID]]&lt;&gt;LineærRegression_Valg[[#This Row],[Uafhængig variabel ID]]</f>
        <v>1</v>
      </c>
      <c r="E581" t="b">
        <f>LineærRegression_Valg[[#This Row],[Afhængig variabel ID]]&lt;=$B$5</f>
        <v>0</v>
      </c>
      <c r="F581" t="str" cm="1">
        <f t="array" ref="F581">IF(LineærRegression_Valg[[#This Row],[Indenfor range]],INDEX(DataTitel_liste,LineærRegression_Valg[[#This Row],[Afhængig variabel ID]]),INDEX(DataTitel_liste,1))</f>
        <v>Eksempel 1 (interval)</v>
      </c>
      <c r="G581" s="45" t="str" cm="1">
        <f t="array" ref="G581">IF(LineærRegression_Valg[[#This Row],[Indenfor range]],IF(LineærRegression_Valg[[#This Row],[Intet overlap]],INDEX(DataTitel_liste,LineærRegression_Valg[[#This Row],[Uafhængig variabel ID]]),INDEX(DataTitel_liste,IF(LineærRegression_Valg[[#This Row],[Afhængig variabel ID]]=1,2,1))),$B$7)</f>
        <v>Eksempel 2 (interval)</v>
      </c>
      <c r="H581" s="45">
        <f>_xlfn.AGGREGATE(2,5,LineærRegression_Valg[[#This Row],[Tabel ID]])</f>
        <v>1</v>
      </c>
    </row>
    <row r="582" spans="1:8" x14ac:dyDescent="0.2">
      <c r="A582">
        <f>ROW(LineærRegression_Valg[[#This Row],[Tabel ID]])-ROW(LineærRegression_Valg[[#Headers],[Tabel ID]])</f>
        <v>572</v>
      </c>
      <c r="B582" s="45">
        <f>ROUNDDOWN((LineærRegression_Valg[[#This Row],[Tabel ID]]-1)/$B$5,0)+1</f>
        <v>143</v>
      </c>
      <c r="C582" s="45">
        <f t="shared" si="8"/>
        <v>4</v>
      </c>
      <c r="D582" s="45" t="b">
        <f>LineærRegression_Valg[[#This Row],[Afhængig variabel ID]]&lt;&gt;LineærRegression_Valg[[#This Row],[Uafhængig variabel ID]]</f>
        <v>1</v>
      </c>
      <c r="E582" t="b">
        <f>LineærRegression_Valg[[#This Row],[Afhængig variabel ID]]&lt;=$B$5</f>
        <v>0</v>
      </c>
      <c r="F582" t="str" cm="1">
        <f t="array" ref="F582">IF(LineærRegression_Valg[[#This Row],[Indenfor range]],INDEX(DataTitel_liste,LineærRegression_Valg[[#This Row],[Afhængig variabel ID]]),INDEX(DataTitel_liste,1))</f>
        <v>Eksempel 1 (interval)</v>
      </c>
      <c r="G582" s="45" t="str" cm="1">
        <f t="array" ref="G582">IF(LineærRegression_Valg[[#This Row],[Indenfor range]],IF(LineærRegression_Valg[[#This Row],[Intet overlap]],INDEX(DataTitel_liste,LineærRegression_Valg[[#This Row],[Uafhængig variabel ID]]),INDEX(DataTitel_liste,IF(LineærRegression_Valg[[#This Row],[Afhængig variabel ID]]=1,2,1))),$B$7)</f>
        <v>Eksempel 2 (interval)</v>
      </c>
      <c r="H582" s="45">
        <f>_xlfn.AGGREGATE(2,5,LineærRegression_Valg[[#This Row],[Tabel ID]])</f>
        <v>1</v>
      </c>
    </row>
    <row r="583" spans="1:8" x14ac:dyDescent="0.2">
      <c r="A583">
        <f>ROW(LineærRegression_Valg[[#This Row],[Tabel ID]])-ROW(LineærRegression_Valg[[#Headers],[Tabel ID]])</f>
        <v>573</v>
      </c>
      <c r="B583" s="45">
        <f>ROUNDDOWN((LineærRegression_Valg[[#This Row],[Tabel ID]]-1)/$B$5,0)+1</f>
        <v>144</v>
      </c>
      <c r="C583" s="45">
        <f t="shared" si="8"/>
        <v>1</v>
      </c>
      <c r="D583" s="45" t="b">
        <f>LineærRegression_Valg[[#This Row],[Afhængig variabel ID]]&lt;&gt;LineærRegression_Valg[[#This Row],[Uafhængig variabel ID]]</f>
        <v>1</v>
      </c>
      <c r="E583" t="b">
        <f>LineærRegression_Valg[[#This Row],[Afhængig variabel ID]]&lt;=$B$5</f>
        <v>0</v>
      </c>
      <c r="F583" t="str" cm="1">
        <f t="array" ref="F583">IF(LineærRegression_Valg[[#This Row],[Indenfor range]],INDEX(DataTitel_liste,LineærRegression_Valg[[#This Row],[Afhængig variabel ID]]),INDEX(DataTitel_liste,1))</f>
        <v>Eksempel 1 (interval)</v>
      </c>
      <c r="G583" s="45" t="str" cm="1">
        <f t="array" ref="G583">IF(LineærRegression_Valg[[#This Row],[Indenfor range]],IF(LineærRegression_Valg[[#This Row],[Intet overlap]],INDEX(DataTitel_liste,LineærRegression_Valg[[#This Row],[Uafhængig variabel ID]]),INDEX(DataTitel_liste,IF(LineærRegression_Valg[[#This Row],[Afhængig variabel ID]]=1,2,1))),$B$7)</f>
        <v>Eksempel 2 (interval)</v>
      </c>
      <c r="H583" s="45">
        <f>_xlfn.AGGREGATE(2,5,LineærRegression_Valg[[#This Row],[Tabel ID]])</f>
        <v>1</v>
      </c>
    </row>
    <row r="584" spans="1:8" x14ac:dyDescent="0.2">
      <c r="A584">
        <f>ROW(LineærRegression_Valg[[#This Row],[Tabel ID]])-ROW(LineærRegression_Valg[[#Headers],[Tabel ID]])</f>
        <v>574</v>
      </c>
      <c r="B584" s="45">
        <f>ROUNDDOWN((LineærRegression_Valg[[#This Row],[Tabel ID]]-1)/$B$5,0)+1</f>
        <v>144</v>
      </c>
      <c r="C584" s="45">
        <f t="shared" si="8"/>
        <v>2</v>
      </c>
      <c r="D584" s="45" t="b">
        <f>LineærRegression_Valg[[#This Row],[Afhængig variabel ID]]&lt;&gt;LineærRegression_Valg[[#This Row],[Uafhængig variabel ID]]</f>
        <v>1</v>
      </c>
      <c r="E584" t="b">
        <f>LineærRegression_Valg[[#This Row],[Afhængig variabel ID]]&lt;=$B$5</f>
        <v>0</v>
      </c>
      <c r="F584" t="str" cm="1">
        <f t="array" ref="F584">IF(LineærRegression_Valg[[#This Row],[Indenfor range]],INDEX(DataTitel_liste,LineærRegression_Valg[[#This Row],[Afhængig variabel ID]]),INDEX(DataTitel_liste,1))</f>
        <v>Eksempel 1 (interval)</v>
      </c>
      <c r="G584" s="45" t="str" cm="1">
        <f t="array" ref="G584">IF(LineærRegression_Valg[[#This Row],[Indenfor range]],IF(LineærRegression_Valg[[#This Row],[Intet overlap]],INDEX(DataTitel_liste,LineærRegression_Valg[[#This Row],[Uafhængig variabel ID]]),INDEX(DataTitel_liste,IF(LineærRegression_Valg[[#This Row],[Afhængig variabel ID]]=1,2,1))),$B$7)</f>
        <v>Eksempel 2 (interval)</v>
      </c>
      <c r="H584" s="45">
        <f>_xlfn.AGGREGATE(2,5,LineærRegression_Valg[[#This Row],[Tabel ID]])</f>
        <v>1</v>
      </c>
    </row>
    <row r="585" spans="1:8" x14ac:dyDescent="0.2">
      <c r="A585">
        <f>ROW(LineærRegression_Valg[[#This Row],[Tabel ID]])-ROW(LineærRegression_Valg[[#Headers],[Tabel ID]])</f>
        <v>575</v>
      </c>
      <c r="B585" s="45">
        <f>ROUNDDOWN((LineærRegression_Valg[[#This Row],[Tabel ID]]-1)/$B$5,0)+1</f>
        <v>144</v>
      </c>
      <c r="C585" s="45">
        <f t="shared" si="8"/>
        <v>3</v>
      </c>
      <c r="D585" s="45" t="b">
        <f>LineærRegression_Valg[[#This Row],[Afhængig variabel ID]]&lt;&gt;LineærRegression_Valg[[#This Row],[Uafhængig variabel ID]]</f>
        <v>1</v>
      </c>
      <c r="E585" t="b">
        <f>LineærRegression_Valg[[#This Row],[Afhængig variabel ID]]&lt;=$B$5</f>
        <v>0</v>
      </c>
      <c r="F585" t="str" cm="1">
        <f t="array" ref="F585">IF(LineærRegression_Valg[[#This Row],[Indenfor range]],INDEX(DataTitel_liste,LineærRegression_Valg[[#This Row],[Afhængig variabel ID]]),INDEX(DataTitel_liste,1))</f>
        <v>Eksempel 1 (interval)</v>
      </c>
      <c r="G585" s="45" t="str" cm="1">
        <f t="array" ref="G585">IF(LineærRegression_Valg[[#This Row],[Indenfor range]],IF(LineærRegression_Valg[[#This Row],[Intet overlap]],INDEX(DataTitel_liste,LineærRegression_Valg[[#This Row],[Uafhængig variabel ID]]),INDEX(DataTitel_liste,IF(LineærRegression_Valg[[#This Row],[Afhængig variabel ID]]=1,2,1))),$B$7)</f>
        <v>Eksempel 2 (interval)</v>
      </c>
      <c r="H585" s="45">
        <f>_xlfn.AGGREGATE(2,5,LineærRegression_Valg[[#This Row],[Tabel ID]])</f>
        <v>1</v>
      </c>
    </row>
    <row r="586" spans="1:8" x14ac:dyDescent="0.2">
      <c r="A586">
        <f>ROW(LineærRegression_Valg[[#This Row],[Tabel ID]])-ROW(LineærRegression_Valg[[#Headers],[Tabel ID]])</f>
        <v>576</v>
      </c>
      <c r="B586" s="45">
        <f>ROUNDDOWN((LineærRegression_Valg[[#This Row],[Tabel ID]]-1)/$B$5,0)+1</f>
        <v>144</v>
      </c>
      <c r="C586" s="45">
        <f t="shared" si="8"/>
        <v>4</v>
      </c>
      <c r="D586" s="45" t="b">
        <f>LineærRegression_Valg[[#This Row],[Afhængig variabel ID]]&lt;&gt;LineærRegression_Valg[[#This Row],[Uafhængig variabel ID]]</f>
        <v>1</v>
      </c>
      <c r="E586" t="b">
        <f>LineærRegression_Valg[[#This Row],[Afhængig variabel ID]]&lt;=$B$5</f>
        <v>0</v>
      </c>
      <c r="F586" t="str" cm="1">
        <f t="array" ref="F586">IF(LineærRegression_Valg[[#This Row],[Indenfor range]],INDEX(DataTitel_liste,LineærRegression_Valg[[#This Row],[Afhængig variabel ID]]),INDEX(DataTitel_liste,1))</f>
        <v>Eksempel 1 (interval)</v>
      </c>
      <c r="G586" s="45" t="str" cm="1">
        <f t="array" ref="G586">IF(LineærRegression_Valg[[#This Row],[Indenfor range]],IF(LineærRegression_Valg[[#This Row],[Intet overlap]],INDEX(DataTitel_liste,LineærRegression_Valg[[#This Row],[Uafhængig variabel ID]]),INDEX(DataTitel_liste,IF(LineærRegression_Valg[[#This Row],[Afhængig variabel ID]]=1,2,1))),$B$7)</f>
        <v>Eksempel 2 (interval)</v>
      </c>
      <c r="H586" s="45">
        <f>_xlfn.AGGREGATE(2,5,LineærRegression_Valg[[#This Row],[Tabel ID]])</f>
        <v>1</v>
      </c>
    </row>
    <row r="587" spans="1:8" x14ac:dyDescent="0.2">
      <c r="A587">
        <f>ROW(LineærRegression_Valg[[#This Row],[Tabel ID]])-ROW(LineærRegression_Valg[[#Headers],[Tabel ID]])</f>
        <v>577</v>
      </c>
      <c r="B587" s="45">
        <f>ROUNDDOWN((LineærRegression_Valg[[#This Row],[Tabel ID]]-1)/$B$5,0)+1</f>
        <v>145</v>
      </c>
      <c r="C587" s="45">
        <f t="shared" ref="C587:C650" si="9">MOD(A587-1,$B$5)+1</f>
        <v>1</v>
      </c>
      <c r="D587" s="45" t="b">
        <f>LineærRegression_Valg[[#This Row],[Afhængig variabel ID]]&lt;&gt;LineærRegression_Valg[[#This Row],[Uafhængig variabel ID]]</f>
        <v>1</v>
      </c>
      <c r="E587" t="b">
        <f>LineærRegression_Valg[[#This Row],[Afhængig variabel ID]]&lt;=$B$5</f>
        <v>0</v>
      </c>
      <c r="F587" t="str" cm="1">
        <f t="array" ref="F587">IF(LineærRegression_Valg[[#This Row],[Indenfor range]],INDEX(DataTitel_liste,LineærRegression_Valg[[#This Row],[Afhængig variabel ID]]),INDEX(DataTitel_liste,1))</f>
        <v>Eksempel 1 (interval)</v>
      </c>
      <c r="G587" s="45" t="str" cm="1">
        <f t="array" ref="G587">IF(LineærRegression_Valg[[#This Row],[Indenfor range]],IF(LineærRegression_Valg[[#This Row],[Intet overlap]],INDEX(DataTitel_liste,LineærRegression_Valg[[#This Row],[Uafhængig variabel ID]]),INDEX(DataTitel_liste,IF(LineærRegression_Valg[[#This Row],[Afhængig variabel ID]]=1,2,1))),$B$7)</f>
        <v>Eksempel 2 (interval)</v>
      </c>
      <c r="H587" s="45">
        <f>_xlfn.AGGREGATE(2,5,LineærRegression_Valg[[#This Row],[Tabel ID]])</f>
        <v>1</v>
      </c>
    </row>
    <row r="588" spans="1:8" x14ac:dyDescent="0.2">
      <c r="A588">
        <f>ROW(LineærRegression_Valg[[#This Row],[Tabel ID]])-ROW(LineærRegression_Valg[[#Headers],[Tabel ID]])</f>
        <v>578</v>
      </c>
      <c r="B588" s="45">
        <f>ROUNDDOWN((LineærRegression_Valg[[#This Row],[Tabel ID]]-1)/$B$5,0)+1</f>
        <v>145</v>
      </c>
      <c r="C588" s="45">
        <f t="shared" si="9"/>
        <v>2</v>
      </c>
      <c r="D588" s="45" t="b">
        <f>LineærRegression_Valg[[#This Row],[Afhængig variabel ID]]&lt;&gt;LineærRegression_Valg[[#This Row],[Uafhængig variabel ID]]</f>
        <v>1</v>
      </c>
      <c r="E588" t="b">
        <f>LineærRegression_Valg[[#This Row],[Afhængig variabel ID]]&lt;=$B$5</f>
        <v>0</v>
      </c>
      <c r="F588" t="str" cm="1">
        <f t="array" ref="F588">IF(LineærRegression_Valg[[#This Row],[Indenfor range]],INDEX(DataTitel_liste,LineærRegression_Valg[[#This Row],[Afhængig variabel ID]]),INDEX(DataTitel_liste,1))</f>
        <v>Eksempel 1 (interval)</v>
      </c>
      <c r="G588" s="45" t="str" cm="1">
        <f t="array" ref="G588">IF(LineærRegression_Valg[[#This Row],[Indenfor range]],IF(LineærRegression_Valg[[#This Row],[Intet overlap]],INDEX(DataTitel_liste,LineærRegression_Valg[[#This Row],[Uafhængig variabel ID]]),INDEX(DataTitel_liste,IF(LineærRegression_Valg[[#This Row],[Afhængig variabel ID]]=1,2,1))),$B$7)</f>
        <v>Eksempel 2 (interval)</v>
      </c>
      <c r="H588" s="45">
        <f>_xlfn.AGGREGATE(2,5,LineærRegression_Valg[[#This Row],[Tabel ID]])</f>
        <v>1</v>
      </c>
    </row>
    <row r="589" spans="1:8" x14ac:dyDescent="0.2">
      <c r="A589">
        <f>ROW(LineærRegression_Valg[[#This Row],[Tabel ID]])-ROW(LineærRegression_Valg[[#Headers],[Tabel ID]])</f>
        <v>579</v>
      </c>
      <c r="B589" s="45">
        <f>ROUNDDOWN((LineærRegression_Valg[[#This Row],[Tabel ID]]-1)/$B$5,0)+1</f>
        <v>145</v>
      </c>
      <c r="C589" s="45">
        <f t="shared" si="9"/>
        <v>3</v>
      </c>
      <c r="D589" s="45" t="b">
        <f>LineærRegression_Valg[[#This Row],[Afhængig variabel ID]]&lt;&gt;LineærRegression_Valg[[#This Row],[Uafhængig variabel ID]]</f>
        <v>1</v>
      </c>
      <c r="E589" t="b">
        <f>LineærRegression_Valg[[#This Row],[Afhængig variabel ID]]&lt;=$B$5</f>
        <v>0</v>
      </c>
      <c r="F589" t="str" cm="1">
        <f t="array" ref="F589">IF(LineærRegression_Valg[[#This Row],[Indenfor range]],INDEX(DataTitel_liste,LineærRegression_Valg[[#This Row],[Afhængig variabel ID]]),INDEX(DataTitel_liste,1))</f>
        <v>Eksempel 1 (interval)</v>
      </c>
      <c r="G589" s="45" t="str" cm="1">
        <f t="array" ref="G589">IF(LineærRegression_Valg[[#This Row],[Indenfor range]],IF(LineærRegression_Valg[[#This Row],[Intet overlap]],INDEX(DataTitel_liste,LineærRegression_Valg[[#This Row],[Uafhængig variabel ID]]),INDEX(DataTitel_liste,IF(LineærRegression_Valg[[#This Row],[Afhængig variabel ID]]=1,2,1))),$B$7)</f>
        <v>Eksempel 2 (interval)</v>
      </c>
      <c r="H589" s="45">
        <f>_xlfn.AGGREGATE(2,5,LineærRegression_Valg[[#This Row],[Tabel ID]])</f>
        <v>1</v>
      </c>
    </row>
    <row r="590" spans="1:8" x14ac:dyDescent="0.2">
      <c r="A590">
        <f>ROW(LineærRegression_Valg[[#This Row],[Tabel ID]])-ROW(LineærRegression_Valg[[#Headers],[Tabel ID]])</f>
        <v>580</v>
      </c>
      <c r="B590" s="45">
        <f>ROUNDDOWN((LineærRegression_Valg[[#This Row],[Tabel ID]]-1)/$B$5,0)+1</f>
        <v>145</v>
      </c>
      <c r="C590" s="45">
        <f t="shared" si="9"/>
        <v>4</v>
      </c>
      <c r="D590" s="45" t="b">
        <f>LineærRegression_Valg[[#This Row],[Afhængig variabel ID]]&lt;&gt;LineærRegression_Valg[[#This Row],[Uafhængig variabel ID]]</f>
        <v>1</v>
      </c>
      <c r="E590" t="b">
        <f>LineærRegression_Valg[[#This Row],[Afhængig variabel ID]]&lt;=$B$5</f>
        <v>0</v>
      </c>
      <c r="F590" t="str" cm="1">
        <f t="array" ref="F590">IF(LineærRegression_Valg[[#This Row],[Indenfor range]],INDEX(DataTitel_liste,LineærRegression_Valg[[#This Row],[Afhængig variabel ID]]),INDEX(DataTitel_liste,1))</f>
        <v>Eksempel 1 (interval)</v>
      </c>
      <c r="G590" s="45" t="str" cm="1">
        <f t="array" ref="G590">IF(LineærRegression_Valg[[#This Row],[Indenfor range]],IF(LineærRegression_Valg[[#This Row],[Intet overlap]],INDEX(DataTitel_liste,LineærRegression_Valg[[#This Row],[Uafhængig variabel ID]]),INDEX(DataTitel_liste,IF(LineærRegression_Valg[[#This Row],[Afhængig variabel ID]]=1,2,1))),$B$7)</f>
        <v>Eksempel 2 (interval)</v>
      </c>
      <c r="H590" s="45">
        <f>_xlfn.AGGREGATE(2,5,LineærRegression_Valg[[#This Row],[Tabel ID]])</f>
        <v>1</v>
      </c>
    </row>
    <row r="591" spans="1:8" x14ac:dyDescent="0.2">
      <c r="A591">
        <f>ROW(LineærRegression_Valg[[#This Row],[Tabel ID]])-ROW(LineærRegression_Valg[[#Headers],[Tabel ID]])</f>
        <v>581</v>
      </c>
      <c r="B591" s="45">
        <f>ROUNDDOWN((LineærRegression_Valg[[#This Row],[Tabel ID]]-1)/$B$5,0)+1</f>
        <v>146</v>
      </c>
      <c r="C591" s="45">
        <f t="shared" si="9"/>
        <v>1</v>
      </c>
      <c r="D591" s="45" t="b">
        <f>LineærRegression_Valg[[#This Row],[Afhængig variabel ID]]&lt;&gt;LineærRegression_Valg[[#This Row],[Uafhængig variabel ID]]</f>
        <v>1</v>
      </c>
      <c r="E591" t="b">
        <f>LineærRegression_Valg[[#This Row],[Afhængig variabel ID]]&lt;=$B$5</f>
        <v>0</v>
      </c>
      <c r="F591" t="str" cm="1">
        <f t="array" ref="F591">IF(LineærRegression_Valg[[#This Row],[Indenfor range]],INDEX(DataTitel_liste,LineærRegression_Valg[[#This Row],[Afhængig variabel ID]]),INDEX(DataTitel_liste,1))</f>
        <v>Eksempel 1 (interval)</v>
      </c>
      <c r="G591" s="45" t="str" cm="1">
        <f t="array" ref="G591">IF(LineærRegression_Valg[[#This Row],[Indenfor range]],IF(LineærRegression_Valg[[#This Row],[Intet overlap]],INDEX(DataTitel_liste,LineærRegression_Valg[[#This Row],[Uafhængig variabel ID]]),INDEX(DataTitel_liste,IF(LineærRegression_Valg[[#This Row],[Afhængig variabel ID]]=1,2,1))),$B$7)</f>
        <v>Eksempel 2 (interval)</v>
      </c>
      <c r="H591" s="45">
        <f>_xlfn.AGGREGATE(2,5,LineærRegression_Valg[[#This Row],[Tabel ID]])</f>
        <v>1</v>
      </c>
    </row>
    <row r="592" spans="1:8" x14ac:dyDescent="0.2">
      <c r="A592">
        <f>ROW(LineærRegression_Valg[[#This Row],[Tabel ID]])-ROW(LineærRegression_Valg[[#Headers],[Tabel ID]])</f>
        <v>582</v>
      </c>
      <c r="B592" s="45">
        <f>ROUNDDOWN((LineærRegression_Valg[[#This Row],[Tabel ID]]-1)/$B$5,0)+1</f>
        <v>146</v>
      </c>
      <c r="C592" s="45">
        <f t="shared" si="9"/>
        <v>2</v>
      </c>
      <c r="D592" s="45" t="b">
        <f>LineærRegression_Valg[[#This Row],[Afhængig variabel ID]]&lt;&gt;LineærRegression_Valg[[#This Row],[Uafhængig variabel ID]]</f>
        <v>1</v>
      </c>
      <c r="E592" t="b">
        <f>LineærRegression_Valg[[#This Row],[Afhængig variabel ID]]&lt;=$B$5</f>
        <v>0</v>
      </c>
      <c r="F592" t="str" cm="1">
        <f t="array" ref="F592">IF(LineærRegression_Valg[[#This Row],[Indenfor range]],INDEX(DataTitel_liste,LineærRegression_Valg[[#This Row],[Afhængig variabel ID]]),INDEX(DataTitel_liste,1))</f>
        <v>Eksempel 1 (interval)</v>
      </c>
      <c r="G592" s="45" t="str" cm="1">
        <f t="array" ref="G592">IF(LineærRegression_Valg[[#This Row],[Indenfor range]],IF(LineærRegression_Valg[[#This Row],[Intet overlap]],INDEX(DataTitel_liste,LineærRegression_Valg[[#This Row],[Uafhængig variabel ID]]),INDEX(DataTitel_liste,IF(LineærRegression_Valg[[#This Row],[Afhængig variabel ID]]=1,2,1))),$B$7)</f>
        <v>Eksempel 2 (interval)</v>
      </c>
      <c r="H592" s="45">
        <f>_xlfn.AGGREGATE(2,5,LineærRegression_Valg[[#This Row],[Tabel ID]])</f>
        <v>1</v>
      </c>
    </row>
    <row r="593" spans="1:8" x14ac:dyDescent="0.2">
      <c r="A593">
        <f>ROW(LineærRegression_Valg[[#This Row],[Tabel ID]])-ROW(LineærRegression_Valg[[#Headers],[Tabel ID]])</f>
        <v>583</v>
      </c>
      <c r="B593" s="45">
        <f>ROUNDDOWN((LineærRegression_Valg[[#This Row],[Tabel ID]]-1)/$B$5,0)+1</f>
        <v>146</v>
      </c>
      <c r="C593" s="45">
        <f t="shared" si="9"/>
        <v>3</v>
      </c>
      <c r="D593" s="45" t="b">
        <f>LineærRegression_Valg[[#This Row],[Afhængig variabel ID]]&lt;&gt;LineærRegression_Valg[[#This Row],[Uafhængig variabel ID]]</f>
        <v>1</v>
      </c>
      <c r="E593" t="b">
        <f>LineærRegression_Valg[[#This Row],[Afhængig variabel ID]]&lt;=$B$5</f>
        <v>0</v>
      </c>
      <c r="F593" t="str" cm="1">
        <f t="array" ref="F593">IF(LineærRegression_Valg[[#This Row],[Indenfor range]],INDEX(DataTitel_liste,LineærRegression_Valg[[#This Row],[Afhængig variabel ID]]),INDEX(DataTitel_liste,1))</f>
        <v>Eksempel 1 (interval)</v>
      </c>
      <c r="G593" s="45" t="str" cm="1">
        <f t="array" ref="G593">IF(LineærRegression_Valg[[#This Row],[Indenfor range]],IF(LineærRegression_Valg[[#This Row],[Intet overlap]],INDEX(DataTitel_liste,LineærRegression_Valg[[#This Row],[Uafhængig variabel ID]]),INDEX(DataTitel_liste,IF(LineærRegression_Valg[[#This Row],[Afhængig variabel ID]]=1,2,1))),$B$7)</f>
        <v>Eksempel 2 (interval)</v>
      </c>
      <c r="H593" s="45">
        <f>_xlfn.AGGREGATE(2,5,LineærRegression_Valg[[#This Row],[Tabel ID]])</f>
        <v>1</v>
      </c>
    </row>
    <row r="594" spans="1:8" x14ac:dyDescent="0.2">
      <c r="A594">
        <f>ROW(LineærRegression_Valg[[#This Row],[Tabel ID]])-ROW(LineærRegression_Valg[[#Headers],[Tabel ID]])</f>
        <v>584</v>
      </c>
      <c r="B594" s="45">
        <f>ROUNDDOWN((LineærRegression_Valg[[#This Row],[Tabel ID]]-1)/$B$5,0)+1</f>
        <v>146</v>
      </c>
      <c r="C594" s="45">
        <f t="shared" si="9"/>
        <v>4</v>
      </c>
      <c r="D594" s="45" t="b">
        <f>LineærRegression_Valg[[#This Row],[Afhængig variabel ID]]&lt;&gt;LineærRegression_Valg[[#This Row],[Uafhængig variabel ID]]</f>
        <v>1</v>
      </c>
      <c r="E594" t="b">
        <f>LineærRegression_Valg[[#This Row],[Afhængig variabel ID]]&lt;=$B$5</f>
        <v>0</v>
      </c>
      <c r="F594" t="str" cm="1">
        <f t="array" ref="F594">IF(LineærRegression_Valg[[#This Row],[Indenfor range]],INDEX(DataTitel_liste,LineærRegression_Valg[[#This Row],[Afhængig variabel ID]]),INDEX(DataTitel_liste,1))</f>
        <v>Eksempel 1 (interval)</v>
      </c>
      <c r="G594" s="45" t="str" cm="1">
        <f t="array" ref="G594">IF(LineærRegression_Valg[[#This Row],[Indenfor range]],IF(LineærRegression_Valg[[#This Row],[Intet overlap]],INDEX(DataTitel_liste,LineærRegression_Valg[[#This Row],[Uafhængig variabel ID]]),INDEX(DataTitel_liste,IF(LineærRegression_Valg[[#This Row],[Afhængig variabel ID]]=1,2,1))),$B$7)</f>
        <v>Eksempel 2 (interval)</v>
      </c>
      <c r="H594" s="45">
        <f>_xlfn.AGGREGATE(2,5,LineærRegression_Valg[[#This Row],[Tabel ID]])</f>
        <v>1</v>
      </c>
    </row>
    <row r="595" spans="1:8" x14ac:dyDescent="0.2">
      <c r="A595">
        <f>ROW(LineærRegression_Valg[[#This Row],[Tabel ID]])-ROW(LineærRegression_Valg[[#Headers],[Tabel ID]])</f>
        <v>585</v>
      </c>
      <c r="B595" s="45">
        <f>ROUNDDOWN((LineærRegression_Valg[[#This Row],[Tabel ID]]-1)/$B$5,0)+1</f>
        <v>147</v>
      </c>
      <c r="C595" s="45">
        <f t="shared" si="9"/>
        <v>1</v>
      </c>
      <c r="D595" s="45" t="b">
        <f>LineærRegression_Valg[[#This Row],[Afhængig variabel ID]]&lt;&gt;LineærRegression_Valg[[#This Row],[Uafhængig variabel ID]]</f>
        <v>1</v>
      </c>
      <c r="E595" t="b">
        <f>LineærRegression_Valg[[#This Row],[Afhængig variabel ID]]&lt;=$B$5</f>
        <v>0</v>
      </c>
      <c r="F595" t="str" cm="1">
        <f t="array" ref="F595">IF(LineærRegression_Valg[[#This Row],[Indenfor range]],INDEX(DataTitel_liste,LineærRegression_Valg[[#This Row],[Afhængig variabel ID]]),INDEX(DataTitel_liste,1))</f>
        <v>Eksempel 1 (interval)</v>
      </c>
      <c r="G595" s="45" t="str" cm="1">
        <f t="array" ref="G595">IF(LineærRegression_Valg[[#This Row],[Indenfor range]],IF(LineærRegression_Valg[[#This Row],[Intet overlap]],INDEX(DataTitel_liste,LineærRegression_Valg[[#This Row],[Uafhængig variabel ID]]),INDEX(DataTitel_liste,IF(LineærRegression_Valg[[#This Row],[Afhængig variabel ID]]=1,2,1))),$B$7)</f>
        <v>Eksempel 2 (interval)</v>
      </c>
      <c r="H595" s="45">
        <f>_xlfn.AGGREGATE(2,5,LineærRegression_Valg[[#This Row],[Tabel ID]])</f>
        <v>1</v>
      </c>
    </row>
    <row r="596" spans="1:8" x14ac:dyDescent="0.2">
      <c r="A596">
        <f>ROW(LineærRegression_Valg[[#This Row],[Tabel ID]])-ROW(LineærRegression_Valg[[#Headers],[Tabel ID]])</f>
        <v>586</v>
      </c>
      <c r="B596" s="45">
        <f>ROUNDDOWN((LineærRegression_Valg[[#This Row],[Tabel ID]]-1)/$B$5,0)+1</f>
        <v>147</v>
      </c>
      <c r="C596" s="45">
        <f t="shared" si="9"/>
        <v>2</v>
      </c>
      <c r="D596" s="45" t="b">
        <f>LineærRegression_Valg[[#This Row],[Afhængig variabel ID]]&lt;&gt;LineærRegression_Valg[[#This Row],[Uafhængig variabel ID]]</f>
        <v>1</v>
      </c>
      <c r="E596" t="b">
        <f>LineærRegression_Valg[[#This Row],[Afhængig variabel ID]]&lt;=$B$5</f>
        <v>0</v>
      </c>
      <c r="F596" t="str" cm="1">
        <f t="array" ref="F596">IF(LineærRegression_Valg[[#This Row],[Indenfor range]],INDEX(DataTitel_liste,LineærRegression_Valg[[#This Row],[Afhængig variabel ID]]),INDEX(DataTitel_liste,1))</f>
        <v>Eksempel 1 (interval)</v>
      </c>
      <c r="G596" s="45" t="str" cm="1">
        <f t="array" ref="G596">IF(LineærRegression_Valg[[#This Row],[Indenfor range]],IF(LineærRegression_Valg[[#This Row],[Intet overlap]],INDEX(DataTitel_liste,LineærRegression_Valg[[#This Row],[Uafhængig variabel ID]]),INDEX(DataTitel_liste,IF(LineærRegression_Valg[[#This Row],[Afhængig variabel ID]]=1,2,1))),$B$7)</f>
        <v>Eksempel 2 (interval)</v>
      </c>
      <c r="H596" s="45">
        <f>_xlfn.AGGREGATE(2,5,LineærRegression_Valg[[#This Row],[Tabel ID]])</f>
        <v>1</v>
      </c>
    </row>
    <row r="597" spans="1:8" x14ac:dyDescent="0.2">
      <c r="A597">
        <f>ROW(LineærRegression_Valg[[#This Row],[Tabel ID]])-ROW(LineærRegression_Valg[[#Headers],[Tabel ID]])</f>
        <v>587</v>
      </c>
      <c r="B597" s="45">
        <f>ROUNDDOWN((LineærRegression_Valg[[#This Row],[Tabel ID]]-1)/$B$5,0)+1</f>
        <v>147</v>
      </c>
      <c r="C597" s="45">
        <f t="shared" si="9"/>
        <v>3</v>
      </c>
      <c r="D597" s="45" t="b">
        <f>LineærRegression_Valg[[#This Row],[Afhængig variabel ID]]&lt;&gt;LineærRegression_Valg[[#This Row],[Uafhængig variabel ID]]</f>
        <v>1</v>
      </c>
      <c r="E597" t="b">
        <f>LineærRegression_Valg[[#This Row],[Afhængig variabel ID]]&lt;=$B$5</f>
        <v>0</v>
      </c>
      <c r="F597" t="str" cm="1">
        <f t="array" ref="F597">IF(LineærRegression_Valg[[#This Row],[Indenfor range]],INDEX(DataTitel_liste,LineærRegression_Valg[[#This Row],[Afhængig variabel ID]]),INDEX(DataTitel_liste,1))</f>
        <v>Eksempel 1 (interval)</v>
      </c>
      <c r="G597" s="45" t="str" cm="1">
        <f t="array" ref="G597">IF(LineærRegression_Valg[[#This Row],[Indenfor range]],IF(LineærRegression_Valg[[#This Row],[Intet overlap]],INDEX(DataTitel_liste,LineærRegression_Valg[[#This Row],[Uafhængig variabel ID]]),INDEX(DataTitel_liste,IF(LineærRegression_Valg[[#This Row],[Afhængig variabel ID]]=1,2,1))),$B$7)</f>
        <v>Eksempel 2 (interval)</v>
      </c>
      <c r="H597" s="45">
        <f>_xlfn.AGGREGATE(2,5,LineærRegression_Valg[[#This Row],[Tabel ID]])</f>
        <v>1</v>
      </c>
    </row>
    <row r="598" spans="1:8" x14ac:dyDescent="0.2">
      <c r="A598">
        <f>ROW(LineærRegression_Valg[[#This Row],[Tabel ID]])-ROW(LineærRegression_Valg[[#Headers],[Tabel ID]])</f>
        <v>588</v>
      </c>
      <c r="B598" s="45">
        <f>ROUNDDOWN((LineærRegression_Valg[[#This Row],[Tabel ID]]-1)/$B$5,0)+1</f>
        <v>147</v>
      </c>
      <c r="C598" s="45">
        <f t="shared" si="9"/>
        <v>4</v>
      </c>
      <c r="D598" s="45" t="b">
        <f>LineærRegression_Valg[[#This Row],[Afhængig variabel ID]]&lt;&gt;LineærRegression_Valg[[#This Row],[Uafhængig variabel ID]]</f>
        <v>1</v>
      </c>
      <c r="E598" t="b">
        <f>LineærRegression_Valg[[#This Row],[Afhængig variabel ID]]&lt;=$B$5</f>
        <v>0</v>
      </c>
      <c r="F598" t="str" cm="1">
        <f t="array" ref="F598">IF(LineærRegression_Valg[[#This Row],[Indenfor range]],INDEX(DataTitel_liste,LineærRegression_Valg[[#This Row],[Afhængig variabel ID]]),INDEX(DataTitel_liste,1))</f>
        <v>Eksempel 1 (interval)</v>
      </c>
      <c r="G598" s="45" t="str" cm="1">
        <f t="array" ref="G598">IF(LineærRegression_Valg[[#This Row],[Indenfor range]],IF(LineærRegression_Valg[[#This Row],[Intet overlap]],INDEX(DataTitel_liste,LineærRegression_Valg[[#This Row],[Uafhængig variabel ID]]),INDEX(DataTitel_liste,IF(LineærRegression_Valg[[#This Row],[Afhængig variabel ID]]=1,2,1))),$B$7)</f>
        <v>Eksempel 2 (interval)</v>
      </c>
      <c r="H598" s="45">
        <f>_xlfn.AGGREGATE(2,5,LineærRegression_Valg[[#This Row],[Tabel ID]])</f>
        <v>1</v>
      </c>
    </row>
    <row r="599" spans="1:8" x14ac:dyDescent="0.2">
      <c r="A599">
        <f>ROW(LineærRegression_Valg[[#This Row],[Tabel ID]])-ROW(LineærRegression_Valg[[#Headers],[Tabel ID]])</f>
        <v>589</v>
      </c>
      <c r="B599" s="45">
        <f>ROUNDDOWN((LineærRegression_Valg[[#This Row],[Tabel ID]]-1)/$B$5,0)+1</f>
        <v>148</v>
      </c>
      <c r="C599" s="45">
        <f t="shared" si="9"/>
        <v>1</v>
      </c>
      <c r="D599" s="45" t="b">
        <f>LineærRegression_Valg[[#This Row],[Afhængig variabel ID]]&lt;&gt;LineærRegression_Valg[[#This Row],[Uafhængig variabel ID]]</f>
        <v>1</v>
      </c>
      <c r="E599" t="b">
        <f>LineærRegression_Valg[[#This Row],[Afhængig variabel ID]]&lt;=$B$5</f>
        <v>0</v>
      </c>
      <c r="F599" t="str" cm="1">
        <f t="array" ref="F599">IF(LineærRegression_Valg[[#This Row],[Indenfor range]],INDEX(DataTitel_liste,LineærRegression_Valg[[#This Row],[Afhængig variabel ID]]),INDEX(DataTitel_liste,1))</f>
        <v>Eksempel 1 (interval)</v>
      </c>
      <c r="G599" s="45" t="str" cm="1">
        <f t="array" ref="G599">IF(LineærRegression_Valg[[#This Row],[Indenfor range]],IF(LineærRegression_Valg[[#This Row],[Intet overlap]],INDEX(DataTitel_liste,LineærRegression_Valg[[#This Row],[Uafhængig variabel ID]]),INDEX(DataTitel_liste,IF(LineærRegression_Valg[[#This Row],[Afhængig variabel ID]]=1,2,1))),$B$7)</f>
        <v>Eksempel 2 (interval)</v>
      </c>
      <c r="H599" s="45">
        <f>_xlfn.AGGREGATE(2,5,LineærRegression_Valg[[#This Row],[Tabel ID]])</f>
        <v>1</v>
      </c>
    </row>
    <row r="600" spans="1:8" x14ac:dyDescent="0.2">
      <c r="A600">
        <f>ROW(LineærRegression_Valg[[#This Row],[Tabel ID]])-ROW(LineærRegression_Valg[[#Headers],[Tabel ID]])</f>
        <v>590</v>
      </c>
      <c r="B600" s="45">
        <f>ROUNDDOWN((LineærRegression_Valg[[#This Row],[Tabel ID]]-1)/$B$5,0)+1</f>
        <v>148</v>
      </c>
      <c r="C600" s="45">
        <f t="shared" si="9"/>
        <v>2</v>
      </c>
      <c r="D600" s="45" t="b">
        <f>LineærRegression_Valg[[#This Row],[Afhængig variabel ID]]&lt;&gt;LineærRegression_Valg[[#This Row],[Uafhængig variabel ID]]</f>
        <v>1</v>
      </c>
      <c r="E600" t="b">
        <f>LineærRegression_Valg[[#This Row],[Afhængig variabel ID]]&lt;=$B$5</f>
        <v>0</v>
      </c>
      <c r="F600" t="str" cm="1">
        <f t="array" ref="F600">IF(LineærRegression_Valg[[#This Row],[Indenfor range]],INDEX(DataTitel_liste,LineærRegression_Valg[[#This Row],[Afhængig variabel ID]]),INDEX(DataTitel_liste,1))</f>
        <v>Eksempel 1 (interval)</v>
      </c>
      <c r="G600" s="45" t="str" cm="1">
        <f t="array" ref="G600">IF(LineærRegression_Valg[[#This Row],[Indenfor range]],IF(LineærRegression_Valg[[#This Row],[Intet overlap]],INDEX(DataTitel_liste,LineærRegression_Valg[[#This Row],[Uafhængig variabel ID]]),INDEX(DataTitel_liste,IF(LineærRegression_Valg[[#This Row],[Afhængig variabel ID]]=1,2,1))),$B$7)</f>
        <v>Eksempel 2 (interval)</v>
      </c>
      <c r="H600" s="45">
        <f>_xlfn.AGGREGATE(2,5,LineærRegression_Valg[[#This Row],[Tabel ID]])</f>
        <v>1</v>
      </c>
    </row>
    <row r="601" spans="1:8" x14ac:dyDescent="0.2">
      <c r="A601">
        <f>ROW(LineærRegression_Valg[[#This Row],[Tabel ID]])-ROW(LineærRegression_Valg[[#Headers],[Tabel ID]])</f>
        <v>591</v>
      </c>
      <c r="B601" s="45">
        <f>ROUNDDOWN((LineærRegression_Valg[[#This Row],[Tabel ID]]-1)/$B$5,0)+1</f>
        <v>148</v>
      </c>
      <c r="C601" s="45">
        <f t="shared" si="9"/>
        <v>3</v>
      </c>
      <c r="D601" s="45" t="b">
        <f>LineærRegression_Valg[[#This Row],[Afhængig variabel ID]]&lt;&gt;LineærRegression_Valg[[#This Row],[Uafhængig variabel ID]]</f>
        <v>1</v>
      </c>
      <c r="E601" t="b">
        <f>LineærRegression_Valg[[#This Row],[Afhængig variabel ID]]&lt;=$B$5</f>
        <v>0</v>
      </c>
      <c r="F601" t="str" cm="1">
        <f t="array" ref="F601">IF(LineærRegression_Valg[[#This Row],[Indenfor range]],INDEX(DataTitel_liste,LineærRegression_Valg[[#This Row],[Afhængig variabel ID]]),INDEX(DataTitel_liste,1))</f>
        <v>Eksempel 1 (interval)</v>
      </c>
      <c r="G601" s="45" t="str" cm="1">
        <f t="array" ref="G601">IF(LineærRegression_Valg[[#This Row],[Indenfor range]],IF(LineærRegression_Valg[[#This Row],[Intet overlap]],INDEX(DataTitel_liste,LineærRegression_Valg[[#This Row],[Uafhængig variabel ID]]),INDEX(DataTitel_liste,IF(LineærRegression_Valg[[#This Row],[Afhængig variabel ID]]=1,2,1))),$B$7)</f>
        <v>Eksempel 2 (interval)</v>
      </c>
      <c r="H601" s="45">
        <f>_xlfn.AGGREGATE(2,5,LineærRegression_Valg[[#This Row],[Tabel ID]])</f>
        <v>1</v>
      </c>
    </row>
    <row r="602" spans="1:8" x14ac:dyDescent="0.2">
      <c r="A602">
        <f>ROW(LineærRegression_Valg[[#This Row],[Tabel ID]])-ROW(LineærRegression_Valg[[#Headers],[Tabel ID]])</f>
        <v>592</v>
      </c>
      <c r="B602" s="45">
        <f>ROUNDDOWN((LineærRegression_Valg[[#This Row],[Tabel ID]]-1)/$B$5,0)+1</f>
        <v>148</v>
      </c>
      <c r="C602" s="45">
        <f t="shared" si="9"/>
        <v>4</v>
      </c>
      <c r="D602" s="45" t="b">
        <f>LineærRegression_Valg[[#This Row],[Afhængig variabel ID]]&lt;&gt;LineærRegression_Valg[[#This Row],[Uafhængig variabel ID]]</f>
        <v>1</v>
      </c>
      <c r="E602" t="b">
        <f>LineærRegression_Valg[[#This Row],[Afhængig variabel ID]]&lt;=$B$5</f>
        <v>0</v>
      </c>
      <c r="F602" t="str" cm="1">
        <f t="array" ref="F602">IF(LineærRegression_Valg[[#This Row],[Indenfor range]],INDEX(DataTitel_liste,LineærRegression_Valg[[#This Row],[Afhængig variabel ID]]),INDEX(DataTitel_liste,1))</f>
        <v>Eksempel 1 (interval)</v>
      </c>
      <c r="G602" s="45" t="str" cm="1">
        <f t="array" ref="G602">IF(LineærRegression_Valg[[#This Row],[Indenfor range]],IF(LineærRegression_Valg[[#This Row],[Intet overlap]],INDEX(DataTitel_liste,LineærRegression_Valg[[#This Row],[Uafhængig variabel ID]]),INDEX(DataTitel_liste,IF(LineærRegression_Valg[[#This Row],[Afhængig variabel ID]]=1,2,1))),$B$7)</f>
        <v>Eksempel 2 (interval)</v>
      </c>
      <c r="H602" s="45">
        <f>_xlfn.AGGREGATE(2,5,LineærRegression_Valg[[#This Row],[Tabel ID]])</f>
        <v>1</v>
      </c>
    </row>
    <row r="603" spans="1:8" x14ac:dyDescent="0.2">
      <c r="A603">
        <f>ROW(LineærRegression_Valg[[#This Row],[Tabel ID]])-ROW(LineærRegression_Valg[[#Headers],[Tabel ID]])</f>
        <v>593</v>
      </c>
      <c r="B603" s="45">
        <f>ROUNDDOWN((LineærRegression_Valg[[#This Row],[Tabel ID]]-1)/$B$5,0)+1</f>
        <v>149</v>
      </c>
      <c r="C603" s="45">
        <f t="shared" si="9"/>
        <v>1</v>
      </c>
      <c r="D603" s="45" t="b">
        <f>LineærRegression_Valg[[#This Row],[Afhængig variabel ID]]&lt;&gt;LineærRegression_Valg[[#This Row],[Uafhængig variabel ID]]</f>
        <v>1</v>
      </c>
      <c r="E603" t="b">
        <f>LineærRegression_Valg[[#This Row],[Afhængig variabel ID]]&lt;=$B$5</f>
        <v>0</v>
      </c>
      <c r="F603" t="str" cm="1">
        <f t="array" ref="F603">IF(LineærRegression_Valg[[#This Row],[Indenfor range]],INDEX(DataTitel_liste,LineærRegression_Valg[[#This Row],[Afhængig variabel ID]]),INDEX(DataTitel_liste,1))</f>
        <v>Eksempel 1 (interval)</v>
      </c>
      <c r="G603" s="45" t="str" cm="1">
        <f t="array" ref="G603">IF(LineærRegression_Valg[[#This Row],[Indenfor range]],IF(LineærRegression_Valg[[#This Row],[Intet overlap]],INDEX(DataTitel_liste,LineærRegression_Valg[[#This Row],[Uafhængig variabel ID]]),INDEX(DataTitel_liste,IF(LineærRegression_Valg[[#This Row],[Afhængig variabel ID]]=1,2,1))),$B$7)</f>
        <v>Eksempel 2 (interval)</v>
      </c>
      <c r="H603" s="45">
        <f>_xlfn.AGGREGATE(2,5,LineærRegression_Valg[[#This Row],[Tabel ID]])</f>
        <v>1</v>
      </c>
    </row>
    <row r="604" spans="1:8" x14ac:dyDescent="0.2">
      <c r="A604">
        <f>ROW(LineærRegression_Valg[[#This Row],[Tabel ID]])-ROW(LineærRegression_Valg[[#Headers],[Tabel ID]])</f>
        <v>594</v>
      </c>
      <c r="B604" s="45">
        <f>ROUNDDOWN((LineærRegression_Valg[[#This Row],[Tabel ID]]-1)/$B$5,0)+1</f>
        <v>149</v>
      </c>
      <c r="C604" s="45">
        <f t="shared" si="9"/>
        <v>2</v>
      </c>
      <c r="D604" s="45" t="b">
        <f>LineærRegression_Valg[[#This Row],[Afhængig variabel ID]]&lt;&gt;LineærRegression_Valg[[#This Row],[Uafhængig variabel ID]]</f>
        <v>1</v>
      </c>
      <c r="E604" t="b">
        <f>LineærRegression_Valg[[#This Row],[Afhængig variabel ID]]&lt;=$B$5</f>
        <v>0</v>
      </c>
      <c r="F604" t="str" cm="1">
        <f t="array" ref="F604">IF(LineærRegression_Valg[[#This Row],[Indenfor range]],INDEX(DataTitel_liste,LineærRegression_Valg[[#This Row],[Afhængig variabel ID]]),INDEX(DataTitel_liste,1))</f>
        <v>Eksempel 1 (interval)</v>
      </c>
      <c r="G604" s="45" t="str" cm="1">
        <f t="array" ref="G604">IF(LineærRegression_Valg[[#This Row],[Indenfor range]],IF(LineærRegression_Valg[[#This Row],[Intet overlap]],INDEX(DataTitel_liste,LineærRegression_Valg[[#This Row],[Uafhængig variabel ID]]),INDEX(DataTitel_liste,IF(LineærRegression_Valg[[#This Row],[Afhængig variabel ID]]=1,2,1))),$B$7)</f>
        <v>Eksempel 2 (interval)</v>
      </c>
      <c r="H604" s="45">
        <f>_xlfn.AGGREGATE(2,5,LineærRegression_Valg[[#This Row],[Tabel ID]])</f>
        <v>1</v>
      </c>
    </row>
    <row r="605" spans="1:8" x14ac:dyDescent="0.2">
      <c r="A605">
        <f>ROW(LineærRegression_Valg[[#This Row],[Tabel ID]])-ROW(LineærRegression_Valg[[#Headers],[Tabel ID]])</f>
        <v>595</v>
      </c>
      <c r="B605" s="45">
        <f>ROUNDDOWN((LineærRegression_Valg[[#This Row],[Tabel ID]]-1)/$B$5,0)+1</f>
        <v>149</v>
      </c>
      <c r="C605" s="45">
        <f t="shared" si="9"/>
        <v>3</v>
      </c>
      <c r="D605" s="45" t="b">
        <f>LineærRegression_Valg[[#This Row],[Afhængig variabel ID]]&lt;&gt;LineærRegression_Valg[[#This Row],[Uafhængig variabel ID]]</f>
        <v>1</v>
      </c>
      <c r="E605" t="b">
        <f>LineærRegression_Valg[[#This Row],[Afhængig variabel ID]]&lt;=$B$5</f>
        <v>0</v>
      </c>
      <c r="F605" t="str" cm="1">
        <f t="array" ref="F605">IF(LineærRegression_Valg[[#This Row],[Indenfor range]],INDEX(DataTitel_liste,LineærRegression_Valg[[#This Row],[Afhængig variabel ID]]),INDEX(DataTitel_liste,1))</f>
        <v>Eksempel 1 (interval)</v>
      </c>
      <c r="G605" s="45" t="str" cm="1">
        <f t="array" ref="G605">IF(LineærRegression_Valg[[#This Row],[Indenfor range]],IF(LineærRegression_Valg[[#This Row],[Intet overlap]],INDEX(DataTitel_liste,LineærRegression_Valg[[#This Row],[Uafhængig variabel ID]]),INDEX(DataTitel_liste,IF(LineærRegression_Valg[[#This Row],[Afhængig variabel ID]]=1,2,1))),$B$7)</f>
        <v>Eksempel 2 (interval)</v>
      </c>
      <c r="H605" s="45">
        <f>_xlfn.AGGREGATE(2,5,LineærRegression_Valg[[#This Row],[Tabel ID]])</f>
        <v>1</v>
      </c>
    </row>
    <row r="606" spans="1:8" x14ac:dyDescent="0.2">
      <c r="A606">
        <f>ROW(LineærRegression_Valg[[#This Row],[Tabel ID]])-ROW(LineærRegression_Valg[[#Headers],[Tabel ID]])</f>
        <v>596</v>
      </c>
      <c r="B606" s="45">
        <f>ROUNDDOWN((LineærRegression_Valg[[#This Row],[Tabel ID]]-1)/$B$5,0)+1</f>
        <v>149</v>
      </c>
      <c r="C606" s="45">
        <f t="shared" si="9"/>
        <v>4</v>
      </c>
      <c r="D606" s="45" t="b">
        <f>LineærRegression_Valg[[#This Row],[Afhængig variabel ID]]&lt;&gt;LineærRegression_Valg[[#This Row],[Uafhængig variabel ID]]</f>
        <v>1</v>
      </c>
      <c r="E606" t="b">
        <f>LineærRegression_Valg[[#This Row],[Afhængig variabel ID]]&lt;=$B$5</f>
        <v>0</v>
      </c>
      <c r="F606" t="str" cm="1">
        <f t="array" ref="F606">IF(LineærRegression_Valg[[#This Row],[Indenfor range]],INDEX(DataTitel_liste,LineærRegression_Valg[[#This Row],[Afhængig variabel ID]]),INDEX(DataTitel_liste,1))</f>
        <v>Eksempel 1 (interval)</v>
      </c>
      <c r="G606" s="45" t="str" cm="1">
        <f t="array" ref="G606">IF(LineærRegression_Valg[[#This Row],[Indenfor range]],IF(LineærRegression_Valg[[#This Row],[Intet overlap]],INDEX(DataTitel_liste,LineærRegression_Valg[[#This Row],[Uafhængig variabel ID]]),INDEX(DataTitel_liste,IF(LineærRegression_Valg[[#This Row],[Afhængig variabel ID]]=1,2,1))),$B$7)</f>
        <v>Eksempel 2 (interval)</v>
      </c>
      <c r="H606" s="45">
        <f>_xlfn.AGGREGATE(2,5,LineærRegression_Valg[[#This Row],[Tabel ID]])</f>
        <v>1</v>
      </c>
    </row>
    <row r="607" spans="1:8" x14ac:dyDescent="0.2">
      <c r="A607">
        <f>ROW(LineærRegression_Valg[[#This Row],[Tabel ID]])-ROW(LineærRegression_Valg[[#Headers],[Tabel ID]])</f>
        <v>597</v>
      </c>
      <c r="B607" s="45">
        <f>ROUNDDOWN((LineærRegression_Valg[[#This Row],[Tabel ID]]-1)/$B$5,0)+1</f>
        <v>150</v>
      </c>
      <c r="C607" s="45">
        <f t="shared" si="9"/>
        <v>1</v>
      </c>
      <c r="D607" s="45" t="b">
        <f>LineærRegression_Valg[[#This Row],[Afhængig variabel ID]]&lt;&gt;LineærRegression_Valg[[#This Row],[Uafhængig variabel ID]]</f>
        <v>1</v>
      </c>
      <c r="E607" t="b">
        <f>LineærRegression_Valg[[#This Row],[Afhængig variabel ID]]&lt;=$B$5</f>
        <v>0</v>
      </c>
      <c r="F607" t="str" cm="1">
        <f t="array" ref="F607">IF(LineærRegression_Valg[[#This Row],[Indenfor range]],INDEX(DataTitel_liste,LineærRegression_Valg[[#This Row],[Afhængig variabel ID]]),INDEX(DataTitel_liste,1))</f>
        <v>Eksempel 1 (interval)</v>
      </c>
      <c r="G607" s="45" t="str" cm="1">
        <f t="array" ref="G607">IF(LineærRegression_Valg[[#This Row],[Indenfor range]],IF(LineærRegression_Valg[[#This Row],[Intet overlap]],INDEX(DataTitel_liste,LineærRegression_Valg[[#This Row],[Uafhængig variabel ID]]),INDEX(DataTitel_liste,IF(LineærRegression_Valg[[#This Row],[Afhængig variabel ID]]=1,2,1))),$B$7)</f>
        <v>Eksempel 2 (interval)</v>
      </c>
      <c r="H607" s="45">
        <f>_xlfn.AGGREGATE(2,5,LineærRegression_Valg[[#This Row],[Tabel ID]])</f>
        <v>1</v>
      </c>
    </row>
    <row r="608" spans="1:8" x14ac:dyDescent="0.2">
      <c r="A608">
        <f>ROW(LineærRegression_Valg[[#This Row],[Tabel ID]])-ROW(LineærRegression_Valg[[#Headers],[Tabel ID]])</f>
        <v>598</v>
      </c>
      <c r="B608" s="45">
        <f>ROUNDDOWN((LineærRegression_Valg[[#This Row],[Tabel ID]]-1)/$B$5,0)+1</f>
        <v>150</v>
      </c>
      <c r="C608" s="45">
        <f t="shared" si="9"/>
        <v>2</v>
      </c>
      <c r="D608" s="45" t="b">
        <f>LineærRegression_Valg[[#This Row],[Afhængig variabel ID]]&lt;&gt;LineærRegression_Valg[[#This Row],[Uafhængig variabel ID]]</f>
        <v>1</v>
      </c>
      <c r="E608" t="b">
        <f>LineærRegression_Valg[[#This Row],[Afhængig variabel ID]]&lt;=$B$5</f>
        <v>0</v>
      </c>
      <c r="F608" t="str" cm="1">
        <f t="array" ref="F608">IF(LineærRegression_Valg[[#This Row],[Indenfor range]],INDEX(DataTitel_liste,LineærRegression_Valg[[#This Row],[Afhængig variabel ID]]),INDEX(DataTitel_liste,1))</f>
        <v>Eksempel 1 (interval)</v>
      </c>
      <c r="G608" s="45" t="str" cm="1">
        <f t="array" ref="G608">IF(LineærRegression_Valg[[#This Row],[Indenfor range]],IF(LineærRegression_Valg[[#This Row],[Intet overlap]],INDEX(DataTitel_liste,LineærRegression_Valg[[#This Row],[Uafhængig variabel ID]]),INDEX(DataTitel_liste,IF(LineærRegression_Valg[[#This Row],[Afhængig variabel ID]]=1,2,1))),$B$7)</f>
        <v>Eksempel 2 (interval)</v>
      </c>
      <c r="H608" s="45">
        <f>_xlfn.AGGREGATE(2,5,LineærRegression_Valg[[#This Row],[Tabel ID]])</f>
        <v>1</v>
      </c>
    </row>
    <row r="609" spans="1:8" x14ac:dyDescent="0.2">
      <c r="A609">
        <f>ROW(LineærRegression_Valg[[#This Row],[Tabel ID]])-ROW(LineærRegression_Valg[[#Headers],[Tabel ID]])</f>
        <v>599</v>
      </c>
      <c r="B609" s="45">
        <f>ROUNDDOWN((LineærRegression_Valg[[#This Row],[Tabel ID]]-1)/$B$5,0)+1</f>
        <v>150</v>
      </c>
      <c r="C609" s="45">
        <f t="shared" si="9"/>
        <v>3</v>
      </c>
      <c r="D609" s="45" t="b">
        <f>LineærRegression_Valg[[#This Row],[Afhængig variabel ID]]&lt;&gt;LineærRegression_Valg[[#This Row],[Uafhængig variabel ID]]</f>
        <v>1</v>
      </c>
      <c r="E609" t="b">
        <f>LineærRegression_Valg[[#This Row],[Afhængig variabel ID]]&lt;=$B$5</f>
        <v>0</v>
      </c>
      <c r="F609" t="str" cm="1">
        <f t="array" ref="F609">IF(LineærRegression_Valg[[#This Row],[Indenfor range]],INDEX(DataTitel_liste,LineærRegression_Valg[[#This Row],[Afhængig variabel ID]]),INDEX(DataTitel_liste,1))</f>
        <v>Eksempel 1 (interval)</v>
      </c>
      <c r="G609" s="45" t="str" cm="1">
        <f t="array" ref="G609">IF(LineærRegression_Valg[[#This Row],[Indenfor range]],IF(LineærRegression_Valg[[#This Row],[Intet overlap]],INDEX(DataTitel_liste,LineærRegression_Valg[[#This Row],[Uafhængig variabel ID]]),INDEX(DataTitel_liste,IF(LineærRegression_Valg[[#This Row],[Afhængig variabel ID]]=1,2,1))),$B$7)</f>
        <v>Eksempel 2 (interval)</v>
      </c>
      <c r="H609" s="45">
        <f>_xlfn.AGGREGATE(2,5,LineærRegression_Valg[[#This Row],[Tabel ID]])</f>
        <v>1</v>
      </c>
    </row>
    <row r="610" spans="1:8" x14ac:dyDescent="0.2">
      <c r="A610">
        <f>ROW(LineærRegression_Valg[[#This Row],[Tabel ID]])-ROW(LineærRegression_Valg[[#Headers],[Tabel ID]])</f>
        <v>600</v>
      </c>
      <c r="B610" s="45">
        <f>ROUNDDOWN((LineærRegression_Valg[[#This Row],[Tabel ID]]-1)/$B$5,0)+1</f>
        <v>150</v>
      </c>
      <c r="C610" s="45">
        <f t="shared" si="9"/>
        <v>4</v>
      </c>
      <c r="D610" s="45" t="b">
        <f>LineærRegression_Valg[[#This Row],[Afhængig variabel ID]]&lt;&gt;LineærRegression_Valg[[#This Row],[Uafhængig variabel ID]]</f>
        <v>1</v>
      </c>
      <c r="E610" t="b">
        <f>LineærRegression_Valg[[#This Row],[Afhængig variabel ID]]&lt;=$B$5</f>
        <v>0</v>
      </c>
      <c r="F610" t="str" cm="1">
        <f t="array" ref="F610">IF(LineærRegression_Valg[[#This Row],[Indenfor range]],INDEX(DataTitel_liste,LineærRegression_Valg[[#This Row],[Afhængig variabel ID]]),INDEX(DataTitel_liste,1))</f>
        <v>Eksempel 1 (interval)</v>
      </c>
      <c r="G610" s="45" t="str" cm="1">
        <f t="array" ref="G610">IF(LineærRegression_Valg[[#This Row],[Indenfor range]],IF(LineærRegression_Valg[[#This Row],[Intet overlap]],INDEX(DataTitel_liste,LineærRegression_Valg[[#This Row],[Uafhængig variabel ID]]),INDEX(DataTitel_liste,IF(LineærRegression_Valg[[#This Row],[Afhængig variabel ID]]=1,2,1))),$B$7)</f>
        <v>Eksempel 2 (interval)</v>
      </c>
      <c r="H610" s="45">
        <f>_xlfn.AGGREGATE(2,5,LineærRegression_Valg[[#This Row],[Tabel ID]])</f>
        <v>1</v>
      </c>
    </row>
    <row r="611" spans="1:8" x14ac:dyDescent="0.2">
      <c r="A611">
        <f>ROW(LineærRegression_Valg[[#This Row],[Tabel ID]])-ROW(LineærRegression_Valg[[#Headers],[Tabel ID]])</f>
        <v>601</v>
      </c>
      <c r="B611" s="45">
        <f>ROUNDDOWN((LineærRegression_Valg[[#This Row],[Tabel ID]]-1)/$B$5,0)+1</f>
        <v>151</v>
      </c>
      <c r="C611" s="45">
        <f t="shared" si="9"/>
        <v>1</v>
      </c>
      <c r="D611" s="45" t="b">
        <f>LineærRegression_Valg[[#This Row],[Afhængig variabel ID]]&lt;&gt;LineærRegression_Valg[[#This Row],[Uafhængig variabel ID]]</f>
        <v>1</v>
      </c>
      <c r="E611" t="b">
        <f>LineærRegression_Valg[[#This Row],[Afhængig variabel ID]]&lt;=$B$5</f>
        <v>0</v>
      </c>
      <c r="F611" t="str" cm="1">
        <f t="array" ref="F611">IF(LineærRegression_Valg[[#This Row],[Indenfor range]],INDEX(DataTitel_liste,LineærRegression_Valg[[#This Row],[Afhængig variabel ID]]),INDEX(DataTitel_liste,1))</f>
        <v>Eksempel 1 (interval)</v>
      </c>
      <c r="G611" s="45" t="str" cm="1">
        <f t="array" ref="G611">IF(LineærRegression_Valg[[#This Row],[Indenfor range]],IF(LineærRegression_Valg[[#This Row],[Intet overlap]],INDEX(DataTitel_liste,LineærRegression_Valg[[#This Row],[Uafhængig variabel ID]]),INDEX(DataTitel_liste,IF(LineærRegression_Valg[[#This Row],[Afhængig variabel ID]]=1,2,1))),$B$7)</f>
        <v>Eksempel 2 (interval)</v>
      </c>
      <c r="H611" s="45">
        <f>_xlfn.AGGREGATE(2,5,LineærRegression_Valg[[#This Row],[Tabel ID]])</f>
        <v>1</v>
      </c>
    </row>
    <row r="612" spans="1:8" x14ac:dyDescent="0.2">
      <c r="A612">
        <f>ROW(LineærRegression_Valg[[#This Row],[Tabel ID]])-ROW(LineærRegression_Valg[[#Headers],[Tabel ID]])</f>
        <v>602</v>
      </c>
      <c r="B612" s="45">
        <f>ROUNDDOWN((LineærRegression_Valg[[#This Row],[Tabel ID]]-1)/$B$5,0)+1</f>
        <v>151</v>
      </c>
      <c r="C612" s="45">
        <f t="shared" si="9"/>
        <v>2</v>
      </c>
      <c r="D612" s="45" t="b">
        <f>LineærRegression_Valg[[#This Row],[Afhængig variabel ID]]&lt;&gt;LineærRegression_Valg[[#This Row],[Uafhængig variabel ID]]</f>
        <v>1</v>
      </c>
      <c r="E612" t="b">
        <f>LineærRegression_Valg[[#This Row],[Afhængig variabel ID]]&lt;=$B$5</f>
        <v>0</v>
      </c>
      <c r="F612" t="str" cm="1">
        <f t="array" ref="F612">IF(LineærRegression_Valg[[#This Row],[Indenfor range]],INDEX(DataTitel_liste,LineærRegression_Valg[[#This Row],[Afhængig variabel ID]]),INDEX(DataTitel_liste,1))</f>
        <v>Eksempel 1 (interval)</v>
      </c>
      <c r="G612" s="45" t="str" cm="1">
        <f t="array" ref="G612">IF(LineærRegression_Valg[[#This Row],[Indenfor range]],IF(LineærRegression_Valg[[#This Row],[Intet overlap]],INDEX(DataTitel_liste,LineærRegression_Valg[[#This Row],[Uafhængig variabel ID]]),INDEX(DataTitel_liste,IF(LineærRegression_Valg[[#This Row],[Afhængig variabel ID]]=1,2,1))),$B$7)</f>
        <v>Eksempel 2 (interval)</v>
      </c>
      <c r="H612" s="45">
        <f>_xlfn.AGGREGATE(2,5,LineærRegression_Valg[[#This Row],[Tabel ID]])</f>
        <v>1</v>
      </c>
    </row>
    <row r="613" spans="1:8" x14ac:dyDescent="0.2">
      <c r="A613">
        <f>ROW(LineærRegression_Valg[[#This Row],[Tabel ID]])-ROW(LineærRegression_Valg[[#Headers],[Tabel ID]])</f>
        <v>603</v>
      </c>
      <c r="B613" s="45">
        <f>ROUNDDOWN((LineærRegression_Valg[[#This Row],[Tabel ID]]-1)/$B$5,0)+1</f>
        <v>151</v>
      </c>
      <c r="C613" s="45">
        <f t="shared" si="9"/>
        <v>3</v>
      </c>
      <c r="D613" s="45" t="b">
        <f>LineærRegression_Valg[[#This Row],[Afhængig variabel ID]]&lt;&gt;LineærRegression_Valg[[#This Row],[Uafhængig variabel ID]]</f>
        <v>1</v>
      </c>
      <c r="E613" t="b">
        <f>LineærRegression_Valg[[#This Row],[Afhængig variabel ID]]&lt;=$B$5</f>
        <v>0</v>
      </c>
      <c r="F613" t="str" cm="1">
        <f t="array" ref="F613">IF(LineærRegression_Valg[[#This Row],[Indenfor range]],INDEX(DataTitel_liste,LineærRegression_Valg[[#This Row],[Afhængig variabel ID]]),INDEX(DataTitel_liste,1))</f>
        <v>Eksempel 1 (interval)</v>
      </c>
      <c r="G613" s="45" t="str" cm="1">
        <f t="array" ref="G613">IF(LineærRegression_Valg[[#This Row],[Indenfor range]],IF(LineærRegression_Valg[[#This Row],[Intet overlap]],INDEX(DataTitel_liste,LineærRegression_Valg[[#This Row],[Uafhængig variabel ID]]),INDEX(DataTitel_liste,IF(LineærRegression_Valg[[#This Row],[Afhængig variabel ID]]=1,2,1))),$B$7)</f>
        <v>Eksempel 2 (interval)</v>
      </c>
      <c r="H613" s="45">
        <f>_xlfn.AGGREGATE(2,5,LineærRegression_Valg[[#This Row],[Tabel ID]])</f>
        <v>1</v>
      </c>
    </row>
    <row r="614" spans="1:8" x14ac:dyDescent="0.2">
      <c r="A614">
        <f>ROW(LineærRegression_Valg[[#This Row],[Tabel ID]])-ROW(LineærRegression_Valg[[#Headers],[Tabel ID]])</f>
        <v>604</v>
      </c>
      <c r="B614" s="45">
        <f>ROUNDDOWN((LineærRegression_Valg[[#This Row],[Tabel ID]]-1)/$B$5,0)+1</f>
        <v>151</v>
      </c>
      <c r="C614" s="45">
        <f t="shared" si="9"/>
        <v>4</v>
      </c>
      <c r="D614" s="45" t="b">
        <f>LineærRegression_Valg[[#This Row],[Afhængig variabel ID]]&lt;&gt;LineærRegression_Valg[[#This Row],[Uafhængig variabel ID]]</f>
        <v>1</v>
      </c>
      <c r="E614" t="b">
        <f>LineærRegression_Valg[[#This Row],[Afhængig variabel ID]]&lt;=$B$5</f>
        <v>0</v>
      </c>
      <c r="F614" t="str" cm="1">
        <f t="array" ref="F614">IF(LineærRegression_Valg[[#This Row],[Indenfor range]],INDEX(DataTitel_liste,LineærRegression_Valg[[#This Row],[Afhængig variabel ID]]),INDEX(DataTitel_liste,1))</f>
        <v>Eksempel 1 (interval)</v>
      </c>
      <c r="G614" s="45" t="str" cm="1">
        <f t="array" ref="G614">IF(LineærRegression_Valg[[#This Row],[Indenfor range]],IF(LineærRegression_Valg[[#This Row],[Intet overlap]],INDEX(DataTitel_liste,LineærRegression_Valg[[#This Row],[Uafhængig variabel ID]]),INDEX(DataTitel_liste,IF(LineærRegression_Valg[[#This Row],[Afhængig variabel ID]]=1,2,1))),$B$7)</f>
        <v>Eksempel 2 (interval)</v>
      </c>
      <c r="H614" s="45">
        <f>_xlfn.AGGREGATE(2,5,LineærRegression_Valg[[#This Row],[Tabel ID]])</f>
        <v>1</v>
      </c>
    </row>
    <row r="615" spans="1:8" x14ac:dyDescent="0.2">
      <c r="A615">
        <f>ROW(LineærRegression_Valg[[#This Row],[Tabel ID]])-ROW(LineærRegression_Valg[[#Headers],[Tabel ID]])</f>
        <v>605</v>
      </c>
      <c r="B615" s="45">
        <f>ROUNDDOWN((LineærRegression_Valg[[#This Row],[Tabel ID]]-1)/$B$5,0)+1</f>
        <v>152</v>
      </c>
      <c r="C615" s="45">
        <f t="shared" si="9"/>
        <v>1</v>
      </c>
      <c r="D615" s="45" t="b">
        <f>LineærRegression_Valg[[#This Row],[Afhængig variabel ID]]&lt;&gt;LineærRegression_Valg[[#This Row],[Uafhængig variabel ID]]</f>
        <v>1</v>
      </c>
      <c r="E615" t="b">
        <f>LineærRegression_Valg[[#This Row],[Afhængig variabel ID]]&lt;=$B$5</f>
        <v>0</v>
      </c>
      <c r="F615" t="str" cm="1">
        <f t="array" ref="F615">IF(LineærRegression_Valg[[#This Row],[Indenfor range]],INDEX(DataTitel_liste,LineærRegression_Valg[[#This Row],[Afhængig variabel ID]]),INDEX(DataTitel_liste,1))</f>
        <v>Eksempel 1 (interval)</v>
      </c>
      <c r="G615" s="45" t="str" cm="1">
        <f t="array" ref="G615">IF(LineærRegression_Valg[[#This Row],[Indenfor range]],IF(LineærRegression_Valg[[#This Row],[Intet overlap]],INDEX(DataTitel_liste,LineærRegression_Valg[[#This Row],[Uafhængig variabel ID]]),INDEX(DataTitel_liste,IF(LineærRegression_Valg[[#This Row],[Afhængig variabel ID]]=1,2,1))),$B$7)</f>
        <v>Eksempel 2 (interval)</v>
      </c>
      <c r="H615" s="45">
        <f>_xlfn.AGGREGATE(2,5,LineærRegression_Valg[[#This Row],[Tabel ID]])</f>
        <v>1</v>
      </c>
    </row>
    <row r="616" spans="1:8" x14ac:dyDescent="0.2">
      <c r="A616">
        <f>ROW(LineærRegression_Valg[[#This Row],[Tabel ID]])-ROW(LineærRegression_Valg[[#Headers],[Tabel ID]])</f>
        <v>606</v>
      </c>
      <c r="B616" s="45">
        <f>ROUNDDOWN((LineærRegression_Valg[[#This Row],[Tabel ID]]-1)/$B$5,0)+1</f>
        <v>152</v>
      </c>
      <c r="C616" s="45">
        <f t="shared" si="9"/>
        <v>2</v>
      </c>
      <c r="D616" s="45" t="b">
        <f>LineærRegression_Valg[[#This Row],[Afhængig variabel ID]]&lt;&gt;LineærRegression_Valg[[#This Row],[Uafhængig variabel ID]]</f>
        <v>1</v>
      </c>
      <c r="E616" t="b">
        <f>LineærRegression_Valg[[#This Row],[Afhængig variabel ID]]&lt;=$B$5</f>
        <v>0</v>
      </c>
      <c r="F616" t="str" cm="1">
        <f t="array" ref="F616">IF(LineærRegression_Valg[[#This Row],[Indenfor range]],INDEX(DataTitel_liste,LineærRegression_Valg[[#This Row],[Afhængig variabel ID]]),INDEX(DataTitel_liste,1))</f>
        <v>Eksempel 1 (interval)</v>
      </c>
      <c r="G616" s="45" t="str" cm="1">
        <f t="array" ref="G616">IF(LineærRegression_Valg[[#This Row],[Indenfor range]],IF(LineærRegression_Valg[[#This Row],[Intet overlap]],INDEX(DataTitel_liste,LineærRegression_Valg[[#This Row],[Uafhængig variabel ID]]),INDEX(DataTitel_liste,IF(LineærRegression_Valg[[#This Row],[Afhængig variabel ID]]=1,2,1))),$B$7)</f>
        <v>Eksempel 2 (interval)</v>
      </c>
      <c r="H616" s="45">
        <f>_xlfn.AGGREGATE(2,5,LineærRegression_Valg[[#This Row],[Tabel ID]])</f>
        <v>1</v>
      </c>
    </row>
    <row r="617" spans="1:8" x14ac:dyDescent="0.2">
      <c r="A617">
        <f>ROW(LineærRegression_Valg[[#This Row],[Tabel ID]])-ROW(LineærRegression_Valg[[#Headers],[Tabel ID]])</f>
        <v>607</v>
      </c>
      <c r="B617" s="45">
        <f>ROUNDDOWN((LineærRegression_Valg[[#This Row],[Tabel ID]]-1)/$B$5,0)+1</f>
        <v>152</v>
      </c>
      <c r="C617" s="45">
        <f t="shared" si="9"/>
        <v>3</v>
      </c>
      <c r="D617" s="45" t="b">
        <f>LineærRegression_Valg[[#This Row],[Afhængig variabel ID]]&lt;&gt;LineærRegression_Valg[[#This Row],[Uafhængig variabel ID]]</f>
        <v>1</v>
      </c>
      <c r="E617" t="b">
        <f>LineærRegression_Valg[[#This Row],[Afhængig variabel ID]]&lt;=$B$5</f>
        <v>0</v>
      </c>
      <c r="F617" t="str" cm="1">
        <f t="array" ref="F617">IF(LineærRegression_Valg[[#This Row],[Indenfor range]],INDEX(DataTitel_liste,LineærRegression_Valg[[#This Row],[Afhængig variabel ID]]),INDEX(DataTitel_liste,1))</f>
        <v>Eksempel 1 (interval)</v>
      </c>
      <c r="G617" s="45" t="str" cm="1">
        <f t="array" ref="G617">IF(LineærRegression_Valg[[#This Row],[Indenfor range]],IF(LineærRegression_Valg[[#This Row],[Intet overlap]],INDEX(DataTitel_liste,LineærRegression_Valg[[#This Row],[Uafhængig variabel ID]]),INDEX(DataTitel_liste,IF(LineærRegression_Valg[[#This Row],[Afhængig variabel ID]]=1,2,1))),$B$7)</f>
        <v>Eksempel 2 (interval)</v>
      </c>
      <c r="H617" s="45">
        <f>_xlfn.AGGREGATE(2,5,LineærRegression_Valg[[#This Row],[Tabel ID]])</f>
        <v>1</v>
      </c>
    </row>
    <row r="618" spans="1:8" x14ac:dyDescent="0.2">
      <c r="A618">
        <f>ROW(LineærRegression_Valg[[#This Row],[Tabel ID]])-ROW(LineærRegression_Valg[[#Headers],[Tabel ID]])</f>
        <v>608</v>
      </c>
      <c r="B618" s="45">
        <f>ROUNDDOWN((LineærRegression_Valg[[#This Row],[Tabel ID]]-1)/$B$5,0)+1</f>
        <v>152</v>
      </c>
      <c r="C618" s="45">
        <f t="shared" si="9"/>
        <v>4</v>
      </c>
      <c r="D618" s="45" t="b">
        <f>LineærRegression_Valg[[#This Row],[Afhængig variabel ID]]&lt;&gt;LineærRegression_Valg[[#This Row],[Uafhængig variabel ID]]</f>
        <v>1</v>
      </c>
      <c r="E618" t="b">
        <f>LineærRegression_Valg[[#This Row],[Afhængig variabel ID]]&lt;=$B$5</f>
        <v>0</v>
      </c>
      <c r="F618" t="str" cm="1">
        <f t="array" ref="F618">IF(LineærRegression_Valg[[#This Row],[Indenfor range]],INDEX(DataTitel_liste,LineærRegression_Valg[[#This Row],[Afhængig variabel ID]]),INDEX(DataTitel_liste,1))</f>
        <v>Eksempel 1 (interval)</v>
      </c>
      <c r="G618" s="45" t="str" cm="1">
        <f t="array" ref="G618">IF(LineærRegression_Valg[[#This Row],[Indenfor range]],IF(LineærRegression_Valg[[#This Row],[Intet overlap]],INDEX(DataTitel_liste,LineærRegression_Valg[[#This Row],[Uafhængig variabel ID]]),INDEX(DataTitel_liste,IF(LineærRegression_Valg[[#This Row],[Afhængig variabel ID]]=1,2,1))),$B$7)</f>
        <v>Eksempel 2 (interval)</v>
      </c>
      <c r="H618" s="45">
        <f>_xlfn.AGGREGATE(2,5,LineærRegression_Valg[[#This Row],[Tabel ID]])</f>
        <v>1</v>
      </c>
    </row>
    <row r="619" spans="1:8" x14ac:dyDescent="0.2">
      <c r="A619">
        <f>ROW(LineærRegression_Valg[[#This Row],[Tabel ID]])-ROW(LineærRegression_Valg[[#Headers],[Tabel ID]])</f>
        <v>609</v>
      </c>
      <c r="B619" s="45">
        <f>ROUNDDOWN((LineærRegression_Valg[[#This Row],[Tabel ID]]-1)/$B$5,0)+1</f>
        <v>153</v>
      </c>
      <c r="C619" s="45">
        <f t="shared" si="9"/>
        <v>1</v>
      </c>
      <c r="D619" s="45" t="b">
        <f>LineærRegression_Valg[[#This Row],[Afhængig variabel ID]]&lt;&gt;LineærRegression_Valg[[#This Row],[Uafhængig variabel ID]]</f>
        <v>1</v>
      </c>
      <c r="E619" t="b">
        <f>LineærRegression_Valg[[#This Row],[Afhængig variabel ID]]&lt;=$B$5</f>
        <v>0</v>
      </c>
      <c r="F619" t="str" cm="1">
        <f t="array" ref="F619">IF(LineærRegression_Valg[[#This Row],[Indenfor range]],INDEX(DataTitel_liste,LineærRegression_Valg[[#This Row],[Afhængig variabel ID]]),INDEX(DataTitel_liste,1))</f>
        <v>Eksempel 1 (interval)</v>
      </c>
      <c r="G619" s="45" t="str" cm="1">
        <f t="array" ref="G619">IF(LineærRegression_Valg[[#This Row],[Indenfor range]],IF(LineærRegression_Valg[[#This Row],[Intet overlap]],INDEX(DataTitel_liste,LineærRegression_Valg[[#This Row],[Uafhængig variabel ID]]),INDEX(DataTitel_liste,IF(LineærRegression_Valg[[#This Row],[Afhængig variabel ID]]=1,2,1))),$B$7)</f>
        <v>Eksempel 2 (interval)</v>
      </c>
      <c r="H619" s="45">
        <f>_xlfn.AGGREGATE(2,5,LineærRegression_Valg[[#This Row],[Tabel ID]])</f>
        <v>1</v>
      </c>
    </row>
    <row r="620" spans="1:8" x14ac:dyDescent="0.2">
      <c r="A620">
        <f>ROW(LineærRegression_Valg[[#This Row],[Tabel ID]])-ROW(LineærRegression_Valg[[#Headers],[Tabel ID]])</f>
        <v>610</v>
      </c>
      <c r="B620" s="45">
        <f>ROUNDDOWN((LineærRegression_Valg[[#This Row],[Tabel ID]]-1)/$B$5,0)+1</f>
        <v>153</v>
      </c>
      <c r="C620" s="45">
        <f t="shared" si="9"/>
        <v>2</v>
      </c>
      <c r="D620" s="45" t="b">
        <f>LineærRegression_Valg[[#This Row],[Afhængig variabel ID]]&lt;&gt;LineærRegression_Valg[[#This Row],[Uafhængig variabel ID]]</f>
        <v>1</v>
      </c>
      <c r="E620" t="b">
        <f>LineærRegression_Valg[[#This Row],[Afhængig variabel ID]]&lt;=$B$5</f>
        <v>0</v>
      </c>
      <c r="F620" t="str" cm="1">
        <f t="array" ref="F620">IF(LineærRegression_Valg[[#This Row],[Indenfor range]],INDEX(DataTitel_liste,LineærRegression_Valg[[#This Row],[Afhængig variabel ID]]),INDEX(DataTitel_liste,1))</f>
        <v>Eksempel 1 (interval)</v>
      </c>
      <c r="G620" s="45" t="str" cm="1">
        <f t="array" ref="G620">IF(LineærRegression_Valg[[#This Row],[Indenfor range]],IF(LineærRegression_Valg[[#This Row],[Intet overlap]],INDEX(DataTitel_liste,LineærRegression_Valg[[#This Row],[Uafhængig variabel ID]]),INDEX(DataTitel_liste,IF(LineærRegression_Valg[[#This Row],[Afhængig variabel ID]]=1,2,1))),$B$7)</f>
        <v>Eksempel 2 (interval)</v>
      </c>
      <c r="H620" s="45">
        <f>_xlfn.AGGREGATE(2,5,LineærRegression_Valg[[#This Row],[Tabel ID]])</f>
        <v>1</v>
      </c>
    </row>
    <row r="621" spans="1:8" x14ac:dyDescent="0.2">
      <c r="A621">
        <f>ROW(LineærRegression_Valg[[#This Row],[Tabel ID]])-ROW(LineærRegression_Valg[[#Headers],[Tabel ID]])</f>
        <v>611</v>
      </c>
      <c r="B621" s="45">
        <f>ROUNDDOWN((LineærRegression_Valg[[#This Row],[Tabel ID]]-1)/$B$5,0)+1</f>
        <v>153</v>
      </c>
      <c r="C621" s="45">
        <f t="shared" si="9"/>
        <v>3</v>
      </c>
      <c r="D621" s="45" t="b">
        <f>LineærRegression_Valg[[#This Row],[Afhængig variabel ID]]&lt;&gt;LineærRegression_Valg[[#This Row],[Uafhængig variabel ID]]</f>
        <v>1</v>
      </c>
      <c r="E621" t="b">
        <f>LineærRegression_Valg[[#This Row],[Afhængig variabel ID]]&lt;=$B$5</f>
        <v>0</v>
      </c>
      <c r="F621" t="str" cm="1">
        <f t="array" ref="F621">IF(LineærRegression_Valg[[#This Row],[Indenfor range]],INDEX(DataTitel_liste,LineærRegression_Valg[[#This Row],[Afhængig variabel ID]]),INDEX(DataTitel_liste,1))</f>
        <v>Eksempel 1 (interval)</v>
      </c>
      <c r="G621" s="45" t="str" cm="1">
        <f t="array" ref="G621">IF(LineærRegression_Valg[[#This Row],[Indenfor range]],IF(LineærRegression_Valg[[#This Row],[Intet overlap]],INDEX(DataTitel_liste,LineærRegression_Valg[[#This Row],[Uafhængig variabel ID]]),INDEX(DataTitel_liste,IF(LineærRegression_Valg[[#This Row],[Afhængig variabel ID]]=1,2,1))),$B$7)</f>
        <v>Eksempel 2 (interval)</v>
      </c>
      <c r="H621" s="45">
        <f>_xlfn.AGGREGATE(2,5,LineærRegression_Valg[[#This Row],[Tabel ID]])</f>
        <v>1</v>
      </c>
    </row>
    <row r="622" spans="1:8" x14ac:dyDescent="0.2">
      <c r="A622">
        <f>ROW(LineærRegression_Valg[[#This Row],[Tabel ID]])-ROW(LineærRegression_Valg[[#Headers],[Tabel ID]])</f>
        <v>612</v>
      </c>
      <c r="B622" s="45">
        <f>ROUNDDOWN((LineærRegression_Valg[[#This Row],[Tabel ID]]-1)/$B$5,0)+1</f>
        <v>153</v>
      </c>
      <c r="C622" s="45">
        <f t="shared" si="9"/>
        <v>4</v>
      </c>
      <c r="D622" s="45" t="b">
        <f>LineærRegression_Valg[[#This Row],[Afhængig variabel ID]]&lt;&gt;LineærRegression_Valg[[#This Row],[Uafhængig variabel ID]]</f>
        <v>1</v>
      </c>
      <c r="E622" t="b">
        <f>LineærRegression_Valg[[#This Row],[Afhængig variabel ID]]&lt;=$B$5</f>
        <v>0</v>
      </c>
      <c r="F622" t="str" cm="1">
        <f t="array" ref="F622">IF(LineærRegression_Valg[[#This Row],[Indenfor range]],INDEX(DataTitel_liste,LineærRegression_Valg[[#This Row],[Afhængig variabel ID]]),INDEX(DataTitel_liste,1))</f>
        <v>Eksempel 1 (interval)</v>
      </c>
      <c r="G622" s="45" t="str" cm="1">
        <f t="array" ref="G622">IF(LineærRegression_Valg[[#This Row],[Indenfor range]],IF(LineærRegression_Valg[[#This Row],[Intet overlap]],INDEX(DataTitel_liste,LineærRegression_Valg[[#This Row],[Uafhængig variabel ID]]),INDEX(DataTitel_liste,IF(LineærRegression_Valg[[#This Row],[Afhængig variabel ID]]=1,2,1))),$B$7)</f>
        <v>Eksempel 2 (interval)</v>
      </c>
      <c r="H622" s="45">
        <f>_xlfn.AGGREGATE(2,5,LineærRegression_Valg[[#This Row],[Tabel ID]])</f>
        <v>1</v>
      </c>
    </row>
    <row r="623" spans="1:8" x14ac:dyDescent="0.2">
      <c r="A623">
        <f>ROW(LineærRegression_Valg[[#This Row],[Tabel ID]])-ROW(LineærRegression_Valg[[#Headers],[Tabel ID]])</f>
        <v>613</v>
      </c>
      <c r="B623" s="45">
        <f>ROUNDDOWN((LineærRegression_Valg[[#This Row],[Tabel ID]]-1)/$B$5,0)+1</f>
        <v>154</v>
      </c>
      <c r="C623" s="45">
        <f t="shared" si="9"/>
        <v>1</v>
      </c>
      <c r="D623" s="45" t="b">
        <f>LineærRegression_Valg[[#This Row],[Afhængig variabel ID]]&lt;&gt;LineærRegression_Valg[[#This Row],[Uafhængig variabel ID]]</f>
        <v>1</v>
      </c>
      <c r="E623" t="b">
        <f>LineærRegression_Valg[[#This Row],[Afhængig variabel ID]]&lt;=$B$5</f>
        <v>0</v>
      </c>
      <c r="F623" t="str" cm="1">
        <f t="array" ref="F623">IF(LineærRegression_Valg[[#This Row],[Indenfor range]],INDEX(DataTitel_liste,LineærRegression_Valg[[#This Row],[Afhængig variabel ID]]),INDEX(DataTitel_liste,1))</f>
        <v>Eksempel 1 (interval)</v>
      </c>
      <c r="G623" s="45" t="str" cm="1">
        <f t="array" ref="G623">IF(LineærRegression_Valg[[#This Row],[Indenfor range]],IF(LineærRegression_Valg[[#This Row],[Intet overlap]],INDEX(DataTitel_liste,LineærRegression_Valg[[#This Row],[Uafhængig variabel ID]]),INDEX(DataTitel_liste,IF(LineærRegression_Valg[[#This Row],[Afhængig variabel ID]]=1,2,1))),$B$7)</f>
        <v>Eksempel 2 (interval)</v>
      </c>
      <c r="H623" s="45">
        <f>_xlfn.AGGREGATE(2,5,LineærRegression_Valg[[#This Row],[Tabel ID]])</f>
        <v>1</v>
      </c>
    </row>
    <row r="624" spans="1:8" x14ac:dyDescent="0.2">
      <c r="A624">
        <f>ROW(LineærRegression_Valg[[#This Row],[Tabel ID]])-ROW(LineærRegression_Valg[[#Headers],[Tabel ID]])</f>
        <v>614</v>
      </c>
      <c r="B624" s="45">
        <f>ROUNDDOWN((LineærRegression_Valg[[#This Row],[Tabel ID]]-1)/$B$5,0)+1</f>
        <v>154</v>
      </c>
      <c r="C624" s="45">
        <f t="shared" si="9"/>
        <v>2</v>
      </c>
      <c r="D624" s="45" t="b">
        <f>LineærRegression_Valg[[#This Row],[Afhængig variabel ID]]&lt;&gt;LineærRegression_Valg[[#This Row],[Uafhængig variabel ID]]</f>
        <v>1</v>
      </c>
      <c r="E624" t="b">
        <f>LineærRegression_Valg[[#This Row],[Afhængig variabel ID]]&lt;=$B$5</f>
        <v>0</v>
      </c>
      <c r="F624" t="str" cm="1">
        <f t="array" ref="F624">IF(LineærRegression_Valg[[#This Row],[Indenfor range]],INDEX(DataTitel_liste,LineærRegression_Valg[[#This Row],[Afhængig variabel ID]]),INDEX(DataTitel_liste,1))</f>
        <v>Eksempel 1 (interval)</v>
      </c>
      <c r="G624" s="45" t="str" cm="1">
        <f t="array" ref="G624">IF(LineærRegression_Valg[[#This Row],[Indenfor range]],IF(LineærRegression_Valg[[#This Row],[Intet overlap]],INDEX(DataTitel_liste,LineærRegression_Valg[[#This Row],[Uafhængig variabel ID]]),INDEX(DataTitel_liste,IF(LineærRegression_Valg[[#This Row],[Afhængig variabel ID]]=1,2,1))),$B$7)</f>
        <v>Eksempel 2 (interval)</v>
      </c>
      <c r="H624" s="45">
        <f>_xlfn.AGGREGATE(2,5,LineærRegression_Valg[[#This Row],[Tabel ID]])</f>
        <v>1</v>
      </c>
    </row>
    <row r="625" spans="1:8" x14ac:dyDescent="0.2">
      <c r="A625">
        <f>ROW(LineærRegression_Valg[[#This Row],[Tabel ID]])-ROW(LineærRegression_Valg[[#Headers],[Tabel ID]])</f>
        <v>615</v>
      </c>
      <c r="B625" s="45">
        <f>ROUNDDOWN((LineærRegression_Valg[[#This Row],[Tabel ID]]-1)/$B$5,0)+1</f>
        <v>154</v>
      </c>
      <c r="C625" s="45">
        <f t="shared" si="9"/>
        <v>3</v>
      </c>
      <c r="D625" s="45" t="b">
        <f>LineærRegression_Valg[[#This Row],[Afhængig variabel ID]]&lt;&gt;LineærRegression_Valg[[#This Row],[Uafhængig variabel ID]]</f>
        <v>1</v>
      </c>
      <c r="E625" t="b">
        <f>LineærRegression_Valg[[#This Row],[Afhængig variabel ID]]&lt;=$B$5</f>
        <v>0</v>
      </c>
      <c r="F625" t="str" cm="1">
        <f t="array" ref="F625">IF(LineærRegression_Valg[[#This Row],[Indenfor range]],INDEX(DataTitel_liste,LineærRegression_Valg[[#This Row],[Afhængig variabel ID]]),INDEX(DataTitel_liste,1))</f>
        <v>Eksempel 1 (interval)</v>
      </c>
      <c r="G625" s="45" t="str" cm="1">
        <f t="array" ref="G625">IF(LineærRegression_Valg[[#This Row],[Indenfor range]],IF(LineærRegression_Valg[[#This Row],[Intet overlap]],INDEX(DataTitel_liste,LineærRegression_Valg[[#This Row],[Uafhængig variabel ID]]),INDEX(DataTitel_liste,IF(LineærRegression_Valg[[#This Row],[Afhængig variabel ID]]=1,2,1))),$B$7)</f>
        <v>Eksempel 2 (interval)</v>
      </c>
      <c r="H625" s="45">
        <f>_xlfn.AGGREGATE(2,5,LineærRegression_Valg[[#This Row],[Tabel ID]])</f>
        <v>1</v>
      </c>
    </row>
    <row r="626" spans="1:8" x14ac:dyDescent="0.2">
      <c r="A626">
        <f>ROW(LineærRegression_Valg[[#This Row],[Tabel ID]])-ROW(LineærRegression_Valg[[#Headers],[Tabel ID]])</f>
        <v>616</v>
      </c>
      <c r="B626" s="45">
        <f>ROUNDDOWN((LineærRegression_Valg[[#This Row],[Tabel ID]]-1)/$B$5,0)+1</f>
        <v>154</v>
      </c>
      <c r="C626" s="45">
        <f t="shared" si="9"/>
        <v>4</v>
      </c>
      <c r="D626" s="45" t="b">
        <f>LineærRegression_Valg[[#This Row],[Afhængig variabel ID]]&lt;&gt;LineærRegression_Valg[[#This Row],[Uafhængig variabel ID]]</f>
        <v>1</v>
      </c>
      <c r="E626" t="b">
        <f>LineærRegression_Valg[[#This Row],[Afhængig variabel ID]]&lt;=$B$5</f>
        <v>0</v>
      </c>
      <c r="F626" t="str" cm="1">
        <f t="array" ref="F626">IF(LineærRegression_Valg[[#This Row],[Indenfor range]],INDEX(DataTitel_liste,LineærRegression_Valg[[#This Row],[Afhængig variabel ID]]),INDEX(DataTitel_liste,1))</f>
        <v>Eksempel 1 (interval)</v>
      </c>
      <c r="G626" s="45" t="str" cm="1">
        <f t="array" ref="G626">IF(LineærRegression_Valg[[#This Row],[Indenfor range]],IF(LineærRegression_Valg[[#This Row],[Intet overlap]],INDEX(DataTitel_liste,LineærRegression_Valg[[#This Row],[Uafhængig variabel ID]]),INDEX(DataTitel_liste,IF(LineærRegression_Valg[[#This Row],[Afhængig variabel ID]]=1,2,1))),$B$7)</f>
        <v>Eksempel 2 (interval)</v>
      </c>
      <c r="H626" s="45">
        <f>_xlfn.AGGREGATE(2,5,LineærRegression_Valg[[#This Row],[Tabel ID]])</f>
        <v>1</v>
      </c>
    </row>
    <row r="627" spans="1:8" x14ac:dyDescent="0.2">
      <c r="A627">
        <f>ROW(LineærRegression_Valg[[#This Row],[Tabel ID]])-ROW(LineærRegression_Valg[[#Headers],[Tabel ID]])</f>
        <v>617</v>
      </c>
      <c r="B627" s="45">
        <f>ROUNDDOWN((LineærRegression_Valg[[#This Row],[Tabel ID]]-1)/$B$5,0)+1</f>
        <v>155</v>
      </c>
      <c r="C627" s="45">
        <f t="shared" si="9"/>
        <v>1</v>
      </c>
      <c r="D627" s="45" t="b">
        <f>LineærRegression_Valg[[#This Row],[Afhængig variabel ID]]&lt;&gt;LineærRegression_Valg[[#This Row],[Uafhængig variabel ID]]</f>
        <v>1</v>
      </c>
      <c r="E627" t="b">
        <f>LineærRegression_Valg[[#This Row],[Afhængig variabel ID]]&lt;=$B$5</f>
        <v>0</v>
      </c>
      <c r="F627" t="str" cm="1">
        <f t="array" ref="F627">IF(LineærRegression_Valg[[#This Row],[Indenfor range]],INDEX(DataTitel_liste,LineærRegression_Valg[[#This Row],[Afhængig variabel ID]]),INDEX(DataTitel_liste,1))</f>
        <v>Eksempel 1 (interval)</v>
      </c>
      <c r="G627" s="45" t="str" cm="1">
        <f t="array" ref="G627">IF(LineærRegression_Valg[[#This Row],[Indenfor range]],IF(LineærRegression_Valg[[#This Row],[Intet overlap]],INDEX(DataTitel_liste,LineærRegression_Valg[[#This Row],[Uafhængig variabel ID]]),INDEX(DataTitel_liste,IF(LineærRegression_Valg[[#This Row],[Afhængig variabel ID]]=1,2,1))),$B$7)</f>
        <v>Eksempel 2 (interval)</v>
      </c>
      <c r="H627" s="45">
        <f>_xlfn.AGGREGATE(2,5,LineærRegression_Valg[[#This Row],[Tabel ID]])</f>
        <v>1</v>
      </c>
    </row>
    <row r="628" spans="1:8" x14ac:dyDescent="0.2">
      <c r="A628">
        <f>ROW(LineærRegression_Valg[[#This Row],[Tabel ID]])-ROW(LineærRegression_Valg[[#Headers],[Tabel ID]])</f>
        <v>618</v>
      </c>
      <c r="B628" s="45">
        <f>ROUNDDOWN((LineærRegression_Valg[[#This Row],[Tabel ID]]-1)/$B$5,0)+1</f>
        <v>155</v>
      </c>
      <c r="C628" s="45">
        <f t="shared" si="9"/>
        <v>2</v>
      </c>
      <c r="D628" s="45" t="b">
        <f>LineærRegression_Valg[[#This Row],[Afhængig variabel ID]]&lt;&gt;LineærRegression_Valg[[#This Row],[Uafhængig variabel ID]]</f>
        <v>1</v>
      </c>
      <c r="E628" t="b">
        <f>LineærRegression_Valg[[#This Row],[Afhængig variabel ID]]&lt;=$B$5</f>
        <v>0</v>
      </c>
      <c r="F628" t="str" cm="1">
        <f t="array" ref="F628">IF(LineærRegression_Valg[[#This Row],[Indenfor range]],INDEX(DataTitel_liste,LineærRegression_Valg[[#This Row],[Afhængig variabel ID]]),INDEX(DataTitel_liste,1))</f>
        <v>Eksempel 1 (interval)</v>
      </c>
      <c r="G628" s="45" t="str" cm="1">
        <f t="array" ref="G628">IF(LineærRegression_Valg[[#This Row],[Indenfor range]],IF(LineærRegression_Valg[[#This Row],[Intet overlap]],INDEX(DataTitel_liste,LineærRegression_Valg[[#This Row],[Uafhængig variabel ID]]),INDEX(DataTitel_liste,IF(LineærRegression_Valg[[#This Row],[Afhængig variabel ID]]=1,2,1))),$B$7)</f>
        <v>Eksempel 2 (interval)</v>
      </c>
      <c r="H628" s="45">
        <f>_xlfn.AGGREGATE(2,5,LineærRegression_Valg[[#This Row],[Tabel ID]])</f>
        <v>1</v>
      </c>
    </row>
    <row r="629" spans="1:8" x14ac:dyDescent="0.2">
      <c r="A629">
        <f>ROW(LineærRegression_Valg[[#This Row],[Tabel ID]])-ROW(LineærRegression_Valg[[#Headers],[Tabel ID]])</f>
        <v>619</v>
      </c>
      <c r="B629" s="45">
        <f>ROUNDDOWN((LineærRegression_Valg[[#This Row],[Tabel ID]]-1)/$B$5,0)+1</f>
        <v>155</v>
      </c>
      <c r="C629" s="45">
        <f t="shared" si="9"/>
        <v>3</v>
      </c>
      <c r="D629" s="45" t="b">
        <f>LineærRegression_Valg[[#This Row],[Afhængig variabel ID]]&lt;&gt;LineærRegression_Valg[[#This Row],[Uafhængig variabel ID]]</f>
        <v>1</v>
      </c>
      <c r="E629" t="b">
        <f>LineærRegression_Valg[[#This Row],[Afhængig variabel ID]]&lt;=$B$5</f>
        <v>0</v>
      </c>
      <c r="F629" t="str" cm="1">
        <f t="array" ref="F629">IF(LineærRegression_Valg[[#This Row],[Indenfor range]],INDEX(DataTitel_liste,LineærRegression_Valg[[#This Row],[Afhængig variabel ID]]),INDEX(DataTitel_liste,1))</f>
        <v>Eksempel 1 (interval)</v>
      </c>
      <c r="G629" s="45" t="str" cm="1">
        <f t="array" ref="G629">IF(LineærRegression_Valg[[#This Row],[Indenfor range]],IF(LineærRegression_Valg[[#This Row],[Intet overlap]],INDEX(DataTitel_liste,LineærRegression_Valg[[#This Row],[Uafhængig variabel ID]]),INDEX(DataTitel_liste,IF(LineærRegression_Valg[[#This Row],[Afhængig variabel ID]]=1,2,1))),$B$7)</f>
        <v>Eksempel 2 (interval)</v>
      </c>
      <c r="H629" s="45">
        <f>_xlfn.AGGREGATE(2,5,LineærRegression_Valg[[#This Row],[Tabel ID]])</f>
        <v>1</v>
      </c>
    </row>
    <row r="630" spans="1:8" x14ac:dyDescent="0.2">
      <c r="A630">
        <f>ROW(LineærRegression_Valg[[#This Row],[Tabel ID]])-ROW(LineærRegression_Valg[[#Headers],[Tabel ID]])</f>
        <v>620</v>
      </c>
      <c r="B630" s="45">
        <f>ROUNDDOWN((LineærRegression_Valg[[#This Row],[Tabel ID]]-1)/$B$5,0)+1</f>
        <v>155</v>
      </c>
      <c r="C630" s="45">
        <f t="shared" si="9"/>
        <v>4</v>
      </c>
      <c r="D630" s="45" t="b">
        <f>LineærRegression_Valg[[#This Row],[Afhængig variabel ID]]&lt;&gt;LineærRegression_Valg[[#This Row],[Uafhængig variabel ID]]</f>
        <v>1</v>
      </c>
      <c r="E630" t="b">
        <f>LineærRegression_Valg[[#This Row],[Afhængig variabel ID]]&lt;=$B$5</f>
        <v>0</v>
      </c>
      <c r="F630" t="str" cm="1">
        <f t="array" ref="F630">IF(LineærRegression_Valg[[#This Row],[Indenfor range]],INDEX(DataTitel_liste,LineærRegression_Valg[[#This Row],[Afhængig variabel ID]]),INDEX(DataTitel_liste,1))</f>
        <v>Eksempel 1 (interval)</v>
      </c>
      <c r="G630" s="45" t="str" cm="1">
        <f t="array" ref="G630">IF(LineærRegression_Valg[[#This Row],[Indenfor range]],IF(LineærRegression_Valg[[#This Row],[Intet overlap]],INDEX(DataTitel_liste,LineærRegression_Valg[[#This Row],[Uafhængig variabel ID]]),INDEX(DataTitel_liste,IF(LineærRegression_Valg[[#This Row],[Afhængig variabel ID]]=1,2,1))),$B$7)</f>
        <v>Eksempel 2 (interval)</v>
      </c>
      <c r="H630" s="45">
        <f>_xlfn.AGGREGATE(2,5,LineærRegression_Valg[[#This Row],[Tabel ID]])</f>
        <v>1</v>
      </c>
    </row>
    <row r="631" spans="1:8" x14ac:dyDescent="0.2">
      <c r="A631">
        <f>ROW(LineærRegression_Valg[[#This Row],[Tabel ID]])-ROW(LineærRegression_Valg[[#Headers],[Tabel ID]])</f>
        <v>621</v>
      </c>
      <c r="B631" s="45">
        <f>ROUNDDOWN((LineærRegression_Valg[[#This Row],[Tabel ID]]-1)/$B$5,0)+1</f>
        <v>156</v>
      </c>
      <c r="C631" s="45">
        <f t="shared" si="9"/>
        <v>1</v>
      </c>
      <c r="D631" s="45" t="b">
        <f>LineærRegression_Valg[[#This Row],[Afhængig variabel ID]]&lt;&gt;LineærRegression_Valg[[#This Row],[Uafhængig variabel ID]]</f>
        <v>1</v>
      </c>
      <c r="E631" t="b">
        <f>LineærRegression_Valg[[#This Row],[Afhængig variabel ID]]&lt;=$B$5</f>
        <v>0</v>
      </c>
      <c r="F631" t="str" cm="1">
        <f t="array" ref="F631">IF(LineærRegression_Valg[[#This Row],[Indenfor range]],INDEX(DataTitel_liste,LineærRegression_Valg[[#This Row],[Afhængig variabel ID]]),INDEX(DataTitel_liste,1))</f>
        <v>Eksempel 1 (interval)</v>
      </c>
      <c r="G631" s="45" t="str" cm="1">
        <f t="array" ref="G631">IF(LineærRegression_Valg[[#This Row],[Indenfor range]],IF(LineærRegression_Valg[[#This Row],[Intet overlap]],INDEX(DataTitel_liste,LineærRegression_Valg[[#This Row],[Uafhængig variabel ID]]),INDEX(DataTitel_liste,IF(LineærRegression_Valg[[#This Row],[Afhængig variabel ID]]=1,2,1))),$B$7)</f>
        <v>Eksempel 2 (interval)</v>
      </c>
      <c r="H631" s="45">
        <f>_xlfn.AGGREGATE(2,5,LineærRegression_Valg[[#This Row],[Tabel ID]])</f>
        <v>1</v>
      </c>
    </row>
    <row r="632" spans="1:8" x14ac:dyDescent="0.2">
      <c r="A632">
        <f>ROW(LineærRegression_Valg[[#This Row],[Tabel ID]])-ROW(LineærRegression_Valg[[#Headers],[Tabel ID]])</f>
        <v>622</v>
      </c>
      <c r="B632" s="45">
        <f>ROUNDDOWN((LineærRegression_Valg[[#This Row],[Tabel ID]]-1)/$B$5,0)+1</f>
        <v>156</v>
      </c>
      <c r="C632" s="45">
        <f t="shared" si="9"/>
        <v>2</v>
      </c>
      <c r="D632" s="45" t="b">
        <f>LineærRegression_Valg[[#This Row],[Afhængig variabel ID]]&lt;&gt;LineærRegression_Valg[[#This Row],[Uafhængig variabel ID]]</f>
        <v>1</v>
      </c>
      <c r="E632" t="b">
        <f>LineærRegression_Valg[[#This Row],[Afhængig variabel ID]]&lt;=$B$5</f>
        <v>0</v>
      </c>
      <c r="F632" t="str" cm="1">
        <f t="array" ref="F632">IF(LineærRegression_Valg[[#This Row],[Indenfor range]],INDEX(DataTitel_liste,LineærRegression_Valg[[#This Row],[Afhængig variabel ID]]),INDEX(DataTitel_liste,1))</f>
        <v>Eksempel 1 (interval)</v>
      </c>
      <c r="G632" s="45" t="str" cm="1">
        <f t="array" ref="G632">IF(LineærRegression_Valg[[#This Row],[Indenfor range]],IF(LineærRegression_Valg[[#This Row],[Intet overlap]],INDEX(DataTitel_liste,LineærRegression_Valg[[#This Row],[Uafhængig variabel ID]]),INDEX(DataTitel_liste,IF(LineærRegression_Valg[[#This Row],[Afhængig variabel ID]]=1,2,1))),$B$7)</f>
        <v>Eksempel 2 (interval)</v>
      </c>
      <c r="H632" s="45">
        <f>_xlfn.AGGREGATE(2,5,LineærRegression_Valg[[#This Row],[Tabel ID]])</f>
        <v>1</v>
      </c>
    </row>
    <row r="633" spans="1:8" x14ac:dyDescent="0.2">
      <c r="A633">
        <f>ROW(LineærRegression_Valg[[#This Row],[Tabel ID]])-ROW(LineærRegression_Valg[[#Headers],[Tabel ID]])</f>
        <v>623</v>
      </c>
      <c r="B633" s="45">
        <f>ROUNDDOWN((LineærRegression_Valg[[#This Row],[Tabel ID]]-1)/$B$5,0)+1</f>
        <v>156</v>
      </c>
      <c r="C633" s="45">
        <f t="shared" si="9"/>
        <v>3</v>
      </c>
      <c r="D633" s="45" t="b">
        <f>LineærRegression_Valg[[#This Row],[Afhængig variabel ID]]&lt;&gt;LineærRegression_Valg[[#This Row],[Uafhængig variabel ID]]</f>
        <v>1</v>
      </c>
      <c r="E633" t="b">
        <f>LineærRegression_Valg[[#This Row],[Afhængig variabel ID]]&lt;=$B$5</f>
        <v>0</v>
      </c>
      <c r="F633" t="str" cm="1">
        <f t="array" ref="F633">IF(LineærRegression_Valg[[#This Row],[Indenfor range]],INDEX(DataTitel_liste,LineærRegression_Valg[[#This Row],[Afhængig variabel ID]]),INDEX(DataTitel_liste,1))</f>
        <v>Eksempel 1 (interval)</v>
      </c>
      <c r="G633" s="45" t="str" cm="1">
        <f t="array" ref="G633">IF(LineærRegression_Valg[[#This Row],[Indenfor range]],IF(LineærRegression_Valg[[#This Row],[Intet overlap]],INDEX(DataTitel_liste,LineærRegression_Valg[[#This Row],[Uafhængig variabel ID]]),INDEX(DataTitel_liste,IF(LineærRegression_Valg[[#This Row],[Afhængig variabel ID]]=1,2,1))),$B$7)</f>
        <v>Eksempel 2 (interval)</v>
      </c>
      <c r="H633" s="45">
        <f>_xlfn.AGGREGATE(2,5,LineærRegression_Valg[[#This Row],[Tabel ID]])</f>
        <v>1</v>
      </c>
    </row>
    <row r="634" spans="1:8" x14ac:dyDescent="0.2">
      <c r="A634">
        <f>ROW(LineærRegression_Valg[[#This Row],[Tabel ID]])-ROW(LineærRegression_Valg[[#Headers],[Tabel ID]])</f>
        <v>624</v>
      </c>
      <c r="B634" s="45">
        <f>ROUNDDOWN((LineærRegression_Valg[[#This Row],[Tabel ID]]-1)/$B$5,0)+1</f>
        <v>156</v>
      </c>
      <c r="C634" s="45">
        <f t="shared" si="9"/>
        <v>4</v>
      </c>
      <c r="D634" s="45" t="b">
        <f>LineærRegression_Valg[[#This Row],[Afhængig variabel ID]]&lt;&gt;LineærRegression_Valg[[#This Row],[Uafhængig variabel ID]]</f>
        <v>1</v>
      </c>
      <c r="E634" t="b">
        <f>LineærRegression_Valg[[#This Row],[Afhængig variabel ID]]&lt;=$B$5</f>
        <v>0</v>
      </c>
      <c r="F634" t="str" cm="1">
        <f t="array" ref="F634">IF(LineærRegression_Valg[[#This Row],[Indenfor range]],INDEX(DataTitel_liste,LineærRegression_Valg[[#This Row],[Afhængig variabel ID]]),INDEX(DataTitel_liste,1))</f>
        <v>Eksempel 1 (interval)</v>
      </c>
      <c r="G634" s="45" t="str" cm="1">
        <f t="array" ref="G634">IF(LineærRegression_Valg[[#This Row],[Indenfor range]],IF(LineærRegression_Valg[[#This Row],[Intet overlap]],INDEX(DataTitel_liste,LineærRegression_Valg[[#This Row],[Uafhængig variabel ID]]),INDEX(DataTitel_liste,IF(LineærRegression_Valg[[#This Row],[Afhængig variabel ID]]=1,2,1))),$B$7)</f>
        <v>Eksempel 2 (interval)</v>
      </c>
      <c r="H634" s="45">
        <f>_xlfn.AGGREGATE(2,5,LineærRegression_Valg[[#This Row],[Tabel ID]])</f>
        <v>1</v>
      </c>
    </row>
    <row r="635" spans="1:8" x14ac:dyDescent="0.2">
      <c r="A635">
        <f>ROW(LineærRegression_Valg[[#This Row],[Tabel ID]])-ROW(LineærRegression_Valg[[#Headers],[Tabel ID]])</f>
        <v>625</v>
      </c>
      <c r="B635" s="45">
        <f>ROUNDDOWN((LineærRegression_Valg[[#This Row],[Tabel ID]]-1)/$B$5,0)+1</f>
        <v>157</v>
      </c>
      <c r="C635" s="45">
        <f t="shared" si="9"/>
        <v>1</v>
      </c>
      <c r="D635" s="45" t="b">
        <f>LineærRegression_Valg[[#This Row],[Afhængig variabel ID]]&lt;&gt;LineærRegression_Valg[[#This Row],[Uafhængig variabel ID]]</f>
        <v>1</v>
      </c>
      <c r="E635" t="b">
        <f>LineærRegression_Valg[[#This Row],[Afhængig variabel ID]]&lt;=$B$5</f>
        <v>0</v>
      </c>
      <c r="F635" t="str" cm="1">
        <f t="array" ref="F635">IF(LineærRegression_Valg[[#This Row],[Indenfor range]],INDEX(DataTitel_liste,LineærRegression_Valg[[#This Row],[Afhængig variabel ID]]),INDEX(DataTitel_liste,1))</f>
        <v>Eksempel 1 (interval)</v>
      </c>
      <c r="G635" s="45" t="str" cm="1">
        <f t="array" ref="G635">IF(LineærRegression_Valg[[#This Row],[Indenfor range]],IF(LineærRegression_Valg[[#This Row],[Intet overlap]],INDEX(DataTitel_liste,LineærRegression_Valg[[#This Row],[Uafhængig variabel ID]]),INDEX(DataTitel_liste,IF(LineærRegression_Valg[[#This Row],[Afhængig variabel ID]]=1,2,1))),$B$7)</f>
        <v>Eksempel 2 (interval)</v>
      </c>
      <c r="H635" s="45">
        <f>_xlfn.AGGREGATE(2,5,LineærRegression_Valg[[#This Row],[Tabel ID]])</f>
        <v>1</v>
      </c>
    </row>
    <row r="636" spans="1:8" x14ac:dyDescent="0.2">
      <c r="A636">
        <f>ROW(LineærRegression_Valg[[#This Row],[Tabel ID]])-ROW(LineærRegression_Valg[[#Headers],[Tabel ID]])</f>
        <v>626</v>
      </c>
      <c r="B636" s="45">
        <f>ROUNDDOWN((LineærRegression_Valg[[#This Row],[Tabel ID]]-1)/$B$5,0)+1</f>
        <v>157</v>
      </c>
      <c r="C636" s="45">
        <f t="shared" si="9"/>
        <v>2</v>
      </c>
      <c r="D636" s="45" t="b">
        <f>LineærRegression_Valg[[#This Row],[Afhængig variabel ID]]&lt;&gt;LineærRegression_Valg[[#This Row],[Uafhængig variabel ID]]</f>
        <v>1</v>
      </c>
      <c r="E636" t="b">
        <f>LineærRegression_Valg[[#This Row],[Afhængig variabel ID]]&lt;=$B$5</f>
        <v>0</v>
      </c>
      <c r="F636" t="str" cm="1">
        <f t="array" ref="F636">IF(LineærRegression_Valg[[#This Row],[Indenfor range]],INDEX(DataTitel_liste,LineærRegression_Valg[[#This Row],[Afhængig variabel ID]]),INDEX(DataTitel_liste,1))</f>
        <v>Eksempel 1 (interval)</v>
      </c>
      <c r="G636" s="45" t="str" cm="1">
        <f t="array" ref="G636">IF(LineærRegression_Valg[[#This Row],[Indenfor range]],IF(LineærRegression_Valg[[#This Row],[Intet overlap]],INDEX(DataTitel_liste,LineærRegression_Valg[[#This Row],[Uafhængig variabel ID]]),INDEX(DataTitel_liste,IF(LineærRegression_Valg[[#This Row],[Afhængig variabel ID]]=1,2,1))),$B$7)</f>
        <v>Eksempel 2 (interval)</v>
      </c>
      <c r="H636" s="45">
        <f>_xlfn.AGGREGATE(2,5,LineærRegression_Valg[[#This Row],[Tabel ID]])</f>
        <v>1</v>
      </c>
    </row>
    <row r="637" spans="1:8" x14ac:dyDescent="0.2">
      <c r="A637">
        <f>ROW(LineærRegression_Valg[[#This Row],[Tabel ID]])-ROW(LineærRegression_Valg[[#Headers],[Tabel ID]])</f>
        <v>627</v>
      </c>
      <c r="B637" s="45">
        <f>ROUNDDOWN((LineærRegression_Valg[[#This Row],[Tabel ID]]-1)/$B$5,0)+1</f>
        <v>157</v>
      </c>
      <c r="C637" s="45">
        <f t="shared" si="9"/>
        <v>3</v>
      </c>
      <c r="D637" s="45" t="b">
        <f>LineærRegression_Valg[[#This Row],[Afhængig variabel ID]]&lt;&gt;LineærRegression_Valg[[#This Row],[Uafhængig variabel ID]]</f>
        <v>1</v>
      </c>
      <c r="E637" t="b">
        <f>LineærRegression_Valg[[#This Row],[Afhængig variabel ID]]&lt;=$B$5</f>
        <v>0</v>
      </c>
      <c r="F637" t="str" cm="1">
        <f t="array" ref="F637">IF(LineærRegression_Valg[[#This Row],[Indenfor range]],INDEX(DataTitel_liste,LineærRegression_Valg[[#This Row],[Afhængig variabel ID]]),INDEX(DataTitel_liste,1))</f>
        <v>Eksempel 1 (interval)</v>
      </c>
      <c r="G637" s="45" t="str" cm="1">
        <f t="array" ref="G637">IF(LineærRegression_Valg[[#This Row],[Indenfor range]],IF(LineærRegression_Valg[[#This Row],[Intet overlap]],INDEX(DataTitel_liste,LineærRegression_Valg[[#This Row],[Uafhængig variabel ID]]),INDEX(DataTitel_liste,IF(LineærRegression_Valg[[#This Row],[Afhængig variabel ID]]=1,2,1))),$B$7)</f>
        <v>Eksempel 2 (interval)</v>
      </c>
      <c r="H637" s="45">
        <f>_xlfn.AGGREGATE(2,5,LineærRegression_Valg[[#This Row],[Tabel ID]])</f>
        <v>1</v>
      </c>
    </row>
    <row r="638" spans="1:8" x14ac:dyDescent="0.2">
      <c r="A638">
        <f>ROW(LineærRegression_Valg[[#This Row],[Tabel ID]])-ROW(LineærRegression_Valg[[#Headers],[Tabel ID]])</f>
        <v>628</v>
      </c>
      <c r="B638" s="45">
        <f>ROUNDDOWN((LineærRegression_Valg[[#This Row],[Tabel ID]]-1)/$B$5,0)+1</f>
        <v>157</v>
      </c>
      <c r="C638" s="45">
        <f t="shared" si="9"/>
        <v>4</v>
      </c>
      <c r="D638" s="45" t="b">
        <f>LineærRegression_Valg[[#This Row],[Afhængig variabel ID]]&lt;&gt;LineærRegression_Valg[[#This Row],[Uafhængig variabel ID]]</f>
        <v>1</v>
      </c>
      <c r="E638" t="b">
        <f>LineærRegression_Valg[[#This Row],[Afhængig variabel ID]]&lt;=$B$5</f>
        <v>0</v>
      </c>
      <c r="F638" t="str" cm="1">
        <f t="array" ref="F638">IF(LineærRegression_Valg[[#This Row],[Indenfor range]],INDEX(DataTitel_liste,LineærRegression_Valg[[#This Row],[Afhængig variabel ID]]),INDEX(DataTitel_liste,1))</f>
        <v>Eksempel 1 (interval)</v>
      </c>
      <c r="G638" s="45" t="str" cm="1">
        <f t="array" ref="G638">IF(LineærRegression_Valg[[#This Row],[Indenfor range]],IF(LineærRegression_Valg[[#This Row],[Intet overlap]],INDEX(DataTitel_liste,LineærRegression_Valg[[#This Row],[Uafhængig variabel ID]]),INDEX(DataTitel_liste,IF(LineærRegression_Valg[[#This Row],[Afhængig variabel ID]]=1,2,1))),$B$7)</f>
        <v>Eksempel 2 (interval)</v>
      </c>
      <c r="H638" s="45">
        <f>_xlfn.AGGREGATE(2,5,LineærRegression_Valg[[#This Row],[Tabel ID]])</f>
        <v>1</v>
      </c>
    </row>
    <row r="639" spans="1:8" x14ac:dyDescent="0.2">
      <c r="A639">
        <f>ROW(LineærRegression_Valg[[#This Row],[Tabel ID]])-ROW(LineærRegression_Valg[[#Headers],[Tabel ID]])</f>
        <v>629</v>
      </c>
      <c r="B639" s="45">
        <f>ROUNDDOWN((LineærRegression_Valg[[#This Row],[Tabel ID]]-1)/$B$5,0)+1</f>
        <v>158</v>
      </c>
      <c r="C639" s="45">
        <f t="shared" si="9"/>
        <v>1</v>
      </c>
      <c r="D639" s="45" t="b">
        <f>LineærRegression_Valg[[#This Row],[Afhængig variabel ID]]&lt;&gt;LineærRegression_Valg[[#This Row],[Uafhængig variabel ID]]</f>
        <v>1</v>
      </c>
      <c r="E639" t="b">
        <f>LineærRegression_Valg[[#This Row],[Afhængig variabel ID]]&lt;=$B$5</f>
        <v>0</v>
      </c>
      <c r="F639" t="str" cm="1">
        <f t="array" ref="F639">IF(LineærRegression_Valg[[#This Row],[Indenfor range]],INDEX(DataTitel_liste,LineærRegression_Valg[[#This Row],[Afhængig variabel ID]]),INDEX(DataTitel_liste,1))</f>
        <v>Eksempel 1 (interval)</v>
      </c>
      <c r="G639" s="45" t="str" cm="1">
        <f t="array" ref="G639">IF(LineærRegression_Valg[[#This Row],[Indenfor range]],IF(LineærRegression_Valg[[#This Row],[Intet overlap]],INDEX(DataTitel_liste,LineærRegression_Valg[[#This Row],[Uafhængig variabel ID]]),INDEX(DataTitel_liste,IF(LineærRegression_Valg[[#This Row],[Afhængig variabel ID]]=1,2,1))),$B$7)</f>
        <v>Eksempel 2 (interval)</v>
      </c>
      <c r="H639" s="45">
        <f>_xlfn.AGGREGATE(2,5,LineærRegression_Valg[[#This Row],[Tabel ID]])</f>
        <v>1</v>
      </c>
    </row>
    <row r="640" spans="1:8" x14ac:dyDescent="0.2">
      <c r="A640">
        <f>ROW(LineærRegression_Valg[[#This Row],[Tabel ID]])-ROW(LineærRegression_Valg[[#Headers],[Tabel ID]])</f>
        <v>630</v>
      </c>
      <c r="B640" s="45">
        <f>ROUNDDOWN((LineærRegression_Valg[[#This Row],[Tabel ID]]-1)/$B$5,0)+1</f>
        <v>158</v>
      </c>
      <c r="C640" s="45">
        <f t="shared" si="9"/>
        <v>2</v>
      </c>
      <c r="D640" s="45" t="b">
        <f>LineærRegression_Valg[[#This Row],[Afhængig variabel ID]]&lt;&gt;LineærRegression_Valg[[#This Row],[Uafhængig variabel ID]]</f>
        <v>1</v>
      </c>
      <c r="E640" t="b">
        <f>LineærRegression_Valg[[#This Row],[Afhængig variabel ID]]&lt;=$B$5</f>
        <v>0</v>
      </c>
      <c r="F640" t="str" cm="1">
        <f t="array" ref="F640">IF(LineærRegression_Valg[[#This Row],[Indenfor range]],INDEX(DataTitel_liste,LineærRegression_Valg[[#This Row],[Afhængig variabel ID]]),INDEX(DataTitel_liste,1))</f>
        <v>Eksempel 1 (interval)</v>
      </c>
      <c r="G640" s="45" t="str" cm="1">
        <f t="array" ref="G640">IF(LineærRegression_Valg[[#This Row],[Indenfor range]],IF(LineærRegression_Valg[[#This Row],[Intet overlap]],INDEX(DataTitel_liste,LineærRegression_Valg[[#This Row],[Uafhængig variabel ID]]),INDEX(DataTitel_liste,IF(LineærRegression_Valg[[#This Row],[Afhængig variabel ID]]=1,2,1))),$B$7)</f>
        <v>Eksempel 2 (interval)</v>
      </c>
      <c r="H640" s="45">
        <f>_xlfn.AGGREGATE(2,5,LineærRegression_Valg[[#This Row],[Tabel ID]])</f>
        <v>1</v>
      </c>
    </row>
    <row r="641" spans="1:8" x14ac:dyDescent="0.2">
      <c r="A641">
        <f>ROW(LineærRegression_Valg[[#This Row],[Tabel ID]])-ROW(LineærRegression_Valg[[#Headers],[Tabel ID]])</f>
        <v>631</v>
      </c>
      <c r="B641" s="45">
        <f>ROUNDDOWN((LineærRegression_Valg[[#This Row],[Tabel ID]]-1)/$B$5,0)+1</f>
        <v>158</v>
      </c>
      <c r="C641" s="45">
        <f t="shared" si="9"/>
        <v>3</v>
      </c>
      <c r="D641" s="45" t="b">
        <f>LineærRegression_Valg[[#This Row],[Afhængig variabel ID]]&lt;&gt;LineærRegression_Valg[[#This Row],[Uafhængig variabel ID]]</f>
        <v>1</v>
      </c>
      <c r="E641" t="b">
        <f>LineærRegression_Valg[[#This Row],[Afhængig variabel ID]]&lt;=$B$5</f>
        <v>0</v>
      </c>
      <c r="F641" t="str" cm="1">
        <f t="array" ref="F641">IF(LineærRegression_Valg[[#This Row],[Indenfor range]],INDEX(DataTitel_liste,LineærRegression_Valg[[#This Row],[Afhængig variabel ID]]),INDEX(DataTitel_liste,1))</f>
        <v>Eksempel 1 (interval)</v>
      </c>
      <c r="G641" s="45" t="str" cm="1">
        <f t="array" ref="G641">IF(LineærRegression_Valg[[#This Row],[Indenfor range]],IF(LineærRegression_Valg[[#This Row],[Intet overlap]],INDEX(DataTitel_liste,LineærRegression_Valg[[#This Row],[Uafhængig variabel ID]]),INDEX(DataTitel_liste,IF(LineærRegression_Valg[[#This Row],[Afhængig variabel ID]]=1,2,1))),$B$7)</f>
        <v>Eksempel 2 (interval)</v>
      </c>
      <c r="H641" s="45">
        <f>_xlfn.AGGREGATE(2,5,LineærRegression_Valg[[#This Row],[Tabel ID]])</f>
        <v>1</v>
      </c>
    </row>
    <row r="642" spans="1:8" x14ac:dyDescent="0.2">
      <c r="A642">
        <f>ROW(LineærRegression_Valg[[#This Row],[Tabel ID]])-ROW(LineærRegression_Valg[[#Headers],[Tabel ID]])</f>
        <v>632</v>
      </c>
      <c r="B642" s="45">
        <f>ROUNDDOWN((LineærRegression_Valg[[#This Row],[Tabel ID]]-1)/$B$5,0)+1</f>
        <v>158</v>
      </c>
      <c r="C642" s="45">
        <f t="shared" si="9"/>
        <v>4</v>
      </c>
      <c r="D642" s="45" t="b">
        <f>LineærRegression_Valg[[#This Row],[Afhængig variabel ID]]&lt;&gt;LineærRegression_Valg[[#This Row],[Uafhængig variabel ID]]</f>
        <v>1</v>
      </c>
      <c r="E642" t="b">
        <f>LineærRegression_Valg[[#This Row],[Afhængig variabel ID]]&lt;=$B$5</f>
        <v>0</v>
      </c>
      <c r="F642" t="str" cm="1">
        <f t="array" ref="F642">IF(LineærRegression_Valg[[#This Row],[Indenfor range]],INDEX(DataTitel_liste,LineærRegression_Valg[[#This Row],[Afhængig variabel ID]]),INDEX(DataTitel_liste,1))</f>
        <v>Eksempel 1 (interval)</v>
      </c>
      <c r="G642" s="45" t="str" cm="1">
        <f t="array" ref="G642">IF(LineærRegression_Valg[[#This Row],[Indenfor range]],IF(LineærRegression_Valg[[#This Row],[Intet overlap]],INDEX(DataTitel_liste,LineærRegression_Valg[[#This Row],[Uafhængig variabel ID]]),INDEX(DataTitel_liste,IF(LineærRegression_Valg[[#This Row],[Afhængig variabel ID]]=1,2,1))),$B$7)</f>
        <v>Eksempel 2 (interval)</v>
      </c>
      <c r="H642" s="45">
        <f>_xlfn.AGGREGATE(2,5,LineærRegression_Valg[[#This Row],[Tabel ID]])</f>
        <v>1</v>
      </c>
    </row>
    <row r="643" spans="1:8" x14ac:dyDescent="0.2">
      <c r="A643">
        <f>ROW(LineærRegression_Valg[[#This Row],[Tabel ID]])-ROW(LineærRegression_Valg[[#Headers],[Tabel ID]])</f>
        <v>633</v>
      </c>
      <c r="B643" s="45">
        <f>ROUNDDOWN((LineærRegression_Valg[[#This Row],[Tabel ID]]-1)/$B$5,0)+1</f>
        <v>159</v>
      </c>
      <c r="C643" s="45">
        <f t="shared" si="9"/>
        <v>1</v>
      </c>
      <c r="D643" s="45" t="b">
        <f>LineærRegression_Valg[[#This Row],[Afhængig variabel ID]]&lt;&gt;LineærRegression_Valg[[#This Row],[Uafhængig variabel ID]]</f>
        <v>1</v>
      </c>
      <c r="E643" t="b">
        <f>LineærRegression_Valg[[#This Row],[Afhængig variabel ID]]&lt;=$B$5</f>
        <v>0</v>
      </c>
      <c r="F643" t="str" cm="1">
        <f t="array" ref="F643">IF(LineærRegression_Valg[[#This Row],[Indenfor range]],INDEX(DataTitel_liste,LineærRegression_Valg[[#This Row],[Afhængig variabel ID]]),INDEX(DataTitel_liste,1))</f>
        <v>Eksempel 1 (interval)</v>
      </c>
      <c r="G643" s="45" t="str" cm="1">
        <f t="array" ref="G643">IF(LineærRegression_Valg[[#This Row],[Indenfor range]],IF(LineærRegression_Valg[[#This Row],[Intet overlap]],INDEX(DataTitel_liste,LineærRegression_Valg[[#This Row],[Uafhængig variabel ID]]),INDEX(DataTitel_liste,IF(LineærRegression_Valg[[#This Row],[Afhængig variabel ID]]=1,2,1))),$B$7)</f>
        <v>Eksempel 2 (interval)</v>
      </c>
      <c r="H643" s="45">
        <f>_xlfn.AGGREGATE(2,5,LineærRegression_Valg[[#This Row],[Tabel ID]])</f>
        <v>1</v>
      </c>
    </row>
    <row r="644" spans="1:8" x14ac:dyDescent="0.2">
      <c r="A644">
        <f>ROW(LineærRegression_Valg[[#This Row],[Tabel ID]])-ROW(LineærRegression_Valg[[#Headers],[Tabel ID]])</f>
        <v>634</v>
      </c>
      <c r="B644" s="45">
        <f>ROUNDDOWN((LineærRegression_Valg[[#This Row],[Tabel ID]]-1)/$B$5,0)+1</f>
        <v>159</v>
      </c>
      <c r="C644" s="45">
        <f t="shared" si="9"/>
        <v>2</v>
      </c>
      <c r="D644" s="45" t="b">
        <f>LineærRegression_Valg[[#This Row],[Afhængig variabel ID]]&lt;&gt;LineærRegression_Valg[[#This Row],[Uafhængig variabel ID]]</f>
        <v>1</v>
      </c>
      <c r="E644" t="b">
        <f>LineærRegression_Valg[[#This Row],[Afhængig variabel ID]]&lt;=$B$5</f>
        <v>0</v>
      </c>
      <c r="F644" t="str" cm="1">
        <f t="array" ref="F644">IF(LineærRegression_Valg[[#This Row],[Indenfor range]],INDEX(DataTitel_liste,LineærRegression_Valg[[#This Row],[Afhængig variabel ID]]),INDEX(DataTitel_liste,1))</f>
        <v>Eksempel 1 (interval)</v>
      </c>
      <c r="G644" s="45" t="str" cm="1">
        <f t="array" ref="G644">IF(LineærRegression_Valg[[#This Row],[Indenfor range]],IF(LineærRegression_Valg[[#This Row],[Intet overlap]],INDEX(DataTitel_liste,LineærRegression_Valg[[#This Row],[Uafhængig variabel ID]]),INDEX(DataTitel_liste,IF(LineærRegression_Valg[[#This Row],[Afhængig variabel ID]]=1,2,1))),$B$7)</f>
        <v>Eksempel 2 (interval)</v>
      </c>
      <c r="H644" s="45">
        <f>_xlfn.AGGREGATE(2,5,LineærRegression_Valg[[#This Row],[Tabel ID]])</f>
        <v>1</v>
      </c>
    </row>
    <row r="645" spans="1:8" x14ac:dyDescent="0.2">
      <c r="A645">
        <f>ROW(LineærRegression_Valg[[#This Row],[Tabel ID]])-ROW(LineærRegression_Valg[[#Headers],[Tabel ID]])</f>
        <v>635</v>
      </c>
      <c r="B645" s="45">
        <f>ROUNDDOWN((LineærRegression_Valg[[#This Row],[Tabel ID]]-1)/$B$5,0)+1</f>
        <v>159</v>
      </c>
      <c r="C645" s="45">
        <f t="shared" si="9"/>
        <v>3</v>
      </c>
      <c r="D645" s="45" t="b">
        <f>LineærRegression_Valg[[#This Row],[Afhængig variabel ID]]&lt;&gt;LineærRegression_Valg[[#This Row],[Uafhængig variabel ID]]</f>
        <v>1</v>
      </c>
      <c r="E645" t="b">
        <f>LineærRegression_Valg[[#This Row],[Afhængig variabel ID]]&lt;=$B$5</f>
        <v>0</v>
      </c>
      <c r="F645" t="str" cm="1">
        <f t="array" ref="F645">IF(LineærRegression_Valg[[#This Row],[Indenfor range]],INDEX(DataTitel_liste,LineærRegression_Valg[[#This Row],[Afhængig variabel ID]]),INDEX(DataTitel_liste,1))</f>
        <v>Eksempel 1 (interval)</v>
      </c>
      <c r="G645" s="45" t="str" cm="1">
        <f t="array" ref="G645">IF(LineærRegression_Valg[[#This Row],[Indenfor range]],IF(LineærRegression_Valg[[#This Row],[Intet overlap]],INDEX(DataTitel_liste,LineærRegression_Valg[[#This Row],[Uafhængig variabel ID]]),INDEX(DataTitel_liste,IF(LineærRegression_Valg[[#This Row],[Afhængig variabel ID]]=1,2,1))),$B$7)</f>
        <v>Eksempel 2 (interval)</v>
      </c>
      <c r="H645" s="45">
        <f>_xlfn.AGGREGATE(2,5,LineærRegression_Valg[[#This Row],[Tabel ID]])</f>
        <v>1</v>
      </c>
    </row>
    <row r="646" spans="1:8" x14ac:dyDescent="0.2">
      <c r="A646">
        <f>ROW(LineærRegression_Valg[[#This Row],[Tabel ID]])-ROW(LineærRegression_Valg[[#Headers],[Tabel ID]])</f>
        <v>636</v>
      </c>
      <c r="B646" s="45">
        <f>ROUNDDOWN((LineærRegression_Valg[[#This Row],[Tabel ID]]-1)/$B$5,0)+1</f>
        <v>159</v>
      </c>
      <c r="C646" s="45">
        <f t="shared" si="9"/>
        <v>4</v>
      </c>
      <c r="D646" s="45" t="b">
        <f>LineærRegression_Valg[[#This Row],[Afhængig variabel ID]]&lt;&gt;LineærRegression_Valg[[#This Row],[Uafhængig variabel ID]]</f>
        <v>1</v>
      </c>
      <c r="E646" t="b">
        <f>LineærRegression_Valg[[#This Row],[Afhængig variabel ID]]&lt;=$B$5</f>
        <v>0</v>
      </c>
      <c r="F646" t="str" cm="1">
        <f t="array" ref="F646">IF(LineærRegression_Valg[[#This Row],[Indenfor range]],INDEX(DataTitel_liste,LineærRegression_Valg[[#This Row],[Afhængig variabel ID]]),INDEX(DataTitel_liste,1))</f>
        <v>Eksempel 1 (interval)</v>
      </c>
      <c r="G646" s="45" t="str" cm="1">
        <f t="array" ref="G646">IF(LineærRegression_Valg[[#This Row],[Indenfor range]],IF(LineærRegression_Valg[[#This Row],[Intet overlap]],INDEX(DataTitel_liste,LineærRegression_Valg[[#This Row],[Uafhængig variabel ID]]),INDEX(DataTitel_liste,IF(LineærRegression_Valg[[#This Row],[Afhængig variabel ID]]=1,2,1))),$B$7)</f>
        <v>Eksempel 2 (interval)</v>
      </c>
      <c r="H646" s="45">
        <f>_xlfn.AGGREGATE(2,5,LineærRegression_Valg[[#This Row],[Tabel ID]])</f>
        <v>1</v>
      </c>
    </row>
    <row r="647" spans="1:8" x14ac:dyDescent="0.2">
      <c r="A647">
        <f>ROW(LineærRegression_Valg[[#This Row],[Tabel ID]])-ROW(LineærRegression_Valg[[#Headers],[Tabel ID]])</f>
        <v>637</v>
      </c>
      <c r="B647" s="45">
        <f>ROUNDDOWN((LineærRegression_Valg[[#This Row],[Tabel ID]]-1)/$B$5,0)+1</f>
        <v>160</v>
      </c>
      <c r="C647" s="45">
        <f t="shared" si="9"/>
        <v>1</v>
      </c>
      <c r="D647" s="45" t="b">
        <f>LineærRegression_Valg[[#This Row],[Afhængig variabel ID]]&lt;&gt;LineærRegression_Valg[[#This Row],[Uafhængig variabel ID]]</f>
        <v>1</v>
      </c>
      <c r="E647" t="b">
        <f>LineærRegression_Valg[[#This Row],[Afhængig variabel ID]]&lt;=$B$5</f>
        <v>0</v>
      </c>
      <c r="F647" t="str" cm="1">
        <f t="array" ref="F647">IF(LineærRegression_Valg[[#This Row],[Indenfor range]],INDEX(DataTitel_liste,LineærRegression_Valg[[#This Row],[Afhængig variabel ID]]),INDEX(DataTitel_liste,1))</f>
        <v>Eksempel 1 (interval)</v>
      </c>
      <c r="G647" s="45" t="str" cm="1">
        <f t="array" ref="G647">IF(LineærRegression_Valg[[#This Row],[Indenfor range]],IF(LineærRegression_Valg[[#This Row],[Intet overlap]],INDEX(DataTitel_liste,LineærRegression_Valg[[#This Row],[Uafhængig variabel ID]]),INDEX(DataTitel_liste,IF(LineærRegression_Valg[[#This Row],[Afhængig variabel ID]]=1,2,1))),$B$7)</f>
        <v>Eksempel 2 (interval)</v>
      </c>
      <c r="H647" s="45">
        <f>_xlfn.AGGREGATE(2,5,LineærRegression_Valg[[#This Row],[Tabel ID]])</f>
        <v>1</v>
      </c>
    </row>
    <row r="648" spans="1:8" x14ac:dyDescent="0.2">
      <c r="A648">
        <f>ROW(LineærRegression_Valg[[#This Row],[Tabel ID]])-ROW(LineærRegression_Valg[[#Headers],[Tabel ID]])</f>
        <v>638</v>
      </c>
      <c r="B648" s="45">
        <f>ROUNDDOWN((LineærRegression_Valg[[#This Row],[Tabel ID]]-1)/$B$5,0)+1</f>
        <v>160</v>
      </c>
      <c r="C648" s="45">
        <f t="shared" si="9"/>
        <v>2</v>
      </c>
      <c r="D648" s="45" t="b">
        <f>LineærRegression_Valg[[#This Row],[Afhængig variabel ID]]&lt;&gt;LineærRegression_Valg[[#This Row],[Uafhængig variabel ID]]</f>
        <v>1</v>
      </c>
      <c r="E648" t="b">
        <f>LineærRegression_Valg[[#This Row],[Afhængig variabel ID]]&lt;=$B$5</f>
        <v>0</v>
      </c>
      <c r="F648" t="str" cm="1">
        <f t="array" ref="F648">IF(LineærRegression_Valg[[#This Row],[Indenfor range]],INDEX(DataTitel_liste,LineærRegression_Valg[[#This Row],[Afhængig variabel ID]]),INDEX(DataTitel_liste,1))</f>
        <v>Eksempel 1 (interval)</v>
      </c>
      <c r="G648" s="45" t="str" cm="1">
        <f t="array" ref="G648">IF(LineærRegression_Valg[[#This Row],[Indenfor range]],IF(LineærRegression_Valg[[#This Row],[Intet overlap]],INDEX(DataTitel_liste,LineærRegression_Valg[[#This Row],[Uafhængig variabel ID]]),INDEX(DataTitel_liste,IF(LineærRegression_Valg[[#This Row],[Afhængig variabel ID]]=1,2,1))),$B$7)</f>
        <v>Eksempel 2 (interval)</v>
      </c>
      <c r="H648" s="45">
        <f>_xlfn.AGGREGATE(2,5,LineærRegression_Valg[[#This Row],[Tabel ID]])</f>
        <v>1</v>
      </c>
    </row>
    <row r="649" spans="1:8" x14ac:dyDescent="0.2">
      <c r="A649">
        <f>ROW(LineærRegression_Valg[[#This Row],[Tabel ID]])-ROW(LineærRegression_Valg[[#Headers],[Tabel ID]])</f>
        <v>639</v>
      </c>
      <c r="B649" s="45">
        <f>ROUNDDOWN((LineærRegression_Valg[[#This Row],[Tabel ID]]-1)/$B$5,0)+1</f>
        <v>160</v>
      </c>
      <c r="C649" s="45">
        <f t="shared" si="9"/>
        <v>3</v>
      </c>
      <c r="D649" s="45" t="b">
        <f>LineærRegression_Valg[[#This Row],[Afhængig variabel ID]]&lt;&gt;LineærRegression_Valg[[#This Row],[Uafhængig variabel ID]]</f>
        <v>1</v>
      </c>
      <c r="E649" t="b">
        <f>LineærRegression_Valg[[#This Row],[Afhængig variabel ID]]&lt;=$B$5</f>
        <v>0</v>
      </c>
      <c r="F649" t="str" cm="1">
        <f t="array" ref="F649">IF(LineærRegression_Valg[[#This Row],[Indenfor range]],INDEX(DataTitel_liste,LineærRegression_Valg[[#This Row],[Afhængig variabel ID]]),INDEX(DataTitel_liste,1))</f>
        <v>Eksempel 1 (interval)</v>
      </c>
      <c r="G649" s="45" t="str" cm="1">
        <f t="array" ref="G649">IF(LineærRegression_Valg[[#This Row],[Indenfor range]],IF(LineærRegression_Valg[[#This Row],[Intet overlap]],INDEX(DataTitel_liste,LineærRegression_Valg[[#This Row],[Uafhængig variabel ID]]),INDEX(DataTitel_liste,IF(LineærRegression_Valg[[#This Row],[Afhængig variabel ID]]=1,2,1))),$B$7)</f>
        <v>Eksempel 2 (interval)</v>
      </c>
      <c r="H649" s="45">
        <f>_xlfn.AGGREGATE(2,5,LineærRegression_Valg[[#This Row],[Tabel ID]])</f>
        <v>1</v>
      </c>
    </row>
    <row r="650" spans="1:8" x14ac:dyDescent="0.2">
      <c r="A650">
        <f>ROW(LineærRegression_Valg[[#This Row],[Tabel ID]])-ROW(LineærRegression_Valg[[#Headers],[Tabel ID]])</f>
        <v>640</v>
      </c>
      <c r="B650" s="45">
        <f>ROUNDDOWN((LineærRegression_Valg[[#This Row],[Tabel ID]]-1)/$B$5,0)+1</f>
        <v>160</v>
      </c>
      <c r="C650" s="45">
        <f t="shared" si="9"/>
        <v>4</v>
      </c>
      <c r="D650" s="45" t="b">
        <f>LineærRegression_Valg[[#This Row],[Afhængig variabel ID]]&lt;&gt;LineærRegression_Valg[[#This Row],[Uafhængig variabel ID]]</f>
        <v>1</v>
      </c>
      <c r="E650" t="b">
        <f>LineærRegression_Valg[[#This Row],[Afhængig variabel ID]]&lt;=$B$5</f>
        <v>0</v>
      </c>
      <c r="F650" t="str" cm="1">
        <f t="array" ref="F650">IF(LineærRegression_Valg[[#This Row],[Indenfor range]],INDEX(DataTitel_liste,LineærRegression_Valg[[#This Row],[Afhængig variabel ID]]),INDEX(DataTitel_liste,1))</f>
        <v>Eksempel 1 (interval)</v>
      </c>
      <c r="G650" s="45" t="str" cm="1">
        <f t="array" ref="G650">IF(LineærRegression_Valg[[#This Row],[Indenfor range]],IF(LineærRegression_Valg[[#This Row],[Intet overlap]],INDEX(DataTitel_liste,LineærRegression_Valg[[#This Row],[Uafhængig variabel ID]]),INDEX(DataTitel_liste,IF(LineærRegression_Valg[[#This Row],[Afhængig variabel ID]]=1,2,1))),$B$7)</f>
        <v>Eksempel 2 (interval)</v>
      </c>
      <c r="H650" s="45">
        <f>_xlfn.AGGREGATE(2,5,LineærRegression_Valg[[#This Row],[Tabel ID]])</f>
        <v>1</v>
      </c>
    </row>
    <row r="651" spans="1:8" x14ac:dyDescent="0.2">
      <c r="A651">
        <f>ROW(LineærRegression_Valg[[#This Row],[Tabel ID]])-ROW(LineærRegression_Valg[[#Headers],[Tabel ID]])</f>
        <v>641</v>
      </c>
      <c r="B651" s="45">
        <f>ROUNDDOWN((LineærRegression_Valg[[#This Row],[Tabel ID]]-1)/$B$5,0)+1</f>
        <v>161</v>
      </c>
      <c r="C651" s="45">
        <f t="shared" ref="C651:C714" si="10">MOD(A651-1,$B$5)+1</f>
        <v>1</v>
      </c>
      <c r="D651" s="45" t="b">
        <f>LineærRegression_Valg[[#This Row],[Afhængig variabel ID]]&lt;&gt;LineærRegression_Valg[[#This Row],[Uafhængig variabel ID]]</f>
        <v>1</v>
      </c>
      <c r="E651" t="b">
        <f>LineærRegression_Valg[[#This Row],[Afhængig variabel ID]]&lt;=$B$5</f>
        <v>0</v>
      </c>
      <c r="F651" t="str" cm="1">
        <f t="array" ref="F651">IF(LineærRegression_Valg[[#This Row],[Indenfor range]],INDEX(DataTitel_liste,LineærRegression_Valg[[#This Row],[Afhængig variabel ID]]),INDEX(DataTitel_liste,1))</f>
        <v>Eksempel 1 (interval)</v>
      </c>
      <c r="G651" s="45" t="str" cm="1">
        <f t="array" ref="G651">IF(LineærRegression_Valg[[#This Row],[Indenfor range]],IF(LineærRegression_Valg[[#This Row],[Intet overlap]],INDEX(DataTitel_liste,LineærRegression_Valg[[#This Row],[Uafhængig variabel ID]]),INDEX(DataTitel_liste,IF(LineærRegression_Valg[[#This Row],[Afhængig variabel ID]]=1,2,1))),$B$7)</f>
        <v>Eksempel 2 (interval)</v>
      </c>
      <c r="H651" s="45">
        <f>_xlfn.AGGREGATE(2,5,LineærRegression_Valg[[#This Row],[Tabel ID]])</f>
        <v>1</v>
      </c>
    </row>
    <row r="652" spans="1:8" x14ac:dyDescent="0.2">
      <c r="A652">
        <f>ROW(LineærRegression_Valg[[#This Row],[Tabel ID]])-ROW(LineærRegression_Valg[[#Headers],[Tabel ID]])</f>
        <v>642</v>
      </c>
      <c r="B652" s="45">
        <f>ROUNDDOWN((LineærRegression_Valg[[#This Row],[Tabel ID]]-1)/$B$5,0)+1</f>
        <v>161</v>
      </c>
      <c r="C652" s="45">
        <f t="shared" si="10"/>
        <v>2</v>
      </c>
      <c r="D652" s="45" t="b">
        <f>LineærRegression_Valg[[#This Row],[Afhængig variabel ID]]&lt;&gt;LineærRegression_Valg[[#This Row],[Uafhængig variabel ID]]</f>
        <v>1</v>
      </c>
      <c r="E652" t="b">
        <f>LineærRegression_Valg[[#This Row],[Afhængig variabel ID]]&lt;=$B$5</f>
        <v>0</v>
      </c>
      <c r="F652" t="str" cm="1">
        <f t="array" ref="F652">IF(LineærRegression_Valg[[#This Row],[Indenfor range]],INDEX(DataTitel_liste,LineærRegression_Valg[[#This Row],[Afhængig variabel ID]]),INDEX(DataTitel_liste,1))</f>
        <v>Eksempel 1 (interval)</v>
      </c>
      <c r="G652" s="45" t="str" cm="1">
        <f t="array" ref="G652">IF(LineærRegression_Valg[[#This Row],[Indenfor range]],IF(LineærRegression_Valg[[#This Row],[Intet overlap]],INDEX(DataTitel_liste,LineærRegression_Valg[[#This Row],[Uafhængig variabel ID]]),INDEX(DataTitel_liste,IF(LineærRegression_Valg[[#This Row],[Afhængig variabel ID]]=1,2,1))),$B$7)</f>
        <v>Eksempel 2 (interval)</v>
      </c>
      <c r="H652" s="45">
        <f>_xlfn.AGGREGATE(2,5,LineærRegression_Valg[[#This Row],[Tabel ID]])</f>
        <v>1</v>
      </c>
    </row>
    <row r="653" spans="1:8" x14ac:dyDescent="0.2">
      <c r="A653">
        <f>ROW(LineærRegression_Valg[[#This Row],[Tabel ID]])-ROW(LineærRegression_Valg[[#Headers],[Tabel ID]])</f>
        <v>643</v>
      </c>
      <c r="B653" s="45">
        <f>ROUNDDOWN((LineærRegression_Valg[[#This Row],[Tabel ID]]-1)/$B$5,0)+1</f>
        <v>161</v>
      </c>
      <c r="C653" s="45">
        <f t="shared" si="10"/>
        <v>3</v>
      </c>
      <c r="D653" s="45" t="b">
        <f>LineærRegression_Valg[[#This Row],[Afhængig variabel ID]]&lt;&gt;LineærRegression_Valg[[#This Row],[Uafhængig variabel ID]]</f>
        <v>1</v>
      </c>
      <c r="E653" t="b">
        <f>LineærRegression_Valg[[#This Row],[Afhængig variabel ID]]&lt;=$B$5</f>
        <v>0</v>
      </c>
      <c r="F653" t="str" cm="1">
        <f t="array" ref="F653">IF(LineærRegression_Valg[[#This Row],[Indenfor range]],INDEX(DataTitel_liste,LineærRegression_Valg[[#This Row],[Afhængig variabel ID]]),INDEX(DataTitel_liste,1))</f>
        <v>Eksempel 1 (interval)</v>
      </c>
      <c r="G653" s="45" t="str" cm="1">
        <f t="array" ref="G653">IF(LineærRegression_Valg[[#This Row],[Indenfor range]],IF(LineærRegression_Valg[[#This Row],[Intet overlap]],INDEX(DataTitel_liste,LineærRegression_Valg[[#This Row],[Uafhængig variabel ID]]),INDEX(DataTitel_liste,IF(LineærRegression_Valg[[#This Row],[Afhængig variabel ID]]=1,2,1))),$B$7)</f>
        <v>Eksempel 2 (interval)</v>
      </c>
      <c r="H653" s="45">
        <f>_xlfn.AGGREGATE(2,5,LineærRegression_Valg[[#This Row],[Tabel ID]])</f>
        <v>1</v>
      </c>
    </row>
    <row r="654" spans="1:8" x14ac:dyDescent="0.2">
      <c r="A654">
        <f>ROW(LineærRegression_Valg[[#This Row],[Tabel ID]])-ROW(LineærRegression_Valg[[#Headers],[Tabel ID]])</f>
        <v>644</v>
      </c>
      <c r="B654" s="45">
        <f>ROUNDDOWN((LineærRegression_Valg[[#This Row],[Tabel ID]]-1)/$B$5,0)+1</f>
        <v>161</v>
      </c>
      <c r="C654" s="45">
        <f t="shared" si="10"/>
        <v>4</v>
      </c>
      <c r="D654" s="45" t="b">
        <f>LineærRegression_Valg[[#This Row],[Afhængig variabel ID]]&lt;&gt;LineærRegression_Valg[[#This Row],[Uafhængig variabel ID]]</f>
        <v>1</v>
      </c>
      <c r="E654" t="b">
        <f>LineærRegression_Valg[[#This Row],[Afhængig variabel ID]]&lt;=$B$5</f>
        <v>0</v>
      </c>
      <c r="F654" t="str" cm="1">
        <f t="array" ref="F654">IF(LineærRegression_Valg[[#This Row],[Indenfor range]],INDEX(DataTitel_liste,LineærRegression_Valg[[#This Row],[Afhængig variabel ID]]),INDEX(DataTitel_liste,1))</f>
        <v>Eksempel 1 (interval)</v>
      </c>
      <c r="G654" s="45" t="str" cm="1">
        <f t="array" ref="G654">IF(LineærRegression_Valg[[#This Row],[Indenfor range]],IF(LineærRegression_Valg[[#This Row],[Intet overlap]],INDEX(DataTitel_liste,LineærRegression_Valg[[#This Row],[Uafhængig variabel ID]]),INDEX(DataTitel_liste,IF(LineærRegression_Valg[[#This Row],[Afhængig variabel ID]]=1,2,1))),$B$7)</f>
        <v>Eksempel 2 (interval)</v>
      </c>
      <c r="H654" s="45">
        <f>_xlfn.AGGREGATE(2,5,LineærRegression_Valg[[#This Row],[Tabel ID]])</f>
        <v>1</v>
      </c>
    </row>
    <row r="655" spans="1:8" x14ac:dyDescent="0.2">
      <c r="A655">
        <f>ROW(LineærRegression_Valg[[#This Row],[Tabel ID]])-ROW(LineærRegression_Valg[[#Headers],[Tabel ID]])</f>
        <v>645</v>
      </c>
      <c r="B655" s="45">
        <f>ROUNDDOWN((LineærRegression_Valg[[#This Row],[Tabel ID]]-1)/$B$5,0)+1</f>
        <v>162</v>
      </c>
      <c r="C655" s="45">
        <f t="shared" si="10"/>
        <v>1</v>
      </c>
      <c r="D655" s="45" t="b">
        <f>LineærRegression_Valg[[#This Row],[Afhængig variabel ID]]&lt;&gt;LineærRegression_Valg[[#This Row],[Uafhængig variabel ID]]</f>
        <v>1</v>
      </c>
      <c r="E655" t="b">
        <f>LineærRegression_Valg[[#This Row],[Afhængig variabel ID]]&lt;=$B$5</f>
        <v>0</v>
      </c>
      <c r="F655" t="str" cm="1">
        <f t="array" ref="F655">IF(LineærRegression_Valg[[#This Row],[Indenfor range]],INDEX(DataTitel_liste,LineærRegression_Valg[[#This Row],[Afhængig variabel ID]]),INDEX(DataTitel_liste,1))</f>
        <v>Eksempel 1 (interval)</v>
      </c>
      <c r="G655" s="45" t="str" cm="1">
        <f t="array" ref="G655">IF(LineærRegression_Valg[[#This Row],[Indenfor range]],IF(LineærRegression_Valg[[#This Row],[Intet overlap]],INDEX(DataTitel_liste,LineærRegression_Valg[[#This Row],[Uafhængig variabel ID]]),INDEX(DataTitel_liste,IF(LineærRegression_Valg[[#This Row],[Afhængig variabel ID]]=1,2,1))),$B$7)</f>
        <v>Eksempel 2 (interval)</v>
      </c>
      <c r="H655" s="45">
        <f>_xlfn.AGGREGATE(2,5,LineærRegression_Valg[[#This Row],[Tabel ID]])</f>
        <v>1</v>
      </c>
    </row>
    <row r="656" spans="1:8" x14ac:dyDescent="0.2">
      <c r="A656">
        <f>ROW(LineærRegression_Valg[[#This Row],[Tabel ID]])-ROW(LineærRegression_Valg[[#Headers],[Tabel ID]])</f>
        <v>646</v>
      </c>
      <c r="B656" s="45">
        <f>ROUNDDOWN((LineærRegression_Valg[[#This Row],[Tabel ID]]-1)/$B$5,0)+1</f>
        <v>162</v>
      </c>
      <c r="C656" s="45">
        <f t="shared" si="10"/>
        <v>2</v>
      </c>
      <c r="D656" s="45" t="b">
        <f>LineærRegression_Valg[[#This Row],[Afhængig variabel ID]]&lt;&gt;LineærRegression_Valg[[#This Row],[Uafhængig variabel ID]]</f>
        <v>1</v>
      </c>
      <c r="E656" t="b">
        <f>LineærRegression_Valg[[#This Row],[Afhængig variabel ID]]&lt;=$B$5</f>
        <v>0</v>
      </c>
      <c r="F656" t="str" cm="1">
        <f t="array" ref="F656">IF(LineærRegression_Valg[[#This Row],[Indenfor range]],INDEX(DataTitel_liste,LineærRegression_Valg[[#This Row],[Afhængig variabel ID]]),INDEX(DataTitel_liste,1))</f>
        <v>Eksempel 1 (interval)</v>
      </c>
      <c r="G656" s="45" t="str" cm="1">
        <f t="array" ref="G656">IF(LineærRegression_Valg[[#This Row],[Indenfor range]],IF(LineærRegression_Valg[[#This Row],[Intet overlap]],INDEX(DataTitel_liste,LineærRegression_Valg[[#This Row],[Uafhængig variabel ID]]),INDEX(DataTitel_liste,IF(LineærRegression_Valg[[#This Row],[Afhængig variabel ID]]=1,2,1))),$B$7)</f>
        <v>Eksempel 2 (interval)</v>
      </c>
      <c r="H656" s="45">
        <f>_xlfn.AGGREGATE(2,5,LineærRegression_Valg[[#This Row],[Tabel ID]])</f>
        <v>1</v>
      </c>
    </row>
    <row r="657" spans="1:8" x14ac:dyDescent="0.2">
      <c r="A657">
        <f>ROW(LineærRegression_Valg[[#This Row],[Tabel ID]])-ROW(LineærRegression_Valg[[#Headers],[Tabel ID]])</f>
        <v>647</v>
      </c>
      <c r="B657" s="45">
        <f>ROUNDDOWN((LineærRegression_Valg[[#This Row],[Tabel ID]]-1)/$B$5,0)+1</f>
        <v>162</v>
      </c>
      <c r="C657" s="45">
        <f t="shared" si="10"/>
        <v>3</v>
      </c>
      <c r="D657" s="45" t="b">
        <f>LineærRegression_Valg[[#This Row],[Afhængig variabel ID]]&lt;&gt;LineærRegression_Valg[[#This Row],[Uafhængig variabel ID]]</f>
        <v>1</v>
      </c>
      <c r="E657" t="b">
        <f>LineærRegression_Valg[[#This Row],[Afhængig variabel ID]]&lt;=$B$5</f>
        <v>0</v>
      </c>
      <c r="F657" t="str" cm="1">
        <f t="array" ref="F657">IF(LineærRegression_Valg[[#This Row],[Indenfor range]],INDEX(DataTitel_liste,LineærRegression_Valg[[#This Row],[Afhængig variabel ID]]),INDEX(DataTitel_liste,1))</f>
        <v>Eksempel 1 (interval)</v>
      </c>
      <c r="G657" s="45" t="str" cm="1">
        <f t="array" ref="G657">IF(LineærRegression_Valg[[#This Row],[Indenfor range]],IF(LineærRegression_Valg[[#This Row],[Intet overlap]],INDEX(DataTitel_liste,LineærRegression_Valg[[#This Row],[Uafhængig variabel ID]]),INDEX(DataTitel_liste,IF(LineærRegression_Valg[[#This Row],[Afhængig variabel ID]]=1,2,1))),$B$7)</f>
        <v>Eksempel 2 (interval)</v>
      </c>
      <c r="H657" s="45">
        <f>_xlfn.AGGREGATE(2,5,LineærRegression_Valg[[#This Row],[Tabel ID]])</f>
        <v>1</v>
      </c>
    </row>
    <row r="658" spans="1:8" x14ac:dyDescent="0.2">
      <c r="A658">
        <f>ROW(LineærRegression_Valg[[#This Row],[Tabel ID]])-ROW(LineærRegression_Valg[[#Headers],[Tabel ID]])</f>
        <v>648</v>
      </c>
      <c r="B658" s="45">
        <f>ROUNDDOWN((LineærRegression_Valg[[#This Row],[Tabel ID]]-1)/$B$5,0)+1</f>
        <v>162</v>
      </c>
      <c r="C658" s="45">
        <f t="shared" si="10"/>
        <v>4</v>
      </c>
      <c r="D658" s="45" t="b">
        <f>LineærRegression_Valg[[#This Row],[Afhængig variabel ID]]&lt;&gt;LineærRegression_Valg[[#This Row],[Uafhængig variabel ID]]</f>
        <v>1</v>
      </c>
      <c r="E658" t="b">
        <f>LineærRegression_Valg[[#This Row],[Afhængig variabel ID]]&lt;=$B$5</f>
        <v>0</v>
      </c>
      <c r="F658" t="str" cm="1">
        <f t="array" ref="F658">IF(LineærRegression_Valg[[#This Row],[Indenfor range]],INDEX(DataTitel_liste,LineærRegression_Valg[[#This Row],[Afhængig variabel ID]]),INDEX(DataTitel_liste,1))</f>
        <v>Eksempel 1 (interval)</v>
      </c>
      <c r="G658" s="45" t="str" cm="1">
        <f t="array" ref="G658">IF(LineærRegression_Valg[[#This Row],[Indenfor range]],IF(LineærRegression_Valg[[#This Row],[Intet overlap]],INDEX(DataTitel_liste,LineærRegression_Valg[[#This Row],[Uafhængig variabel ID]]),INDEX(DataTitel_liste,IF(LineærRegression_Valg[[#This Row],[Afhængig variabel ID]]=1,2,1))),$B$7)</f>
        <v>Eksempel 2 (interval)</v>
      </c>
      <c r="H658" s="45">
        <f>_xlfn.AGGREGATE(2,5,LineærRegression_Valg[[#This Row],[Tabel ID]])</f>
        <v>1</v>
      </c>
    </row>
    <row r="659" spans="1:8" x14ac:dyDescent="0.2">
      <c r="A659">
        <f>ROW(LineærRegression_Valg[[#This Row],[Tabel ID]])-ROW(LineærRegression_Valg[[#Headers],[Tabel ID]])</f>
        <v>649</v>
      </c>
      <c r="B659" s="45">
        <f>ROUNDDOWN((LineærRegression_Valg[[#This Row],[Tabel ID]]-1)/$B$5,0)+1</f>
        <v>163</v>
      </c>
      <c r="C659" s="45">
        <f t="shared" si="10"/>
        <v>1</v>
      </c>
      <c r="D659" s="45" t="b">
        <f>LineærRegression_Valg[[#This Row],[Afhængig variabel ID]]&lt;&gt;LineærRegression_Valg[[#This Row],[Uafhængig variabel ID]]</f>
        <v>1</v>
      </c>
      <c r="E659" t="b">
        <f>LineærRegression_Valg[[#This Row],[Afhængig variabel ID]]&lt;=$B$5</f>
        <v>0</v>
      </c>
      <c r="F659" t="str" cm="1">
        <f t="array" ref="F659">IF(LineærRegression_Valg[[#This Row],[Indenfor range]],INDEX(DataTitel_liste,LineærRegression_Valg[[#This Row],[Afhængig variabel ID]]),INDEX(DataTitel_liste,1))</f>
        <v>Eksempel 1 (interval)</v>
      </c>
      <c r="G659" s="45" t="str" cm="1">
        <f t="array" ref="G659">IF(LineærRegression_Valg[[#This Row],[Indenfor range]],IF(LineærRegression_Valg[[#This Row],[Intet overlap]],INDEX(DataTitel_liste,LineærRegression_Valg[[#This Row],[Uafhængig variabel ID]]),INDEX(DataTitel_liste,IF(LineærRegression_Valg[[#This Row],[Afhængig variabel ID]]=1,2,1))),$B$7)</f>
        <v>Eksempel 2 (interval)</v>
      </c>
      <c r="H659" s="45">
        <f>_xlfn.AGGREGATE(2,5,LineærRegression_Valg[[#This Row],[Tabel ID]])</f>
        <v>1</v>
      </c>
    </row>
    <row r="660" spans="1:8" x14ac:dyDescent="0.2">
      <c r="A660">
        <f>ROW(LineærRegression_Valg[[#This Row],[Tabel ID]])-ROW(LineærRegression_Valg[[#Headers],[Tabel ID]])</f>
        <v>650</v>
      </c>
      <c r="B660" s="45">
        <f>ROUNDDOWN((LineærRegression_Valg[[#This Row],[Tabel ID]]-1)/$B$5,0)+1</f>
        <v>163</v>
      </c>
      <c r="C660" s="45">
        <f t="shared" si="10"/>
        <v>2</v>
      </c>
      <c r="D660" s="45" t="b">
        <f>LineærRegression_Valg[[#This Row],[Afhængig variabel ID]]&lt;&gt;LineærRegression_Valg[[#This Row],[Uafhængig variabel ID]]</f>
        <v>1</v>
      </c>
      <c r="E660" t="b">
        <f>LineærRegression_Valg[[#This Row],[Afhængig variabel ID]]&lt;=$B$5</f>
        <v>0</v>
      </c>
      <c r="F660" t="str" cm="1">
        <f t="array" ref="F660">IF(LineærRegression_Valg[[#This Row],[Indenfor range]],INDEX(DataTitel_liste,LineærRegression_Valg[[#This Row],[Afhængig variabel ID]]),INDEX(DataTitel_liste,1))</f>
        <v>Eksempel 1 (interval)</v>
      </c>
      <c r="G660" s="45" t="str" cm="1">
        <f t="array" ref="G660">IF(LineærRegression_Valg[[#This Row],[Indenfor range]],IF(LineærRegression_Valg[[#This Row],[Intet overlap]],INDEX(DataTitel_liste,LineærRegression_Valg[[#This Row],[Uafhængig variabel ID]]),INDEX(DataTitel_liste,IF(LineærRegression_Valg[[#This Row],[Afhængig variabel ID]]=1,2,1))),$B$7)</f>
        <v>Eksempel 2 (interval)</v>
      </c>
      <c r="H660" s="45">
        <f>_xlfn.AGGREGATE(2,5,LineærRegression_Valg[[#This Row],[Tabel ID]])</f>
        <v>1</v>
      </c>
    </row>
    <row r="661" spans="1:8" x14ac:dyDescent="0.2">
      <c r="A661">
        <f>ROW(LineærRegression_Valg[[#This Row],[Tabel ID]])-ROW(LineærRegression_Valg[[#Headers],[Tabel ID]])</f>
        <v>651</v>
      </c>
      <c r="B661" s="45">
        <f>ROUNDDOWN((LineærRegression_Valg[[#This Row],[Tabel ID]]-1)/$B$5,0)+1</f>
        <v>163</v>
      </c>
      <c r="C661" s="45">
        <f t="shared" si="10"/>
        <v>3</v>
      </c>
      <c r="D661" s="45" t="b">
        <f>LineærRegression_Valg[[#This Row],[Afhængig variabel ID]]&lt;&gt;LineærRegression_Valg[[#This Row],[Uafhængig variabel ID]]</f>
        <v>1</v>
      </c>
      <c r="E661" t="b">
        <f>LineærRegression_Valg[[#This Row],[Afhængig variabel ID]]&lt;=$B$5</f>
        <v>0</v>
      </c>
      <c r="F661" t="str" cm="1">
        <f t="array" ref="F661">IF(LineærRegression_Valg[[#This Row],[Indenfor range]],INDEX(DataTitel_liste,LineærRegression_Valg[[#This Row],[Afhængig variabel ID]]),INDEX(DataTitel_liste,1))</f>
        <v>Eksempel 1 (interval)</v>
      </c>
      <c r="G661" s="45" t="str" cm="1">
        <f t="array" ref="G661">IF(LineærRegression_Valg[[#This Row],[Indenfor range]],IF(LineærRegression_Valg[[#This Row],[Intet overlap]],INDEX(DataTitel_liste,LineærRegression_Valg[[#This Row],[Uafhængig variabel ID]]),INDEX(DataTitel_liste,IF(LineærRegression_Valg[[#This Row],[Afhængig variabel ID]]=1,2,1))),$B$7)</f>
        <v>Eksempel 2 (interval)</v>
      </c>
      <c r="H661" s="45">
        <f>_xlfn.AGGREGATE(2,5,LineærRegression_Valg[[#This Row],[Tabel ID]])</f>
        <v>1</v>
      </c>
    </row>
    <row r="662" spans="1:8" x14ac:dyDescent="0.2">
      <c r="A662">
        <f>ROW(LineærRegression_Valg[[#This Row],[Tabel ID]])-ROW(LineærRegression_Valg[[#Headers],[Tabel ID]])</f>
        <v>652</v>
      </c>
      <c r="B662" s="45">
        <f>ROUNDDOWN((LineærRegression_Valg[[#This Row],[Tabel ID]]-1)/$B$5,0)+1</f>
        <v>163</v>
      </c>
      <c r="C662" s="45">
        <f t="shared" si="10"/>
        <v>4</v>
      </c>
      <c r="D662" s="45" t="b">
        <f>LineærRegression_Valg[[#This Row],[Afhængig variabel ID]]&lt;&gt;LineærRegression_Valg[[#This Row],[Uafhængig variabel ID]]</f>
        <v>1</v>
      </c>
      <c r="E662" t="b">
        <f>LineærRegression_Valg[[#This Row],[Afhængig variabel ID]]&lt;=$B$5</f>
        <v>0</v>
      </c>
      <c r="F662" t="str" cm="1">
        <f t="array" ref="F662">IF(LineærRegression_Valg[[#This Row],[Indenfor range]],INDEX(DataTitel_liste,LineærRegression_Valg[[#This Row],[Afhængig variabel ID]]),INDEX(DataTitel_liste,1))</f>
        <v>Eksempel 1 (interval)</v>
      </c>
      <c r="G662" s="45" t="str" cm="1">
        <f t="array" ref="G662">IF(LineærRegression_Valg[[#This Row],[Indenfor range]],IF(LineærRegression_Valg[[#This Row],[Intet overlap]],INDEX(DataTitel_liste,LineærRegression_Valg[[#This Row],[Uafhængig variabel ID]]),INDEX(DataTitel_liste,IF(LineærRegression_Valg[[#This Row],[Afhængig variabel ID]]=1,2,1))),$B$7)</f>
        <v>Eksempel 2 (interval)</v>
      </c>
      <c r="H662" s="45">
        <f>_xlfn.AGGREGATE(2,5,LineærRegression_Valg[[#This Row],[Tabel ID]])</f>
        <v>1</v>
      </c>
    </row>
    <row r="663" spans="1:8" x14ac:dyDescent="0.2">
      <c r="A663">
        <f>ROW(LineærRegression_Valg[[#This Row],[Tabel ID]])-ROW(LineærRegression_Valg[[#Headers],[Tabel ID]])</f>
        <v>653</v>
      </c>
      <c r="B663" s="45">
        <f>ROUNDDOWN((LineærRegression_Valg[[#This Row],[Tabel ID]]-1)/$B$5,0)+1</f>
        <v>164</v>
      </c>
      <c r="C663" s="45">
        <f t="shared" si="10"/>
        <v>1</v>
      </c>
      <c r="D663" s="45" t="b">
        <f>LineærRegression_Valg[[#This Row],[Afhængig variabel ID]]&lt;&gt;LineærRegression_Valg[[#This Row],[Uafhængig variabel ID]]</f>
        <v>1</v>
      </c>
      <c r="E663" t="b">
        <f>LineærRegression_Valg[[#This Row],[Afhængig variabel ID]]&lt;=$B$5</f>
        <v>0</v>
      </c>
      <c r="F663" t="str" cm="1">
        <f t="array" ref="F663">IF(LineærRegression_Valg[[#This Row],[Indenfor range]],INDEX(DataTitel_liste,LineærRegression_Valg[[#This Row],[Afhængig variabel ID]]),INDEX(DataTitel_liste,1))</f>
        <v>Eksempel 1 (interval)</v>
      </c>
      <c r="G663" s="45" t="str" cm="1">
        <f t="array" ref="G663">IF(LineærRegression_Valg[[#This Row],[Indenfor range]],IF(LineærRegression_Valg[[#This Row],[Intet overlap]],INDEX(DataTitel_liste,LineærRegression_Valg[[#This Row],[Uafhængig variabel ID]]),INDEX(DataTitel_liste,IF(LineærRegression_Valg[[#This Row],[Afhængig variabel ID]]=1,2,1))),$B$7)</f>
        <v>Eksempel 2 (interval)</v>
      </c>
      <c r="H663" s="45">
        <f>_xlfn.AGGREGATE(2,5,LineærRegression_Valg[[#This Row],[Tabel ID]])</f>
        <v>1</v>
      </c>
    </row>
    <row r="664" spans="1:8" x14ac:dyDescent="0.2">
      <c r="A664">
        <f>ROW(LineærRegression_Valg[[#This Row],[Tabel ID]])-ROW(LineærRegression_Valg[[#Headers],[Tabel ID]])</f>
        <v>654</v>
      </c>
      <c r="B664" s="45">
        <f>ROUNDDOWN((LineærRegression_Valg[[#This Row],[Tabel ID]]-1)/$B$5,0)+1</f>
        <v>164</v>
      </c>
      <c r="C664" s="45">
        <f t="shared" si="10"/>
        <v>2</v>
      </c>
      <c r="D664" s="45" t="b">
        <f>LineærRegression_Valg[[#This Row],[Afhængig variabel ID]]&lt;&gt;LineærRegression_Valg[[#This Row],[Uafhængig variabel ID]]</f>
        <v>1</v>
      </c>
      <c r="E664" t="b">
        <f>LineærRegression_Valg[[#This Row],[Afhængig variabel ID]]&lt;=$B$5</f>
        <v>0</v>
      </c>
      <c r="F664" t="str" cm="1">
        <f t="array" ref="F664">IF(LineærRegression_Valg[[#This Row],[Indenfor range]],INDEX(DataTitel_liste,LineærRegression_Valg[[#This Row],[Afhængig variabel ID]]),INDEX(DataTitel_liste,1))</f>
        <v>Eksempel 1 (interval)</v>
      </c>
      <c r="G664" s="45" t="str" cm="1">
        <f t="array" ref="G664">IF(LineærRegression_Valg[[#This Row],[Indenfor range]],IF(LineærRegression_Valg[[#This Row],[Intet overlap]],INDEX(DataTitel_liste,LineærRegression_Valg[[#This Row],[Uafhængig variabel ID]]),INDEX(DataTitel_liste,IF(LineærRegression_Valg[[#This Row],[Afhængig variabel ID]]=1,2,1))),$B$7)</f>
        <v>Eksempel 2 (interval)</v>
      </c>
      <c r="H664" s="45">
        <f>_xlfn.AGGREGATE(2,5,LineærRegression_Valg[[#This Row],[Tabel ID]])</f>
        <v>1</v>
      </c>
    </row>
    <row r="665" spans="1:8" x14ac:dyDescent="0.2">
      <c r="A665">
        <f>ROW(LineærRegression_Valg[[#This Row],[Tabel ID]])-ROW(LineærRegression_Valg[[#Headers],[Tabel ID]])</f>
        <v>655</v>
      </c>
      <c r="B665" s="45">
        <f>ROUNDDOWN((LineærRegression_Valg[[#This Row],[Tabel ID]]-1)/$B$5,0)+1</f>
        <v>164</v>
      </c>
      <c r="C665" s="45">
        <f t="shared" si="10"/>
        <v>3</v>
      </c>
      <c r="D665" s="45" t="b">
        <f>LineærRegression_Valg[[#This Row],[Afhængig variabel ID]]&lt;&gt;LineærRegression_Valg[[#This Row],[Uafhængig variabel ID]]</f>
        <v>1</v>
      </c>
      <c r="E665" t="b">
        <f>LineærRegression_Valg[[#This Row],[Afhængig variabel ID]]&lt;=$B$5</f>
        <v>0</v>
      </c>
      <c r="F665" t="str" cm="1">
        <f t="array" ref="F665">IF(LineærRegression_Valg[[#This Row],[Indenfor range]],INDEX(DataTitel_liste,LineærRegression_Valg[[#This Row],[Afhængig variabel ID]]),INDEX(DataTitel_liste,1))</f>
        <v>Eksempel 1 (interval)</v>
      </c>
      <c r="G665" s="45" t="str" cm="1">
        <f t="array" ref="G665">IF(LineærRegression_Valg[[#This Row],[Indenfor range]],IF(LineærRegression_Valg[[#This Row],[Intet overlap]],INDEX(DataTitel_liste,LineærRegression_Valg[[#This Row],[Uafhængig variabel ID]]),INDEX(DataTitel_liste,IF(LineærRegression_Valg[[#This Row],[Afhængig variabel ID]]=1,2,1))),$B$7)</f>
        <v>Eksempel 2 (interval)</v>
      </c>
      <c r="H665" s="45">
        <f>_xlfn.AGGREGATE(2,5,LineærRegression_Valg[[#This Row],[Tabel ID]])</f>
        <v>1</v>
      </c>
    </row>
    <row r="666" spans="1:8" x14ac:dyDescent="0.2">
      <c r="A666">
        <f>ROW(LineærRegression_Valg[[#This Row],[Tabel ID]])-ROW(LineærRegression_Valg[[#Headers],[Tabel ID]])</f>
        <v>656</v>
      </c>
      <c r="B666" s="45">
        <f>ROUNDDOWN((LineærRegression_Valg[[#This Row],[Tabel ID]]-1)/$B$5,0)+1</f>
        <v>164</v>
      </c>
      <c r="C666" s="45">
        <f t="shared" si="10"/>
        <v>4</v>
      </c>
      <c r="D666" s="45" t="b">
        <f>LineærRegression_Valg[[#This Row],[Afhængig variabel ID]]&lt;&gt;LineærRegression_Valg[[#This Row],[Uafhængig variabel ID]]</f>
        <v>1</v>
      </c>
      <c r="E666" t="b">
        <f>LineærRegression_Valg[[#This Row],[Afhængig variabel ID]]&lt;=$B$5</f>
        <v>0</v>
      </c>
      <c r="F666" t="str" cm="1">
        <f t="array" ref="F666">IF(LineærRegression_Valg[[#This Row],[Indenfor range]],INDEX(DataTitel_liste,LineærRegression_Valg[[#This Row],[Afhængig variabel ID]]),INDEX(DataTitel_liste,1))</f>
        <v>Eksempel 1 (interval)</v>
      </c>
      <c r="G666" s="45" t="str" cm="1">
        <f t="array" ref="G666">IF(LineærRegression_Valg[[#This Row],[Indenfor range]],IF(LineærRegression_Valg[[#This Row],[Intet overlap]],INDEX(DataTitel_liste,LineærRegression_Valg[[#This Row],[Uafhængig variabel ID]]),INDEX(DataTitel_liste,IF(LineærRegression_Valg[[#This Row],[Afhængig variabel ID]]=1,2,1))),$B$7)</f>
        <v>Eksempel 2 (interval)</v>
      </c>
      <c r="H666" s="45">
        <f>_xlfn.AGGREGATE(2,5,LineærRegression_Valg[[#This Row],[Tabel ID]])</f>
        <v>1</v>
      </c>
    </row>
    <row r="667" spans="1:8" x14ac:dyDescent="0.2">
      <c r="A667">
        <f>ROW(LineærRegression_Valg[[#This Row],[Tabel ID]])-ROW(LineærRegression_Valg[[#Headers],[Tabel ID]])</f>
        <v>657</v>
      </c>
      <c r="B667" s="45">
        <f>ROUNDDOWN((LineærRegression_Valg[[#This Row],[Tabel ID]]-1)/$B$5,0)+1</f>
        <v>165</v>
      </c>
      <c r="C667" s="45">
        <f t="shared" si="10"/>
        <v>1</v>
      </c>
      <c r="D667" s="45" t="b">
        <f>LineærRegression_Valg[[#This Row],[Afhængig variabel ID]]&lt;&gt;LineærRegression_Valg[[#This Row],[Uafhængig variabel ID]]</f>
        <v>1</v>
      </c>
      <c r="E667" t="b">
        <f>LineærRegression_Valg[[#This Row],[Afhængig variabel ID]]&lt;=$B$5</f>
        <v>0</v>
      </c>
      <c r="F667" t="str" cm="1">
        <f t="array" ref="F667">IF(LineærRegression_Valg[[#This Row],[Indenfor range]],INDEX(DataTitel_liste,LineærRegression_Valg[[#This Row],[Afhængig variabel ID]]),INDEX(DataTitel_liste,1))</f>
        <v>Eksempel 1 (interval)</v>
      </c>
      <c r="G667" s="45" t="str" cm="1">
        <f t="array" ref="G667">IF(LineærRegression_Valg[[#This Row],[Indenfor range]],IF(LineærRegression_Valg[[#This Row],[Intet overlap]],INDEX(DataTitel_liste,LineærRegression_Valg[[#This Row],[Uafhængig variabel ID]]),INDEX(DataTitel_liste,IF(LineærRegression_Valg[[#This Row],[Afhængig variabel ID]]=1,2,1))),$B$7)</f>
        <v>Eksempel 2 (interval)</v>
      </c>
      <c r="H667" s="45">
        <f>_xlfn.AGGREGATE(2,5,LineærRegression_Valg[[#This Row],[Tabel ID]])</f>
        <v>1</v>
      </c>
    </row>
    <row r="668" spans="1:8" x14ac:dyDescent="0.2">
      <c r="A668">
        <f>ROW(LineærRegression_Valg[[#This Row],[Tabel ID]])-ROW(LineærRegression_Valg[[#Headers],[Tabel ID]])</f>
        <v>658</v>
      </c>
      <c r="B668" s="45">
        <f>ROUNDDOWN((LineærRegression_Valg[[#This Row],[Tabel ID]]-1)/$B$5,0)+1</f>
        <v>165</v>
      </c>
      <c r="C668" s="45">
        <f t="shared" si="10"/>
        <v>2</v>
      </c>
      <c r="D668" s="45" t="b">
        <f>LineærRegression_Valg[[#This Row],[Afhængig variabel ID]]&lt;&gt;LineærRegression_Valg[[#This Row],[Uafhængig variabel ID]]</f>
        <v>1</v>
      </c>
      <c r="E668" t="b">
        <f>LineærRegression_Valg[[#This Row],[Afhængig variabel ID]]&lt;=$B$5</f>
        <v>0</v>
      </c>
      <c r="F668" t="str" cm="1">
        <f t="array" ref="F668">IF(LineærRegression_Valg[[#This Row],[Indenfor range]],INDEX(DataTitel_liste,LineærRegression_Valg[[#This Row],[Afhængig variabel ID]]),INDEX(DataTitel_liste,1))</f>
        <v>Eksempel 1 (interval)</v>
      </c>
      <c r="G668" s="45" t="str" cm="1">
        <f t="array" ref="G668">IF(LineærRegression_Valg[[#This Row],[Indenfor range]],IF(LineærRegression_Valg[[#This Row],[Intet overlap]],INDEX(DataTitel_liste,LineærRegression_Valg[[#This Row],[Uafhængig variabel ID]]),INDEX(DataTitel_liste,IF(LineærRegression_Valg[[#This Row],[Afhængig variabel ID]]=1,2,1))),$B$7)</f>
        <v>Eksempel 2 (interval)</v>
      </c>
      <c r="H668" s="45">
        <f>_xlfn.AGGREGATE(2,5,LineærRegression_Valg[[#This Row],[Tabel ID]])</f>
        <v>1</v>
      </c>
    </row>
    <row r="669" spans="1:8" x14ac:dyDescent="0.2">
      <c r="A669">
        <f>ROW(LineærRegression_Valg[[#This Row],[Tabel ID]])-ROW(LineærRegression_Valg[[#Headers],[Tabel ID]])</f>
        <v>659</v>
      </c>
      <c r="B669" s="45">
        <f>ROUNDDOWN((LineærRegression_Valg[[#This Row],[Tabel ID]]-1)/$B$5,0)+1</f>
        <v>165</v>
      </c>
      <c r="C669" s="45">
        <f t="shared" si="10"/>
        <v>3</v>
      </c>
      <c r="D669" s="45" t="b">
        <f>LineærRegression_Valg[[#This Row],[Afhængig variabel ID]]&lt;&gt;LineærRegression_Valg[[#This Row],[Uafhængig variabel ID]]</f>
        <v>1</v>
      </c>
      <c r="E669" t="b">
        <f>LineærRegression_Valg[[#This Row],[Afhængig variabel ID]]&lt;=$B$5</f>
        <v>0</v>
      </c>
      <c r="F669" t="str" cm="1">
        <f t="array" ref="F669">IF(LineærRegression_Valg[[#This Row],[Indenfor range]],INDEX(DataTitel_liste,LineærRegression_Valg[[#This Row],[Afhængig variabel ID]]),INDEX(DataTitel_liste,1))</f>
        <v>Eksempel 1 (interval)</v>
      </c>
      <c r="G669" s="45" t="str" cm="1">
        <f t="array" ref="G669">IF(LineærRegression_Valg[[#This Row],[Indenfor range]],IF(LineærRegression_Valg[[#This Row],[Intet overlap]],INDEX(DataTitel_liste,LineærRegression_Valg[[#This Row],[Uafhængig variabel ID]]),INDEX(DataTitel_liste,IF(LineærRegression_Valg[[#This Row],[Afhængig variabel ID]]=1,2,1))),$B$7)</f>
        <v>Eksempel 2 (interval)</v>
      </c>
      <c r="H669" s="45">
        <f>_xlfn.AGGREGATE(2,5,LineærRegression_Valg[[#This Row],[Tabel ID]])</f>
        <v>1</v>
      </c>
    </row>
    <row r="670" spans="1:8" x14ac:dyDescent="0.2">
      <c r="A670">
        <f>ROW(LineærRegression_Valg[[#This Row],[Tabel ID]])-ROW(LineærRegression_Valg[[#Headers],[Tabel ID]])</f>
        <v>660</v>
      </c>
      <c r="B670" s="45">
        <f>ROUNDDOWN((LineærRegression_Valg[[#This Row],[Tabel ID]]-1)/$B$5,0)+1</f>
        <v>165</v>
      </c>
      <c r="C670" s="45">
        <f t="shared" si="10"/>
        <v>4</v>
      </c>
      <c r="D670" s="45" t="b">
        <f>LineærRegression_Valg[[#This Row],[Afhængig variabel ID]]&lt;&gt;LineærRegression_Valg[[#This Row],[Uafhængig variabel ID]]</f>
        <v>1</v>
      </c>
      <c r="E670" t="b">
        <f>LineærRegression_Valg[[#This Row],[Afhængig variabel ID]]&lt;=$B$5</f>
        <v>0</v>
      </c>
      <c r="F670" t="str" cm="1">
        <f t="array" ref="F670">IF(LineærRegression_Valg[[#This Row],[Indenfor range]],INDEX(DataTitel_liste,LineærRegression_Valg[[#This Row],[Afhængig variabel ID]]),INDEX(DataTitel_liste,1))</f>
        <v>Eksempel 1 (interval)</v>
      </c>
      <c r="G670" s="45" t="str" cm="1">
        <f t="array" ref="G670">IF(LineærRegression_Valg[[#This Row],[Indenfor range]],IF(LineærRegression_Valg[[#This Row],[Intet overlap]],INDEX(DataTitel_liste,LineærRegression_Valg[[#This Row],[Uafhængig variabel ID]]),INDEX(DataTitel_liste,IF(LineærRegression_Valg[[#This Row],[Afhængig variabel ID]]=1,2,1))),$B$7)</f>
        <v>Eksempel 2 (interval)</v>
      </c>
      <c r="H670" s="45">
        <f>_xlfn.AGGREGATE(2,5,LineærRegression_Valg[[#This Row],[Tabel ID]])</f>
        <v>1</v>
      </c>
    </row>
    <row r="671" spans="1:8" x14ac:dyDescent="0.2">
      <c r="A671">
        <f>ROW(LineærRegression_Valg[[#This Row],[Tabel ID]])-ROW(LineærRegression_Valg[[#Headers],[Tabel ID]])</f>
        <v>661</v>
      </c>
      <c r="B671" s="45">
        <f>ROUNDDOWN((LineærRegression_Valg[[#This Row],[Tabel ID]]-1)/$B$5,0)+1</f>
        <v>166</v>
      </c>
      <c r="C671" s="45">
        <f t="shared" si="10"/>
        <v>1</v>
      </c>
      <c r="D671" s="45" t="b">
        <f>LineærRegression_Valg[[#This Row],[Afhængig variabel ID]]&lt;&gt;LineærRegression_Valg[[#This Row],[Uafhængig variabel ID]]</f>
        <v>1</v>
      </c>
      <c r="E671" t="b">
        <f>LineærRegression_Valg[[#This Row],[Afhængig variabel ID]]&lt;=$B$5</f>
        <v>0</v>
      </c>
      <c r="F671" t="str" cm="1">
        <f t="array" ref="F671">IF(LineærRegression_Valg[[#This Row],[Indenfor range]],INDEX(DataTitel_liste,LineærRegression_Valg[[#This Row],[Afhængig variabel ID]]),INDEX(DataTitel_liste,1))</f>
        <v>Eksempel 1 (interval)</v>
      </c>
      <c r="G671" s="45" t="str" cm="1">
        <f t="array" ref="G671">IF(LineærRegression_Valg[[#This Row],[Indenfor range]],IF(LineærRegression_Valg[[#This Row],[Intet overlap]],INDEX(DataTitel_liste,LineærRegression_Valg[[#This Row],[Uafhængig variabel ID]]),INDEX(DataTitel_liste,IF(LineærRegression_Valg[[#This Row],[Afhængig variabel ID]]=1,2,1))),$B$7)</f>
        <v>Eksempel 2 (interval)</v>
      </c>
      <c r="H671" s="45">
        <f>_xlfn.AGGREGATE(2,5,LineærRegression_Valg[[#This Row],[Tabel ID]])</f>
        <v>1</v>
      </c>
    </row>
    <row r="672" spans="1:8" x14ac:dyDescent="0.2">
      <c r="A672">
        <f>ROW(LineærRegression_Valg[[#This Row],[Tabel ID]])-ROW(LineærRegression_Valg[[#Headers],[Tabel ID]])</f>
        <v>662</v>
      </c>
      <c r="B672" s="45">
        <f>ROUNDDOWN((LineærRegression_Valg[[#This Row],[Tabel ID]]-1)/$B$5,0)+1</f>
        <v>166</v>
      </c>
      <c r="C672" s="45">
        <f t="shared" si="10"/>
        <v>2</v>
      </c>
      <c r="D672" s="45" t="b">
        <f>LineærRegression_Valg[[#This Row],[Afhængig variabel ID]]&lt;&gt;LineærRegression_Valg[[#This Row],[Uafhængig variabel ID]]</f>
        <v>1</v>
      </c>
      <c r="E672" t="b">
        <f>LineærRegression_Valg[[#This Row],[Afhængig variabel ID]]&lt;=$B$5</f>
        <v>0</v>
      </c>
      <c r="F672" t="str" cm="1">
        <f t="array" ref="F672">IF(LineærRegression_Valg[[#This Row],[Indenfor range]],INDEX(DataTitel_liste,LineærRegression_Valg[[#This Row],[Afhængig variabel ID]]),INDEX(DataTitel_liste,1))</f>
        <v>Eksempel 1 (interval)</v>
      </c>
      <c r="G672" s="45" t="str" cm="1">
        <f t="array" ref="G672">IF(LineærRegression_Valg[[#This Row],[Indenfor range]],IF(LineærRegression_Valg[[#This Row],[Intet overlap]],INDEX(DataTitel_liste,LineærRegression_Valg[[#This Row],[Uafhængig variabel ID]]),INDEX(DataTitel_liste,IF(LineærRegression_Valg[[#This Row],[Afhængig variabel ID]]=1,2,1))),$B$7)</f>
        <v>Eksempel 2 (interval)</v>
      </c>
      <c r="H672" s="45">
        <f>_xlfn.AGGREGATE(2,5,LineærRegression_Valg[[#This Row],[Tabel ID]])</f>
        <v>1</v>
      </c>
    </row>
    <row r="673" spans="1:8" x14ac:dyDescent="0.2">
      <c r="A673">
        <f>ROW(LineærRegression_Valg[[#This Row],[Tabel ID]])-ROW(LineærRegression_Valg[[#Headers],[Tabel ID]])</f>
        <v>663</v>
      </c>
      <c r="B673" s="45">
        <f>ROUNDDOWN((LineærRegression_Valg[[#This Row],[Tabel ID]]-1)/$B$5,0)+1</f>
        <v>166</v>
      </c>
      <c r="C673" s="45">
        <f t="shared" si="10"/>
        <v>3</v>
      </c>
      <c r="D673" s="45" t="b">
        <f>LineærRegression_Valg[[#This Row],[Afhængig variabel ID]]&lt;&gt;LineærRegression_Valg[[#This Row],[Uafhængig variabel ID]]</f>
        <v>1</v>
      </c>
      <c r="E673" t="b">
        <f>LineærRegression_Valg[[#This Row],[Afhængig variabel ID]]&lt;=$B$5</f>
        <v>0</v>
      </c>
      <c r="F673" t="str" cm="1">
        <f t="array" ref="F673">IF(LineærRegression_Valg[[#This Row],[Indenfor range]],INDEX(DataTitel_liste,LineærRegression_Valg[[#This Row],[Afhængig variabel ID]]),INDEX(DataTitel_liste,1))</f>
        <v>Eksempel 1 (interval)</v>
      </c>
      <c r="G673" s="45" t="str" cm="1">
        <f t="array" ref="G673">IF(LineærRegression_Valg[[#This Row],[Indenfor range]],IF(LineærRegression_Valg[[#This Row],[Intet overlap]],INDEX(DataTitel_liste,LineærRegression_Valg[[#This Row],[Uafhængig variabel ID]]),INDEX(DataTitel_liste,IF(LineærRegression_Valg[[#This Row],[Afhængig variabel ID]]=1,2,1))),$B$7)</f>
        <v>Eksempel 2 (interval)</v>
      </c>
      <c r="H673" s="45">
        <f>_xlfn.AGGREGATE(2,5,LineærRegression_Valg[[#This Row],[Tabel ID]])</f>
        <v>1</v>
      </c>
    </row>
    <row r="674" spans="1:8" x14ac:dyDescent="0.2">
      <c r="A674">
        <f>ROW(LineærRegression_Valg[[#This Row],[Tabel ID]])-ROW(LineærRegression_Valg[[#Headers],[Tabel ID]])</f>
        <v>664</v>
      </c>
      <c r="B674" s="45">
        <f>ROUNDDOWN((LineærRegression_Valg[[#This Row],[Tabel ID]]-1)/$B$5,0)+1</f>
        <v>166</v>
      </c>
      <c r="C674" s="45">
        <f t="shared" si="10"/>
        <v>4</v>
      </c>
      <c r="D674" s="45" t="b">
        <f>LineærRegression_Valg[[#This Row],[Afhængig variabel ID]]&lt;&gt;LineærRegression_Valg[[#This Row],[Uafhængig variabel ID]]</f>
        <v>1</v>
      </c>
      <c r="E674" t="b">
        <f>LineærRegression_Valg[[#This Row],[Afhængig variabel ID]]&lt;=$B$5</f>
        <v>0</v>
      </c>
      <c r="F674" t="str" cm="1">
        <f t="array" ref="F674">IF(LineærRegression_Valg[[#This Row],[Indenfor range]],INDEX(DataTitel_liste,LineærRegression_Valg[[#This Row],[Afhængig variabel ID]]),INDEX(DataTitel_liste,1))</f>
        <v>Eksempel 1 (interval)</v>
      </c>
      <c r="G674" s="45" t="str" cm="1">
        <f t="array" ref="G674">IF(LineærRegression_Valg[[#This Row],[Indenfor range]],IF(LineærRegression_Valg[[#This Row],[Intet overlap]],INDEX(DataTitel_liste,LineærRegression_Valg[[#This Row],[Uafhængig variabel ID]]),INDEX(DataTitel_liste,IF(LineærRegression_Valg[[#This Row],[Afhængig variabel ID]]=1,2,1))),$B$7)</f>
        <v>Eksempel 2 (interval)</v>
      </c>
      <c r="H674" s="45">
        <f>_xlfn.AGGREGATE(2,5,LineærRegression_Valg[[#This Row],[Tabel ID]])</f>
        <v>1</v>
      </c>
    </row>
    <row r="675" spans="1:8" x14ac:dyDescent="0.2">
      <c r="A675">
        <f>ROW(LineærRegression_Valg[[#This Row],[Tabel ID]])-ROW(LineærRegression_Valg[[#Headers],[Tabel ID]])</f>
        <v>665</v>
      </c>
      <c r="B675" s="45">
        <f>ROUNDDOWN((LineærRegression_Valg[[#This Row],[Tabel ID]]-1)/$B$5,0)+1</f>
        <v>167</v>
      </c>
      <c r="C675" s="45">
        <f t="shared" si="10"/>
        <v>1</v>
      </c>
      <c r="D675" s="45" t="b">
        <f>LineærRegression_Valg[[#This Row],[Afhængig variabel ID]]&lt;&gt;LineærRegression_Valg[[#This Row],[Uafhængig variabel ID]]</f>
        <v>1</v>
      </c>
      <c r="E675" t="b">
        <f>LineærRegression_Valg[[#This Row],[Afhængig variabel ID]]&lt;=$B$5</f>
        <v>0</v>
      </c>
      <c r="F675" t="str" cm="1">
        <f t="array" ref="F675">IF(LineærRegression_Valg[[#This Row],[Indenfor range]],INDEX(DataTitel_liste,LineærRegression_Valg[[#This Row],[Afhængig variabel ID]]),INDEX(DataTitel_liste,1))</f>
        <v>Eksempel 1 (interval)</v>
      </c>
      <c r="G675" s="45" t="str" cm="1">
        <f t="array" ref="G675">IF(LineærRegression_Valg[[#This Row],[Indenfor range]],IF(LineærRegression_Valg[[#This Row],[Intet overlap]],INDEX(DataTitel_liste,LineærRegression_Valg[[#This Row],[Uafhængig variabel ID]]),INDEX(DataTitel_liste,IF(LineærRegression_Valg[[#This Row],[Afhængig variabel ID]]=1,2,1))),$B$7)</f>
        <v>Eksempel 2 (interval)</v>
      </c>
      <c r="H675" s="45">
        <f>_xlfn.AGGREGATE(2,5,LineærRegression_Valg[[#This Row],[Tabel ID]])</f>
        <v>1</v>
      </c>
    </row>
    <row r="676" spans="1:8" x14ac:dyDescent="0.2">
      <c r="A676">
        <f>ROW(LineærRegression_Valg[[#This Row],[Tabel ID]])-ROW(LineærRegression_Valg[[#Headers],[Tabel ID]])</f>
        <v>666</v>
      </c>
      <c r="B676" s="45">
        <f>ROUNDDOWN((LineærRegression_Valg[[#This Row],[Tabel ID]]-1)/$B$5,0)+1</f>
        <v>167</v>
      </c>
      <c r="C676" s="45">
        <f t="shared" si="10"/>
        <v>2</v>
      </c>
      <c r="D676" s="45" t="b">
        <f>LineærRegression_Valg[[#This Row],[Afhængig variabel ID]]&lt;&gt;LineærRegression_Valg[[#This Row],[Uafhængig variabel ID]]</f>
        <v>1</v>
      </c>
      <c r="E676" t="b">
        <f>LineærRegression_Valg[[#This Row],[Afhængig variabel ID]]&lt;=$B$5</f>
        <v>0</v>
      </c>
      <c r="F676" t="str" cm="1">
        <f t="array" ref="F676">IF(LineærRegression_Valg[[#This Row],[Indenfor range]],INDEX(DataTitel_liste,LineærRegression_Valg[[#This Row],[Afhængig variabel ID]]),INDEX(DataTitel_liste,1))</f>
        <v>Eksempel 1 (interval)</v>
      </c>
      <c r="G676" s="45" t="str" cm="1">
        <f t="array" ref="G676">IF(LineærRegression_Valg[[#This Row],[Indenfor range]],IF(LineærRegression_Valg[[#This Row],[Intet overlap]],INDEX(DataTitel_liste,LineærRegression_Valg[[#This Row],[Uafhængig variabel ID]]),INDEX(DataTitel_liste,IF(LineærRegression_Valg[[#This Row],[Afhængig variabel ID]]=1,2,1))),$B$7)</f>
        <v>Eksempel 2 (interval)</v>
      </c>
      <c r="H676" s="45">
        <f>_xlfn.AGGREGATE(2,5,LineærRegression_Valg[[#This Row],[Tabel ID]])</f>
        <v>1</v>
      </c>
    </row>
    <row r="677" spans="1:8" x14ac:dyDescent="0.2">
      <c r="A677">
        <f>ROW(LineærRegression_Valg[[#This Row],[Tabel ID]])-ROW(LineærRegression_Valg[[#Headers],[Tabel ID]])</f>
        <v>667</v>
      </c>
      <c r="B677" s="45">
        <f>ROUNDDOWN((LineærRegression_Valg[[#This Row],[Tabel ID]]-1)/$B$5,0)+1</f>
        <v>167</v>
      </c>
      <c r="C677" s="45">
        <f t="shared" si="10"/>
        <v>3</v>
      </c>
      <c r="D677" s="45" t="b">
        <f>LineærRegression_Valg[[#This Row],[Afhængig variabel ID]]&lt;&gt;LineærRegression_Valg[[#This Row],[Uafhængig variabel ID]]</f>
        <v>1</v>
      </c>
      <c r="E677" t="b">
        <f>LineærRegression_Valg[[#This Row],[Afhængig variabel ID]]&lt;=$B$5</f>
        <v>0</v>
      </c>
      <c r="F677" t="str" cm="1">
        <f t="array" ref="F677">IF(LineærRegression_Valg[[#This Row],[Indenfor range]],INDEX(DataTitel_liste,LineærRegression_Valg[[#This Row],[Afhængig variabel ID]]),INDEX(DataTitel_liste,1))</f>
        <v>Eksempel 1 (interval)</v>
      </c>
      <c r="G677" s="45" t="str" cm="1">
        <f t="array" ref="G677">IF(LineærRegression_Valg[[#This Row],[Indenfor range]],IF(LineærRegression_Valg[[#This Row],[Intet overlap]],INDEX(DataTitel_liste,LineærRegression_Valg[[#This Row],[Uafhængig variabel ID]]),INDEX(DataTitel_liste,IF(LineærRegression_Valg[[#This Row],[Afhængig variabel ID]]=1,2,1))),$B$7)</f>
        <v>Eksempel 2 (interval)</v>
      </c>
      <c r="H677" s="45">
        <f>_xlfn.AGGREGATE(2,5,LineærRegression_Valg[[#This Row],[Tabel ID]])</f>
        <v>1</v>
      </c>
    </row>
    <row r="678" spans="1:8" x14ac:dyDescent="0.2">
      <c r="A678">
        <f>ROW(LineærRegression_Valg[[#This Row],[Tabel ID]])-ROW(LineærRegression_Valg[[#Headers],[Tabel ID]])</f>
        <v>668</v>
      </c>
      <c r="B678" s="45">
        <f>ROUNDDOWN((LineærRegression_Valg[[#This Row],[Tabel ID]]-1)/$B$5,0)+1</f>
        <v>167</v>
      </c>
      <c r="C678" s="45">
        <f t="shared" si="10"/>
        <v>4</v>
      </c>
      <c r="D678" s="45" t="b">
        <f>LineærRegression_Valg[[#This Row],[Afhængig variabel ID]]&lt;&gt;LineærRegression_Valg[[#This Row],[Uafhængig variabel ID]]</f>
        <v>1</v>
      </c>
      <c r="E678" t="b">
        <f>LineærRegression_Valg[[#This Row],[Afhængig variabel ID]]&lt;=$B$5</f>
        <v>0</v>
      </c>
      <c r="F678" t="str" cm="1">
        <f t="array" ref="F678">IF(LineærRegression_Valg[[#This Row],[Indenfor range]],INDEX(DataTitel_liste,LineærRegression_Valg[[#This Row],[Afhængig variabel ID]]),INDEX(DataTitel_liste,1))</f>
        <v>Eksempel 1 (interval)</v>
      </c>
      <c r="G678" s="45" t="str" cm="1">
        <f t="array" ref="G678">IF(LineærRegression_Valg[[#This Row],[Indenfor range]],IF(LineærRegression_Valg[[#This Row],[Intet overlap]],INDEX(DataTitel_liste,LineærRegression_Valg[[#This Row],[Uafhængig variabel ID]]),INDEX(DataTitel_liste,IF(LineærRegression_Valg[[#This Row],[Afhængig variabel ID]]=1,2,1))),$B$7)</f>
        <v>Eksempel 2 (interval)</v>
      </c>
      <c r="H678" s="45">
        <f>_xlfn.AGGREGATE(2,5,LineærRegression_Valg[[#This Row],[Tabel ID]])</f>
        <v>1</v>
      </c>
    </row>
    <row r="679" spans="1:8" x14ac:dyDescent="0.2">
      <c r="A679">
        <f>ROW(LineærRegression_Valg[[#This Row],[Tabel ID]])-ROW(LineærRegression_Valg[[#Headers],[Tabel ID]])</f>
        <v>669</v>
      </c>
      <c r="B679" s="45">
        <f>ROUNDDOWN((LineærRegression_Valg[[#This Row],[Tabel ID]]-1)/$B$5,0)+1</f>
        <v>168</v>
      </c>
      <c r="C679" s="45">
        <f t="shared" si="10"/>
        <v>1</v>
      </c>
      <c r="D679" s="45" t="b">
        <f>LineærRegression_Valg[[#This Row],[Afhængig variabel ID]]&lt;&gt;LineærRegression_Valg[[#This Row],[Uafhængig variabel ID]]</f>
        <v>1</v>
      </c>
      <c r="E679" t="b">
        <f>LineærRegression_Valg[[#This Row],[Afhængig variabel ID]]&lt;=$B$5</f>
        <v>0</v>
      </c>
      <c r="F679" t="str" cm="1">
        <f t="array" ref="F679">IF(LineærRegression_Valg[[#This Row],[Indenfor range]],INDEX(DataTitel_liste,LineærRegression_Valg[[#This Row],[Afhængig variabel ID]]),INDEX(DataTitel_liste,1))</f>
        <v>Eksempel 1 (interval)</v>
      </c>
      <c r="G679" s="45" t="str" cm="1">
        <f t="array" ref="G679">IF(LineærRegression_Valg[[#This Row],[Indenfor range]],IF(LineærRegression_Valg[[#This Row],[Intet overlap]],INDEX(DataTitel_liste,LineærRegression_Valg[[#This Row],[Uafhængig variabel ID]]),INDEX(DataTitel_liste,IF(LineærRegression_Valg[[#This Row],[Afhængig variabel ID]]=1,2,1))),$B$7)</f>
        <v>Eksempel 2 (interval)</v>
      </c>
      <c r="H679" s="45">
        <f>_xlfn.AGGREGATE(2,5,LineærRegression_Valg[[#This Row],[Tabel ID]])</f>
        <v>1</v>
      </c>
    </row>
    <row r="680" spans="1:8" x14ac:dyDescent="0.2">
      <c r="A680">
        <f>ROW(LineærRegression_Valg[[#This Row],[Tabel ID]])-ROW(LineærRegression_Valg[[#Headers],[Tabel ID]])</f>
        <v>670</v>
      </c>
      <c r="B680" s="45">
        <f>ROUNDDOWN((LineærRegression_Valg[[#This Row],[Tabel ID]]-1)/$B$5,0)+1</f>
        <v>168</v>
      </c>
      <c r="C680" s="45">
        <f t="shared" si="10"/>
        <v>2</v>
      </c>
      <c r="D680" s="45" t="b">
        <f>LineærRegression_Valg[[#This Row],[Afhængig variabel ID]]&lt;&gt;LineærRegression_Valg[[#This Row],[Uafhængig variabel ID]]</f>
        <v>1</v>
      </c>
      <c r="E680" t="b">
        <f>LineærRegression_Valg[[#This Row],[Afhængig variabel ID]]&lt;=$B$5</f>
        <v>0</v>
      </c>
      <c r="F680" t="str" cm="1">
        <f t="array" ref="F680">IF(LineærRegression_Valg[[#This Row],[Indenfor range]],INDEX(DataTitel_liste,LineærRegression_Valg[[#This Row],[Afhængig variabel ID]]),INDEX(DataTitel_liste,1))</f>
        <v>Eksempel 1 (interval)</v>
      </c>
      <c r="G680" s="45" t="str" cm="1">
        <f t="array" ref="G680">IF(LineærRegression_Valg[[#This Row],[Indenfor range]],IF(LineærRegression_Valg[[#This Row],[Intet overlap]],INDEX(DataTitel_liste,LineærRegression_Valg[[#This Row],[Uafhængig variabel ID]]),INDEX(DataTitel_liste,IF(LineærRegression_Valg[[#This Row],[Afhængig variabel ID]]=1,2,1))),$B$7)</f>
        <v>Eksempel 2 (interval)</v>
      </c>
      <c r="H680" s="45">
        <f>_xlfn.AGGREGATE(2,5,LineærRegression_Valg[[#This Row],[Tabel ID]])</f>
        <v>1</v>
      </c>
    </row>
    <row r="681" spans="1:8" x14ac:dyDescent="0.2">
      <c r="A681">
        <f>ROW(LineærRegression_Valg[[#This Row],[Tabel ID]])-ROW(LineærRegression_Valg[[#Headers],[Tabel ID]])</f>
        <v>671</v>
      </c>
      <c r="B681" s="45">
        <f>ROUNDDOWN((LineærRegression_Valg[[#This Row],[Tabel ID]]-1)/$B$5,0)+1</f>
        <v>168</v>
      </c>
      <c r="C681" s="45">
        <f t="shared" si="10"/>
        <v>3</v>
      </c>
      <c r="D681" s="45" t="b">
        <f>LineærRegression_Valg[[#This Row],[Afhængig variabel ID]]&lt;&gt;LineærRegression_Valg[[#This Row],[Uafhængig variabel ID]]</f>
        <v>1</v>
      </c>
      <c r="E681" t="b">
        <f>LineærRegression_Valg[[#This Row],[Afhængig variabel ID]]&lt;=$B$5</f>
        <v>0</v>
      </c>
      <c r="F681" t="str" cm="1">
        <f t="array" ref="F681">IF(LineærRegression_Valg[[#This Row],[Indenfor range]],INDEX(DataTitel_liste,LineærRegression_Valg[[#This Row],[Afhængig variabel ID]]),INDEX(DataTitel_liste,1))</f>
        <v>Eksempel 1 (interval)</v>
      </c>
      <c r="G681" s="45" t="str" cm="1">
        <f t="array" ref="G681">IF(LineærRegression_Valg[[#This Row],[Indenfor range]],IF(LineærRegression_Valg[[#This Row],[Intet overlap]],INDEX(DataTitel_liste,LineærRegression_Valg[[#This Row],[Uafhængig variabel ID]]),INDEX(DataTitel_liste,IF(LineærRegression_Valg[[#This Row],[Afhængig variabel ID]]=1,2,1))),$B$7)</f>
        <v>Eksempel 2 (interval)</v>
      </c>
      <c r="H681" s="45">
        <f>_xlfn.AGGREGATE(2,5,LineærRegression_Valg[[#This Row],[Tabel ID]])</f>
        <v>1</v>
      </c>
    </row>
    <row r="682" spans="1:8" x14ac:dyDescent="0.2">
      <c r="A682">
        <f>ROW(LineærRegression_Valg[[#This Row],[Tabel ID]])-ROW(LineærRegression_Valg[[#Headers],[Tabel ID]])</f>
        <v>672</v>
      </c>
      <c r="B682" s="45">
        <f>ROUNDDOWN((LineærRegression_Valg[[#This Row],[Tabel ID]]-1)/$B$5,0)+1</f>
        <v>168</v>
      </c>
      <c r="C682" s="45">
        <f t="shared" si="10"/>
        <v>4</v>
      </c>
      <c r="D682" s="45" t="b">
        <f>LineærRegression_Valg[[#This Row],[Afhængig variabel ID]]&lt;&gt;LineærRegression_Valg[[#This Row],[Uafhængig variabel ID]]</f>
        <v>1</v>
      </c>
      <c r="E682" t="b">
        <f>LineærRegression_Valg[[#This Row],[Afhængig variabel ID]]&lt;=$B$5</f>
        <v>0</v>
      </c>
      <c r="F682" t="str" cm="1">
        <f t="array" ref="F682">IF(LineærRegression_Valg[[#This Row],[Indenfor range]],INDEX(DataTitel_liste,LineærRegression_Valg[[#This Row],[Afhængig variabel ID]]),INDEX(DataTitel_liste,1))</f>
        <v>Eksempel 1 (interval)</v>
      </c>
      <c r="G682" s="45" t="str" cm="1">
        <f t="array" ref="G682">IF(LineærRegression_Valg[[#This Row],[Indenfor range]],IF(LineærRegression_Valg[[#This Row],[Intet overlap]],INDEX(DataTitel_liste,LineærRegression_Valg[[#This Row],[Uafhængig variabel ID]]),INDEX(DataTitel_liste,IF(LineærRegression_Valg[[#This Row],[Afhængig variabel ID]]=1,2,1))),$B$7)</f>
        <v>Eksempel 2 (interval)</v>
      </c>
      <c r="H682" s="45">
        <f>_xlfn.AGGREGATE(2,5,LineærRegression_Valg[[#This Row],[Tabel ID]])</f>
        <v>1</v>
      </c>
    </row>
    <row r="683" spans="1:8" x14ac:dyDescent="0.2">
      <c r="A683">
        <f>ROW(LineærRegression_Valg[[#This Row],[Tabel ID]])-ROW(LineærRegression_Valg[[#Headers],[Tabel ID]])</f>
        <v>673</v>
      </c>
      <c r="B683" s="45">
        <f>ROUNDDOWN((LineærRegression_Valg[[#This Row],[Tabel ID]]-1)/$B$5,0)+1</f>
        <v>169</v>
      </c>
      <c r="C683" s="45">
        <f t="shared" si="10"/>
        <v>1</v>
      </c>
      <c r="D683" s="45" t="b">
        <f>LineærRegression_Valg[[#This Row],[Afhængig variabel ID]]&lt;&gt;LineærRegression_Valg[[#This Row],[Uafhængig variabel ID]]</f>
        <v>1</v>
      </c>
      <c r="E683" t="b">
        <f>LineærRegression_Valg[[#This Row],[Afhængig variabel ID]]&lt;=$B$5</f>
        <v>0</v>
      </c>
      <c r="F683" t="str" cm="1">
        <f t="array" ref="F683">IF(LineærRegression_Valg[[#This Row],[Indenfor range]],INDEX(DataTitel_liste,LineærRegression_Valg[[#This Row],[Afhængig variabel ID]]),INDEX(DataTitel_liste,1))</f>
        <v>Eksempel 1 (interval)</v>
      </c>
      <c r="G683" s="45" t="str" cm="1">
        <f t="array" ref="G683">IF(LineærRegression_Valg[[#This Row],[Indenfor range]],IF(LineærRegression_Valg[[#This Row],[Intet overlap]],INDEX(DataTitel_liste,LineærRegression_Valg[[#This Row],[Uafhængig variabel ID]]),INDEX(DataTitel_liste,IF(LineærRegression_Valg[[#This Row],[Afhængig variabel ID]]=1,2,1))),$B$7)</f>
        <v>Eksempel 2 (interval)</v>
      </c>
      <c r="H683" s="45">
        <f>_xlfn.AGGREGATE(2,5,LineærRegression_Valg[[#This Row],[Tabel ID]])</f>
        <v>1</v>
      </c>
    </row>
    <row r="684" spans="1:8" x14ac:dyDescent="0.2">
      <c r="A684">
        <f>ROW(LineærRegression_Valg[[#This Row],[Tabel ID]])-ROW(LineærRegression_Valg[[#Headers],[Tabel ID]])</f>
        <v>674</v>
      </c>
      <c r="B684" s="45">
        <f>ROUNDDOWN((LineærRegression_Valg[[#This Row],[Tabel ID]]-1)/$B$5,0)+1</f>
        <v>169</v>
      </c>
      <c r="C684" s="45">
        <f t="shared" si="10"/>
        <v>2</v>
      </c>
      <c r="D684" s="45" t="b">
        <f>LineærRegression_Valg[[#This Row],[Afhængig variabel ID]]&lt;&gt;LineærRegression_Valg[[#This Row],[Uafhængig variabel ID]]</f>
        <v>1</v>
      </c>
      <c r="E684" t="b">
        <f>LineærRegression_Valg[[#This Row],[Afhængig variabel ID]]&lt;=$B$5</f>
        <v>0</v>
      </c>
      <c r="F684" t="str" cm="1">
        <f t="array" ref="F684">IF(LineærRegression_Valg[[#This Row],[Indenfor range]],INDEX(DataTitel_liste,LineærRegression_Valg[[#This Row],[Afhængig variabel ID]]),INDEX(DataTitel_liste,1))</f>
        <v>Eksempel 1 (interval)</v>
      </c>
      <c r="G684" s="45" t="str" cm="1">
        <f t="array" ref="G684">IF(LineærRegression_Valg[[#This Row],[Indenfor range]],IF(LineærRegression_Valg[[#This Row],[Intet overlap]],INDEX(DataTitel_liste,LineærRegression_Valg[[#This Row],[Uafhængig variabel ID]]),INDEX(DataTitel_liste,IF(LineærRegression_Valg[[#This Row],[Afhængig variabel ID]]=1,2,1))),$B$7)</f>
        <v>Eksempel 2 (interval)</v>
      </c>
      <c r="H684" s="45">
        <f>_xlfn.AGGREGATE(2,5,LineærRegression_Valg[[#This Row],[Tabel ID]])</f>
        <v>1</v>
      </c>
    </row>
    <row r="685" spans="1:8" x14ac:dyDescent="0.2">
      <c r="A685">
        <f>ROW(LineærRegression_Valg[[#This Row],[Tabel ID]])-ROW(LineærRegression_Valg[[#Headers],[Tabel ID]])</f>
        <v>675</v>
      </c>
      <c r="B685" s="45">
        <f>ROUNDDOWN((LineærRegression_Valg[[#This Row],[Tabel ID]]-1)/$B$5,0)+1</f>
        <v>169</v>
      </c>
      <c r="C685" s="45">
        <f t="shared" si="10"/>
        <v>3</v>
      </c>
      <c r="D685" s="45" t="b">
        <f>LineærRegression_Valg[[#This Row],[Afhængig variabel ID]]&lt;&gt;LineærRegression_Valg[[#This Row],[Uafhængig variabel ID]]</f>
        <v>1</v>
      </c>
      <c r="E685" t="b">
        <f>LineærRegression_Valg[[#This Row],[Afhængig variabel ID]]&lt;=$B$5</f>
        <v>0</v>
      </c>
      <c r="F685" t="str" cm="1">
        <f t="array" ref="F685">IF(LineærRegression_Valg[[#This Row],[Indenfor range]],INDEX(DataTitel_liste,LineærRegression_Valg[[#This Row],[Afhængig variabel ID]]),INDEX(DataTitel_liste,1))</f>
        <v>Eksempel 1 (interval)</v>
      </c>
      <c r="G685" s="45" t="str" cm="1">
        <f t="array" ref="G685">IF(LineærRegression_Valg[[#This Row],[Indenfor range]],IF(LineærRegression_Valg[[#This Row],[Intet overlap]],INDEX(DataTitel_liste,LineærRegression_Valg[[#This Row],[Uafhængig variabel ID]]),INDEX(DataTitel_liste,IF(LineærRegression_Valg[[#This Row],[Afhængig variabel ID]]=1,2,1))),$B$7)</f>
        <v>Eksempel 2 (interval)</v>
      </c>
      <c r="H685" s="45">
        <f>_xlfn.AGGREGATE(2,5,LineærRegression_Valg[[#This Row],[Tabel ID]])</f>
        <v>1</v>
      </c>
    </row>
    <row r="686" spans="1:8" x14ac:dyDescent="0.2">
      <c r="A686">
        <f>ROW(LineærRegression_Valg[[#This Row],[Tabel ID]])-ROW(LineærRegression_Valg[[#Headers],[Tabel ID]])</f>
        <v>676</v>
      </c>
      <c r="B686" s="45">
        <f>ROUNDDOWN((LineærRegression_Valg[[#This Row],[Tabel ID]]-1)/$B$5,0)+1</f>
        <v>169</v>
      </c>
      <c r="C686" s="45">
        <f t="shared" si="10"/>
        <v>4</v>
      </c>
      <c r="D686" s="45" t="b">
        <f>LineærRegression_Valg[[#This Row],[Afhængig variabel ID]]&lt;&gt;LineærRegression_Valg[[#This Row],[Uafhængig variabel ID]]</f>
        <v>1</v>
      </c>
      <c r="E686" t="b">
        <f>LineærRegression_Valg[[#This Row],[Afhængig variabel ID]]&lt;=$B$5</f>
        <v>0</v>
      </c>
      <c r="F686" t="str" cm="1">
        <f t="array" ref="F686">IF(LineærRegression_Valg[[#This Row],[Indenfor range]],INDEX(DataTitel_liste,LineærRegression_Valg[[#This Row],[Afhængig variabel ID]]),INDEX(DataTitel_liste,1))</f>
        <v>Eksempel 1 (interval)</v>
      </c>
      <c r="G686" s="45" t="str" cm="1">
        <f t="array" ref="G686">IF(LineærRegression_Valg[[#This Row],[Indenfor range]],IF(LineærRegression_Valg[[#This Row],[Intet overlap]],INDEX(DataTitel_liste,LineærRegression_Valg[[#This Row],[Uafhængig variabel ID]]),INDEX(DataTitel_liste,IF(LineærRegression_Valg[[#This Row],[Afhængig variabel ID]]=1,2,1))),$B$7)</f>
        <v>Eksempel 2 (interval)</v>
      </c>
      <c r="H686" s="45">
        <f>_xlfn.AGGREGATE(2,5,LineærRegression_Valg[[#This Row],[Tabel ID]])</f>
        <v>1</v>
      </c>
    </row>
    <row r="687" spans="1:8" x14ac:dyDescent="0.2">
      <c r="A687">
        <f>ROW(LineærRegression_Valg[[#This Row],[Tabel ID]])-ROW(LineærRegression_Valg[[#Headers],[Tabel ID]])</f>
        <v>677</v>
      </c>
      <c r="B687" s="45">
        <f>ROUNDDOWN((LineærRegression_Valg[[#This Row],[Tabel ID]]-1)/$B$5,0)+1</f>
        <v>170</v>
      </c>
      <c r="C687" s="45">
        <f t="shared" si="10"/>
        <v>1</v>
      </c>
      <c r="D687" s="45" t="b">
        <f>LineærRegression_Valg[[#This Row],[Afhængig variabel ID]]&lt;&gt;LineærRegression_Valg[[#This Row],[Uafhængig variabel ID]]</f>
        <v>1</v>
      </c>
      <c r="E687" t="b">
        <f>LineærRegression_Valg[[#This Row],[Afhængig variabel ID]]&lt;=$B$5</f>
        <v>0</v>
      </c>
      <c r="F687" t="str" cm="1">
        <f t="array" ref="F687">IF(LineærRegression_Valg[[#This Row],[Indenfor range]],INDEX(DataTitel_liste,LineærRegression_Valg[[#This Row],[Afhængig variabel ID]]),INDEX(DataTitel_liste,1))</f>
        <v>Eksempel 1 (interval)</v>
      </c>
      <c r="G687" s="45" t="str" cm="1">
        <f t="array" ref="G687">IF(LineærRegression_Valg[[#This Row],[Indenfor range]],IF(LineærRegression_Valg[[#This Row],[Intet overlap]],INDEX(DataTitel_liste,LineærRegression_Valg[[#This Row],[Uafhængig variabel ID]]),INDEX(DataTitel_liste,IF(LineærRegression_Valg[[#This Row],[Afhængig variabel ID]]=1,2,1))),$B$7)</f>
        <v>Eksempel 2 (interval)</v>
      </c>
      <c r="H687" s="45">
        <f>_xlfn.AGGREGATE(2,5,LineærRegression_Valg[[#This Row],[Tabel ID]])</f>
        <v>1</v>
      </c>
    </row>
    <row r="688" spans="1:8" x14ac:dyDescent="0.2">
      <c r="A688">
        <f>ROW(LineærRegression_Valg[[#This Row],[Tabel ID]])-ROW(LineærRegression_Valg[[#Headers],[Tabel ID]])</f>
        <v>678</v>
      </c>
      <c r="B688" s="45">
        <f>ROUNDDOWN((LineærRegression_Valg[[#This Row],[Tabel ID]]-1)/$B$5,0)+1</f>
        <v>170</v>
      </c>
      <c r="C688" s="45">
        <f t="shared" si="10"/>
        <v>2</v>
      </c>
      <c r="D688" s="45" t="b">
        <f>LineærRegression_Valg[[#This Row],[Afhængig variabel ID]]&lt;&gt;LineærRegression_Valg[[#This Row],[Uafhængig variabel ID]]</f>
        <v>1</v>
      </c>
      <c r="E688" t="b">
        <f>LineærRegression_Valg[[#This Row],[Afhængig variabel ID]]&lt;=$B$5</f>
        <v>0</v>
      </c>
      <c r="F688" t="str" cm="1">
        <f t="array" ref="F688">IF(LineærRegression_Valg[[#This Row],[Indenfor range]],INDEX(DataTitel_liste,LineærRegression_Valg[[#This Row],[Afhængig variabel ID]]),INDEX(DataTitel_liste,1))</f>
        <v>Eksempel 1 (interval)</v>
      </c>
      <c r="G688" s="45" t="str" cm="1">
        <f t="array" ref="G688">IF(LineærRegression_Valg[[#This Row],[Indenfor range]],IF(LineærRegression_Valg[[#This Row],[Intet overlap]],INDEX(DataTitel_liste,LineærRegression_Valg[[#This Row],[Uafhængig variabel ID]]),INDEX(DataTitel_liste,IF(LineærRegression_Valg[[#This Row],[Afhængig variabel ID]]=1,2,1))),$B$7)</f>
        <v>Eksempel 2 (interval)</v>
      </c>
      <c r="H688" s="45">
        <f>_xlfn.AGGREGATE(2,5,LineærRegression_Valg[[#This Row],[Tabel ID]])</f>
        <v>1</v>
      </c>
    </row>
    <row r="689" spans="1:8" x14ac:dyDescent="0.2">
      <c r="A689">
        <f>ROW(LineærRegression_Valg[[#This Row],[Tabel ID]])-ROW(LineærRegression_Valg[[#Headers],[Tabel ID]])</f>
        <v>679</v>
      </c>
      <c r="B689" s="45">
        <f>ROUNDDOWN((LineærRegression_Valg[[#This Row],[Tabel ID]]-1)/$B$5,0)+1</f>
        <v>170</v>
      </c>
      <c r="C689" s="45">
        <f t="shared" si="10"/>
        <v>3</v>
      </c>
      <c r="D689" s="45" t="b">
        <f>LineærRegression_Valg[[#This Row],[Afhængig variabel ID]]&lt;&gt;LineærRegression_Valg[[#This Row],[Uafhængig variabel ID]]</f>
        <v>1</v>
      </c>
      <c r="E689" t="b">
        <f>LineærRegression_Valg[[#This Row],[Afhængig variabel ID]]&lt;=$B$5</f>
        <v>0</v>
      </c>
      <c r="F689" t="str" cm="1">
        <f t="array" ref="F689">IF(LineærRegression_Valg[[#This Row],[Indenfor range]],INDEX(DataTitel_liste,LineærRegression_Valg[[#This Row],[Afhængig variabel ID]]),INDEX(DataTitel_liste,1))</f>
        <v>Eksempel 1 (interval)</v>
      </c>
      <c r="G689" s="45" t="str" cm="1">
        <f t="array" ref="G689">IF(LineærRegression_Valg[[#This Row],[Indenfor range]],IF(LineærRegression_Valg[[#This Row],[Intet overlap]],INDEX(DataTitel_liste,LineærRegression_Valg[[#This Row],[Uafhængig variabel ID]]),INDEX(DataTitel_liste,IF(LineærRegression_Valg[[#This Row],[Afhængig variabel ID]]=1,2,1))),$B$7)</f>
        <v>Eksempel 2 (interval)</v>
      </c>
      <c r="H689" s="45">
        <f>_xlfn.AGGREGATE(2,5,LineærRegression_Valg[[#This Row],[Tabel ID]])</f>
        <v>1</v>
      </c>
    </row>
    <row r="690" spans="1:8" x14ac:dyDescent="0.2">
      <c r="A690">
        <f>ROW(LineærRegression_Valg[[#This Row],[Tabel ID]])-ROW(LineærRegression_Valg[[#Headers],[Tabel ID]])</f>
        <v>680</v>
      </c>
      <c r="B690" s="45">
        <f>ROUNDDOWN((LineærRegression_Valg[[#This Row],[Tabel ID]]-1)/$B$5,0)+1</f>
        <v>170</v>
      </c>
      <c r="C690" s="45">
        <f t="shared" si="10"/>
        <v>4</v>
      </c>
      <c r="D690" s="45" t="b">
        <f>LineærRegression_Valg[[#This Row],[Afhængig variabel ID]]&lt;&gt;LineærRegression_Valg[[#This Row],[Uafhængig variabel ID]]</f>
        <v>1</v>
      </c>
      <c r="E690" t="b">
        <f>LineærRegression_Valg[[#This Row],[Afhængig variabel ID]]&lt;=$B$5</f>
        <v>0</v>
      </c>
      <c r="F690" t="str" cm="1">
        <f t="array" ref="F690">IF(LineærRegression_Valg[[#This Row],[Indenfor range]],INDEX(DataTitel_liste,LineærRegression_Valg[[#This Row],[Afhængig variabel ID]]),INDEX(DataTitel_liste,1))</f>
        <v>Eksempel 1 (interval)</v>
      </c>
      <c r="G690" s="45" t="str" cm="1">
        <f t="array" ref="G690">IF(LineærRegression_Valg[[#This Row],[Indenfor range]],IF(LineærRegression_Valg[[#This Row],[Intet overlap]],INDEX(DataTitel_liste,LineærRegression_Valg[[#This Row],[Uafhængig variabel ID]]),INDEX(DataTitel_liste,IF(LineærRegression_Valg[[#This Row],[Afhængig variabel ID]]=1,2,1))),$B$7)</f>
        <v>Eksempel 2 (interval)</v>
      </c>
      <c r="H690" s="45">
        <f>_xlfn.AGGREGATE(2,5,LineærRegression_Valg[[#This Row],[Tabel ID]])</f>
        <v>1</v>
      </c>
    </row>
    <row r="691" spans="1:8" x14ac:dyDescent="0.2">
      <c r="A691">
        <f>ROW(LineærRegression_Valg[[#This Row],[Tabel ID]])-ROW(LineærRegression_Valg[[#Headers],[Tabel ID]])</f>
        <v>681</v>
      </c>
      <c r="B691" s="45">
        <f>ROUNDDOWN((LineærRegression_Valg[[#This Row],[Tabel ID]]-1)/$B$5,0)+1</f>
        <v>171</v>
      </c>
      <c r="C691" s="45">
        <f t="shared" si="10"/>
        <v>1</v>
      </c>
      <c r="D691" s="45" t="b">
        <f>LineærRegression_Valg[[#This Row],[Afhængig variabel ID]]&lt;&gt;LineærRegression_Valg[[#This Row],[Uafhængig variabel ID]]</f>
        <v>1</v>
      </c>
      <c r="E691" t="b">
        <f>LineærRegression_Valg[[#This Row],[Afhængig variabel ID]]&lt;=$B$5</f>
        <v>0</v>
      </c>
      <c r="F691" t="str" cm="1">
        <f t="array" ref="F691">IF(LineærRegression_Valg[[#This Row],[Indenfor range]],INDEX(DataTitel_liste,LineærRegression_Valg[[#This Row],[Afhængig variabel ID]]),INDEX(DataTitel_liste,1))</f>
        <v>Eksempel 1 (interval)</v>
      </c>
      <c r="G691" s="45" t="str" cm="1">
        <f t="array" ref="G691">IF(LineærRegression_Valg[[#This Row],[Indenfor range]],IF(LineærRegression_Valg[[#This Row],[Intet overlap]],INDEX(DataTitel_liste,LineærRegression_Valg[[#This Row],[Uafhængig variabel ID]]),INDEX(DataTitel_liste,IF(LineærRegression_Valg[[#This Row],[Afhængig variabel ID]]=1,2,1))),$B$7)</f>
        <v>Eksempel 2 (interval)</v>
      </c>
      <c r="H691" s="45">
        <f>_xlfn.AGGREGATE(2,5,LineærRegression_Valg[[#This Row],[Tabel ID]])</f>
        <v>1</v>
      </c>
    </row>
    <row r="692" spans="1:8" x14ac:dyDescent="0.2">
      <c r="A692">
        <f>ROW(LineærRegression_Valg[[#This Row],[Tabel ID]])-ROW(LineærRegression_Valg[[#Headers],[Tabel ID]])</f>
        <v>682</v>
      </c>
      <c r="B692" s="45">
        <f>ROUNDDOWN((LineærRegression_Valg[[#This Row],[Tabel ID]]-1)/$B$5,0)+1</f>
        <v>171</v>
      </c>
      <c r="C692" s="45">
        <f t="shared" si="10"/>
        <v>2</v>
      </c>
      <c r="D692" s="45" t="b">
        <f>LineærRegression_Valg[[#This Row],[Afhængig variabel ID]]&lt;&gt;LineærRegression_Valg[[#This Row],[Uafhængig variabel ID]]</f>
        <v>1</v>
      </c>
      <c r="E692" t="b">
        <f>LineærRegression_Valg[[#This Row],[Afhængig variabel ID]]&lt;=$B$5</f>
        <v>0</v>
      </c>
      <c r="F692" t="str" cm="1">
        <f t="array" ref="F692">IF(LineærRegression_Valg[[#This Row],[Indenfor range]],INDEX(DataTitel_liste,LineærRegression_Valg[[#This Row],[Afhængig variabel ID]]),INDEX(DataTitel_liste,1))</f>
        <v>Eksempel 1 (interval)</v>
      </c>
      <c r="G692" s="45" t="str" cm="1">
        <f t="array" ref="G692">IF(LineærRegression_Valg[[#This Row],[Indenfor range]],IF(LineærRegression_Valg[[#This Row],[Intet overlap]],INDEX(DataTitel_liste,LineærRegression_Valg[[#This Row],[Uafhængig variabel ID]]),INDEX(DataTitel_liste,IF(LineærRegression_Valg[[#This Row],[Afhængig variabel ID]]=1,2,1))),$B$7)</f>
        <v>Eksempel 2 (interval)</v>
      </c>
      <c r="H692" s="45">
        <f>_xlfn.AGGREGATE(2,5,LineærRegression_Valg[[#This Row],[Tabel ID]])</f>
        <v>1</v>
      </c>
    </row>
    <row r="693" spans="1:8" x14ac:dyDescent="0.2">
      <c r="A693">
        <f>ROW(LineærRegression_Valg[[#This Row],[Tabel ID]])-ROW(LineærRegression_Valg[[#Headers],[Tabel ID]])</f>
        <v>683</v>
      </c>
      <c r="B693" s="45">
        <f>ROUNDDOWN((LineærRegression_Valg[[#This Row],[Tabel ID]]-1)/$B$5,0)+1</f>
        <v>171</v>
      </c>
      <c r="C693" s="45">
        <f t="shared" si="10"/>
        <v>3</v>
      </c>
      <c r="D693" s="45" t="b">
        <f>LineærRegression_Valg[[#This Row],[Afhængig variabel ID]]&lt;&gt;LineærRegression_Valg[[#This Row],[Uafhængig variabel ID]]</f>
        <v>1</v>
      </c>
      <c r="E693" t="b">
        <f>LineærRegression_Valg[[#This Row],[Afhængig variabel ID]]&lt;=$B$5</f>
        <v>0</v>
      </c>
      <c r="F693" t="str" cm="1">
        <f t="array" ref="F693">IF(LineærRegression_Valg[[#This Row],[Indenfor range]],INDEX(DataTitel_liste,LineærRegression_Valg[[#This Row],[Afhængig variabel ID]]),INDEX(DataTitel_liste,1))</f>
        <v>Eksempel 1 (interval)</v>
      </c>
      <c r="G693" s="45" t="str" cm="1">
        <f t="array" ref="G693">IF(LineærRegression_Valg[[#This Row],[Indenfor range]],IF(LineærRegression_Valg[[#This Row],[Intet overlap]],INDEX(DataTitel_liste,LineærRegression_Valg[[#This Row],[Uafhængig variabel ID]]),INDEX(DataTitel_liste,IF(LineærRegression_Valg[[#This Row],[Afhængig variabel ID]]=1,2,1))),$B$7)</f>
        <v>Eksempel 2 (interval)</v>
      </c>
      <c r="H693" s="45">
        <f>_xlfn.AGGREGATE(2,5,LineærRegression_Valg[[#This Row],[Tabel ID]])</f>
        <v>1</v>
      </c>
    </row>
    <row r="694" spans="1:8" x14ac:dyDescent="0.2">
      <c r="A694">
        <f>ROW(LineærRegression_Valg[[#This Row],[Tabel ID]])-ROW(LineærRegression_Valg[[#Headers],[Tabel ID]])</f>
        <v>684</v>
      </c>
      <c r="B694" s="45">
        <f>ROUNDDOWN((LineærRegression_Valg[[#This Row],[Tabel ID]]-1)/$B$5,0)+1</f>
        <v>171</v>
      </c>
      <c r="C694" s="45">
        <f t="shared" si="10"/>
        <v>4</v>
      </c>
      <c r="D694" s="45" t="b">
        <f>LineærRegression_Valg[[#This Row],[Afhængig variabel ID]]&lt;&gt;LineærRegression_Valg[[#This Row],[Uafhængig variabel ID]]</f>
        <v>1</v>
      </c>
      <c r="E694" t="b">
        <f>LineærRegression_Valg[[#This Row],[Afhængig variabel ID]]&lt;=$B$5</f>
        <v>0</v>
      </c>
      <c r="F694" t="str" cm="1">
        <f t="array" ref="F694">IF(LineærRegression_Valg[[#This Row],[Indenfor range]],INDEX(DataTitel_liste,LineærRegression_Valg[[#This Row],[Afhængig variabel ID]]),INDEX(DataTitel_liste,1))</f>
        <v>Eksempel 1 (interval)</v>
      </c>
      <c r="G694" s="45" t="str" cm="1">
        <f t="array" ref="G694">IF(LineærRegression_Valg[[#This Row],[Indenfor range]],IF(LineærRegression_Valg[[#This Row],[Intet overlap]],INDEX(DataTitel_liste,LineærRegression_Valg[[#This Row],[Uafhængig variabel ID]]),INDEX(DataTitel_liste,IF(LineærRegression_Valg[[#This Row],[Afhængig variabel ID]]=1,2,1))),$B$7)</f>
        <v>Eksempel 2 (interval)</v>
      </c>
      <c r="H694" s="45">
        <f>_xlfn.AGGREGATE(2,5,LineærRegression_Valg[[#This Row],[Tabel ID]])</f>
        <v>1</v>
      </c>
    </row>
    <row r="695" spans="1:8" x14ac:dyDescent="0.2">
      <c r="A695">
        <f>ROW(LineærRegression_Valg[[#This Row],[Tabel ID]])-ROW(LineærRegression_Valg[[#Headers],[Tabel ID]])</f>
        <v>685</v>
      </c>
      <c r="B695" s="45">
        <f>ROUNDDOWN((LineærRegression_Valg[[#This Row],[Tabel ID]]-1)/$B$5,0)+1</f>
        <v>172</v>
      </c>
      <c r="C695" s="45">
        <f t="shared" si="10"/>
        <v>1</v>
      </c>
      <c r="D695" s="45" t="b">
        <f>LineærRegression_Valg[[#This Row],[Afhængig variabel ID]]&lt;&gt;LineærRegression_Valg[[#This Row],[Uafhængig variabel ID]]</f>
        <v>1</v>
      </c>
      <c r="E695" t="b">
        <f>LineærRegression_Valg[[#This Row],[Afhængig variabel ID]]&lt;=$B$5</f>
        <v>0</v>
      </c>
      <c r="F695" t="str" cm="1">
        <f t="array" ref="F695">IF(LineærRegression_Valg[[#This Row],[Indenfor range]],INDEX(DataTitel_liste,LineærRegression_Valg[[#This Row],[Afhængig variabel ID]]),INDEX(DataTitel_liste,1))</f>
        <v>Eksempel 1 (interval)</v>
      </c>
      <c r="G695" s="45" t="str" cm="1">
        <f t="array" ref="G695">IF(LineærRegression_Valg[[#This Row],[Indenfor range]],IF(LineærRegression_Valg[[#This Row],[Intet overlap]],INDEX(DataTitel_liste,LineærRegression_Valg[[#This Row],[Uafhængig variabel ID]]),INDEX(DataTitel_liste,IF(LineærRegression_Valg[[#This Row],[Afhængig variabel ID]]=1,2,1))),$B$7)</f>
        <v>Eksempel 2 (interval)</v>
      </c>
      <c r="H695" s="45">
        <f>_xlfn.AGGREGATE(2,5,LineærRegression_Valg[[#This Row],[Tabel ID]])</f>
        <v>1</v>
      </c>
    </row>
    <row r="696" spans="1:8" x14ac:dyDescent="0.2">
      <c r="A696">
        <f>ROW(LineærRegression_Valg[[#This Row],[Tabel ID]])-ROW(LineærRegression_Valg[[#Headers],[Tabel ID]])</f>
        <v>686</v>
      </c>
      <c r="B696" s="45">
        <f>ROUNDDOWN((LineærRegression_Valg[[#This Row],[Tabel ID]]-1)/$B$5,0)+1</f>
        <v>172</v>
      </c>
      <c r="C696" s="45">
        <f t="shared" si="10"/>
        <v>2</v>
      </c>
      <c r="D696" s="45" t="b">
        <f>LineærRegression_Valg[[#This Row],[Afhængig variabel ID]]&lt;&gt;LineærRegression_Valg[[#This Row],[Uafhængig variabel ID]]</f>
        <v>1</v>
      </c>
      <c r="E696" t="b">
        <f>LineærRegression_Valg[[#This Row],[Afhængig variabel ID]]&lt;=$B$5</f>
        <v>0</v>
      </c>
      <c r="F696" t="str" cm="1">
        <f t="array" ref="F696">IF(LineærRegression_Valg[[#This Row],[Indenfor range]],INDEX(DataTitel_liste,LineærRegression_Valg[[#This Row],[Afhængig variabel ID]]),INDEX(DataTitel_liste,1))</f>
        <v>Eksempel 1 (interval)</v>
      </c>
      <c r="G696" s="45" t="str" cm="1">
        <f t="array" ref="G696">IF(LineærRegression_Valg[[#This Row],[Indenfor range]],IF(LineærRegression_Valg[[#This Row],[Intet overlap]],INDEX(DataTitel_liste,LineærRegression_Valg[[#This Row],[Uafhængig variabel ID]]),INDEX(DataTitel_liste,IF(LineærRegression_Valg[[#This Row],[Afhængig variabel ID]]=1,2,1))),$B$7)</f>
        <v>Eksempel 2 (interval)</v>
      </c>
      <c r="H696" s="45">
        <f>_xlfn.AGGREGATE(2,5,LineærRegression_Valg[[#This Row],[Tabel ID]])</f>
        <v>1</v>
      </c>
    </row>
    <row r="697" spans="1:8" x14ac:dyDescent="0.2">
      <c r="A697">
        <f>ROW(LineærRegression_Valg[[#This Row],[Tabel ID]])-ROW(LineærRegression_Valg[[#Headers],[Tabel ID]])</f>
        <v>687</v>
      </c>
      <c r="B697" s="45">
        <f>ROUNDDOWN((LineærRegression_Valg[[#This Row],[Tabel ID]]-1)/$B$5,0)+1</f>
        <v>172</v>
      </c>
      <c r="C697" s="45">
        <f t="shared" si="10"/>
        <v>3</v>
      </c>
      <c r="D697" s="45" t="b">
        <f>LineærRegression_Valg[[#This Row],[Afhængig variabel ID]]&lt;&gt;LineærRegression_Valg[[#This Row],[Uafhængig variabel ID]]</f>
        <v>1</v>
      </c>
      <c r="E697" t="b">
        <f>LineærRegression_Valg[[#This Row],[Afhængig variabel ID]]&lt;=$B$5</f>
        <v>0</v>
      </c>
      <c r="F697" t="str" cm="1">
        <f t="array" ref="F697">IF(LineærRegression_Valg[[#This Row],[Indenfor range]],INDEX(DataTitel_liste,LineærRegression_Valg[[#This Row],[Afhængig variabel ID]]),INDEX(DataTitel_liste,1))</f>
        <v>Eksempel 1 (interval)</v>
      </c>
      <c r="G697" s="45" t="str" cm="1">
        <f t="array" ref="G697">IF(LineærRegression_Valg[[#This Row],[Indenfor range]],IF(LineærRegression_Valg[[#This Row],[Intet overlap]],INDEX(DataTitel_liste,LineærRegression_Valg[[#This Row],[Uafhængig variabel ID]]),INDEX(DataTitel_liste,IF(LineærRegression_Valg[[#This Row],[Afhængig variabel ID]]=1,2,1))),$B$7)</f>
        <v>Eksempel 2 (interval)</v>
      </c>
      <c r="H697" s="45">
        <f>_xlfn.AGGREGATE(2,5,LineærRegression_Valg[[#This Row],[Tabel ID]])</f>
        <v>1</v>
      </c>
    </row>
    <row r="698" spans="1:8" x14ac:dyDescent="0.2">
      <c r="A698">
        <f>ROW(LineærRegression_Valg[[#This Row],[Tabel ID]])-ROW(LineærRegression_Valg[[#Headers],[Tabel ID]])</f>
        <v>688</v>
      </c>
      <c r="B698" s="45">
        <f>ROUNDDOWN((LineærRegression_Valg[[#This Row],[Tabel ID]]-1)/$B$5,0)+1</f>
        <v>172</v>
      </c>
      <c r="C698" s="45">
        <f t="shared" si="10"/>
        <v>4</v>
      </c>
      <c r="D698" s="45" t="b">
        <f>LineærRegression_Valg[[#This Row],[Afhængig variabel ID]]&lt;&gt;LineærRegression_Valg[[#This Row],[Uafhængig variabel ID]]</f>
        <v>1</v>
      </c>
      <c r="E698" t="b">
        <f>LineærRegression_Valg[[#This Row],[Afhængig variabel ID]]&lt;=$B$5</f>
        <v>0</v>
      </c>
      <c r="F698" t="str" cm="1">
        <f t="array" ref="F698">IF(LineærRegression_Valg[[#This Row],[Indenfor range]],INDEX(DataTitel_liste,LineærRegression_Valg[[#This Row],[Afhængig variabel ID]]),INDEX(DataTitel_liste,1))</f>
        <v>Eksempel 1 (interval)</v>
      </c>
      <c r="G698" s="45" t="str" cm="1">
        <f t="array" ref="G698">IF(LineærRegression_Valg[[#This Row],[Indenfor range]],IF(LineærRegression_Valg[[#This Row],[Intet overlap]],INDEX(DataTitel_liste,LineærRegression_Valg[[#This Row],[Uafhængig variabel ID]]),INDEX(DataTitel_liste,IF(LineærRegression_Valg[[#This Row],[Afhængig variabel ID]]=1,2,1))),$B$7)</f>
        <v>Eksempel 2 (interval)</v>
      </c>
      <c r="H698" s="45">
        <f>_xlfn.AGGREGATE(2,5,LineærRegression_Valg[[#This Row],[Tabel ID]])</f>
        <v>1</v>
      </c>
    </row>
    <row r="699" spans="1:8" x14ac:dyDescent="0.2">
      <c r="A699">
        <f>ROW(LineærRegression_Valg[[#This Row],[Tabel ID]])-ROW(LineærRegression_Valg[[#Headers],[Tabel ID]])</f>
        <v>689</v>
      </c>
      <c r="B699" s="45">
        <f>ROUNDDOWN((LineærRegression_Valg[[#This Row],[Tabel ID]]-1)/$B$5,0)+1</f>
        <v>173</v>
      </c>
      <c r="C699" s="45">
        <f t="shared" si="10"/>
        <v>1</v>
      </c>
      <c r="D699" s="45" t="b">
        <f>LineærRegression_Valg[[#This Row],[Afhængig variabel ID]]&lt;&gt;LineærRegression_Valg[[#This Row],[Uafhængig variabel ID]]</f>
        <v>1</v>
      </c>
      <c r="E699" t="b">
        <f>LineærRegression_Valg[[#This Row],[Afhængig variabel ID]]&lt;=$B$5</f>
        <v>0</v>
      </c>
      <c r="F699" t="str" cm="1">
        <f t="array" ref="F699">IF(LineærRegression_Valg[[#This Row],[Indenfor range]],INDEX(DataTitel_liste,LineærRegression_Valg[[#This Row],[Afhængig variabel ID]]),INDEX(DataTitel_liste,1))</f>
        <v>Eksempel 1 (interval)</v>
      </c>
      <c r="G699" s="45" t="str" cm="1">
        <f t="array" ref="G699">IF(LineærRegression_Valg[[#This Row],[Indenfor range]],IF(LineærRegression_Valg[[#This Row],[Intet overlap]],INDEX(DataTitel_liste,LineærRegression_Valg[[#This Row],[Uafhængig variabel ID]]),INDEX(DataTitel_liste,IF(LineærRegression_Valg[[#This Row],[Afhængig variabel ID]]=1,2,1))),$B$7)</f>
        <v>Eksempel 2 (interval)</v>
      </c>
      <c r="H699" s="45">
        <f>_xlfn.AGGREGATE(2,5,LineærRegression_Valg[[#This Row],[Tabel ID]])</f>
        <v>1</v>
      </c>
    </row>
    <row r="700" spans="1:8" x14ac:dyDescent="0.2">
      <c r="A700">
        <f>ROW(LineærRegression_Valg[[#This Row],[Tabel ID]])-ROW(LineærRegression_Valg[[#Headers],[Tabel ID]])</f>
        <v>690</v>
      </c>
      <c r="B700" s="45">
        <f>ROUNDDOWN((LineærRegression_Valg[[#This Row],[Tabel ID]]-1)/$B$5,0)+1</f>
        <v>173</v>
      </c>
      <c r="C700" s="45">
        <f t="shared" si="10"/>
        <v>2</v>
      </c>
      <c r="D700" s="45" t="b">
        <f>LineærRegression_Valg[[#This Row],[Afhængig variabel ID]]&lt;&gt;LineærRegression_Valg[[#This Row],[Uafhængig variabel ID]]</f>
        <v>1</v>
      </c>
      <c r="E700" t="b">
        <f>LineærRegression_Valg[[#This Row],[Afhængig variabel ID]]&lt;=$B$5</f>
        <v>0</v>
      </c>
      <c r="F700" t="str" cm="1">
        <f t="array" ref="F700">IF(LineærRegression_Valg[[#This Row],[Indenfor range]],INDEX(DataTitel_liste,LineærRegression_Valg[[#This Row],[Afhængig variabel ID]]),INDEX(DataTitel_liste,1))</f>
        <v>Eksempel 1 (interval)</v>
      </c>
      <c r="G700" s="45" t="str" cm="1">
        <f t="array" ref="G700">IF(LineærRegression_Valg[[#This Row],[Indenfor range]],IF(LineærRegression_Valg[[#This Row],[Intet overlap]],INDEX(DataTitel_liste,LineærRegression_Valg[[#This Row],[Uafhængig variabel ID]]),INDEX(DataTitel_liste,IF(LineærRegression_Valg[[#This Row],[Afhængig variabel ID]]=1,2,1))),$B$7)</f>
        <v>Eksempel 2 (interval)</v>
      </c>
      <c r="H700" s="45">
        <f>_xlfn.AGGREGATE(2,5,LineærRegression_Valg[[#This Row],[Tabel ID]])</f>
        <v>1</v>
      </c>
    </row>
    <row r="701" spans="1:8" x14ac:dyDescent="0.2">
      <c r="A701">
        <f>ROW(LineærRegression_Valg[[#This Row],[Tabel ID]])-ROW(LineærRegression_Valg[[#Headers],[Tabel ID]])</f>
        <v>691</v>
      </c>
      <c r="B701" s="45">
        <f>ROUNDDOWN((LineærRegression_Valg[[#This Row],[Tabel ID]]-1)/$B$5,0)+1</f>
        <v>173</v>
      </c>
      <c r="C701" s="45">
        <f t="shared" si="10"/>
        <v>3</v>
      </c>
      <c r="D701" s="45" t="b">
        <f>LineærRegression_Valg[[#This Row],[Afhængig variabel ID]]&lt;&gt;LineærRegression_Valg[[#This Row],[Uafhængig variabel ID]]</f>
        <v>1</v>
      </c>
      <c r="E701" t="b">
        <f>LineærRegression_Valg[[#This Row],[Afhængig variabel ID]]&lt;=$B$5</f>
        <v>0</v>
      </c>
      <c r="F701" t="str" cm="1">
        <f t="array" ref="F701">IF(LineærRegression_Valg[[#This Row],[Indenfor range]],INDEX(DataTitel_liste,LineærRegression_Valg[[#This Row],[Afhængig variabel ID]]),INDEX(DataTitel_liste,1))</f>
        <v>Eksempel 1 (interval)</v>
      </c>
      <c r="G701" s="45" t="str" cm="1">
        <f t="array" ref="G701">IF(LineærRegression_Valg[[#This Row],[Indenfor range]],IF(LineærRegression_Valg[[#This Row],[Intet overlap]],INDEX(DataTitel_liste,LineærRegression_Valg[[#This Row],[Uafhængig variabel ID]]),INDEX(DataTitel_liste,IF(LineærRegression_Valg[[#This Row],[Afhængig variabel ID]]=1,2,1))),$B$7)</f>
        <v>Eksempel 2 (interval)</v>
      </c>
      <c r="H701" s="45">
        <f>_xlfn.AGGREGATE(2,5,LineærRegression_Valg[[#This Row],[Tabel ID]])</f>
        <v>1</v>
      </c>
    </row>
    <row r="702" spans="1:8" x14ac:dyDescent="0.2">
      <c r="A702">
        <f>ROW(LineærRegression_Valg[[#This Row],[Tabel ID]])-ROW(LineærRegression_Valg[[#Headers],[Tabel ID]])</f>
        <v>692</v>
      </c>
      <c r="B702" s="45">
        <f>ROUNDDOWN((LineærRegression_Valg[[#This Row],[Tabel ID]]-1)/$B$5,0)+1</f>
        <v>173</v>
      </c>
      <c r="C702" s="45">
        <f t="shared" si="10"/>
        <v>4</v>
      </c>
      <c r="D702" s="45" t="b">
        <f>LineærRegression_Valg[[#This Row],[Afhængig variabel ID]]&lt;&gt;LineærRegression_Valg[[#This Row],[Uafhængig variabel ID]]</f>
        <v>1</v>
      </c>
      <c r="E702" t="b">
        <f>LineærRegression_Valg[[#This Row],[Afhængig variabel ID]]&lt;=$B$5</f>
        <v>0</v>
      </c>
      <c r="F702" t="str" cm="1">
        <f t="array" ref="F702">IF(LineærRegression_Valg[[#This Row],[Indenfor range]],INDEX(DataTitel_liste,LineærRegression_Valg[[#This Row],[Afhængig variabel ID]]),INDEX(DataTitel_liste,1))</f>
        <v>Eksempel 1 (interval)</v>
      </c>
      <c r="G702" s="45" t="str" cm="1">
        <f t="array" ref="G702">IF(LineærRegression_Valg[[#This Row],[Indenfor range]],IF(LineærRegression_Valg[[#This Row],[Intet overlap]],INDEX(DataTitel_liste,LineærRegression_Valg[[#This Row],[Uafhængig variabel ID]]),INDEX(DataTitel_liste,IF(LineærRegression_Valg[[#This Row],[Afhængig variabel ID]]=1,2,1))),$B$7)</f>
        <v>Eksempel 2 (interval)</v>
      </c>
      <c r="H702" s="45">
        <f>_xlfn.AGGREGATE(2,5,LineærRegression_Valg[[#This Row],[Tabel ID]])</f>
        <v>1</v>
      </c>
    </row>
    <row r="703" spans="1:8" x14ac:dyDescent="0.2">
      <c r="A703">
        <f>ROW(LineærRegression_Valg[[#This Row],[Tabel ID]])-ROW(LineærRegression_Valg[[#Headers],[Tabel ID]])</f>
        <v>693</v>
      </c>
      <c r="B703" s="45">
        <f>ROUNDDOWN((LineærRegression_Valg[[#This Row],[Tabel ID]]-1)/$B$5,0)+1</f>
        <v>174</v>
      </c>
      <c r="C703" s="45">
        <f t="shared" si="10"/>
        <v>1</v>
      </c>
      <c r="D703" s="45" t="b">
        <f>LineærRegression_Valg[[#This Row],[Afhængig variabel ID]]&lt;&gt;LineærRegression_Valg[[#This Row],[Uafhængig variabel ID]]</f>
        <v>1</v>
      </c>
      <c r="E703" t="b">
        <f>LineærRegression_Valg[[#This Row],[Afhængig variabel ID]]&lt;=$B$5</f>
        <v>0</v>
      </c>
      <c r="F703" t="str" cm="1">
        <f t="array" ref="F703">IF(LineærRegression_Valg[[#This Row],[Indenfor range]],INDEX(DataTitel_liste,LineærRegression_Valg[[#This Row],[Afhængig variabel ID]]),INDEX(DataTitel_liste,1))</f>
        <v>Eksempel 1 (interval)</v>
      </c>
      <c r="G703" s="45" t="str" cm="1">
        <f t="array" ref="G703">IF(LineærRegression_Valg[[#This Row],[Indenfor range]],IF(LineærRegression_Valg[[#This Row],[Intet overlap]],INDEX(DataTitel_liste,LineærRegression_Valg[[#This Row],[Uafhængig variabel ID]]),INDEX(DataTitel_liste,IF(LineærRegression_Valg[[#This Row],[Afhængig variabel ID]]=1,2,1))),$B$7)</f>
        <v>Eksempel 2 (interval)</v>
      </c>
      <c r="H703" s="45">
        <f>_xlfn.AGGREGATE(2,5,LineærRegression_Valg[[#This Row],[Tabel ID]])</f>
        <v>1</v>
      </c>
    </row>
    <row r="704" spans="1:8" x14ac:dyDescent="0.2">
      <c r="A704">
        <f>ROW(LineærRegression_Valg[[#This Row],[Tabel ID]])-ROW(LineærRegression_Valg[[#Headers],[Tabel ID]])</f>
        <v>694</v>
      </c>
      <c r="B704" s="45">
        <f>ROUNDDOWN((LineærRegression_Valg[[#This Row],[Tabel ID]]-1)/$B$5,0)+1</f>
        <v>174</v>
      </c>
      <c r="C704" s="45">
        <f t="shared" si="10"/>
        <v>2</v>
      </c>
      <c r="D704" s="45" t="b">
        <f>LineærRegression_Valg[[#This Row],[Afhængig variabel ID]]&lt;&gt;LineærRegression_Valg[[#This Row],[Uafhængig variabel ID]]</f>
        <v>1</v>
      </c>
      <c r="E704" t="b">
        <f>LineærRegression_Valg[[#This Row],[Afhængig variabel ID]]&lt;=$B$5</f>
        <v>0</v>
      </c>
      <c r="F704" t="str" cm="1">
        <f t="array" ref="F704">IF(LineærRegression_Valg[[#This Row],[Indenfor range]],INDEX(DataTitel_liste,LineærRegression_Valg[[#This Row],[Afhængig variabel ID]]),INDEX(DataTitel_liste,1))</f>
        <v>Eksempel 1 (interval)</v>
      </c>
      <c r="G704" s="45" t="str" cm="1">
        <f t="array" ref="G704">IF(LineærRegression_Valg[[#This Row],[Indenfor range]],IF(LineærRegression_Valg[[#This Row],[Intet overlap]],INDEX(DataTitel_liste,LineærRegression_Valg[[#This Row],[Uafhængig variabel ID]]),INDEX(DataTitel_liste,IF(LineærRegression_Valg[[#This Row],[Afhængig variabel ID]]=1,2,1))),$B$7)</f>
        <v>Eksempel 2 (interval)</v>
      </c>
      <c r="H704" s="45">
        <f>_xlfn.AGGREGATE(2,5,LineærRegression_Valg[[#This Row],[Tabel ID]])</f>
        <v>1</v>
      </c>
    </row>
    <row r="705" spans="1:8" x14ac:dyDescent="0.2">
      <c r="A705">
        <f>ROW(LineærRegression_Valg[[#This Row],[Tabel ID]])-ROW(LineærRegression_Valg[[#Headers],[Tabel ID]])</f>
        <v>695</v>
      </c>
      <c r="B705" s="45">
        <f>ROUNDDOWN((LineærRegression_Valg[[#This Row],[Tabel ID]]-1)/$B$5,0)+1</f>
        <v>174</v>
      </c>
      <c r="C705" s="45">
        <f t="shared" si="10"/>
        <v>3</v>
      </c>
      <c r="D705" s="45" t="b">
        <f>LineærRegression_Valg[[#This Row],[Afhængig variabel ID]]&lt;&gt;LineærRegression_Valg[[#This Row],[Uafhængig variabel ID]]</f>
        <v>1</v>
      </c>
      <c r="E705" t="b">
        <f>LineærRegression_Valg[[#This Row],[Afhængig variabel ID]]&lt;=$B$5</f>
        <v>0</v>
      </c>
      <c r="F705" t="str" cm="1">
        <f t="array" ref="F705">IF(LineærRegression_Valg[[#This Row],[Indenfor range]],INDEX(DataTitel_liste,LineærRegression_Valg[[#This Row],[Afhængig variabel ID]]),INDEX(DataTitel_liste,1))</f>
        <v>Eksempel 1 (interval)</v>
      </c>
      <c r="G705" s="45" t="str" cm="1">
        <f t="array" ref="G705">IF(LineærRegression_Valg[[#This Row],[Indenfor range]],IF(LineærRegression_Valg[[#This Row],[Intet overlap]],INDEX(DataTitel_liste,LineærRegression_Valg[[#This Row],[Uafhængig variabel ID]]),INDEX(DataTitel_liste,IF(LineærRegression_Valg[[#This Row],[Afhængig variabel ID]]=1,2,1))),$B$7)</f>
        <v>Eksempel 2 (interval)</v>
      </c>
      <c r="H705" s="45">
        <f>_xlfn.AGGREGATE(2,5,LineærRegression_Valg[[#This Row],[Tabel ID]])</f>
        <v>1</v>
      </c>
    </row>
    <row r="706" spans="1:8" x14ac:dyDescent="0.2">
      <c r="A706">
        <f>ROW(LineærRegression_Valg[[#This Row],[Tabel ID]])-ROW(LineærRegression_Valg[[#Headers],[Tabel ID]])</f>
        <v>696</v>
      </c>
      <c r="B706" s="45">
        <f>ROUNDDOWN((LineærRegression_Valg[[#This Row],[Tabel ID]]-1)/$B$5,0)+1</f>
        <v>174</v>
      </c>
      <c r="C706" s="45">
        <f t="shared" si="10"/>
        <v>4</v>
      </c>
      <c r="D706" s="45" t="b">
        <f>LineærRegression_Valg[[#This Row],[Afhængig variabel ID]]&lt;&gt;LineærRegression_Valg[[#This Row],[Uafhængig variabel ID]]</f>
        <v>1</v>
      </c>
      <c r="E706" t="b">
        <f>LineærRegression_Valg[[#This Row],[Afhængig variabel ID]]&lt;=$B$5</f>
        <v>0</v>
      </c>
      <c r="F706" t="str" cm="1">
        <f t="array" ref="F706">IF(LineærRegression_Valg[[#This Row],[Indenfor range]],INDEX(DataTitel_liste,LineærRegression_Valg[[#This Row],[Afhængig variabel ID]]),INDEX(DataTitel_liste,1))</f>
        <v>Eksempel 1 (interval)</v>
      </c>
      <c r="G706" s="45" t="str" cm="1">
        <f t="array" ref="G706">IF(LineærRegression_Valg[[#This Row],[Indenfor range]],IF(LineærRegression_Valg[[#This Row],[Intet overlap]],INDEX(DataTitel_liste,LineærRegression_Valg[[#This Row],[Uafhængig variabel ID]]),INDEX(DataTitel_liste,IF(LineærRegression_Valg[[#This Row],[Afhængig variabel ID]]=1,2,1))),$B$7)</f>
        <v>Eksempel 2 (interval)</v>
      </c>
      <c r="H706" s="45">
        <f>_xlfn.AGGREGATE(2,5,LineærRegression_Valg[[#This Row],[Tabel ID]])</f>
        <v>1</v>
      </c>
    </row>
    <row r="707" spans="1:8" x14ac:dyDescent="0.2">
      <c r="A707">
        <f>ROW(LineærRegression_Valg[[#This Row],[Tabel ID]])-ROW(LineærRegression_Valg[[#Headers],[Tabel ID]])</f>
        <v>697</v>
      </c>
      <c r="B707" s="45">
        <f>ROUNDDOWN((LineærRegression_Valg[[#This Row],[Tabel ID]]-1)/$B$5,0)+1</f>
        <v>175</v>
      </c>
      <c r="C707" s="45">
        <f t="shared" si="10"/>
        <v>1</v>
      </c>
      <c r="D707" s="45" t="b">
        <f>LineærRegression_Valg[[#This Row],[Afhængig variabel ID]]&lt;&gt;LineærRegression_Valg[[#This Row],[Uafhængig variabel ID]]</f>
        <v>1</v>
      </c>
      <c r="E707" t="b">
        <f>LineærRegression_Valg[[#This Row],[Afhængig variabel ID]]&lt;=$B$5</f>
        <v>0</v>
      </c>
      <c r="F707" t="str" cm="1">
        <f t="array" ref="F707">IF(LineærRegression_Valg[[#This Row],[Indenfor range]],INDEX(DataTitel_liste,LineærRegression_Valg[[#This Row],[Afhængig variabel ID]]),INDEX(DataTitel_liste,1))</f>
        <v>Eksempel 1 (interval)</v>
      </c>
      <c r="G707" s="45" t="str" cm="1">
        <f t="array" ref="G707">IF(LineærRegression_Valg[[#This Row],[Indenfor range]],IF(LineærRegression_Valg[[#This Row],[Intet overlap]],INDEX(DataTitel_liste,LineærRegression_Valg[[#This Row],[Uafhængig variabel ID]]),INDEX(DataTitel_liste,IF(LineærRegression_Valg[[#This Row],[Afhængig variabel ID]]=1,2,1))),$B$7)</f>
        <v>Eksempel 2 (interval)</v>
      </c>
      <c r="H707" s="45">
        <f>_xlfn.AGGREGATE(2,5,LineærRegression_Valg[[#This Row],[Tabel ID]])</f>
        <v>1</v>
      </c>
    </row>
    <row r="708" spans="1:8" x14ac:dyDescent="0.2">
      <c r="A708">
        <f>ROW(LineærRegression_Valg[[#This Row],[Tabel ID]])-ROW(LineærRegression_Valg[[#Headers],[Tabel ID]])</f>
        <v>698</v>
      </c>
      <c r="B708" s="45">
        <f>ROUNDDOWN((LineærRegression_Valg[[#This Row],[Tabel ID]]-1)/$B$5,0)+1</f>
        <v>175</v>
      </c>
      <c r="C708" s="45">
        <f t="shared" si="10"/>
        <v>2</v>
      </c>
      <c r="D708" s="45" t="b">
        <f>LineærRegression_Valg[[#This Row],[Afhængig variabel ID]]&lt;&gt;LineærRegression_Valg[[#This Row],[Uafhængig variabel ID]]</f>
        <v>1</v>
      </c>
      <c r="E708" t="b">
        <f>LineærRegression_Valg[[#This Row],[Afhængig variabel ID]]&lt;=$B$5</f>
        <v>0</v>
      </c>
      <c r="F708" t="str" cm="1">
        <f t="array" ref="F708">IF(LineærRegression_Valg[[#This Row],[Indenfor range]],INDEX(DataTitel_liste,LineærRegression_Valg[[#This Row],[Afhængig variabel ID]]),INDEX(DataTitel_liste,1))</f>
        <v>Eksempel 1 (interval)</v>
      </c>
      <c r="G708" s="45" t="str" cm="1">
        <f t="array" ref="G708">IF(LineærRegression_Valg[[#This Row],[Indenfor range]],IF(LineærRegression_Valg[[#This Row],[Intet overlap]],INDEX(DataTitel_liste,LineærRegression_Valg[[#This Row],[Uafhængig variabel ID]]),INDEX(DataTitel_liste,IF(LineærRegression_Valg[[#This Row],[Afhængig variabel ID]]=1,2,1))),$B$7)</f>
        <v>Eksempel 2 (interval)</v>
      </c>
      <c r="H708" s="45">
        <f>_xlfn.AGGREGATE(2,5,LineærRegression_Valg[[#This Row],[Tabel ID]])</f>
        <v>1</v>
      </c>
    </row>
    <row r="709" spans="1:8" x14ac:dyDescent="0.2">
      <c r="A709">
        <f>ROW(LineærRegression_Valg[[#This Row],[Tabel ID]])-ROW(LineærRegression_Valg[[#Headers],[Tabel ID]])</f>
        <v>699</v>
      </c>
      <c r="B709" s="45">
        <f>ROUNDDOWN((LineærRegression_Valg[[#This Row],[Tabel ID]]-1)/$B$5,0)+1</f>
        <v>175</v>
      </c>
      <c r="C709" s="45">
        <f t="shared" si="10"/>
        <v>3</v>
      </c>
      <c r="D709" s="45" t="b">
        <f>LineærRegression_Valg[[#This Row],[Afhængig variabel ID]]&lt;&gt;LineærRegression_Valg[[#This Row],[Uafhængig variabel ID]]</f>
        <v>1</v>
      </c>
      <c r="E709" t="b">
        <f>LineærRegression_Valg[[#This Row],[Afhængig variabel ID]]&lt;=$B$5</f>
        <v>0</v>
      </c>
      <c r="F709" t="str" cm="1">
        <f t="array" ref="F709">IF(LineærRegression_Valg[[#This Row],[Indenfor range]],INDEX(DataTitel_liste,LineærRegression_Valg[[#This Row],[Afhængig variabel ID]]),INDEX(DataTitel_liste,1))</f>
        <v>Eksempel 1 (interval)</v>
      </c>
      <c r="G709" s="45" t="str" cm="1">
        <f t="array" ref="G709">IF(LineærRegression_Valg[[#This Row],[Indenfor range]],IF(LineærRegression_Valg[[#This Row],[Intet overlap]],INDEX(DataTitel_liste,LineærRegression_Valg[[#This Row],[Uafhængig variabel ID]]),INDEX(DataTitel_liste,IF(LineærRegression_Valg[[#This Row],[Afhængig variabel ID]]=1,2,1))),$B$7)</f>
        <v>Eksempel 2 (interval)</v>
      </c>
      <c r="H709" s="45">
        <f>_xlfn.AGGREGATE(2,5,LineærRegression_Valg[[#This Row],[Tabel ID]])</f>
        <v>1</v>
      </c>
    </row>
    <row r="710" spans="1:8" x14ac:dyDescent="0.2">
      <c r="A710">
        <f>ROW(LineærRegression_Valg[[#This Row],[Tabel ID]])-ROW(LineærRegression_Valg[[#Headers],[Tabel ID]])</f>
        <v>700</v>
      </c>
      <c r="B710" s="45">
        <f>ROUNDDOWN((LineærRegression_Valg[[#This Row],[Tabel ID]]-1)/$B$5,0)+1</f>
        <v>175</v>
      </c>
      <c r="C710" s="45">
        <f t="shared" si="10"/>
        <v>4</v>
      </c>
      <c r="D710" s="45" t="b">
        <f>LineærRegression_Valg[[#This Row],[Afhængig variabel ID]]&lt;&gt;LineærRegression_Valg[[#This Row],[Uafhængig variabel ID]]</f>
        <v>1</v>
      </c>
      <c r="E710" t="b">
        <f>LineærRegression_Valg[[#This Row],[Afhængig variabel ID]]&lt;=$B$5</f>
        <v>0</v>
      </c>
      <c r="F710" t="str" cm="1">
        <f t="array" ref="F710">IF(LineærRegression_Valg[[#This Row],[Indenfor range]],INDEX(DataTitel_liste,LineærRegression_Valg[[#This Row],[Afhængig variabel ID]]),INDEX(DataTitel_liste,1))</f>
        <v>Eksempel 1 (interval)</v>
      </c>
      <c r="G710" s="45" t="str" cm="1">
        <f t="array" ref="G710">IF(LineærRegression_Valg[[#This Row],[Indenfor range]],IF(LineærRegression_Valg[[#This Row],[Intet overlap]],INDEX(DataTitel_liste,LineærRegression_Valg[[#This Row],[Uafhængig variabel ID]]),INDEX(DataTitel_liste,IF(LineærRegression_Valg[[#This Row],[Afhængig variabel ID]]=1,2,1))),$B$7)</f>
        <v>Eksempel 2 (interval)</v>
      </c>
      <c r="H710" s="45">
        <f>_xlfn.AGGREGATE(2,5,LineærRegression_Valg[[#This Row],[Tabel ID]])</f>
        <v>1</v>
      </c>
    </row>
    <row r="711" spans="1:8" x14ac:dyDescent="0.2">
      <c r="A711">
        <f>ROW(LineærRegression_Valg[[#This Row],[Tabel ID]])-ROW(LineærRegression_Valg[[#Headers],[Tabel ID]])</f>
        <v>701</v>
      </c>
      <c r="B711" s="45">
        <f>ROUNDDOWN((LineærRegression_Valg[[#This Row],[Tabel ID]]-1)/$B$5,0)+1</f>
        <v>176</v>
      </c>
      <c r="C711" s="45">
        <f t="shared" si="10"/>
        <v>1</v>
      </c>
      <c r="D711" s="45" t="b">
        <f>LineærRegression_Valg[[#This Row],[Afhængig variabel ID]]&lt;&gt;LineærRegression_Valg[[#This Row],[Uafhængig variabel ID]]</f>
        <v>1</v>
      </c>
      <c r="E711" t="b">
        <f>LineærRegression_Valg[[#This Row],[Afhængig variabel ID]]&lt;=$B$5</f>
        <v>0</v>
      </c>
      <c r="F711" t="str" cm="1">
        <f t="array" ref="F711">IF(LineærRegression_Valg[[#This Row],[Indenfor range]],INDEX(DataTitel_liste,LineærRegression_Valg[[#This Row],[Afhængig variabel ID]]),INDEX(DataTitel_liste,1))</f>
        <v>Eksempel 1 (interval)</v>
      </c>
      <c r="G711" s="45" t="str" cm="1">
        <f t="array" ref="G711">IF(LineærRegression_Valg[[#This Row],[Indenfor range]],IF(LineærRegression_Valg[[#This Row],[Intet overlap]],INDEX(DataTitel_liste,LineærRegression_Valg[[#This Row],[Uafhængig variabel ID]]),INDEX(DataTitel_liste,IF(LineærRegression_Valg[[#This Row],[Afhængig variabel ID]]=1,2,1))),$B$7)</f>
        <v>Eksempel 2 (interval)</v>
      </c>
      <c r="H711" s="45">
        <f>_xlfn.AGGREGATE(2,5,LineærRegression_Valg[[#This Row],[Tabel ID]])</f>
        <v>1</v>
      </c>
    </row>
    <row r="712" spans="1:8" x14ac:dyDescent="0.2">
      <c r="A712">
        <f>ROW(LineærRegression_Valg[[#This Row],[Tabel ID]])-ROW(LineærRegression_Valg[[#Headers],[Tabel ID]])</f>
        <v>702</v>
      </c>
      <c r="B712" s="45">
        <f>ROUNDDOWN((LineærRegression_Valg[[#This Row],[Tabel ID]]-1)/$B$5,0)+1</f>
        <v>176</v>
      </c>
      <c r="C712" s="45">
        <f t="shared" si="10"/>
        <v>2</v>
      </c>
      <c r="D712" s="45" t="b">
        <f>LineærRegression_Valg[[#This Row],[Afhængig variabel ID]]&lt;&gt;LineærRegression_Valg[[#This Row],[Uafhængig variabel ID]]</f>
        <v>1</v>
      </c>
      <c r="E712" t="b">
        <f>LineærRegression_Valg[[#This Row],[Afhængig variabel ID]]&lt;=$B$5</f>
        <v>0</v>
      </c>
      <c r="F712" t="str" cm="1">
        <f t="array" ref="F712">IF(LineærRegression_Valg[[#This Row],[Indenfor range]],INDEX(DataTitel_liste,LineærRegression_Valg[[#This Row],[Afhængig variabel ID]]),INDEX(DataTitel_liste,1))</f>
        <v>Eksempel 1 (interval)</v>
      </c>
      <c r="G712" s="45" t="str" cm="1">
        <f t="array" ref="G712">IF(LineærRegression_Valg[[#This Row],[Indenfor range]],IF(LineærRegression_Valg[[#This Row],[Intet overlap]],INDEX(DataTitel_liste,LineærRegression_Valg[[#This Row],[Uafhængig variabel ID]]),INDEX(DataTitel_liste,IF(LineærRegression_Valg[[#This Row],[Afhængig variabel ID]]=1,2,1))),$B$7)</f>
        <v>Eksempel 2 (interval)</v>
      </c>
      <c r="H712" s="45">
        <f>_xlfn.AGGREGATE(2,5,LineærRegression_Valg[[#This Row],[Tabel ID]])</f>
        <v>1</v>
      </c>
    </row>
    <row r="713" spans="1:8" x14ac:dyDescent="0.2">
      <c r="A713">
        <f>ROW(LineærRegression_Valg[[#This Row],[Tabel ID]])-ROW(LineærRegression_Valg[[#Headers],[Tabel ID]])</f>
        <v>703</v>
      </c>
      <c r="B713" s="45">
        <f>ROUNDDOWN((LineærRegression_Valg[[#This Row],[Tabel ID]]-1)/$B$5,0)+1</f>
        <v>176</v>
      </c>
      <c r="C713" s="45">
        <f t="shared" si="10"/>
        <v>3</v>
      </c>
      <c r="D713" s="45" t="b">
        <f>LineærRegression_Valg[[#This Row],[Afhængig variabel ID]]&lt;&gt;LineærRegression_Valg[[#This Row],[Uafhængig variabel ID]]</f>
        <v>1</v>
      </c>
      <c r="E713" t="b">
        <f>LineærRegression_Valg[[#This Row],[Afhængig variabel ID]]&lt;=$B$5</f>
        <v>0</v>
      </c>
      <c r="F713" t="str" cm="1">
        <f t="array" ref="F713">IF(LineærRegression_Valg[[#This Row],[Indenfor range]],INDEX(DataTitel_liste,LineærRegression_Valg[[#This Row],[Afhængig variabel ID]]),INDEX(DataTitel_liste,1))</f>
        <v>Eksempel 1 (interval)</v>
      </c>
      <c r="G713" s="45" t="str" cm="1">
        <f t="array" ref="G713">IF(LineærRegression_Valg[[#This Row],[Indenfor range]],IF(LineærRegression_Valg[[#This Row],[Intet overlap]],INDEX(DataTitel_liste,LineærRegression_Valg[[#This Row],[Uafhængig variabel ID]]),INDEX(DataTitel_liste,IF(LineærRegression_Valg[[#This Row],[Afhængig variabel ID]]=1,2,1))),$B$7)</f>
        <v>Eksempel 2 (interval)</v>
      </c>
      <c r="H713" s="45">
        <f>_xlfn.AGGREGATE(2,5,LineærRegression_Valg[[#This Row],[Tabel ID]])</f>
        <v>1</v>
      </c>
    </row>
    <row r="714" spans="1:8" x14ac:dyDescent="0.2">
      <c r="A714">
        <f>ROW(LineærRegression_Valg[[#This Row],[Tabel ID]])-ROW(LineærRegression_Valg[[#Headers],[Tabel ID]])</f>
        <v>704</v>
      </c>
      <c r="B714" s="45">
        <f>ROUNDDOWN((LineærRegression_Valg[[#This Row],[Tabel ID]]-1)/$B$5,0)+1</f>
        <v>176</v>
      </c>
      <c r="C714" s="45">
        <f t="shared" si="10"/>
        <v>4</v>
      </c>
      <c r="D714" s="45" t="b">
        <f>LineærRegression_Valg[[#This Row],[Afhængig variabel ID]]&lt;&gt;LineærRegression_Valg[[#This Row],[Uafhængig variabel ID]]</f>
        <v>1</v>
      </c>
      <c r="E714" t="b">
        <f>LineærRegression_Valg[[#This Row],[Afhængig variabel ID]]&lt;=$B$5</f>
        <v>0</v>
      </c>
      <c r="F714" t="str" cm="1">
        <f t="array" ref="F714">IF(LineærRegression_Valg[[#This Row],[Indenfor range]],INDEX(DataTitel_liste,LineærRegression_Valg[[#This Row],[Afhængig variabel ID]]),INDEX(DataTitel_liste,1))</f>
        <v>Eksempel 1 (interval)</v>
      </c>
      <c r="G714" s="45" t="str" cm="1">
        <f t="array" ref="G714">IF(LineærRegression_Valg[[#This Row],[Indenfor range]],IF(LineærRegression_Valg[[#This Row],[Intet overlap]],INDEX(DataTitel_liste,LineærRegression_Valg[[#This Row],[Uafhængig variabel ID]]),INDEX(DataTitel_liste,IF(LineærRegression_Valg[[#This Row],[Afhængig variabel ID]]=1,2,1))),$B$7)</f>
        <v>Eksempel 2 (interval)</v>
      </c>
      <c r="H714" s="45">
        <f>_xlfn.AGGREGATE(2,5,LineærRegression_Valg[[#This Row],[Tabel ID]])</f>
        <v>1</v>
      </c>
    </row>
    <row r="715" spans="1:8" x14ac:dyDescent="0.2">
      <c r="A715">
        <f>ROW(LineærRegression_Valg[[#This Row],[Tabel ID]])-ROW(LineærRegression_Valg[[#Headers],[Tabel ID]])</f>
        <v>705</v>
      </c>
      <c r="B715" s="45">
        <f>ROUNDDOWN((LineærRegression_Valg[[#This Row],[Tabel ID]]-1)/$B$5,0)+1</f>
        <v>177</v>
      </c>
      <c r="C715" s="45">
        <f t="shared" ref="C715:C778" si="11">MOD(A715-1,$B$5)+1</f>
        <v>1</v>
      </c>
      <c r="D715" s="45" t="b">
        <f>LineærRegression_Valg[[#This Row],[Afhængig variabel ID]]&lt;&gt;LineærRegression_Valg[[#This Row],[Uafhængig variabel ID]]</f>
        <v>1</v>
      </c>
      <c r="E715" t="b">
        <f>LineærRegression_Valg[[#This Row],[Afhængig variabel ID]]&lt;=$B$5</f>
        <v>0</v>
      </c>
      <c r="F715" t="str" cm="1">
        <f t="array" ref="F715">IF(LineærRegression_Valg[[#This Row],[Indenfor range]],INDEX(DataTitel_liste,LineærRegression_Valg[[#This Row],[Afhængig variabel ID]]),INDEX(DataTitel_liste,1))</f>
        <v>Eksempel 1 (interval)</v>
      </c>
      <c r="G715" s="45" t="str" cm="1">
        <f t="array" ref="G715">IF(LineærRegression_Valg[[#This Row],[Indenfor range]],IF(LineærRegression_Valg[[#This Row],[Intet overlap]],INDEX(DataTitel_liste,LineærRegression_Valg[[#This Row],[Uafhængig variabel ID]]),INDEX(DataTitel_liste,IF(LineærRegression_Valg[[#This Row],[Afhængig variabel ID]]=1,2,1))),$B$7)</f>
        <v>Eksempel 2 (interval)</v>
      </c>
      <c r="H715" s="45">
        <f>_xlfn.AGGREGATE(2,5,LineærRegression_Valg[[#This Row],[Tabel ID]])</f>
        <v>1</v>
      </c>
    </row>
    <row r="716" spans="1:8" x14ac:dyDescent="0.2">
      <c r="A716">
        <f>ROW(LineærRegression_Valg[[#This Row],[Tabel ID]])-ROW(LineærRegression_Valg[[#Headers],[Tabel ID]])</f>
        <v>706</v>
      </c>
      <c r="B716" s="45">
        <f>ROUNDDOWN((LineærRegression_Valg[[#This Row],[Tabel ID]]-1)/$B$5,0)+1</f>
        <v>177</v>
      </c>
      <c r="C716" s="45">
        <f t="shared" si="11"/>
        <v>2</v>
      </c>
      <c r="D716" s="45" t="b">
        <f>LineærRegression_Valg[[#This Row],[Afhængig variabel ID]]&lt;&gt;LineærRegression_Valg[[#This Row],[Uafhængig variabel ID]]</f>
        <v>1</v>
      </c>
      <c r="E716" t="b">
        <f>LineærRegression_Valg[[#This Row],[Afhængig variabel ID]]&lt;=$B$5</f>
        <v>0</v>
      </c>
      <c r="F716" t="str" cm="1">
        <f t="array" ref="F716">IF(LineærRegression_Valg[[#This Row],[Indenfor range]],INDEX(DataTitel_liste,LineærRegression_Valg[[#This Row],[Afhængig variabel ID]]),INDEX(DataTitel_liste,1))</f>
        <v>Eksempel 1 (interval)</v>
      </c>
      <c r="G716" s="45" t="str" cm="1">
        <f t="array" ref="G716">IF(LineærRegression_Valg[[#This Row],[Indenfor range]],IF(LineærRegression_Valg[[#This Row],[Intet overlap]],INDEX(DataTitel_liste,LineærRegression_Valg[[#This Row],[Uafhængig variabel ID]]),INDEX(DataTitel_liste,IF(LineærRegression_Valg[[#This Row],[Afhængig variabel ID]]=1,2,1))),$B$7)</f>
        <v>Eksempel 2 (interval)</v>
      </c>
      <c r="H716" s="45">
        <f>_xlfn.AGGREGATE(2,5,LineærRegression_Valg[[#This Row],[Tabel ID]])</f>
        <v>1</v>
      </c>
    </row>
    <row r="717" spans="1:8" x14ac:dyDescent="0.2">
      <c r="A717">
        <f>ROW(LineærRegression_Valg[[#This Row],[Tabel ID]])-ROW(LineærRegression_Valg[[#Headers],[Tabel ID]])</f>
        <v>707</v>
      </c>
      <c r="B717" s="45">
        <f>ROUNDDOWN((LineærRegression_Valg[[#This Row],[Tabel ID]]-1)/$B$5,0)+1</f>
        <v>177</v>
      </c>
      <c r="C717" s="45">
        <f t="shared" si="11"/>
        <v>3</v>
      </c>
      <c r="D717" s="45" t="b">
        <f>LineærRegression_Valg[[#This Row],[Afhængig variabel ID]]&lt;&gt;LineærRegression_Valg[[#This Row],[Uafhængig variabel ID]]</f>
        <v>1</v>
      </c>
      <c r="E717" t="b">
        <f>LineærRegression_Valg[[#This Row],[Afhængig variabel ID]]&lt;=$B$5</f>
        <v>0</v>
      </c>
      <c r="F717" t="str" cm="1">
        <f t="array" ref="F717">IF(LineærRegression_Valg[[#This Row],[Indenfor range]],INDEX(DataTitel_liste,LineærRegression_Valg[[#This Row],[Afhængig variabel ID]]),INDEX(DataTitel_liste,1))</f>
        <v>Eksempel 1 (interval)</v>
      </c>
      <c r="G717" s="45" t="str" cm="1">
        <f t="array" ref="G717">IF(LineærRegression_Valg[[#This Row],[Indenfor range]],IF(LineærRegression_Valg[[#This Row],[Intet overlap]],INDEX(DataTitel_liste,LineærRegression_Valg[[#This Row],[Uafhængig variabel ID]]),INDEX(DataTitel_liste,IF(LineærRegression_Valg[[#This Row],[Afhængig variabel ID]]=1,2,1))),$B$7)</f>
        <v>Eksempel 2 (interval)</v>
      </c>
      <c r="H717" s="45">
        <f>_xlfn.AGGREGATE(2,5,LineærRegression_Valg[[#This Row],[Tabel ID]])</f>
        <v>1</v>
      </c>
    </row>
    <row r="718" spans="1:8" x14ac:dyDescent="0.2">
      <c r="A718">
        <f>ROW(LineærRegression_Valg[[#This Row],[Tabel ID]])-ROW(LineærRegression_Valg[[#Headers],[Tabel ID]])</f>
        <v>708</v>
      </c>
      <c r="B718" s="45">
        <f>ROUNDDOWN((LineærRegression_Valg[[#This Row],[Tabel ID]]-1)/$B$5,0)+1</f>
        <v>177</v>
      </c>
      <c r="C718" s="45">
        <f t="shared" si="11"/>
        <v>4</v>
      </c>
      <c r="D718" s="45" t="b">
        <f>LineærRegression_Valg[[#This Row],[Afhængig variabel ID]]&lt;&gt;LineærRegression_Valg[[#This Row],[Uafhængig variabel ID]]</f>
        <v>1</v>
      </c>
      <c r="E718" t="b">
        <f>LineærRegression_Valg[[#This Row],[Afhængig variabel ID]]&lt;=$B$5</f>
        <v>0</v>
      </c>
      <c r="F718" t="str" cm="1">
        <f t="array" ref="F718">IF(LineærRegression_Valg[[#This Row],[Indenfor range]],INDEX(DataTitel_liste,LineærRegression_Valg[[#This Row],[Afhængig variabel ID]]),INDEX(DataTitel_liste,1))</f>
        <v>Eksempel 1 (interval)</v>
      </c>
      <c r="G718" s="45" t="str" cm="1">
        <f t="array" ref="G718">IF(LineærRegression_Valg[[#This Row],[Indenfor range]],IF(LineærRegression_Valg[[#This Row],[Intet overlap]],INDEX(DataTitel_liste,LineærRegression_Valg[[#This Row],[Uafhængig variabel ID]]),INDEX(DataTitel_liste,IF(LineærRegression_Valg[[#This Row],[Afhængig variabel ID]]=1,2,1))),$B$7)</f>
        <v>Eksempel 2 (interval)</v>
      </c>
      <c r="H718" s="45">
        <f>_xlfn.AGGREGATE(2,5,LineærRegression_Valg[[#This Row],[Tabel ID]])</f>
        <v>1</v>
      </c>
    </row>
    <row r="719" spans="1:8" x14ac:dyDescent="0.2">
      <c r="A719">
        <f>ROW(LineærRegression_Valg[[#This Row],[Tabel ID]])-ROW(LineærRegression_Valg[[#Headers],[Tabel ID]])</f>
        <v>709</v>
      </c>
      <c r="B719" s="45">
        <f>ROUNDDOWN((LineærRegression_Valg[[#This Row],[Tabel ID]]-1)/$B$5,0)+1</f>
        <v>178</v>
      </c>
      <c r="C719" s="45">
        <f t="shared" si="11"/>
        <v>1</v>
      </c>
      <c r="D719" s="45" t="b">
        <f>LineærRegression_Valg[[#This Row],[Afhængig variabel ID]]&lt;&gt;LineærRegression_Valg[[#This Row],[Uafhængig variabel ID]]</f>
        <v>1</v>
      </c>
      <c r="E719" t="b">
        <f>LineærRegression_Valg[[#This Row],[Afhængig variabel ID]]&lt;=$B$5</f>
        <v>0</v>
      </c>
      <c r="F719" t="str" cm="1">
        <f t="array" ref="F719">IF(LineærRegression_Valg[[#This Row],[Indenfor range]],INDEX(DataTitel_liste,LineærRegression_Valg[[#This Row],[Afhængig variabel ID]]),INDEX(DataTitel_liste,1))</f>
        <v>Eksempel 1 (interval)</v>
      </c>
      <c r="G719" s="45" t="str" cm="1">
        <f t="array" ref="G719">IF(LineærRegression_Valg[[#This Row],[Indenfor range]],IF(LineærRegression_Valg[[#This Row],[Intet overlap]],INDEX(DataTitel_liste,LineærRegression_Valg[[#This Row],[Uafhængig variabel ID]]),INDEX(DataTitel_liste,IF(LineærRegression_Valg[[#This Row],[Afhængig variabel ID]]=1,2,1))),$B$7)</f>
        <v>Eksempel 2 (interval)</v>
      </c>
      <c r="H719" s="45">
        <f>_xlfn.AGGREGATE(2,5,LineærRegression_Valg[[#This Row],[Tabel ID]])</f>
        <v>1</v>
      </c>
    </row>
    <row r="720" spans="1:8" x14ac:dyDescent="0.2">
      <c r="A720">
        <f>ROW(LineærRegression_Valg[[#This Row],[Tabel ID]])-ROW(LineærRegression_Valg[[#Headers],[Tabel ID]])</f>
        <v>710</v>
      </c>
      <c r="B720" s="45">
        <f>ROUNDDOWN((LineærRegression_Valg[[#This Row],[Tabel ID]]-1)/$B$5,0)+1</f>
        <v>178</v>
      </c>
      <c r="C720" s="45">
        <f t="shared" si="11"/>
        <v>2</v>
      </c>
      <c r="D720" s="45" t="b">
        <f>LineærRegression_Valg[[#This Row],[Afhængig variabel ID]]&lt;&gt;LineærRegression_Valg[[#This Row],[Uafhængig variabel ID]]</f>
        <v>1</v>
      </c>
      <c r="E720" t="b">
        <f>LineærRegression_Valg[[#This Row],[Afhængig variabel ID]]&lt;=$B$5</f>
        <v>0</v>
      </c>
      <c r="F720" t="str" cm="1">
        <f t="array" ref="F720">IF(LineærRegression_Valg[[#This Row],[Indenfor range]],INDEX(DataTitel_liste,LineærRegression_Valg[[#This Row],[Afhængig variabel ID]]),INDEX(DataTitel_liste,1))</f>
        <v>Eksempel 1 (interval)</v>
      </c>
      <c r="G720" s="45" t="str" cm="1">
        <f t="array" ref="G720">IF(LineærRegression_Valg[[#This Row],[Indenfor range]],IF(LineærRegression_Valg[[#This Row],[Intet overlap]],INDEX(DataTitel_liste,LineærRegression_Valg[[#This Row],[Uafhængig variabel ID]]),INDEX(DataTitel_liste,IF(LineærRegression_Valg[[#This Row],[Afhængig variabel ID]]=1,2,1))),$B$7)</f>
        <v>Eksempel 2 (interval)</v>
      </c>
      <c r="H720" s="45">
        <f>_xlfn.AGGREGATE(2,5,LineærRegression_Valg[[#This Row],[Tabel ID]])</f>
        <v>1</v>
      </c>
    </row>
    <row r="721" spans="1:8" x14ac:dyDescent="0.2">
      <c r="A721">
        <f>ROW(LineærRegression_Valg[[#This Row],[Tabel ID]])-ROW(LineærRegression_Valg[[#Headers],[Tabel ID]])</f>
        <v>711</v>
      </c>
      <c r="B721" s="45">
        <f>ROUNDDOWN((LineærRegression_Valg[[#This Row],[Tabel ID]]-1)/$B$5,0)+1</f>
        <v>178</v>
      </c>
      <c r="C721" s="45">
        <f t="shared" si="11"/>
        <v>3</v>
      </c>
      <c r="D721" s="45" t="b">
        <f>LineærRegression_Valg[[#This Row],[Afhængig variabel ID]]&lt;&gt;LineærRegression_Valg[[#This Row],[Uafhængig variabel ID]]</f>
        <v>1</v>
      </c>
      <c r="E721" t="b">
        <f>LineærRegression_Valg[[#This Row],[Afhængig variabel ID]]&lt;=$B$5</f>
        <v>0</v>
      </c>
      <c r="F721" t="str" cm="1">
        <f t="array" ref="F721">IF(LineærRegression_Valg[[#This Row],[Indenfor range]],INDEX(DataTitel_liste,LineærRegression_Valg[[#This Row],[Afhængig variabel ID]]),INDEX(DataTitel_liste,1))</f>
        <v>Eksempel 1 (interval)</v>
      </c>
      <c r="G721" s="45" t="str" cm="1">
        <f t="array" ref="G721">IF(LineærRegression_Valg[[#This Row],[Indenfor range]],IF(LineærRegression_Valg[[#This Row],[Intet overlap]],INDEX(DataTitel_liste,LineærRegression_Valg[[#This Row],[Uafhængig variabel ID]]),INDEX(DataTitel_liste,IF(LineærRegression_Valg[[#This Row],[Afhængig variabel ID]]=1,2,1))),$B$7)</f>
        <v>Eksempel 2 (interval)</v>
      </c>
      <c r="H721" s="45">
        <f>_xlfn.AGGREGATE(2,5,LineærRegression_Valg[[#This Row],[Tabel ID]])</f>
        <v>1</v>
      </c>
    </row>
    <row r="722" spans="1:8" x14ac:dyDescent="0.2">
      <c r="A722">
        <f>ROW(LineærRegression_Valg[[#This Row],[Tabel ID]])-ROW(LineærRegression_Valg[[#Headers],[Tabel ID]])</f>
        <v>712</v>
      </c>
      <c r="B722" s="45">
        <f>ROUNDDOWN((LineærRegression_Valg[[#This Row],[Tabel ID]]-1)/$B$5,0)+1</f>
        <v>178</v>
      </c>
      <c r="C722" s="45">
        <f t="shared" si="11"/>
        <v>4</v>
      </c>
      <c r="D722" s="45" t="b">
        <f>LineærRegression_Valg[[#This Row],[Afhængig variabel ID]]&lt;&gt;LineærRegression_Valg[[#This Row],[Uafhængig variabel ID]]</f>
        <v>1</v>
      </c>
      <c r="E722" t="b">
        <f>LineærRegression_Valg[[#This Row],[Afhængig variabel ID]]&lt;=$B$5</f>
        <v>0</v>
      </c>
      <c r="F722" t="str" cm="1">
        <f t="array" ref="F722">IF(LineærRegression_Valg[[#This Row],[Indenfor range]],INDEX(DataTitel_liste,LineærRegression_Valg[[#This Row],[Afhængig variabel ID]]),INDEX(DataTitel_liste,1))</f>
        <v>Eksempel 1 (interval)</v>
      </c>
      <c r="G722" s="45" t="str" cm="1">
        <f t="array" ref="G722">IF(LineærRegression_Valg[[#This Row],[Indenfor range]],IF(LineærRegression_Valg[[#This Row],[Intet overlap]],INDEX(DataTitel_liste,LineærRegression_Valg[[#This Row],[Uafhængig variabel ID]]),INDEX(DataTitel_liste,IF(LineærRegression_Valg[[#This Row],[Afhængig variabel ID]]=1,2,1))),$B$7)</f>
        <v>Eksempel 2 (interval)</v>
      </c>
      <c r="H722" s="45">
        <f>_xlfn.AGGREGATE(2,5,LineærRegression_Valg[[#This Row],[Tabel ID]])</f>
        <v>1</v>
      </c>
    </row>
    <row r="723" spans="1:8" x14ac:dyDescent="0.2">
      <c r="A723">
        <f>ROW(LineærRegression_Valg[[#This Row],[Tabel ID]])-ROW(LineærRegression_Valg[[#Headers],[Tabel ID]])</f>
        <v>713</v>
      </c>
      <c r="B723" s="45">
        <f>ROUNDDOWN((LineærRegression_Valg[[#This Row],[Tabel ID]]-1)/$B$5,0)+1</f>
        <v>179</v>
      </c>
      <c r="C723" s="45">
        <f t="shared" si="11"/>
        <v>1</v>
      </c>
      <c r="D723" s="45" t="b">
        <f>LineærRegression_Valg[[#This Row],[Afhængig variabel ID]]&lt;&gt;LineærRegression_Valg[[#This Row],[Uafhængig variabel ID]]</f>
        <v>1</v>
      </c>
      <c r="E723" t="b">
        <f>LineærRegression_Valg[[#This Row],[Afhængig variabel ID]]&lt;=$B$5</f>
        <v>0</v>
      </c>
      <c r="F723" t="str" cm="1">
        <f t="array" ref="F723">IF(LineærRegression_Valg[[#This Row],[Indenfor range]],INDEX(DataTitel_liste,LineærRegression_Valg[[#This Row],[Afhængig variabel ID]]),INDEX(DataTitel_liste,1))</f>
        <v>Eksempel 1 (interval)</v>
      </c>
      <c r="G723" s="45" t="str" cm="1">
        <f t="array" ref="G723">IF(LineærRegression_Valg[[#This Row],[Indenfor range]],IF(LineærRegression_Valg[[#This Row],[Intet overlap]],INDEX(DataTitel_liste,LineærRegression_Valg[[#This Row],[Uafhængig variabel ID]]),INDEX(DataTitel_liste,IF(LineærRegression_Valg[[#This Row],[Afhængig variabel ID]]=1,2,1))),$B$7)</f>
        <v>Eksempel 2 (interval)</v>
      </c>
      <c r="H723" s="45">
        <f>_xlfn.AGGREGATE(2,5,LineærRegression_Valg[[#This Row],[Tabel ID]])</f>
        <v>1</v>
      </c>
    </row>
    <row r="724" spans="1:8" x14ac:dyDescent="0.2">
      <c r="A724">
        <f>ROW(LineærRegression_Valg[[#This Row],[Tabel ID]])-ROW(LineærRegression_Valg[[#Headers],[Tabel ID]])</f>
        <v>714</v>
      </c>
      <c r="B724" s="45">
        <f>ROUNDDOWN((LineærRegression_Valg[[#This Row],[Tabel ID]]-1)/$B$5,0)+1</f>
        <v>179</v>
      </c>
      <c r="C724" s="45">
        <f t="shared" si="11"/>
        <v>2</v>
      </c>
      <c r="D724" s="45" t="b">
        <f>LineærRegression_Valg[[#This Row],[Afhængig variabel ID]]&lt;&gt;LineærRegression_Valg[[#This Row],[Uafhængig variabel ID]]</f>
        <v>1</v>
      </c>
      <c r="E724" t="b">
        <f>LineærRegression_Valg[[#This Row],[Afhængig variabel ID]]&lt;=$B$5</f>
        <v>0</v>
      </c>
      <c r="F724" t="str" cm="1">
        <f t="array" ref="F724">IF(LineærRegression_Valg[[#This Row],[Indenfor range]],INDEX(DataTitel_liste,LineærRegression_Valg[[#This Row],[Afhængig variabel ID]]),INDEX(DataTitel_liste,1))</f>
        <v>Eksempel 1 (interval)</v>
      </c>
      <c r="G724" s="45" t="str" cm="1">
        <f t="array" ref="G724">IF(LineærRegression_Valg[[#This Row],[Indenfor range]],IF(LineærRegression_Valg[[#This Row],[Intet overlap]],INDEX(DataTitel_liste,LineærRegression_Valg[[#This Row],[Uafhængig variabel ID]]),INDEX(DataTitel_liste,IF(LineærRegression_Valg[[#This Row],[Afhængig variabel ID]]=1,2,1))),$B$7)</f>
        <v>Eksempel 2 (interval)</v>
      </c>
      <c r="H724" s="45">
        <f>_xlfn.AGGREGATE(2,5,LineærRegression_Valg[[#This Row],[Tabel ID]])</f>
        <v>1</v>
      </c>
    </row>
    <row r="725" spans="1:8" x14ac:dyDescent="0.2">
      <c r="A725">
        <f>ROW(LineærRegression_Valg[[#This Row],[Tabel ID]])-ROW(LineærRegression_Valg[[#Headers],[Tabel ID]])</f>
        <v>715</v>
      </c>
      <c r="B725" s="45">
        <f>ROUNDDOWN((LineærRegression_Valg[[#This Row],[Tabel ID]]-1)/$B$5,0)+1</f>
        <v>179</v>
      </c>
      <c r="C725" s="45">
        <f t="shared" si="11"/>
        <v>3</v>
      </c>
      <c r="D725" s="45" t="b">
        <f>LineærRegression_Valg[[#This Row],[Afhængig variabel ID]]&lt;&gt;LineærRegression_Valg[[#This Row],[Uafhængig variabel ID]]</f>
        <v>1</v>
      </c>
      <c r="E725" t="b">
        <f>LineærRegression_Valg[[#This Row],[Afhængig variabel ID]]&lt;=$B$5</f>
        <v>0</v>
      </c>
      <c r="F725" t="str" cm="1">
        <f t="array" ref="F725">IF(LineærRegression_Valg[[#This Row],[Indenfor range]],INDEX(DataTitel_liste,LineærRegression_Valg[[#This Row],[Afhængig variabel ID]]),INDEX(DataTitel_liste,1))</f>
        <v>Eksempel 1 (interval)</v>
      </c>
      <c r="G725" s="45" t="str" cm="1">
        <f t="array" ref="G725">IF(LineærRegression_Valg[[#This Row],[Indenfor range]],IF(LineærRegression_Valg[[#This Row],[Intet overlap]],INDEX(DataTitel_liste,LineærRegression_Valg[[#This Row],[Uafhængig variabel ID]]),INDEX(DataTitel_liste,IF(LineærRegression_Valg[[#This Row],[Afhængig variabel ID]]=1,2,1))),$B$7)</f>
        <v>Eksempel 2 (interval)</v>
      </c>
      <c r="H725" s="45">
        <f>_xlfn.AGGREGATE(2,5,LineærRegression_Valg[[#This Row],[Tabel ID]])</f>
        <v>1</v>
      </c>
    </row>
    <row r="726" spans="1:8" x14ac:dyDescent="0.2">
      <c r="A726">
        <f>ROW(LineærRegression_Valg[[#This Row],[Tabel ID]])-ROW(LineærRegression_Valg[[#Headers],[Tabel ID]])</f>
        <v>716</v>
      </c>
      <c r="B726" s="45">
        <f>ROUNDDOWN((LineærRegression_Valg[[#This Row],[Tabel ID]]-1)/$B$5,0)+1</f>
        <v>179</v>
      </c>
      <c r="C726" s="45">
        <f t="shared" si="11"/>
        <v>4</v>
      </c>
      <c r="D726" s="45" t="b">
        <f>LineærRegression_Valg[[#This Row],[Afhængig variabel ID]]&lt;&gt;LineærRegression_Valg[[#This Row],[Uafhængig variabel ID]]</f>
        <v>1</v>
      </c>
      <c r="E726" t="b">
        <f>LineærRegression_Valg[[#This Row],[Afhængig variabel ID]]&lt;=$B$5</f>
        <v>0</v>
      </c>
      <c r="F726" t="str" cm="1">
        <f t="array" ref="F726">IF(LineærRegression_Valg[[#This Row],[Indenfor range]],INDEX(DataTitel_liste,LineærRegression_Valg[[#This Row],[Afhængig variabel ID]]),INDEX(DataTitel_liste,1))</f>
        <v>Eksempel 1 (interval)</v>
      </c>
      <c r="G726" s="45" t="str" cm="1">
        <f t="array" ref="G726">IF(LineærRegression_Valg[[#This Row],[Indenfor range]],IF(LineærRegression_Valg[[#This Row],[Intet overlap]],INDEX(DataTitel_liste,LineærRegression_Valg[[#This Row],[Uafhængig variabel ID]]),INDEX(DataTitel_liste,IF(LineærRegression_Valg[[#This Row],[Afhængig variabel ID]]=1,2,1))),$B$7)</f>
        <v>Eksempel 2 (interval)</v>
      </c>
      <c r="H726" s="45">
        <f>_xlfn.AGGREGATE(2,5,LineærRegression_Valg[[#This Row],[Tabel ID]])</f>
        <v>1</v>
      </c>
    </row>
    <row r="727" spans="1:8" x14ac:dyDescent="0.2">
      <c r="A727">
        <f>ROW(LineærRegression_Valg[[#This Row],[Tabel ID]])-ROW(LineærRegression_Valg[[#Headers],[Tabel ID]])</f>
        <v>717</v>
      </c>
      <c r="B727" s="45">
        <f>ROUNDDOWN((LineærRegression_Valg[[#This Row],[Tabel ID]]-1)/$B$5,0)+1</f>
        <v>180</v>
      </c>
      <c r="C727" s="45">
        <f t="shared" si="11"/>
        <v>1</v>
      </c>
      <c r="D727" s="45" t="b">
        <f>LineærRegression_Valg[[#This Row],[Afhængig variabel ID]]&lt;&gt;LineærRegression_Valg[[#This Row],[Uafhængig variabel ID]]</f>
        <v>1</v>
      </c>
      <c r="E727" t="b">
        <f>LineærRegression_Valg[[#This Row],[Afhængig variabel ID]]&lt;=$B$5</f>
        <v>0</v>
      </c>
      <c r="F727" t="str" cm="1">
        <f t="array" ref="F727">IF(LineærRegression_Valg[[#This Row],[Indenfor range]],INDEX(DataTitel_liste,LineærRegression_Valg[[#This Row],[Afhængig variabel ID]]),INDEX(DataTitel_liste,1))</f>
        <v>Eksempel 1 (interval)</v>
      </c>
      <c r="G727" s="45" t="str" cm="1">
        <f t="array" ref="G727">IF(LineærRegression_Valg[[#This Row],[Indenfor range]],IF(LineærRegression_Valg[[#This Row],[Intet overlap]],INDEX(DataTitel_liste,LineærRegression_Valg[[#This Row],[Uafhængig variabel ID]]),INDEX(DataTitel_liste,IF(LineærRegression_Valg[[#This Row],[Afhængig variabel ID]]=1,2,1))),$B$7)</f>
        <v>Eksempel 2 (interval)</v>
      </c>
      <c r="H727" s="45">
        <f>_xlfn.AGGREGATE(2,5,LineærRegression_Valg[[#This Row],[Tabel ID]])</f>
        <v>1</v>
      </c>
    </row>
    <row r="728" spans="1:8" x14ac:dyDescent="0.2">
      <c r="A728">
        <f>ROW(LineærRegression_Valg[[#This Row],[Tabel ID]])-ROW(LineærRegression_Valg[[#Headers],[Tabel ID]])</f>
        <v>718</v>
      </c>
      <c r="B728" s="45">
        <f>ROUNDDOWN((LineærRegression_Valg[[#This Row],[Tabel ID]]-1)/$B$5,0)+1</f>
        <v>180</v>
      </c>
      <c r="C728" s="45">
        <f t="shared" si="11"/>
        <v>2</v>
      </c>
      <c r="D728" s="45" t="b">
        <f>LineærRegression_Valg[[#This Row],[Afhængig variabel ID]]&lt;&gt;LineærRegression_Valg[[#This Row],[Uafhængig variabel ID]]</f>
        <v>1</v>
      </c>
      <c r="E728" t="b">
        <f>LineærRegression_Valg[[#This Row],[Afhængig variabel ID]]&lt;=$B$5</f>
        <v>0</v>
      </c>
      <c r="F728" t="str" cm="1">
        <f t="array" ref="F728">IF(LineærRegression_Valg[[#This Row],[Indenfor range]],INDEX(DataTitel_liste,LineærRegression_Valg[[#This Row],[Afhængig variabel ID]]),INDEX(DataTitel_liste,1))</f>
        <v>Eksempel 1 (interval)</v>
      </c>
      <c r="G728" s="45" t="str" cm="1">
        <f t="array" ref="G728">IF(LineærRegression_Valg[[#This Row],[Indenfor range]],IF(LineærRegression_Valg[[#This Row],[Intet overlap]],INDEX(DataTitel_liste,LineærRegression_Valg[[#This Row],[Uafhængig variabel ID]]),INDEX(DataTitel_liste,IF(LineærRegression_Valg[[#This Row],[Afhængig variabel ID]]=1,2,1))),$B$7)</f>
        <v>Eksempel 2 (interval)</v>
      </c>
      <c r="H728" s="45">
        <f>_xlfn.AGGREGATE(2,5,LineærRegression_Valg[[#This Row],[Tabel ID]])</f>
        <v>1</v>
      </c>
    </row>
    <row r="729" spans="1:8" x14ac:dyDescent="0.2">
      <c r="A729">
        <f>ROW(LineærRegression_Valg[[#This Row],[Tabel ID]])-ROW(LineærRegression_Valg[[#Headers],[Tabel ID]])</f>
        <v>719</v>
      </c>
      <c r="B729" s="45">
        <f>ROUNDDOWN((LineærRegression_Valg[[#This Row],[Tabel ID]]-1)/$B$5,0)+1</f>
        <v>180</v>
      </c>
      <c r="C729" s="45">
        <f t="shared" si="11"/>
        <v>3</v>
      </c>
      <c r="D729" s="45" t="b">
        <f>LineærRegression_Valg[[#This Row],[Afhængig variabel ID]]&lt;&gt;LineærRegression_Valg[[#This Row],[Uafhængig variabel ID]]</f>
        <v>1</v>
      </c>
      <c r="E729" t="b">
        <f>LineærRegression_Valg[[#This Row],[Afhængig variabel ID]]&lt;=$B$5</f>
        <v>0</v>
      </c>
      <c r="F729" t="str" cm="1">
        <f t="array" ref="F729">IF(LineærRegression_Valg[[#This Row],[Indenfor range]],INDEX(DataTitel_liste,LineærRegression_Valg[[#This Row],[Afhængig variabel ID]]),INDEX(DataTitel_liste,1))</f>
        <v>Eksempel 1 (interval)</v>
      </c>
      <c r="G729" s="45" t="str" cm="1">
        <f t="array" ref="G729">IF(LineærRegression_Valg[[#This Row],[Indenfor range]],IF(LineærRegression_Valg[[#This Row],[Intet overlap]],INDEX(DataTitel_liste,LineærRegression_Valg[[#This Row],[Uafhængig variabel ID]]),INDEX(DataTitel_liste,IF(LineærRegression_Valg[[#This Row],[Afhængig variabel ID]]=1,2,1))),$B$7)</f>
        <v>Eksempel 2 (interval)</v>
      </c>
      <c r="H729" s="45">
        <f>_xlfn.AGGREGATE(2,5,LineærRegression_Valg[[#This Row],[Tabel ID]])</f>
        <v>1</v>
      </c>
    </row>
    <row r="730" spans="1:8" x14ac:dyDescent="0.2">
      <c r="A730">
        <f>ROW(LineærRegression_Valg[[#This Row],[Tabel ID]])-ROW(LineærRegression_Valg[[#Headers],[Tabel ID]])</f>
        <v>720</v>
      </c>
      <c r="B730" s="45">
        <f>ROUNDDOWN((LineærRegression_Valg[[#This Row],[Tabel ID]]-1)/$B$5,0)+1</f>
        <v>180</v>
      </c>
      <c r="C730" s="45">
        <f t="shared" si="11"/>
        <v>4</v>
      </c>
      <c r="D730" s="45" t="b">
        <f>LineærRegression_Valg[[#This Row],[Afhængig variabel ID]]&lt;&gt;LineærRegression_Valg[[#This Row],[Uafhængig variabel ID]]</f>
        <v>1</v>
      </c>
      <c r="E730" t="b">
        <f>LineærRegression_Valg[[#This Row],[Afhængig variabel ID]]&lt;=$B$5</f>
        <v>0</v>
      </c>
      <c r="F730" t="str" cm="1">
        <f t="array" ref="F730">IF(LineærRegression_Valg[[#This Row],[Indenfor range]],INDEX(DataTitel_liste,LineærRegression_Valg[[#This Row],[Afhængig variabel ID]]),INDEX(DataTitel_liste,1))</f>
        <v>Eksempel 1 (interval)</v>
      </c>
      <c r="G730" s="45" t="str" cm="1">
        <f t="array" ref="G730">IF(LineærRegression_Valg[[#This Row],[Indenfor range]],IF(LineærRegression_Valg[[#This Row],[Intet overlap]],INDEX(DataTitel_liste,LineærRegression_Valg[[#This Row],[Uafhængig variabel ID]]),INDEX(DataTitel_liste,IF(LineærRegression_Valg[[#This Row],[Afhængig variabel ID]]=1,2,1))),$B$7)</f>
        <v>Eksempel 2 (interval)</v>
      </c>
      <c r="H730" s="45">
        <f>_xlfn.AGGREGATE(2,5,LineærRegression_Valg[[#This Row],[Tabel ID]])</f>
        <v>1</v>
      </c>
    </row>
    <row r="731" spans="1:8" x14ac:dyDescent="0.2">
      <c r="A731">
        <f>ROW(LineærRegression_Valg[[#This Row],[Tabel ID]])-ROW(LineærRegression_Valg[[#Headers],[Tabel ID]])</f>
        <v>721</v>
      </c>
      <c r="B731" s="45">
        <f>ROUNDDOWN((LineærRegression_Valg[[#This Row],[Tabel ID]]-1)/$B$5,0)+1</f>
        <v>181</v>
      </c>
      <c r="C731" s="45">
        <f t="shared" si="11"/>
        <v>1</v>
      </c>
      <c r="D731" s="45" t="b">
        <f>LineærRegression_Valg[[#This Row],[Afhængig variabel ID]]&lt;&gt;LineærRegression_Valg[[#This Row],[Uafhængig variabel ID]]</f>
        <v>1</v>
      </c>
      <c r="E731" t="b">
        <f>LineærRegression_Valg[[#This Row],[Afhængig variabel ID]]&lt;=$B$5</f>
        <v>0</v>
      </c>
      <c r="F731" t="str" cm="1">
        <f t="array" ref="F731">IF(LineærRegression_Valg[[#This Row],[Indenfor range]],INDEX(DataTitel_liste,LineærRegression_Valg[[#This Row],[Afhængig variabel ID]]),INDEX(DataTitel_liste,1))</f>
        <v>Eksempel 1 (interval)</v>
      </c>
      <c r="G731" s="45" t="str" cm="1">
        <f t="array" ref="G731">IF(LineærRegression_Valg[[#This Row],[Indenfor range]],IF(LineærRegression_Valg[[#This Row],[Intet overlap]],INDEX(DataTitel_liste,LineærRegression_Valg[[#This Row],[Uafhængig variabel ID]]),INDEX(DataTitel_liste,IF(LineærRegression_Valg[[#This Row],[Afhængig variabel ID]]=1,2,1))),$B$7)</f>
        <v>Eksempel 2 (interval)</v>
      </c>
      <c r="H731" s="45">
        <f>_xlfn.AGGREGATE(2,5,LineærRegression_Valg[[#This Row],[Tabel ID]])</f>
        <v>1</v>
      </c>
    </row>
    <row r="732" spans="1:8" x14ac:dyDescent="0.2">
      <c r="A732">
        <f>ROW(LineærRegression_Valg[[#This Row],[Tabel ID]])-ROW(LineærRegression_Valg[[#Headers],[Tabel ID]])</f>
        <v>722</v>
      </c>
      <c r="B732" s="45">
        <f>ROUNDDOWN((LineærRegression_Valg[[#This Row],[Tabel ID]]-1)/$B$5,0)+1</f>
        <v>181</v>
      </c>
      <c r="C732" s="45">
        <f t="shared" si="11"/>
        <v>2</v>
      </c>
      <c r="D732" s="45" t="b">
        <f>LineærRegression_Valg[[#This Row],[Afhængig variabel ID]]&lt;&gt;LineærRegression_Valg[[#This Row],[Uafhængig variabel ID]]</f>
        <v>1</v>
      </c>
      <c r="E732" t="b">
        <f>LineærRegression_Valg[[#This Row],[Afhængig variabel ID]]&lt;=$B$5</f>
        <v>0</v>
      </c>
      <c r="F732" t="str" cm="1">
        <f t="array" ref="F732">IF(LineærRegression_Valg[[#This Row],[Indenfor range]],INDEX(DataTitel_liste,LineærRegression_Valg[[#This Row],[Afhængig variabel ID]]),INDEX(DataTitel_liste,1))</f>
        <v>Eksempel 1 (interval)</v>
      </c>
      <c r="G732" s="45" t="str" cm="1">
        <f t="array" ref="G732">IF(LineærRegression_Valg[[#This Row],[Indenfor range]],IF(LineærRegression_Valg[[#This Row],[Intet overlap]],INDEX(DataTitel_liste,LineærRegression_Valg[[#This Row],[Uafhængig variabel ID]]),INDEX(DataTitel_liste,IF(LineærRegression_Valg[[#This Row],[Afhængig variabel ID]]=1,2,1))),$B$7)</f>
        <v>Eksempel 2 (interval)</v>
      </c>
      <c r="H732" s="45">
        <f>_xlfn.AGGREGATE(2,5,LineærRegression_Valg[[#This Row],[Tabel ID]])</f>
        <v>1</v>
      </c>
    </row>
    <row r="733" spans="1:8" x14ac:dyDescent="0.2">
      <c r="A733">
        <f>ROW(LineærRegression_Valg[[#This Row],[Tabel ID]])-ROW(LineærRegression_Valg[[#Headers],[Tabel ID]])</f>
        <v>723</v>
      </c>
      <c r="B733" s="45">
        <f>ROUNDDOWN((LineærRegression_Valg[[#This Row],[Tabel ID]]-1)/$B$5,0)+1</f>
        <v>181</v>
      </c>
      <c r="C733" s="45">
        <f t="shared" si="11"/>
        <v>3</v>
      </c>
      <c r="D733" s="45" t="b">
        <f>LineærRegression_Valg[[#This Row],[Afhængig variabel ID]]&lt;&gt;LineærRegression_Valg[[#This Row],[Uafhængig variabel ID]]</f>
        <v>1</v>
      </c>
      <c r="E733" t="b">
        <f>LineærRegression_Valg[[#This Row],[Afhængig variabel ID]]&lt;=$B$5</f>
        <v>0</v>
      </c>
      <c r="F733" t="str" cm="1">
        <f t="array" ref="F733">IF(LineærRegression_Valg[[#This Row],[Indenfor range]],INDEX(DataTitel_liste,LineærRegression_Valg[[#This Row],[Afhængig variabel ID]]),INDEX(DataTitel_liste,1))</f>
        <v>Eksempel 1 (interval)</v>
      </c>
      <c r="G733" s="45" t="str" cm="1">
        <f t="array" ref="G733">IF(LineærRegression_Valg[[#This Row],[Indenfor range]],IF(LineærRegression_Valg[[#This Row],[Intet overlap]],INDEX(DataTitel_liste,LineærRegression_Valg[[#This Row],[Uafhængig variabel ID]]),INDEX(DataTitel_liste,IF(LineærRegression_Valg[[#This Row],[Afhængig variabel ID]]=1,2,1))),$B$7)</f>
        <v>Eksempel 2 (interval)</v>
      </c>
      <c r="H733" s="45">
        <f>_xlfn.AGGREGATE(2,5,LineærRegression_Valg[[#This Row],[Tabel ID]])</f>
        <v>1</v>
      </c>
    </row>
    <row r="734" spans="1:8" x14ac:dyDescent="0.2">
      <c r="A734">
        <f>ROW(LineærRegression_Valg[[#This Row],[Tabel ID]])-ROW(LineærRegression_Valg[[#Headers],[Tabel ID]])</f>
        <v>724</v>
      </c>
      <c r="B734" s="45">
        <f>ROUNDDOWN((LineærRegression_Valg[[#This Row],[Tabel ID]]-1)/$B$5,0)+1</f>
        <v>181</v>
      </c>
      <c r="C734" s="45">
        <f t="shared" si="11"/>
        <v>4</v>
      </c>
      <c r="D734" s="45" t="b">
        <f>LineærRegression_Valg[[#This Row],[Afhængig variabel ID]]&lt;&gt;LineærRegression_Valg[[#This Row],[Uafhængig variabel ID]]</f>
        <v>1</v>
      </c>
      <c r="E734" t="b">
        <f>LineærRegression_Valg[[#This Row],[Afhængig variabel ID]]&lt;=$B$5</f>
        <v>0</v>
      </c>
      <c r="F734" t="str" cm="1">
        <f t="array" ref="F734">IF(LineærRegression_Valg[[#This Row],[Indenfor range]],INDEX(DataTitel_liste,LineærRegression_Valg[[#This Row],[Afhængig variabel ID]]),INDEX(DataTitel_liste,1))</f>
        <v>Eksempel 1 (interval)</v>
      </c>
      <c r="G734" s="45" t="str" cm="1">
        <f t="array" ref="G734">IF(LineærRegression_Valg[[#This Row],[Indenfor range]],IF(LineærRegression_Valg[[#This Row],[Intet overlap]],INDEX(DataTitel_liste,LineærRegression_Valg[[#This Row],[Uafhængig variabel ID]]),INDEX(DataTitel_liste,IF(LineærRegression_Valg[[#This Row],[Afhængig variabel ID]]=1,2,1))),$B$7)</f>
        <v>Eksempel 2 (interval)</v>
      </c>
      <c r="H734" s="45">
        <f>_xlfn.AGGREGATE(2,5,LineærRegression_Valg[[#This Row],[Tabel ID]])</f>
        <v>1</v>
      </c>
    </row>
    <row r="735" spans="1:8" x14ac:dyDescent="0.2">
      <c r="A735">
        <f>ROW(LineærRegression_Valg[[#This Row],[Tabel ID]])-ROW(LineærRegression_Valg[[#Headers],[Tabel ID]])</f>
        <v>725</v>
      </c>
      <c r="B735" s="45">
        <f>ROUNDDOWN((LineærRegression_Valg[[#This Row],[Tabel ID]]-1)/$B$5,0)+1</f>
        <v>182</v>
      </c>
      <c r="C735" s="45">
        <f t="shared" si="11"/>
        <v>1</v>
      </c>
      <c r="D735" s="45" t="b">
        <f>LineærRegression_Valg[[#This Row],[Afhængig variabel ID]]&lt;&gt;LineærRegression_Valg[[#This Row],[Uafhængig variabel ID]]</f>
        <v>1</v>
      </c>
      <c r="E735" t="b">
        <f>LineærRegression_Valg[[#This Row],[Afhængig variabel ID]]&lt;=$B$5</f>
        <v>0</v>
      </c>
      <c r="F735" t="str" cm="1">
        <f t="array" ref="F735">IF(LineærRegression_Valg[[#This Row],[Indenfor range]],INDEX(DataTitel_liste,LineærRegression_Valg[[#This Row],[Afhængig variabel ID]]),INDEX(DataTitel_liste,1))</f>
        <v>Eksempel 1 (interval)</v>
      </c>
      <c r="G735" s="45" t="str" cm="1">
        <f t="array" ref="G735">IF(LineærRegression_Valg[[#This Row],[Indenfor range]],IF(LineærRegression_Valg[[#This Row],[Intet overlap]],INDEX(DataTitel_liste,LineærRegression_Valg[[#This Row],[Uafhængig variabel ID]]),INDEX(DataTitel_liste,IF(LineærRegression_Valg[[#This Row],[Afhængig variabel ID]]=1,2,1))),$B$7)</f>
        <v>Eksempel 2 (interval)</v>
      </c>
      <c r="H735" s="45">
        <f>_xlfn.AGGREGATE(2,5,LineærRegression_Valg[[#This Row],[Tabel ID]])</f>
        <v>1</v>
      </c>
    </row>
    <row r="736" spans="1:8" x14ac:dyDescent="0.2">
      <c r="A736">
        <f>ROW(LineærRegression_Valg[[#This Row],[Tabel ID]])-ROW(LineærRegression_Valg[[#Headers],[Tabel ID]])</f>
        <v>726</v>
      </c>
      <c r="B736" s="45">
        <f>ROUNDDOWN((LineærRegression_Valg[[#This Row],[Tabel ID]]-1)/$B$5,0)+1</f>
        <v>182</v>
      </c>
      <c r="C736" s="45">
        <f t="shared" si="11"/>
        <v>2</v>
      </c>
      <c r="D736" s="45" t="b">
        <f>LineærRegression_Valg[[#This Row],[Afhængig variabel ID]]&lt;&gt;LineærRegression_Valg[[#This Row],[Uafhængig variabel ID]]</f>
        <v>1</v>
      </c>
      <c r="E736" t="b">
        <f>LineærRegression_Valg[[#This Row],[Afhængig variabel ID]]&lt;=$B$5</f>
        <v>0</v>
      </c>
      <c r="F736" t="str" cm="1">
        <f t="array" ref="F736">IF(LineærRegression_Valg[[#This Row],[Indenfor range]],INDEX(DataTitel_liste,LineærRegression_Valg[[#This Row],[Afhængig variabel ID]]),INDEX(DataTitel_liste,1))</f>
        <v>Eksempel 1 (interval)</v>
      </c>
      <c r="G736" s="45" t="str" cm="1">
        <f t="array" ref="G736">IF(LineærRegression_Valg[[#This Row],[Indenfor range]],IF(LineærRegression_Valg[[#This Row],[Intet overlap]],INDEX(DataTitel_liste,LineærRegression_Valg[[#This Row],[Uafhængig variabel ID]]),INDEX(DataTitel_liste,IF(LineærRegression_Valg[[#This Row],[Afhængig variabel ID]]=1,2,1))),$B$7)</f>
        <v>Eksempel 2 (interval)</v>
      </c>
      <c r="H736" s="45">
        <f>_xlfn.AGGREGATE(2,5,LineærRegression_Valg[[#This Row],[Tabel ID]])</f>
        <v>1</v>
      </c>
    </row>
    <row r="737" spans="1:8" x14ac:dyDescent="0.2">
      <c r="A737">
        <f>ROW(LineærRegression_Valg[[#This Row],[Tabel ID]])-ROW(LineærRegression_Valg[[#Headers],[Tabel ID]])</f>
        <v>727</v>
      </c>
      <c r="B737" s="45">
        <f>ROUNDDOWN((LineærRegression_Valg[[#This Row],[Tabel ID]]-1)/$B$5,0)+1</f>
        <v>182</v>
      </c>
      <c r="C737" s="45">
        <f t="shared" si="11"/>
        <v>3</v>
      </c>
      <c r="D737" s="45" t="b">
        <f>LineærRegression_Valg[[#This Row],[Afhængig variabel ID]]&lt;&gt;LineærRegression_Valg[[#This Row],[Uafhængig variabel ID]]</f>
        <v>1</v>
      </c>
      <c r="E737" t="b">
        <f>LineærRegression_Valg[[#This Row],[Afhængig variabel ID]]&lt;=$B$5</f>
        <v>0</v>
      </c>
      <c r="F737" t="str" cm="1">
        <f t="array" ref="F737">IF(LineærRegression_Valg[[#This Row],[Indenfor range]],INDEX(DataTitel_liste,LineærRegression_Valg[[#This Row],[Afhængig variabel ID]]),INDEX(DataTitel_liste,1))</f>
        <v>Eksempel 1 (interval)</v>
      </c>
      <c r="G737" s="45" t="str" cm="1">
        <f t="array" ref="G737">IF(LineærRegression_Valg[[#This Row],[Indenfor range]],IF(LineærRegression_Valg[[#This Row],[Intet overlap]],INDEX(DataTitel_liste,LineærRegression_Valg[[#This Row],[Uafhængig variabel ID]]),INDEX(DataTitel_liste,IF(LineærRegression_Valg[[#This Row],[Afhængig variabel ID]]=1,2,1))),$B$7)</f>
        <v>Eksempel 2 (interval)</v>
      </c>
      <c r="H737" s="45">
        <f>_xlfn.AGGREGATE(2,5,LineærRegression_Valg[[#This Row],[Tabel ID]])</f>
        <v>1</v>
      </c>
    </row>
    <row r="738" spans="1:8" x14ac:dyDescent="0.2">
      <c r="A738">
        <f>ROW(LineærRegression_Valg[[#This Row],[Tabel ID]])-ROW(LineærRegression_Valg[[#Headers],[Tabel ID]])</f>
        <v>728</v>
      </c>
      <c r="B738" s="45">
        <f>ROUNDDOWN((LineærRegression_Valg[[#This Row],[Tabel ID]]-1)/$B$5,0)+1</f>
        <v>182</v>
      </c>
      <c r="C738" s="45">
        <f t="shared" si="11"/>
        <v>4</v>
      </c>
      <c r="D738" s="45" t="b">
        <f>LineærRegression_Valg[[#This Row],[Afhængig variabel ID]]&lt;&gt;LineærRegression_Valg[[#This Row],[Uafhængig variabel ID]]</f>
        <v>1</v>
      </c>
      <c r="E738" t="b">
        <f>LineærRegression_Valg[[#This Row],[Afhængig variabel ID]]&lt;=$B$5</f>
        <v>0</v>
      </c>
      <c r="F738" t="str" cm="1">
        <f t="array" ref="F738">IF(LineærRegression_Valg[[#This Row],[Indenfor range]],INDEX(DataTitel_liste,LineærRegression_Valg[[#This Row],[Afhængig variabel ID]]),INDEX(DataTitel_liste,1))</f>
        <v>Eksempel 1 (interval)</v>
      </c>
      <c r="G738" s="45" t="str" cm="1">
        <f t="array" ref="G738">IF(LineærRegression_Valg[[#This Row],[Indenfor range]],IF(LineærRegression_Valg[[#This Row],[Intet overlap]],INDEX(DataTitel_liste,LineærRegression_Valg[[#This Row],[Uafhængig variabel ID]]),INDEX(DataTitel_liste,IF(LineærRegression_Valg[[#This Row],[Afhængig variabel ID]]=1,2,1))),$B$7)</f>
        <v>Eksempel 2 (interval)</v>
      </c>
      <c r="H738" s="45">
        <f>_xlfn.AGGREGATE(2,5,LineærRegression_Valg[[#This Row],[Tabel ID]])</f>
        <v>1</v>
      </c>
    </row>
    <row r="739" spans="1:8" x14ac:dyDescent="0.2">
      <c r="A739">
        <f>ROW(LineærRegression_Valg[[#This Row],[Tabel ID]])-ROW(LineærRegression_Valg[[#Headers],[Tabel ID]])</f>
        <v>729</v>
      </c>
      <c r="B739" s="45">
        <f>ROUNDDOWN((LineærRegression_Valg[[#This Row],[Tabel ID]]-1)/$B$5,0)+1</f>
        <v>183</v>
      </c>
      <c r="C739" s="45">
        <f t="shared" si="11"/>
        <v>1</v>
      </c>
      <c r="D739" s="45" t="b">
        <f>LineærRegression_Valg[[#This Row],[Afhængig variabel ID]]&lt;&gt;LineærRegression_Valg[[#This Row],[Uafhængig variabel ID]]</f>
        <v>1</v>
      </c>
      <c r="E739" t="b">
        <f>LineærRegression_Valg[[#This Row],[Afhængig variabel ID]]&lt;=$B$5</f>
        <v>0</v>
      </c>
      <c r="F739" t="str" cm="1">
        <f t="array" ref="F739">IF(LineærRegression_Valg[[#This Row],[Indenfor range]],INDEX(DataTitel_liste,LineærRegression_Valg[[#This Row],[Afhængig variabel ID]]),INDEX(DataTitel_liste,1))</f>
        <v>Eksempel 1 (interval)</v>
      </c>
      <c r="G739" s="45" t="str" cm="1">
        <f t="array" ref="G739">IF(LineærRegression_Valg[[#This Row],[Indenfor range]],IF(LineærRegression_Valg[[#This Row],[Intet overlap]],INDEX(DataTitel_liste,LineærRegression_Valg[[#This Row],[Uafhængig variabel ID]]),INDEX(DataTitel_liste,IF(LineærRegression_Valg[[#This Row],[Afhængig variabel ID]]=1,2,1))),$B$7)</f>
        <v>Eksempel 2 (interval)</v>
      </c>
      <c r="H739" s="45">
        <f>_xlfn.AGGREGATE(2,5,LineærRegression_Valg[[#This Row],[Tabel ID]])</f>
        <v>1</v>
      </c>
    </row>
    <row r="740" spans="1:8" x14ac:dyDescent="0.2">
      <c r="A740">
        <f>ROW(LineærRegression_Valg[[#This Row],[Tabel ID]])-ROW(LineærRegression_Valg[[#Headers],[Tabel ID]])</f>
        <v>730</v>
      </c>
      <c r="B740" s="45">
        <f>ROUNDDOWN((LineærRegression_Valg[[#This Row],[Tabel ID]]-1)/$B$5,0)+1</f>
        <v>183</v>
      </c>
      <c r="C740" s="45">
        <f t="shared" si="11"/>
        <v>2</v>
      </c>
      <c r="D740" s="45" t="b">
        <f>LineærRegression_Valg[[#This Row],[Afhængig variabel ID]]&lt;&gt;LineærRegression_Valg[[#This Row],[Uafhængig variabel ID]]</f>
        <v>1</v>
      </c>
      <c r="E740" t="b">
        <f>LineærRegression_Valg[[#This Row],[Afhængig variabel ID]]&lt;=$B$5</f>
        <v>0</v>
      </c>
      <c r="F740" t="str" cm="1">
        <f t="array" ref="F740">IF(LineærRegression_Valg[[#This Row],[Indenfor range]],INDEX(DataTitel_liste,LineærRegression_Valg[[#This Row],[Afhængig variabel ID]]),INDEX(DataTitel_liste,1))</f>
        <v>Eksempel 1 (interval)</v>
      </c>
      <c r="G740" s="45" t="str" cm="1">
        <f t="array" ref="G740">IF(LineærRegression_Valg[[#This Row],[Indenfor range]],IF(LineærRegression_Valg[[#This Row],[Intet overlap]],INDEX(DataTitel_liste,LineærRegression_Valg[[#This Row],[Uafhængig variabel ID]]),INDEX(DataTitel_liste,IF(LineærRegression_Valg[[#This Row],[Afhængig variabel ID]]=1,2,1))),$B$7)</f>
        <v>Eksempel 2 (interval)</v>
      </c>
      <c r="H740" s="45">
        <f>_xlfn.AGGREGATE(2,5,LineærRegression_Valg[[#This Row],[Tabel ID]])</f>
        <v>1</v>
      </c>
    </row>
    <row r="741" spans="1:8" x14ac:dyDescent="0.2">
      <c r="A741">
        <f>ROW(LineærRegression_Valg[[#This Row],[Tabel ID]])-ROW(LineærRegression_Valg[[#Headers],[Tabel ID]])</f>
        <v>731</v>
      </c>
      <c r="B741" s="45">
        <f>ROUNDDOWN((LineærRegression_Valg[[#This Row],[Tabel ID]]-1)/$B$5,0)+1</f>
        <v>183</v>
      </c>
      <c r="C741" s="45">
        <f t="shared" si="11"/>
        <v>3</v>
      </c>
      <c r="D741" s="45" t="b">
        <f>LineærRegression_Valg[[#This Row],[Afhængig variabel ID]]&lt;&gt;LineærRegression_Valg[[#This Row],[Uafhængig variabel ID]]</f>
        <v>1</v>
      </c>
      <c r="E741" t="b">
        <f>LineærRegression_Valg[[#This Row],[Afhængig variabel ID]]&lt;=$B$5</f>
        <v>0</v>
      </c>
      <c r="F741" t="str" cm="1">
        <f t="array" ref="F741">IF(LineærRegression_Valg[[#This Row],[Indenfor range]],INDEX(DataTitel_liste,LineærRegression_Valg[[#This Row],[Afhængig variabel ID]]),INDEX(DataTitel_liste,1))</f>
        <v>Eksempel 1 (interval)</v>
      </c>
      <c r="G741" s="45" t="str" cm="1">
        <f t="array" ref="G741">IF(LineærRegression_Valg[[#This Row],[Indenfor range]],IF(LineærRegression_Valg[[#This Row],[Intet overlap]],INDEX(DataTitel_liste,LineærRegression_Valg[[#This Row],[Uafhængig variabel ID]]),INDEX(DataTitel_liste,IF(LineærRegression_Valg[[#This Row],[Afhængig variabel ID]]=1,2,1))),$B$7)</f>
        <v>Eksempel 2 (interval)</v>
      </c>
      <c r="H741" s="45">
        <f>_xlfn.AGGREGATE(2,5,LineærRegression_Valg[[#This Row],[Tabel ID]])</f>
        <v>1</v>
      </c>
    </row>
    <row r="742" spans="1:8" x14ac:dyDescent="0.2">
      <c r="A742">
        <f>ROW(LineærRegression_Valg[[#This Row],[Tabel ID]])-ROW(LineærRegression_Valg[[#Headers],[Tabel ID]])</f>
        <v>732</v>
      </c>
      <c r="B742" s="45">
        <f>ROUNDDOWN((LineærRegression_Valg[[#This Row],[Tabel ID]]-1)/$B$5,0)+1</f>
        <v>183</v>
      </c>
      <c r="C742" s="45">
        <f t="shared" si="11"/>
        <v>4</v>
      </c>
      <c r="D742" s="45" t="b">
        <f>LineærRegression_Valg[[#This Row],[Afhængig variabel ID]]&lt;&gt;LineærRegression_Valg[[#This Row],[Uafhængig variabel ID]]</f>
        <v>1</v>
      </c>
      <c r="E742" t="b">
        <f>LineærRegression_Valg[[#This Row],[Afhængig variabel ID]]&lt;=$B$5</f>
        <v>0</v>
      </c>
      <c r="F742" t="str" cm="1">
        <f t="array" ref="F742">IF(LineærRegression_Valg[[#This Row],[Indenfor range]],INDEX(DataTitel_liste,LineærRegression_Valg[[#This Row],[Afhængig variabel ID]]),INDEX(DataTitel_liste,1))</f>
        <v>Eksempel 1 (interval)</v>
      </c>
      <c r="G742" s="45" t="str" cm="1">
        <f t="array" ref="G742">IF(LineærRegression_Valg[[#This Row],[Indenfor range]],IF(LineærRegression_Valg[[#This Row],[Intet overlap]],INDEX(DataTitel_liste,LineærRegression_Valg[[#This Row],[Uafhængig variabel ID]]),INDEX(DataTitel_liste,IF(LineærRegression_Valg[[#This Row],[Afhængig variabel ID]]=1,2,1))),$B$7)</f>
        <v>Eksempel 2 (interval)</v>
      </c>
      <c r="H742" s="45">
        <f>_xlfn.AGGREGATE(2,5,LineærRegression_Valg[[#This Row],[Tabel ID]])</f>
        <v>1</v>
      </c>
    </row>
    <row r="743" spans="1:8" x14ac:dyDescent="0.2">
      <c r="A743">
        <f>ROW(LineærRegression_Valg[[#This Row],[Tabel ID]])-ROW(LineærRegression_Valg[[#Headers],[Tabel ID]])</f>
        <v>733</v>
      </c>
      <c r="B743" s="45">
        <f>ROUNDDOWN((LineærRegression_Valg[[#This Row],[Tabel ID]]-1)/$B$5,0)+1</f>
        <v>184</v>
      </c>
      <c r="C743" s="45">
        <f t="shared" si="11"/>
        <v>1</v>
      </c>
      <c r="D743" s="45" t="b">
        <f>LineærRegression_Valg[[#This Row],[Afhængig variabel ID]]&lt;&gt;LineærRegression_Valg[[#This Row],[Uafhængig variabel ID]]</f>
        <v>1</v>
      </c>
      <c r="E743" t="b">
        <f>LineærRegression_Valg[[#This Row],[Afhængig variabel ID]]&lt;=$B$5</f>
        <v>0</v>
      </c>
      <c r="F743" t="str" cm="1">
        <f t="array" ref="F743">IF(LineærRegression_Valg[[#This Row],[Indenfor range]],INDEX(DataTitel_liste,LineærRegression_Valg[[#This Row],[Afhængig variabel ID]]),INDEX(DataTitel_liste,1))</f>
        <v>Eksempel 1 (interval)</v>
      </c>
      <c r="G743" s="45" t="str" cm="1">
        <f t="array" ref="G743">IF(LineærRegression_Valg[[#This Row],[Indenfor range]],IF(LineærRegression_Valg[[#This Row],[Intet overlap]],INDEX(DataTitel_liste,LineærRegression_Valg[[#This Row],[Uafhængig variabel ID]]),INDEX(DataTitel_liste,IF(LineærRegression_Valg[[#This Row],[Afhængig variabel ID]]=1,2,1))),$B$7)</f>
        <v>Eksempel 2 (interval)</v>
      </c>
      <c r="H743" s="45">
        <f>_xlfn.AGGREGATE(2,5,LineærRegression_Valg[[#This Row],[Tabel ID]])</f>
        <v>1</v>
      </c>
    </row>
    <row r="744" spans="1:8" x14ac:dyDescent="0.2">
      <c r="A744">
        <f>ROW(LineærRegression_Valg[[#This Row],[Tabel ID]])-ROW(LineærRegression_Valg[[#Headers],[Tabel ID]])</f>
        <v>734</v>
      </c>
      <c r="B744" s="45">
        <f>ROUNDDOWN((LineærRegression_Valg[[#This Row],[Tabel ID]]-1)/$B$5,0)+1</f>
        <v>184</v>
      </c>
      <c r="C744" s="45">
        <f t="shared" si="11"/>
        <v>2</v>
      </c>
      <c r="D744" s="45" t="b">
        <f>LineærRegression_Valg[[#This Row],[Afhængig variabel ID]]&lt;&gt;LineærRegression_Valg[[#This Row],[Uafhængig variabel ID]]</f>
        <v>1</v>
      </c>
      <c r="E744" t="b">
        <f>LineærRegression_Valg[[#This Row],[Afhængig variabel ID]]&lt;=$B$5</f>
        <v>0</v>
      </c>
      <c r="F744" t="str" cm="1">
        <f t="array" ref="F744">IF(LineærRegression_Valg[[#This Row],[Indenfor range]],INDEX(DataTitel_liste,LineærRegression_Valg[[#This Row],[Afhængig variabel ID]]),INDEX(DataTitel_liste,1))</f>
        <v>Eksempel 1 (interval)</v>
      </c>
      <c r="G744" s="45" t="str" cm="1">
        <f t="array" ref="G744">IF(LineærRegression_Valg[[#This Row],[Indenfor range]],IF(LineærRegression_Valg[[#This Row],[Intet overlap]],INDEX(DataTitel_liste,LineærRegression_Valg[[#This Row],[Uafhængig variabel ID]]),INDEX(DataTitel_liste,IF(LineærRegression_Valg[[#This Row],[Afhængig variabel ID]]=1,2,1))),$B$7)</f>
        <v>Eksempel 2 (interval)</v>
      </c>
      <c r="H744" s="45">
        <f>_xlfn.AGGREGATE(2,5,LineærRegression_Valg[[#This Row],[Tabel ID]])</f>
        <v>1</v>
      </c>
    </row>
    <row r="745" spans="1:8" x14ac:dyDescent="0.2">
      <c r="A745">
        <f>ROW(LineærRegression_Valg[[#This Row],[Tabel ID]])-ROW(LineærRegression_Valg[[#Headers],[Tabel ID]])</f>
        <v>735</v>
      </c>
      <c r="B745" s="45">
        <f>ROUNDDOWN((LineærRegression_Valg[[#This Row],[Tabel ID]]-1)/$B$5,0)+1</f>
        <v>184</v>
      </c>
      <c r="C745" s="45">
        <f t="shared" si="11"/>
        <v>3</v>
      </c>
      <c r="D745" s="45" t="b">
        <f>LineærRegression_Valg[[#This Row],[Afhængig variabel ID]]&lt;&gt;LineærRegression_Valg[[#This Row],[Uafhængig variabel ID]]</f>
        <v>1</v>
      </c>
      <c r="E745" t="b">
        <f>LineærRegression_Valg[[#This Row],[Afhængig variabel ID]]&lt;=$B$5</f>
        <v>0</v>
      </c>
      <c r="F745" t="str" cm="1">
        <f t="array" ref="F745">IF(LineærRegression_Valg[[#This Row],[Indenfor range]],INDEX(DataTitel_liste,LineærRegression_Valg[[#This Row],[Afhængig variabel ID]]),INDEX(DataTitel_liste,1))</f>
        <v>Eksempel 1 (interval)</v>
      </c>
      <c r="G745" s="45" t="str" cm="1">
        <f t="array" ref="G745">IF(LineærRegression_Valg[[#This Row],[Indenfor range]],IF(LineærRegression_Valg[[#This Row],[Intet overlap]],INDEX(DataTitel_liste,LineærRegression_Valg[[#This Row],[Uafhængig variabel ID]]),INDEX(DataTitel_liste,IF(LineærRegression_Valg[[#This Row],[Afhængig variabel ID]]=1,2,1))),$B$7)</f>
        <v>Eksempel 2 (interval)</v>
      </c>
      <c r="H745" s="45">
        <f>_xlfn.AGGREGATE(2,5,LineærRegression_Valg[[#This Row],[Tabel ID]])</f>
        <v>1</v>
      </c>
    </row>
    <row r="746" spans="1:8" x14ac:dyDescent="0.2">
      <c r="A746">
        <f>ROW(LineærRegression_Valg[[#This Row],[Tabel ID]])-ROW(LineærRegression_Valg[[#Headers],[Tabel ID]])</f>
        <v>736</v>
      </c>
      <c r="B746" s="45">
        <f>ROUNDDOWN((LineærRegression_Valg[[#This Row],[Tabel ID]]-1)/$B$5,0)+1</f>
        <v>184</v>
      </c>
      <c r="C746" s="45">
        <f t="shared" si="11"/>
        <v>4</v>
      </c>
      <c r="D746" s="45" t="b">
        <f>LineærRegression_Valg[[#This Row],[Afhængig variabel ID]]&lt;&gt;LineærRegression_Valg[[#This Row],[Uafhængig variabel ID]]</f>
        <v>1</v>
      </c>
      <c r="E746" t="b">
        <f>LineærRegression_Valg[[#This Row],[Afhængig variabel ID]]&lt;=$B$5</f>
        <v>0</v>
      </c>
      <c r="F746" t="str" cm="1">
        <f t="array" ref="F746">IF(LineærRegression_Valg[[#This Row],[Indenfor range]],INDEX(DataTitel_liste,LineærRegression_Valg[[#This Row],[Afhængig variabel ID]]),INDEX(DataTitel_liste,1))</f>
        <v>Eksempel 1 (interval)</v>
      </c>
      <c r="G746" s="45" t="str" cm="1">
        <f t="array" ref="G746">IF(LineærRegression_Valg[[#This Row],[Indenfor range]],IF(LineærRegression_Valg[[#This Row],[Intet overlap]],INDEX(DataTitel_liste,LineærRegression_Valg[[#This Row],[Uafhængig variabel ID]]),INDEX(DataTitel_liste,IF(LineærRegression_Valg[[#This Row],[Afhængig variabel ID]]=1,2,1))),$B$7)</f>
        <v>Eksempel 2 (interval)</v>
      </c>
      <c r="H746" s="45">
        <f>_xlfn.AGGREGATE(2,5,LineærRegression_Valg[[#This Row],[Tabel ID]])</f>
        <v>1</v>
      </c>
    </row>
    <row r="747" spans="1:8" x14ac:dyDescent="0.2">
      <c r="A747">
        <f>ROW(LineærRegression_Valg[[#This Row],[Tabel ID]])-ROW(LineærRegression_Valg[[#Headers],[Tabel ID]])</f>
        <v>737</v>
      </c>
      <c r="B747" s="45">
        <f>ROUNDDOWN((LineærRegression_Valg[[#This Row],[Tabel ID]]-1)/$B$5,0)+1</f>
        <v>185</v>
      </c>
      <c r="C747" s="45">
        <f t="shared" si="11"/>
        <v>1</v>
      </c>
      <c r="D747" s="45" t="b">
        <f>LineærRegression_Valg[[#This Row],[Afhængig variabel ID]]&lt;&gt;LineærRegression_Valg[[#This Row],[Uafhængig variabel ID]]</f>
        <v>1</v>
      </c>
      <c r="E747" t="b">
        <f>LineærRegression_Valg[[#This Row],[Afhængig variabel ID]]&lt;=$B$5</f>
        <v>0</v>
      </c>
      <c r="F747" t="str" cm="1">
        <f t="array" ref="F747">IF(LineærRegression_Valg[[#This Row],[Indenfor range]],INDEX(DataTitel_liste,LineærRegression_Valg[[#This Row],[Afhængig variabel ID]]),INDEX(DataTitel_liste,1))</f>
        <v>Eksempel 1 (interval)</v>
      </c>
      <c r="G747" s="45" t="str" cm="1">
        <f t="array" ref="G747">IF(LineærRegression_Valg[[#This Row],[Indenfor range]],IF(LineærRegression_Valg[[#This Row],[Intet overlap]],INDEX(DataTitel_liste,LineærRegression_Valg[[#This Row],[Uafhængig variabel ID]]),INDEX(DataTitel_liste,IF(LineærRegression_Valg[[#This Row],[Afhængig variabel ID]]=1,2,1))),$B$7)</f>
        <v>Eksempel 2 (interval)</v>
      </c>
      <c r="H747" s="45">
        <f>_xlfn.AGGREGATE(2,5,LineærRegression_Valg[[#This Row],[Tabel ID]])</f>
        <v>1</v>
      </c>
    </row>
    <row r="748" spans="1:8" x14ac:dyDescent="0.2">
      <c r="A748">
        <f>ROW(LineærRegression_Valg[[#This Row],[Tabel ID]])-ROW(LineærRegression_Valg[[#Headers],[Tabel ID]])</f>
        <v>738</v>
      </c>
      <c r="B748" s="45">
        <f>ROUNDDOWN((LineærRegression_Valg[[#This Row],[Tabel ID]]-1)/$B$5,0)+1</f>
        <v>185</v>
      </c>
      <c r="C748" s="45">
        <f t="shared" si="11"/>
        <v>2</v>
      </c>
      <c r="D748" s="45" t="b">
        <f>LineærRegression_Valg[[#This Row],[Afhængig variabel ID]]&lt;&gt;LineærRegression_Valg[[#This Row],[Uafhængig variabel ID]]</f>
        <v>1</v>
      </c>
      <c r="E748" t="b">
        <f>LineærRegression_Valg[[#This Row],[Afhængig variabel ID]]&lt;=$B$5</f>
        <v>0</v>
      </c>
      <c r="F748" t="str" cm="1">
        <f t="array" ref="F748">IF(LineærRegression_Valg[[#This Row],[Indenfor range]],INDEX(DataTitel_liste,LineærRegression_Valg[[#This Row],[Afhængig variabel ID]]),INDEX(DataTitel_liste,1))</f>
        <v>Eksempel 1 (interval)</v>
      </c>
      <c r="G748" s="45" t="str" cm="1">
        <f t="array" ref="G748">IF(LineærRegression_Valg[[#This Row],[Indenfor range]],IF(LineærRegression_Valg[[#This Row],[Intet overlap]],INDEX(DataTitel_liste,LineærRegression_Valg[[#This Row],[Uafhængig variabel ID]]),INDEX(DataTitel_liste,IF(LineærRegression_Valg[[#This Row],[Afhængig variabel ID]]=1,2,1))),$B$7)</f>
        <v>Eksempel 2 (interval)</v>
      </c>
      <c r="H748" s="45">
        <f>_xlfn.AGGREGATE(2,5,LineærRegression_Valg[[#This Row],[Tabel ID]])</f>
        <v>1</v>
      </c>
    </row>
    <row r="749" spans="1:8" x14ac:dyDescent="0.2">
      <c r="A749">
        <f>ROW(LineærRegression_Valg[[#This Row],[Tabel ID]])-ROW(LineærRegression_Valg[[#Headers],[Tabel ID]])</f>
        <v>739</v>
      </c>
      <c r="B749" s="45">
        <f>ROUNDDOWN((LineærRegression_Valg[[#This Row],[Tabel ID]]-1)/$B$5,0)+1</f>
        <v>185</v>
      </c>
      <c r="C749" s="45">
        <f t="shared" si="11"/>
        <v>3</v>
      </c>
      <c r="D749" s="45" t="b">
        <f>LineærRegression_Valg[[#This Row],[Afhængig variabel ID]]&lt;&gt;LineærRegression_Valg[[#This Row],[Uafhængig variabel ID]]</f>
        <v>1</v>
      </c>
      <c r="E749" t="b">
        <f>LineærRegression_Valg[[#This Row],[Afhængig variabel ID]]&lt;=$B$5</f>
        <v>0</v>
      </c>
      <c r="F749" t="str" cm="1">
        <f t="array" ref="F749">IF(LineærRegression_Valg[[#This Row],[Indenfor range]],INDEX(DataTitel_liste,LineærRegression_Valg[[#This Row],[Afhængig variabel ID]]),INDEX(DataTitel_liste,1))</f>
        <v>Eksempel 1 (interval)</v>
      </c>
      <c r="G749" s="45" t="str" cm="1">
        <f t="array" ref="G749">IF(LineærRegression_Valg[[#This Row],[Indenfor range]],IF(LineærRegression_Valg[[#This Row],[Intet overlap]],INDEX(DataTitel_liste,LineærRegression_Valg[[#This Row],[Uafhængig variabel ID]]),INDEX(DataTitel_liste,IF(LineærRegression_Valg[[#This Row],[Afhængig variabel ID]]=1,2,1))),$B$7)</f>
        <v>Eksempel 2 (interval)</v>
      </c>
      <c r="H749" s="45">
        <f>_xlfn.AGGREGATE(2,5,LineærRegression_Valg[[#This Row],[Tabel ID]])</f>
        <v>1</v>
      </c>
    </row>
    <row r="750" spans="1:8" x14ac:dyDescent="0.2">
      <c r="A750">
        <f>ROW(LineærRegression_Valg[[#This Row],[Tabel ID]])-ROW(LineærRegression_Valg[[#Headers],[Tabel ID]])</f>
        <v>740</v>
      </c>
      <c r="B750" s="45">
        <f>ROUNDDOWN((LineærRegression_Valg[[#This Row],[Tabel ID]]-1)/$B$5,0)+1</f>
        <v>185</v>
      </c>
      <c r="C750" s="45">
        <f t="shared" si="11"/>
        <v>4</v>
      </c>
      <c r="D750" s="45" t="b">
        <f>LineærRegression_Valg[[#This Row],[Afhængig variabel ID]]&lt;&gt;LineærRegression_Valg[[#This Row],[Uafhængig variabel ID]]</f>
        <v>1</v>
      </c>
      <c r="E750" t="b">
        <f>LineærRegression_Valg[[#This Row],[Afhængig variabel ID]]&lt;=$B$5</f>
        <v>0</v>
      </c>
      <c r="F750" t="str" cm="1">
        <f t="array" ref="F750">IF(LineærRegression_Valg[[#This Row],[Indenfor range]],INDEX(DataTitel_liste,LineærRegression_Valg[[#This Row],[Afhængig variabel ID]]),INDEX(DataTitel_liste,1))</f>
        <v>Eksempel 1 (interval)</v>
      </c>
      <c r="G750" s="45" t="str" cm="1">
        <f t="array" ref="G750">IF(LineærRegression_Valg[[#This Row],[Indenfor range]],IF(LineærRegression_Valg[[#This Row],[Intet overlap]],INDEX(DataTitel_liste,LineærRegression_Valg[[#This Row],[Uafhængig variabel ID]]),INDEX(DataTitel_liste,IF(LineærRegression_Valg[[#This Row],[Afhængig variabel ID]]=1,2,1))),$B$7)</f>
        <v>Eksempel 2 (interval)</v>
      </c>
      <c r="H750" s="45">
        <f>_xlfn.AGGREGATE(2,5,LineærRegression_Valg[[#This Row],[Tabel ID]])</f>
        <v>1</v>
      </c>
    </row>
    <row r="751" spans="1:8" x14ac:dyDescent="0.2">
      <c r="A751">
        <f>ROW(LineærRegression_Valg[[#This Row],[Tabel ID]])-ROW(LineærRegression_Valg[[#Headers],[Tabel ID]])</f>
        <v>741</v>
      </c>
      <c r="B751" s="45">
        <f>ROUNDDOWN((LineærRegression_Valg[[#This Row],[Tabel ID]]-1)/$B$5,0)+1</f>
        <v>186</v>
      </c>
      <c r="C751" s="45">
        <f t="shared" si="11"/>
        <v>1</v>
      </c>
      <c r="D751" s="45" t="b">
        <f>LineærRegression_Valg[[#This Row],[Afhængig variabel ID]]&lt;&gt;LineærRegression_Valg[[#This Row],[Uafhængig variabel ID]]</f>
        <v>1</v>
      </c>
      <c r="E751" t="b">
        <f>LineærRegression_Valg[[#This Row],[Afhængig variabel ID]]&lt;=$B$5</f>
        <v>0</v>
      </c>
      <c r="F751" t="str" cm="1">
        <f t="array" ref="F751">IF(LineærRegression_Valg[[#This Row],[Indenfor range]],INDEX(DataTitel_liste,LineærRegression_Valg[[#This Row],[Afhængig variabel ID]]),INDEX(DataTitel_liste,1))</f>
        <v>Eksempel 1 (interval)</v>
      </c>
      <c r="G751" s="45" t="str" cm="1">
        <f t="array" ref="G751">IF(LineærRegression_Valg[[#This Row],[Indenfor range]],IF(LineærRegression_Valg[[#This Row],[Intet overlap]],INDEX(DataTitel_liste,LineærRegression_Valg[[#This Row],[Uafhængig variabel ID]]),INDEX(DataTitel_liste,IF(LineærRegression_Valg[[#This Row],[Afhængig variabel ID]]=1,2,1))),$B$7)</f>
        <v>Eksempel 2 (interval)</v>
      </c>
      <c r="H751" s="45">
        <f>_xlfn.AGGREGATE(2,5,LineærRegression_Valg[[#This Row],[Tabel ID]])</f>
        <v>1</v>
      </c>
    </row>
    <row r="752" spans="1:8" x14ac:dyDescent="0.2">
      <c r="A752">
        <f>ROW(LineærRegression_Valg[[#This Row],[Tabel ID]])-ROW(LineærRegression_Valg[[#Headers],[Tabel ID]])</f>
        <v>742</v>
      </c>
      <c r="B752" s="45">
        <f>ROUNDDOWN((LineærRegression_Valg[[#This Row],[Tabel ID]]-1)/$B$5,0)+1</f>
        <v>186</v>
      </c>
      <c r="C752" s="45">
        <f t="shared" si="11"/>
        <v>2</v>
      </c>
      <c r="D752" s="45" t="b">
        <f>LineærRegression_Valg[[#This Row],[Afhængig variabel ID]]&lt;&gt;LineærRegression_Valg[[#This Row],[Uafhængig variabel ID]]</f>
        <v>1</v>
      </c>
      <c r="E752" t="b">
        <f>LineærRegression_Valg[[#This Row],[Afhængig variabel ID]]&lt;=$B$5</f>
        <v>0</v>
      </c>
      <c r="F752" t="str" cm="1">
        <f t="array" ref="F752">IF(LineærRegression_Valg[[#This Row],[Indenfor range]],INDEX(DataTitel_liste,LineærRegression_Valg[[#This Row],[Afhængig variabel ID]]),INDEX(DataTitel_liste,1))</f>
        <v>Eksempel 1 (interval)</v>
      </c>
      <c r="G752" s="45" t="str" cm="1">
        <f t="array" ref="G752">IF(LineærRegression_Valg[[#This Row],[Indenfor range]],IF(LineærRegression_Valg[[#This Row],[Intet overlap]],INDEX(DataTitel_liste,LineærRegression_Valg[[#This Row],[Uafhængig variabel ID]]),INDEX(DataTitel_liste,IF(LineærRegression_Valg[[#This Row],[Afhængig variabel ID]]=1,2,1))),$B$7)</f>
        <v>Eksempel 2 (interval)</v>
      </c>
      <c r="H752" s="45">
        <f>_xlfn.AGGREGATE(2,5,LineærRegression_Valg[[#This Row],[Tabel ID]])</f>
        <v>1</v>
      </c>
    </row>
    <row r="753" spans="1:8" x14ac:dyDescent="0.2">
      <c r="A753">
        <f>ROW(LineærRegression_Valg[[#This Row],[Tabel ID]])-ROW(LineærRegression_Valg[[#Headers],[Tabel ID]])</f>
        <v>743</v>
      </c>
      <c r="B753" s="45">
        <f>ROUNDDOWN((LineærRegression_Valg[[#This Row],[Tabel ID]]-1)/$B$5,0)+1</f>
        <v>186</v>
      </c>
      <c r="C753" s="45">
        <f t="shared" si="11"/>
        <v>3</v>
      </c>
      <c r="D753" s="45" t="b">
        <f>LineærRegression_Valg[[#This Row],[Afhængig variabel ID]]&lt;&gt;LineærRegression_Valg[[#This Row],[Uafhængig variabel ID]]</f>
        <v>1</v>
      </c>
      <c r="E753" t="b">
        <f>LineærRegression_Valg[[#This Row],[Afhængig variabel ID]]&lt;=$B$5</f>
        <v>0</v>
      </c>
      <c r="F753" t="str" cm="1">
        <f t="array" ref="F753">IF(LineærRegression_Valg[[#This Row],[Indenfor range]],INDEX(DataTitel_liste,LineærRegression_Valg[[#This Row],[Afhængig variabel ID]]),INDEX(DataTitel_liste,1))</f>
        <v>Eksempel 1 (interval)</v>
      </c>
      <c r="G753" s="45" t="str" cm="1">
        <f t="array" ref="G753">IF(LineærRegression_Valg[[#This Row],[Indenfor range]],IF(LineærRegression_Valg[[#This Row],[Intet overlap]],INDEX(DataTitel_liste,LineærRegression_Valg[[#This Row],[Uafhængig variabel ID]]),INDEX(DataTitel_liste,IF(LineærRegression_Valg[[#This Row],[Afhængig variabel ID]]=1,2,1))),$B$7)</f>
        <v>Eksempel 2 (interval)</v>
      </c>
      <c r="H753" s="45">
        <f>_xlfn.AGGREGATE(2,5,LineærRegression_Valg[[#This Row],[Tabel ID]])</f>
        <v>1</v>
      </c>
    </row>
    <row r="754" spans="1:8" x14ac:dyDescent="0.2">
      <c r="A754">
        <f>ROW(LineærRegression_Valg[[#This Row],[Tabel ID]])-ROW(LineærRegression_Valg[[#Headers],[Tabel ID]])</f>
        <v>744</v>
      </c>
      <c r="B754" s="45">
        <f>ROUNDDOWN((LineærRegression_Valg[[#This Row],[Tabel ID]]-1)/$B$5,0)+1</f>
        <v>186</v>
      </c>
      <c r="C754" s="45">
        <f t="shared" si="11"/>
        <v>4</v>
      </c>
      <c r="D754" s="45" t="b">
        <f>LineærRegression_Valg[[#This Row],[Afhængig variabel ID]]&lt;&gt;LineærRegression_Valg[[#This Row],[Uafhængig variabel ID]]</f>
        <v>1</v>
      </c>
      <c r="E754" t="b">
        <f>LineærRegression_Valg[[#This Row],[Afhængig variabel ID]]&lt;=$B$5</f>
        <v>0</v>
      </c>
      <c r="F754" t="str" cm="1">
        <f t="array" ref="F754">IF(LineærRegression_Valg[[#This Row],[Indenfor range]],INDEX(DataTitel_liste,LineærRegression_Valg[[#This Row],[Afhængig variabel ID]]),INDEX(DataTitel_liste,1))</f>
        <v>Eksempel 1 (interval)</v>
      </c>
      <c r="G754" s="45" t="str" cm="1">
        <f t="array" ref="G754">IF(LineærRegression_Valg[[#This Row],[Indenfor range]],IF(LineærRegression_Valg[[#This Row],[Intet overlap]],INDEX(DataTitel_liste,LineærRegression_Valg[[#This Row],[Uafhængig variabel ID]]),INDEX(DataTitel_liste,IF(LineærRegression_Valg[[#This Row],[Afhængig variabel ID]]=1,2,1))),$B$7)</f>
        <v>Eksempel 2 (interval)</v>
      </c>
      <c r="H754" s="45">
        <f>_xlfn.AGGREGATE(2,5,LineærRegression_Valg[[#This Row],[Tabel ID]])</f>
        <v>1</v>
      </c>
    </row>
    <row r="755" spans="1:8" x14ac:dyDescent="0.2">
      <c r="A755">
        <f>ROW(LineærRegression_Valg[[#This Row],[Tabel ID]])-ROW(LineærRegression_Valg[[#Headers],[Tabel ID]])</f>
        <v>745</v>
      </c>
      <c r="B755" s="45">
        <f>ROUNDDOWN((LineærRegression_Valg[[#This Row],[Tabel ID]]-1)/$B$5,0)+1</f>
        <v>187</v>
      </c>
      <c r="C755" s="45">
        <f t="shared" si="11"/>
        <v>1</v>
      </c>
      <c r="D755" s="45" t="b">
        <f>LineærRegression_Valg[[#This Row],[Afhængig variabel ID]]&lt;&gt;LineærRegression_Valg[[#This Row],[Uafhængig variabel ID]]</f>
        <v>1</v>
      </c>
      <c r="E755" t="b">
        <f>LineærRegression_Valg[[#This Row],[Afhængig variabel ID]]&lt;=$B$5</f>
        <v>0</v>
      </c>
      <c r="F755" t="str" cm="1">
        <f t="array" ref="F755">IF(LineærRegression_Valg[[#This Row],[Indenfor range]],INDEX(DataTitel_liste,LineærRegression_Valg[[#This Row],[Afhængig variabel ID]]),INDEX(DataTitel_liste,1))</f>
        <v>Eksempel 1 (interval)</v>
      </c>
      <c r="G755" s="45" t="str" cm="1">
        <f t="array" ref="G755">IF(LineærRegression_Valg[[#This Row],[Indenfor range]],IF(LineærRegression_Valg[[#This Row],[Intet overlap]],INDEX(DataTitel_liste,LineærRegression_Valg[[#This Row],[Uafhængig variabel ID]]),INDEX(DataTitel_liste,IF(LineærRegression_Valg[[#This Row],[Afhængig variabel ID]]=1,2,1))),$B$7)</f>
        <v>Eksempel 2 (interval)</v>
      </c>
      <c r="H755" s="45">
        <f>_xlfn.AGGREGATE(2,5,LineærRegression_Valg[[#This Row],[Tabel ID]])</f>
        <v>1</v>
      </c>
    </row>
    <row r="756" spans="1:8" x14ac:dyDescent="0.2">
      <c r="A756">
        <f>ROW(LineærRegression_Valg[[#This Row],[Tabel ID]])-ROW(LineærRegression_Valg[[#Headers],[Tabel ID]])</f>
        <v>746</v>
      </c>
      <c r="B756" s="45">
        <f>ROUNDDOWN((LineærRegression_Valg[[#This Row],[Tabel ID]]-1)/$B$5,0)+1</f>
        <v>187</v>
      </c>
      <c r="C756" s="45">
        <f t="shared" si="11"/>
        <v>2</v>
      </c>
      <c r="D756" s="45" t="b">
        <f>LineærRegression_Valg[[#This Row],[Afhængig variabel ID]]&lt;&gt;LineærRegression_Valg[[#This Row],[Uafhængig variabel ID]]</f>
        <v>1</v>
      </c>
      <c r="E756" t="b">
        <f>LineærRegression_Valg[[#This Row],[Afhængig variabel ID]]&lt;=$B$5</f>
        <v>0</v>
      </c>
      <c r="F756" t="str" cm="1">
        <f t="array" ref="F756">IF(LineærRegression_Valg[[#This Row],[Indenfor range]],INDEX(DataTitel_liste,LineærRegression_Valg[[#This Row],[Afhængig variabel ID]]),INDEX(DataTitel_liste,1))</f>
        <v>Eksempel 1 (interval)</v>
      </c>
      <c r="G756" s="45" t="str" cm="1">
        <f t="array" ref="G756">IF(LineærRegression_Valg[[#This Row],[Indenfor range]],IF(LineærRegression_Valg[[#This Row],[Intet overlap]],INDEX(DataTitel_liste,LineærRegression_Valg[[#This Row],[Uafhængig variabel ID]]),INDEX(DataTitel_liste,IF(LineærRegression_Valg[[#This Row],[Afhængig variabel ID]]=1,2,1))),$B$7)</f>
        <v>Eksempel 2 (interval)</v>
      </c>
      <c r="H756" s="45">
        <f>_xlfn.AGGREGATE(2,5,LineærRegression_Valg[[#This Row],[Tabel ID]])</f>
        <v>1</v>
      </c>
    </row>
    <row r="757" spans="1:8" x14ac:dyDescent="0.2">
      <c r="A757">
        <f>ROW(LineærRegression_Valg[[#This Row],[Tabel ID]])-ROW(LineærRegression_Valg[[#Headers],[Tabel ID]])</f>
        <v>747</v>
      </c>
      <c r="B757" s="45">
        <f>ROUNDDOWN((LineærRegression_Valg[[#This Row],[Tabel ID]]-1)/$B$5,0)+1</f>
        <v>187</v>
      </c>
      <c r="C757" s="45">
        <f t="shared" si="11"/>
        <v>3</v>
      </c>
      <c r="D757" s="45" t="b">
        <f>LineærRegression_Valg[[#This Row],[Afhængig variabel ID]]&lt;&gt;LineærRegression_Valg[[#This Row],[Uafhængig variabel ID]]</f>
        <v>1</v>
      </c>
      <c r="E757" t="b">
        <f>LineærRegression_Valg[[#This Row],[Afhængig variabel ID]]&lt;=$B$5</f>
        <v>0</v>
      </c>
      <c r="F757" t="str" cm="1">
        <f t="array" ref="F757">IF(LineærRegression_Valg[[#This Row],[Indenfor range]],INDEX(DataTitel_liste,LineærRegression_Valg[[#This Row],[Afhængig variabel ID]]),INDEX(DataTitel_liste,1))</f>
        <v>Eksempel 1 (interval)</v>
      </c>
      <c r="G757" s="45" t="str" cm="1">
        <f t="array" ref="G757">IF(LineærRegression_Valg[[#This Row],[Indenfor range]],IF(LineærRegression_Valg[[#This Row],[Intet overlap]],INDEX(DataTitel_liste,LineærRegression_Valg[[#This Row],[Uafhængig variabel ID]]),INDEX(DataTitel_liste,IF(LineærRegression_Valg[[#This Row],[Afhængig variabel ID]]=1,2,1))),$B$7)</f>
        <v>Eksempel 2 (interval)</v>
      </c>
      <c r="H757" s="45">
        <f>_xlfn.AGGREGATE(2,5,LineærRegression_Valg[[#This Row],[Tabel ID]])</f>
        <v>1</v>
      </c>
    </row>
    <row r="758" spans="1:8" x14ac:dyDescent="0.2">
      <c r="A758">
        <f>ROW(LineærRegression_Valg[[#This Row],[Tabel ID]])-ROW(LineærRegression_Valg[[#Headers],[Tabel ID]])</f>
        <v>748</v>
      </c>
      <c r="B758" s="45">
        <f>ROUNDDOWN((LineærRegression_Valg[[#This Row],[Tabel ID]]-1)/$B$5,0)+1</f>
        <v>187</v>
      </c>
      <c r="C758" s="45">
        <f t="shared" si="11"/>
        <v>4</v>
      </c>
      <c r="D758" s="45" t="b">
        <f>LineærRegression_Valg[[#This Row],[Afhængig variabel ID]]&lt;&gt;LineærRegression_Valg[[#This Row],[Uafhængig variabel ID]]</f>
        <v>1</v>
      </c>
      <c r="E758" t="b">
        <f>LineærRegression_Valg[[#This Row],[Afhængig variabel ID]]&lt;=$B$5</f>
        <v>0</v>
      </c>
      <c r="F758" t="str" cm="1">
        <f t="array" ref="F758">IF(LineærRegression_Valg[[#This Row],[Indenfor range]],INDEX(DataTitel_liste,LineærRegression_Valg[[#This Row],[Afhængig variabel ID]]),INDEX(DataTitel_liste,1))</f>
        <v>Eksempel 1 (interval)</v>
      </c>
      <c r="G758" s="45" t="str" cm="1">
        <f t="array" ref="G758">IF(LineærRegression_Valg[[#This Row],[Indenfor range]],IF(LineærRegression_Valg[[#This Row],[Intet overlap]],INDEX(DataTitel_liste,LineærRegression_Valg[[#This Row],[Uafhængig variabel ID]]),INDEX(DataTitel_liste,IF(LineærRegression_Valg[[#This Row],[Afhængig variabel ID]]=1,2,1))),$B$7)</f>
        <v>Eksempel 2 (interval)</v>
      </c>
      <c r="H758" s="45">
        <f>_xlfn.AGGREGATE(2,5,LineærRegression_Valg[[#This Row],[Tabel ID]])</f>
        <v>1</v>
      </c>
    </row>
    <row r="759" spans="1:8" x14ac:dyDescent="0.2">
      <c r="A759">
        <f>ROW(LineærRegression_Valg[[#This Row],[Tabel ID]])-ROW(LineærRegression_Valg[[#Headers],[Tabel ID]])</f>
        <v>749</v>
      </c>
      <c r="B759" s="45">
        <f>ROUNDDOWN((LineærRegression_Valg[[#This Row],[Tabel ID]]-1)/$B$5,0)+1</f>
        <v>188</v>
      </c>
      <c r="C759" s="45">
        <f t="shared" si="11"/>
        <v>1</v>
      </c>
      <c r="D759" s="45" t="b">
        <f>LineærRegression_Valg[[#This Row],[Afhængig variabel ID]]&lt;&gt;LineærRegression_Valg[[#This Row],[Uafhængig variabel ID]]</f>
        <v>1</v>
      </c>
      <c r="E759" t="b">
        <f>LineærRegression_Valg[[#This Row],[Afhængig variabel ID]]&lt;=$B$5</f>
        <v>0</v>
      </c>
      <c r="F759" t="str" cm="1">
        <f t="array" ref="F759">IF(LineærRegression_Valg[[#This Row],[Indenfor range]],INDEX(DataTitel_liste,LineærRegression_Valg[[#This Row],[Afhængig variabel ID]]),INDEX(DataTitel_liste,1))</f>
        <v>Eksempel 1 (interval)</v>
      </c>
      <c r="G759" s="45" t="str" cm="1">
        <f t="array" ref="G759">IF(LineærRegression_Valg[[#This Row],[Indenfor range]],IF(LineærRegression_Valg[[#This Row],[Intet overlap]],INDEX(DataTitel_liste,LineærRegression_Valg[[#This Row],[Uafhængig variabel ID]]),INDEX(DataTitel_liste,IF(LineærRegression_Valg[[#This Row],[Afhængig variabel ID]]=1,2,1))),$B$7)</f>
        <v>Eksempel 2 (interval)</v>
      </c>
      <c r="H759" s="45">
        <f>_xlfn.AGGREGATE(2,5,LineærRegression_Valg[[#This Row],[Tabel ID]])</f>
        <v>1</v>
      </c>
    </row>
    <row r="760" spans="1:8" x14ac:dyDescent="0.2">
      <c r="A760">
        <f>ROW(LineærRegression_Valg[[#This Row],[Tabel ID]])-ROW(LineærRegression_Valg[[#Headers],[Tabel ID]])</f>
        <v>750</v>
      </c>
      <c r="B760" s="45">
        <f>ROUNDDOWN((LineærRegression_Valg[[#This Row],[Tabel ID]]-1)/$B$5,0)+1</f>
        <v>188</v>
      </c>
      <c r="C760" s="45">
        <f t="shared" si="11"/>
        <v>2</v>
      </c>
      <c r="D760" s="45" t="b">
        <f>LineærRegression_Valg[[#This Row],[Afhængig variabel ID]]&lt;&gt;LineærRegression_Valg[[#This Row],[Uafhængig variabel ID]]</f>
        <v>1</v>
      </c>
      <c r="E760" t="b">
        <f>LineærRegression_Valg[[#This Row],[Afhængig variabel ID]]&lt;=$B$5</f>
        <v>0</v>
      </c>
      <c r="F760" t="str" cm="1">
        <f t="array" ref="F760">IF(LineærRegression_Valg[[#This Row],[Indenfor range]],INDEX(DataTitel_liste,LineærRegression_Valg[[#This Row],[Afhængig variabel ID]]),INDEX(DataTitel_liste,1))</f>
        <v>Eksempel 1 (interval)</v>
      </c>
      <c r="G760" s="45" t="str" cm="1">
        <f t="array" ref="G760">IF(LineærRegression_Valg[[#This Row],[Indenfor range]],IF(LineærRegression_Valg[[#This Row],[Intet overlap]],INDEX(DataTitel_liste,LineærRegression_Valg[[#This Row],[Uafhængig variabel ID]]),INDEX(DataTitel_liste,IF(LineærRegression_Valg[[#This Row],[Afhængig variabel ID]]=1,2,1))),$B$7)</f>
        <v>Eksempel 2 (interval)</v>
      </c>
      <c r="H760" s="45">
        <f>_xlfn.AGGREGATE(2,5,LineærRegression_Valg[[#This Row],[Tabel ID]])</f>
        <v>1</v>
      </c>
    </row>
    <row r="761" spans="1:8" x14ac:dyDescent="0.2">
      <c r="A761">
        <f>ROW(LineærRegression_Valg[[#This Row],[Tabel ID]])-ROW(LineærRegression_Valg[[#Headers],[Tabel ID]])</f>
        <v>751</v>
      </c>
      <c r="B761" s="45">
        <f>ROUNDDOWN((LineærRegression_Valg[[#This Row],[Tabel ID]]-1)/$B$5,0)+1</f>
        <v>188</v>
      </c>
      <c r="C761" s="45">
        <f t="shared" si="11"/>
        <v>3</v>
      </c>
      <c r="D761" s="45" t="b">
        <f>LineærRegression_Valg[[#This Row],[Afhængig variabel ID]]&lt;&gt;LineærRegression_Valg[[#This Row],[Uafhængig variabel ID]]</f>
        <v>1</v>
      </c>
      <c r="E761" t="b">
        <f>LineærRegression_Valg[[#This Row],[Afhængig variabel ID]]&lt;=$B$5</f>
        <v>0</v>
      </c>
      <c r="F761" t="str" cm="1">
        <f t="array" ref="F761">IF(LineærRegression_Valg[[#This Row],[Indenfor range]],INDEX(DataTitel_liste,LineærRegression_Valg[[#This Row],[Afhængig variabel ID]]),INDEX(DataTitel_liste,1))</f>
        <v>Eksempel 1 (interval)</v>
      </c>
      <c r="G761" s="45" t="str" cm="1">
        <f t="array" ref="G761">IF(LineærRegression_Valg[[#This Row],[Indenfor range]],IF(LineærRegression_Valg[[#This Row],[Intet overlap]],INDEX(DataTitel_liste,LineærRegression_Valg[[#This Row],[Uafhængig variabel ID]]),INDEX(DataTitel_liste,IF(LineærRegression_Valg[[#This Row],[Afhængig variabel ID]]=1,2,1))),$B$7)</f>
        <v>Eksempel 2 (interval)</v>
      </c>
      <c r="H761" s="45">
        <f>_xlfn.AGGREGATE(2,5,LineærRegression_Valg[[#This Row],[Tabel ID]])</f>
        <v>1</v>
      </c>
    </row>
    <row r="762" spans="1:8" x14ac:dyDescent="0.2">
      <c r="A762">
        <f>ROW(LineærRegression_Valg[[#This Row],[Tabel ID]])-ROW(LineærRegression_Valg[[#Headers],[Tabel ID]])</f>
        <v>752</v>
      </c>
      <c r="B762" s="45">
        <f>ROUNDDOWN((LineærRegression_Valg[[#This Row],[Tabel ID]]-1)/$B$5,0)+1</f>
        <v>188</v>
      </c>
      <c r="C762" s="45">
        <f t="shared" si="11"/>
        <v>4</v>
      </c>
      <c r="D762" s="45" t="b">
        <f>LineærRegression_Valg[[#This Row],[Afhængig variabel ID]]&lt;&gt;LineærRegression_Valg[[#This Row],[Uafhængig variabel ID]]</f>
        <v>1</v>
      </c>
      <c r="E762" t="b">
        <f>LineærRegression_Valg[[#This Row],[Afhængig variabel ID]]&lt;=$B$5</f>
        <v>0</v>
      </c>
      <c r="F762" t="str" cm="1">
        <f t="array" ref="F762">IF(LineærRegression_Valg[[#This Row],[Indenfor range]],INDEX(DataTitel_liste,LineærRegression_Valg[[#This Row],[Afhængig variabel ID]]),INDEX(DataTitel_liste,1))</f>
        <v>Eksempel 1 (interval)</v>
      </c>
      <c r="G762" s="45" t="str" cm="1">
        <f t="array" ref="G762">IF(LineærRegression_Valg[[#This Row],[Indenfor range]],IF(LineærRegression_Valg[[#This Row],[Intet overlap]],INDEX(DataTitel_liste,LineærRegression_Valg[[#This Row],[Uafhængig variabel ID]]),INDEX(DataTitel_liste,IF(LineærRegression_Valg[[#This Row],[Afhængig variabel ID]]=1,2,1))),$B$7)</f>
        <v>Eksempel 2 (interval)</v>
      </c>
      <c r="H762" s="45">
        <f>_xlfn.AGGREGATE(2,5,LineærRegression_Valg[[#This Row],[Tabel ID]])</f>
        <v>1</v>
      </c>
    </row>
    <row r="763" spans="1:8" x14ac:dyDescent="0.2">
      <c r="A763">
        <f>ROW(LineærRegression_Valg[[#This Row],[Tabel ID]])-ROW(LineærRegression_Valg[[#Headers],[Tabel ID]])</f>
        <v>753</v>
      </c>
      <c r="B763" s="45">
        <f>ROUNDDOWN((LineærRegression_Valg[[#This Row],[Tabel ID]]-1)/$B$5,0)+1</f>
        <v>189</v>
      </c>
      <c r="C763" s="45">
        <f t="shared" si="11"/>
        <v>1</v>
      </c>
      <c r="D763" s="45" t="b">
        <f>LineærRegression_Valg[[#This Row],[Afhængig variabel ID]]&lt;&gt;LineærRegression_Valg[[#This Row],[Uafhængig variabel ID]]</f>
        <v>1</v>
      </c>
      <c r="E763" t="b">
        <f>LineærRegression_Valg[[#This Row],[Afhængig variabel ID]]&lt;=$B$5</f>
        <v>0</v>
      </c>
      <c r="F763" t="str" cm="1">
        <f t="array" ref="F763">IF(LineærRegression_Valg[[#This Row],[Indenfor range]],INDEX(DataTitel_liste,LineærRegression_Valg[[#This Row],[Afhængig variabel ID]]),INDEX(DataTitel_liste,1))</f>
        <v>Eksempel 1 (interval)</v>
      </c>
      <c r="G763" s="45" t="str" cm="1">
        <f t="array" ref="G763">IF(LineærRegression_Valg[[#This Row],[Indenfor range]],IF(LineærRegression_Valg[[#This Row],[Intet overlap]],INDEX(DataTitel_liste,LineærRegression_Valg[[#This Row],[Uafhængig variabel ID]]),INDEX(DataTitel_liste,IF(LineærRegression_Valg[[#This Row],[Afhængig variabel ID]]=1,2,1))),$B$7)</f>
        <v>Eksempel 2 (interval)</v>
      </c>
      <c r="H763" s="45">
        <f>_xlfn.AGGREGATE(2,5,LineærRegression_Valg[[#This Row],[Tabel ID]])</f>
        <v>1</v>
      </c>
    </row>
    <row r="764" spans="1:8" x14ac:dyDescent="0.2">
      <c r="A764">
        <f>ROW(LineærRegression_Valg[[#This Row],[Tabel ID]])-ROW(LineærRegression_Valg[[#Headers],[Tabel ID]])</f>
        <v>754</v>
      </c>
      <c r="B764" s="45">
        <f>ROUNDDOWN((LineærRegression_Valg[[#This Row],[Tabel ID]]-1)/$B$5,0)+1</f>
        <v>189</v>
      </c>
      <c r="C764" s="45">
        <f t="shared" si="11"/>
        <v>2</v>
      </c>
      <c r="D764" s="45" t="b">
        <f>LineærRegression_Valg[[#This Row],[Afhængig variabel ID]]&lt;&gt;LineærRegression_Valg[[#This Row],[Uafhængig variabel ID]]</f>
        <v>1</v>
      </c>
      <c r="E764" t="b">
        <f>LineærRegression_Valg[[#This Row],[Afhængig variabel ID]]&lt;=$B$5</f>
        <v>0</v>
      </c>
      <c r="F764" t="str" cm="1">
        <f t="array" ref="F764">IF(LineærRegression_Valg[[#This Row],[Indenfor range]],INDEX(DataTitel_liste,LineærRegression_Valg[[#This Row],[Afhængig variabel ID]]),INDEX(DataTitel_liste,1))</f>
        <v>Eksempel 1 (interval)</v>
      </c>
      <c r="G764" s="45" t="str" cm="1">
        <f t="array" ref="G764">IF(LineærRegression_Valg[[#This Row],[Indenfor range]],IF(LineærRegression_Valg[[#This Row],[Intet overlap]],INDEX(DataTitel_liste,LineærRegression_Valg[[#This Row],[Uafhængig variabel ID]]),INDEX(DataTitel_liste,IF(LineærRegression_Valg[[#This Row],[Afhængig variabel ID]]=1,2,1))),$B$7)</f>
        <v>Eksempel 2 (interval)</v>
      </c>
      <c r="H764" s="45">
        <f>_xlfn.AGGREGATE(2,5,LineærRegression_Valg[[#This Row],[Tabel ID]])</f>
        <v>1</v>
      </c>
    </row>
    <row r="765" spans="1:8" x14ac:dyDescent="0.2">
      <c r="A765">
        <f>ROW(LineærRegression_Valg[[#This Row],[Tabel ID]])-ROW(LineærRegression_Valg[[#Headers],[Tabel ID]])</f>
        <v>755</v>
      </c>
      <c r="B765" s="45">
        <f>ROUNDDOWN((LineærRegression_Valg[[#This Row],[Tabel ID]]-1)/$B$5,0)+1</f>
        <v>189</v>
      </c>
      <c r="C765" s="45">
        <f t="shared" si="11"/>
        <v>3</v>
      </c>
      <c r="D765" s="45" t="b">
        <f>LineærRegression_Valg[[#This Row],[Afhængig variabel ID]]&lt;&gt;LineærRegression_Valg[[#This Row],[Uafhængig variabel ID]]</f>
        <v>1</v>
      </c>
      <c r="E765" t="b">
        <f>LineærRegression_Valg[[#This Row],[Afhængig variabel ID]]&lt;=$B$5</f>
        <v>0</v>
      </c>
      <c r="F765" t="str" cm="1">
        <f t="array" ref="F765">IF(LineærRegression_Valg[[#This Row],[Indenfor range]],INDEX(DataTitel_liste,LineærRegression_Valg[[#This Row],[Afhængig variabel ID]]),INDEX(DataTitel_liste,1))</f>
        <v>Eksempel 1 (interval)</v>
      </c>
      <c r="G765" s="45" t="str" cm="1">
        <f t="array" ref="G765">IF(LineærRegression_Valg[[#This Row],[Indenfor range]],IF(LineærRegression_Valg[[#This Row],[Intet overlap]],INDEX(DataTitel_liste,LineærRegression_Valg[[#This Row],[Uafhængig variabel ID]]),INDEX(DataTitel_liste,IF(LineærRegression_Valg[[#This Row],[Afhængig variabel ID]]=1,2,1))),$B$7)</f>
        <v>Eksempel 2 (interval)</v>
      </c>
      <c r="H765" s="45">
        <f>_xlfn.AGGREGATE(2,5,LineærRegression_Valg[[#This Row],[Tabel ID]])</f>
        <v>1</v>
      </c>
    </row>
    <row r="766" spans="1:8" x14ac:dyDescent="0.2">
      <c r="A766">
        <f>ROW(LineærRegression_Valg[[#This Row],[Tabel ID]])-ROW(LineærRegression_Valg[[#Headers],[Tabel ID]])</f>
        <v>756</v>
      </c>
      <c r="B766" s="45">
        <f>ROUNDDOWN((LineærRegression_Valg[[#This Row],[Tabel ID]]-1)/$B$5,0)+1</f>
        <v>189</v>
      </c>
      <c r="C766" s="45">
        <f t="shared" si="11"/>
        <v>4</v>
      </c>
      <c r="D766" s="45" t="b">
        <f>LineærRegression_Valg[[#This Row],[Afhængig variabel ID]]&lt;&gt;LineærRegression_Valg[[#This Row],[Uafhængig variabel ID]]</f>
        <v>1</v>
      </c>
      <c r="E766" t="b">
        <f>LineærRegression_Valg[[#This Row],[Afhængig variabel ID]]&lt;=$B$5</f>
        <v>0</v>
      </c>
      <c r="F766" t="str" cm="1">
        <f t="array" ref="F766">IF(LineærRegression_Valg[[#This Row],[Indenfor range]],INDEX(DataTitel_liste,LineærRegression_Valg[[#This Row],[Afhængig variabel ID]]),INDEX(DataTitel_liste,1))</f>
        <v>Eksempel 1 (interval)</v>
      </c>
      <c r="G766" s="45" t="str" cm="1">
        <f t="array" ref="G766">IF(LineærRegression_Valg[[#This Row],[Indenfor range]],IF(LineærRegression_Valg[[#This Row],[Intet overlap]],INDEX(DataTitel_liste,LineærRegression_Valg[[#This Row],[Uafhængig variabel ID]]),INDEX(DataTitel_liste,IF(LineærRegression_Valg[[#This Row],[Afhængig variabel ID]]=1,2,1))),$B$7)</f>
        <v>Eksempel 2 (interval)</v>
      </c>
      <c r="H766" s="45">
        <f>_xlfn.AGGREGATE(2,5,LineærRegression_Valg[[#This Row],[Tabel ID]])</f>
        <v>1</v>
      </c>
    </row>
    <row r="767" spans="1:8" x14ac:dyDescent="0.2">
      <c r="A767">
        <f>ROW(LineærRegression_Valg[[#This Row],[Tabel ID]])-ROW(LineærRegression_Valg[[#Headers],[Tabel ID]])</f>
        <v>757</v>
      </c>
      <c r="B767" s="45">
        <f>ROUNDDOWN((LineærRegression_Valg[[#This Row],[Tabel ID]]-1)/$B$5,0)+1</f>
        <v>190</v>
      </c>
      <c r="C767" s="45">
        <f t="shared" si="11"/>
        <v>1</v>
      </c>
      <c r="D767" s="45" t="b">
        <f>LineærRegression_Valg[[#This Row],[Afhængig variabel ID]]&lt;&gt;LineærRegression_Valg[[#This Row],[Uafhængig variabel ID]]</f>
        <v>1</v>
      </c>
      <c r="E767" t="b">
        <f>LineærRegression_Valg[[#This Row],[Afhængig variabel ID]]&lt;=$B$5</f>
        <v>0</v>
      </c>
      <c r="F767" t="str" cm="1">
        <f t="array" ref="F767">IF(LineærRegression_Valg[[#This Row],[Indenfor range]],INDEX(DataTitel_liste,LineærRegression_Valg[[#This Row],[Afhængig variabel ID]]),INDEX(DataTitel_liste,1))</f>
        <v>Eksempel 1 (interval)</v>
      </c>
      <c r="G767" s="45" t="str" cm="1">
        <f t="array" ref="G767">IF(LineærRegression_Valg[[#This Row],[Indenfor range]],IF(LineærRegression_Valg[[#This Row],[Intet overlap]],INDEX(DataTitel_liste,LineærRegression_Valg[[#This Row],[Uafhængig variabel ID]]),INDEX(DataTitel_liste,IF(LineærRegression_Valg[[#This Row],[Afhængig variabel ID]]=1,2,1))),$B$7)</f>
        <v>Eksempel 2 (interval)</v>
      </c>
      <c r="H767" s="45">
        <f>_xlfn.AGGREGATE(2,5,LineærRegression_Valg[[#This Row],[Tabel ID]])</f>
        <v>1</v>
      </c>
    </row>
    <row r="768" spans="1:8" x14ac:dyDescent="0.2">
      <c r="A768">
        <f>ROW(LineærRegression_Valg[[#This Row],[Tabel ID]])-ROW(LineærRegression_Valg[[#Headers],[Tabel ID]])</f>
        <v>758</v>
      </c>
      <c r="B768" s="45">
        <f>ROUNDDOWN((LineærRegression_Valg[[#This Row],[Tabel ID]]-1)/$B$5,0)+1</f>
        <v>190</v>
      </c>
      <c r="C768" s="45">
        <f t="shared" si="11"/>
        <v>2</v>
      </c>
      <c r="D768" s="45" t="b">
        <f>LineærRegression_Valg[[#This Row],[Afhængig variabel ID]]&lt;&gt;LineærRegression_Valg[[#This Row],[Uafhængig variabel ID]]</f>
        <v>1</v>
      </c>
      <c r="E768" t="b">
        <f>LineærRegression_Valg[[#This Row],[Afhængig variabel ID]]&lt;=$B$5</f>
        <v>0</v>
      </c>
      <c r="F768" t="str" cm="1">
        <f t="array" ref="F768">IF(LineærRegression_Valg[[#This Row],[Indenfor range]],INDEX(DataTitel_liste,LineærRegression_Valg[[#This Row],[Afhængig variabel ID]]),INDEX(DataTitel_liste,1))</f>
        <v>Eksempel 1 (interval)</v>
      </c>
      <c r="G768" s="45" t="str" cm="1">
        <f t="array" ref="G768">IF(LineærRegression_Valg[[#This Row],[Indenfor range]],IF(LineærRegression_Valg[[#This Row],[Intet overlap]],INDEX(DataTitel_liste,LineærRegression_Valg[[#This Row],[Uafhængig variabel ID]]),INDEX(DataTitel_liste,IF(LineærRegression_Valg[[#This Row],[Afhængig variabel ID]]=1,2,1))),$B$7)</f>
        <v>Eksempel 2 (interval)</v>
      </c>
      <c r="H768" s="45">
        <f>_xlfn.AGGREGATE(2,5,LineærRegression_Valg[[#This Row],[Tabel ID]])</f>
        <v>1</v>
      </c>
    </row>
    <row r="769" spans="1:8" x14ac:dyDescent="0.2">
      <c r="A769">
        <f>ROW(LineærRegression_Valg[[#This Row],[Tabel ID]])-ROW(LineærRegression_Valg[[#Headers],[Tabel ID]])</f>
        <v>759</v>
      </c>
      <c r="B769" s="45">
        <f>ROUNDDOWN((LineærRegression_Valg[[#This Row],[Tabel ID]]-1)/$B$5,0)+1</f>
        <v>190</v>
      </c>
      <c r="C769" s="45">
        <f t="shared" si="11"/>
        <v>3</v>
      </c>
      <c r="D769" s="45" t="b">
        <f>LineærRegression_Valg[[#This Row],[Afhængig variabel ID]]&lt;&gt;LineærRegression_Valg[[#This Row],[Uafhængig variabel ID]]</f>
        <v>1</v>
      </c>
      <c r="E769" t="b">
        <f>LineærRegression_Valg[[#This Row],[Afhængig variabel ID]]&lt;=$B$5</f>
        <v>0</v>
      </c>
      <c r="F769" t="str" cm="1">
        <f t="array" ref="F769">IF(LineærRegression_Valg[[#This Row],[Indenfor range]],INDEX(DataTitel_liste,LineærRegression_Valg[[#This Row],[Afhængig variabel ID]]),INDEX(DataTitel_liste,1))</f>
        <v>Eksempel 1 (interval)</v>
      </c>
      <c r="G769" s="45" t="str" cm="1">
        <f t="array" ref="G769">IF(LineærRegression_Valg[[#This Row],[Indenfor range]],IF(LineærRegression_Valg[[#This Row],[Intet overlap]],INDEX(DataTitel_liste,LineærRegression_Valg[[#This Row],[Uafhængig variabel ID]]),INDEX(DataTitel_liste,IF(LineærRegression_Valg[[#This Row],[Afhængig variabel ID]]=1,2,1))),$B$7)</f>
        <v>Eksempel 2 (interval)</v>
      </c>
      <c r="H769" s="45">
        <f>_xlfn.AGGREGATE(2,5,LineærRegression_Valg[[#This Row],[Tabel ID]])</f>
        <v>1</v>
      </c>
    </row>
    <row r="770" spans="1:8" x14ac:dyDescent="0.2">
      <c r="A770">
        <f>ROW(LineærRegression_Valg[[#This Row],[Tabel ID]])-ROW(LineærRegression_Valg[[#Headers],[Tabel ID]])</f>
        <v>760</v>
      </c>
      <c r="B770" s="45">
        <f>ROUNDDOWN((LineærRegression_Valg[[#This Row],[Tabel ID]]-1)/$B$5,0)+1</f>
        <v>190</v>
      </c>
      <c r="C770" s="45">
        <f t="shared" si="11"/>
        <v>4</v>
      </c>
      <c r="D770" s="45" t="b">
        <f>LineærRegression_Valg[[#This Row],[Afhængig variabel ID]]&lt;&gt;LineærRegression_Valg[[#This Row],[Uafhængig variabel ID]]</f>
        <v>1</v>
      </c>
      <c r="E770" t="b">
        <f>LineærRegression_Valg[[#This Row],[Afhængig variabel ID]]&lt;=$B$5</f>
        <v>0</v>
      </c>
      <c r="F770" t="str" cm="1">
        <f t="array" ref="F770">IF(LineærRegression_Valg[[#This Row],[Indenfor range]],INDEX(DataTitel_liste,LineærRegression_Valg[[#This Row],[Afhængig variabel ID]]),INDEX(DataTitel_liste,1))</f>
        <v>Eksempel 1 (interval)</v>
      </c>
      <c r="G770" s="45" t="str" cm="1">
        <f t="array" ref="G770">IF(LineærRegression_Valg[[#This Row],[Indenfor range]],IF(LineærRegression_Valg[[#This Row],[Intet overlap]],INDEX(DataTitel_liste,LineærRegression_Valg[[#This Row],[Uafhængig variabel ID]]),INDEX(DataTitel_liste,IF(LineærRegression_Valg[[#This Row],[Afhængig variabel ID]]=1,2,1))),$B$7)</f>
        <v>Eksempel 2 (interval)</v>
      </c>
      <c r="H770" s="45">
        <f>_xlfn.AGGREGATE(2,5,LineærRegression_Valg[[#This Row],[Tabel ID]])</f>
        <v>1</v>
      </c>
    </row>
    <row r="771" spans="1:8" x14ac:dyDescent="0.2">
      <c r="A771">
        <f>ROW(LineærRegression_Valg[[#This Row],[Tabel ID]])-ROW(LineærRegression_Valg[[#Headers],[Tabel ID]])</f>
        <v>761</v>
      </c>
      <c r="B771" s="45">
        <f>ROUNDDOWN((LineærRegression_Valg[[#This Row],[Tabel ID]]-1)/$B$5,0)+1</f>
        <v>191</v>
      </c>
      <c r="C771" s="45">
        <f t="shared" si="11"/>
        <v>1</v>
      </c>
      <c r="D771" s="45" t="b">
        <f>LineærRegression_Valg[[#This Row],[Afhængig variabel ID]]&lt;&gt;LineærRegression_Valg[[#This Row],[Uafhængig variabel ID]]</f>
        <v>1</v>
      </c>
      <c r="E771" t="b">
        <f>LineærRegression_Valg[[#This Row],[Afhængig variabel ID]]&lt;=$B$5</f>
        <v>0</v>
      </c>
      <c r="F771" t="str" cm="1">
        <f t="array" ref="F771">IF(LineærRegression_Valg[[#This Row],[Indenfor range]],INDEX(DataTitel_liste,LineærRegression_Valg[[#This Row],[Afhængig variabel ID]]),INDEX(DataTitel_liste,1))</f>
        <v>Eksempel 1 (interval)</v>
      </c>
      <c r="G771" s="45" t="str" cm="1">
        <f t="array" ref="G771">IF(LineærRegression_Valg[[#This Row],[Indenfor range]],IF(LineærRegression_Valg[[#This Row],[Intet overlap]],INDEX(DataTitel_liste,LineærRegression_Valg[[#This Row],[Uafhængig variabel ID]]),INDEX(DataTitel_liste,IF(LineærRegression_Valg[[#This Row],[Afhængig variabel ID]]=1,2,1))),$B$7)</f>
        <v>Eksempel 2 (interval)</v>
      </c>
      <c r="H771" s="45">
        <f>_xlfn.AGGREGATE(2,5,LineærRegression_Valg[[#This Row],[Tabel ID]])</f>
        <v>1</v>
      </c>
    </row>
    <row r="772" spans="1:8" x14ac:dyDescent="0.2">
      <c r="A772">
        <f>ROW(LineærRegression_Valg[[#This Row],[Tabel ID]])-ROW(LineærRegression_Valg[[#Headers],[Tabel ID]])</f>
        <v>762</v>
      </c>
      <c r="B772" s="45">
        <f>ROUNDDOWN((LineærRegression_Valg[[#This Row],[Tabel ID]]-1)/$B$5,0)+1</f>
        <v>191</v>
      </c>
      <c r="C772" s="45">
        <f t="shared" si="11"/>
        <v>2</v>
      </c>
      <c r="D772" s="45" t="b">
        <f>LineærRegression_Valg[[#This Row],[Afhængig variabel ID]]&lt;&gt;LineærRegression_Valg[[#This Row],[Uafhængig variabel ID]]</f>
        <v>1</v>
      </c>
      <c r="E772" t="b">
        <f>LineærRegression_Valg[[#This Row],[Afhængig variabel ID]]&lt;=$B$5</f>
        <v>0</v>
      </c>
      <c r="F772" t="str" cm="1">
        <f t="array" ref="F772">IF(LineærRegression_Valg[[#This Row],[Indenfor range]],INDEX(DataTitel_liste,LineærRegression_Valg[[#This Row],[Afhængig variabel ID]]),INDEX(DataTitel_liste,1))</f>
        <v>Eksempel 1 (interval)</v>
      </c>
      <c r="G772" s="45" t="str" cm="1">
        <f t="array" ref="G772">IF(LineærRegression_Valg[[#This Row],[Indenfor range]],IF(LineærRegression_Valg[[#This Row],[Intet overlap]],INDEX(DataTitel_liste,LineærRegression_Valg[[#This Row],[Uafhængig variabel ID]]),INDEX(DataTitel_liste,IF(LineærRegression_Valg[[#This Row],[Afhængig variabel ID]]=1,2,1))),$B$7)</f>
        <v>Eksempel 2 (interval)</v>
      </c>
      <c r="H772" s="45">
        <f>_xlfn.AGGREGATE(2,5,LineærRegression_Valg[[#This Row],[Tabel ID]])</f>
        <v>1</v>
      </c>
    </row>
    <row r="773" spans="1:8" x14ac:dyDescent="0.2">
      <c r="A773">
        <f>ROW(LineærRegression_Valg[[#This Row],[Tabel ID]])-ROW(LineærRegression_Valg[[#Headers],[Tabel ID]])</f>
        <v>763</v>
      </c>
      <c r="B773" s="45">
        <f>ROUNDDOWN((LineærRegression_Valg[[#This Row],[Tabel ID]]-1)/$B$5,0)+1</f>
        <v>191</v>
      </c>
      <c r="C773" s="45">
        <f t="shared" si="11"/>
        <v>3</v>
      </c>
      <c r="D773" s="45" t="b">
        <f>LineærRegression_Valg[[#This Row],[Afhængig variabel ID]]&lt;&gt;LineærRegression_Valg[[#This Row],[Uafhængig variabel ID]]</f>
        <v>1</v>
      </c>
      <c r="E773" t="b">
        <f>LineærRegression_Valg[[#This Row],[Afhængig variabel ID]]&lt;=$B$5</f>
        <v>0</v>
      </c>
      <c r="F773" t="str" cm="1">
        <f t="array" ref="F773">IF(LineærRegression_Valg[[#This Row],[Indenfor range]],INDEX(DataTitel_liste,LineærRegression_Valg[[#This Row],[Afhængig variabel ID]]),INDEX(DataTitel_liste,1))</f>
        <v>Eksempel 1 (interval)</v>
      </c>
      <c r="G773" s="45" t="str" cm="1">
        <f t="array" ref="G773">IF(LineærRegression_Valg[[#This Row],[Indenfor range]],IF(LineærRegression_Valg[[#This Row],[Intet overlap]],INDEX(DataTitel_liste,LineærRegression_Valg[[#This Row],[Uafhængig variabel ID]]),INDEX(DataTitel_liste,IF(LineærRegression_Valg[[#This Row],[Afhængig variabel ID]]=1,2,1))),$B$7)</f>
        <v>Eksempel 2 (interval)</v>
      </c>
      <c r="H773" s="45">
        <f>_xlfn.AGGREGATE(2,5,LineærRegression_Valg[[#This Row],[Tabel ID]])</f>
        <v>1</v>
      </c>
    </row>
    <row r="774" spans="1:8" x14ac:dyDescent="0.2">
      <c r="A774">
        <f>ROW(LineærRegression_Valg[[#This Row],[Tabel ID]])-ROW(LineærRegression_Valg[[#Headers],[Tabel ID]])</f>
        <v>764</v>
      </c>
      <c r="B774" s="45">
        <f>ROUNDDOWN((LineærRegression_Valg[[#This Row],[Tabel ID]]-1)/$B$5,0)+1</f>
        <v>191</v>
      </c>
      <c r="C774" s="45">
        <f t="shared" si="11"/>
        <v>4</v>
      </c>
      <c r="D774" s="45" t="b">
        <f>LineærRegression_Valg[[#This Row],[Afhængig variabel ID]]&lt;&gt;LineærRegression_Valg[[#This Row],[Uafhængig variabel ID]]</f>
        <v>1</v>
      </c>
      <c r="E774" t="b">
        <f>LineærRegression_Valg[[#This Row],[Afhængig variabel ID]]&lt;=$B$5</f>
        <v>0</v>
      </c>
      <c r="F774" t="str" cm="1">
        <f t="array" ref="F774">IF(LineærRegression_Valg[[#This Row],[Indenfor range]],INDEX(DataTitel_liste,LineærRegression_Valg[[#This Row],[Afhængig variabel ID]]),INDEX(DataTitel_liste,1))</f>
        <v>Eksempel 1 (interval)</v>
      </c>
      <c r="G774" s="45" t="str" cm="1">
        <f t="array" ref="G774">IF(LineærRegression_Valg[[#This Row],[Indenfor range]],IF(LineærRegression_Valg[[#This Row],[Intet overlap]],INDEX(DataTitel_liste,LineærRegression_Valg[[#This Row],[Uafhængig variabel ID]]),INDEX(DataTitel_liste,IF(LineærRegression_Valg[[#This Row],[Afhængig variabel ID]]=1,2,1))),$B$7)</f>
        <v>Eksempel 2 (interval)</v>
      </c>
      <c r="H774" s="45">
        <f>_xlfn.AGGREGATE(2,5,LineærRegression_Valg[[#This Row],[Tabel ID]])</f>
        <v>1</v>
      </c>
    </row>
    <row r="775" spans="1:8" x14ac:dyDescent="0.2">
      <c r="A775">
        <f>ROW(LineærRegression_Valg[[#This Row],[Tabel ID]])-ROW(LineærRegression_Valg[[#Headers],[Tabel ID]])</f>
        <v>765</v>
      </c>
      <c r="B775" s="45">
        <f>ROUNDDOWN((LineærRegression_Valg[[#This Row],[Tabel ID]]-1)/$B$5,0)+1</f>
        <v>192</v>
      </c>
      <c r="C775" s="45">
        <f t="shared" si="11"/>
        <v>1</v>
      </c>
      <c r="D775" s="45" t="b">
        <f>LineærRegression_Valg[[#This Row],[Afhængig variabel ID]]&lt;&gt;LineærRegression_Valg[[#This Row],[Uafhængig variabel ID]]</f>
        <v>1</v>
      </c>
      <c r="E775" t="b">
        <f>LineærRegression_Valg[[#This Row],[Afhængig variabel ID]]&lt;=$B$5</f>
        <v>0</v>
      </c>
      <c r="F775" t="str" cm="1">
        <f t="array" ref="F775">IF(LineærRegression_Valg[[#This Row],[Indenfor range]],INDEX(DataTitel_liste,LineærRegression_Valg[[#This Row],[Afhængig variabel ID]]),INDEX(DataTitel_liste,1))</f>
        <v>Eksempel 1 (interval)</v>
      </c>
      <c r="G775" s="45" t="str" cm="1">
        <f t="array" ref="G775">IF(LineærRegression_Valg[[#This Row],[Indenfor range]],IF(LineærRegression_Valg[[#This Row],[Intet overlap]],INDEX(DataTitel_liste,LineærRegression_Valg[[#This Row],[Uafhængig variabel ID]]),INDEX(DataTitel_liste,IF(LineærRegression_Valg[[#This Row],[Afhængig variabel ID]]=1,2,1))),$B$7)</f>
        <v>Eksempel 2 (interval)</v>
      </c>
      <c r="H775" s="45">
        <f>_xlfn.AGGREGATE(2,5,LineærRegression_Valg[[#This Row],[Tabel ID]])</f>
        <v>1</v>
      </c>
    </row>
    <row r="776" spans="1:8" x14ac:dyDescent="0.2">
      <c r="A776">
        <f>ROW(LineærRegression_Valg[[#This Row],[Tabel ID]])-ROW(LineærRegression_Valg[[#Headers],[Tabel ID]])</f>
        <v>766</v>
      </c>
      <c r="B776" s="45">
        <f>ROUNDDOWN((LineærRegression_Valg[[#This Row],[Tabel ID]]-1)/$B$5,0)+1</f>
        <v>192</v>
      </c>
      <c r="C776" s="45">
        <f t="shared" si="11"/>
        <v>2</v>
      </c>
      <c r="D776" s="45" t="b">
        <f>LineærRegression_Valg[[#This Row],[Afhængig variabel ID]]&lt;&gt;LineærRegression_Valg[[#This Row],[Uafhængig variabel ID]]</f>
        <v>1</v>
      </c>
      <c r="E776" t="b">
        <f>LineærRegression_Valg[[#This Row],[Afhængig variabel ID]]&lt;=$B$5</f>
        <v>0</v>
      </c>
      <c r="F776" t="str" cm="1">
        <f t="array" ref="F776">IF(LineærRegression_Valg[[#This Row],[Indenfor range]],INDEX(DataTitel_liste,LineærRegression_Valg[[#This Row],[Afhængig variabel ID]]),INDEX(DataTitel_liste,1))</f>
        <v>Eksempel 1 (interval)</v>
      </c>
      <c r="G776" s="45" t="str" cm="1">
        <f t="array" ref="G776">IF(LineærRegression_Valg[[#This Row],[Indenfor range]],IF(LineærRegression_Valg[[#This Row],[Intet overlap]],INDEX(DataTitel_liste,LineærRegression_Valg[[#This Row],[Uafhængig variabel ID]]),INDEX(DataTitel_liste,IF(LineærRegression_Valg[[#This Row],[Afhængig variabel ID]]=1,2,1))),$B$7)</f>
        <v>Eksempel 2 (interval)</v>
      </c>
      <c r="H776" s="45">
        <f>_xlfn.AGGREGATE(2,5,LineærRegression_Valg[[#This Row],[Tabel ID]])</f>
        <v>1</v>
      </c>
    </row>
    <row r="777" spans="1:8" x14ac:dyDescent="0.2">
      <c r="A777">
        <f>ROW(LineærRegression_Valg[[#This Row],[Tabel ID]])-ROW(LineærRegression_Valg[[#Headers],[Tabel ID]])</f>
        <v>767</v>
      </c>
      <c r="B777" s="45">
        <f>ROUNDDOWN((LineærRegression_Valg[[#This Row],[Tabel ID]]-1)/$B$5,0)+1</f>
        <v>192</v>
      </c>
      <c r="C777" s="45">
        <f t="shared" si="11"/>
        <v>3</v>
      </c>
      <c r="D777" s="45" t="b">
        <f>LineærRegression_Valg[[#This Row],[Afhængig variabel ID]]&lt;&gt;LineærRegression_Valg[[#This Row],[Uafhængig variabel ID]]</f>
        <v>1</v>
      </c>
      <c r="E777" t="b">
        <f>LineærRegression_Valg[[#This Row],[Afhængig variabel ID]]&lt;=$B$5</f>
        <v>0</v>
      </c>
      <c r="F777" t="str" cm="1">
        <f t="array" ref="F777">IF(LineærRegression_Valg[[#This Row],[Indenfor range]],INDEX(DataTitel_liste,LineærRegression_Valg[[#This Row],[Afhængig variabel ID]]),INDEX(DataTitel_liste,1))</f>
        <v>Eksempel 1 (interval)</v>
      </c>
      <c r="G777" s="45" t="str" cm="1">
        <f t="array" ref="G777">IF(LineærRegression_Valg[[#This Row],[Indenfor range]],IF(LineærRegression_Valg[[#This Row],[Intet overlap]],INDEX(DataTitel_liste,LineærRegression_Valg[[#This Row],[Uafhængig variabel ID]]),INDEX(DataTitel_liste,IF(LineærRegression_Valg[[#This Row],[Afhængig variabel ID]]=1,2,1))),$B$7)</f>
        <v>Eksempel 2 (interval)</v>
      </c>
      <c r="H777" s="45">
        <f>_xlfn.AGGREGATE(2,5,LineærRegression_Valg[[#This Row],[Tabel ID]])</f>
        <v>1</v>
      </c>
    </row>
    <row r="778" spans="1:8" x14ac:dyDescent="0.2">
      <c r="A778">
        <f>ROW(LineærRegression_Valg[[#This Row],[Tabel ID]])-ROW(LineærRegression_Valg[[#Headers],[Tabel ID]])</f>
        <v>768</v>
      </c>
      <c r="B778" s="45">
        <f>ROUNDDOWN((LineærRegression_Valg[[#This Row],[Tabel ID]]-1)/$B$5,0)+1</f>
        <v>192</v>
      </c>
      <c r="C778" s="45">
        <f t="shared" si="11"/>
        <v>4</v>
      </c>
      <c r="D778" s="45" t="b">
        <f>LineærRegression_Valg[[#This Row],[Afhængig variabel ID]]&lt;&gt;LineærRegression_Valg[[#This Row],[Uafhængig variabel ID]]</f>
        <v>1</v>
      </c>
      <c r="E778" t="b">
        <f>LineærRegression_Valg[[#This Row],[Afhængig variabel ID]]&lt;=$B$5</f>
        <v>0</v>
      </c>
      <c r="F778" t="str" cm="1">
        <f t="array" ref="F778">IF(LineærRegression_Valg[[#This Row],[Indenfor range]],INDEX(DataTitel_liste,LineærRegression_Valg[[#This Row],[Afhængig variabel ID]]),INDEX(DataTitel_liste,1))</f>
        <v>Eksempel 1 (interval)</v>
      </c>
      <c r="G778" s="45" t="str" cm="1">
        <f t="array" ref="G778">IF(LineærRegression_Valg[[#This Row],[Indenfor range]],IF(LineærRegression_Valg[[#This Row],[Intet overlap]],INDEX(DataTitel_liste,LineærRegression_Valg[[#This Row],[Uafhængig variabel ID]]),INDEX(DataTitel_liste,IF(LineærRegression_Valg[[#This Row],[Afhængig variabel ID]]=1,2,1))),$B$7)</f>
        <v>Eksempel 2 (interval)</v>
      </c>
      <c r="H778" s="45">
        <f>_xlfn.AGGREGATE(2,5,LineærRegression_Valg[[#This Row],[Tabel ID]])</f>
        <v>1</v>
      </c>
    </row>
    <row r="779" spans="1:8" x14ac:dyDescent="0.2">
      <c r="A779">
        <f>ROW(LineærRegression_Valg[[#This Row],[Tabel ID]])-ROW(LineærRegression_Valg[[#Headers],[Tabel ID]])</f>
        <v>769</v>
      </c>
      <c r="B779" s="45">
        <f>ROUNDDOWN((LineærRegression_Valg[[#This Row],[Tabel ID]]-1)/$B$5,0)+1</f>
        <v>193</v>
      </c>
      <c r="C779" s="45">
        <f t="shared" ref="C779:C842" si="12">MOD(A779-1,$B$5)+1</f>
        <v>1</v>
      </c>
      <c r="D779" s="45" t="b">
        <f>LineærRegression_Valg[[#This Row],[Afhængig variabel ID]]&lt;&gt;LineærRegression_Valg[[#This Row],[Uafhængig variabel ID]]</f>
        <v>1</v>
      </c>
      <c r="E779" t="b">
        <f>LineærRegression_Valg[[#This Row],[Afhængig variabel ID]]&lt;=$B$5</f>
        <v>0</v>
      </c>
      <c r="F779" t="str" cm="1">
        <f t="array" ref="F779">IF(LineærRegression_Valg[[#This Row],[Indenfor range]],INDEX(DataTitel_liste,LineærRegression_Valg[[#This Row],[Afhængig variabel ID]]),INDEX(DataTitel_liste,1))</f>
        <v>Eksempel 1 (interval)</v>
      </c>
      <c r="G779" s="45" t="str" cm="1">
        <f t="array" ref="G779">IF(LineærRegression_Valg[[#This Row],[Indenfor range]],IF(LineærRegression_Valg[[#This Row],[Intet overlap]],INDEX(DataTitel_liste,LineærRegression_Valg[[#This Row],[Uafhængig variabel ID]]),INDEX(DataTitel_liste,IF(LineærRegression_Valg[[#This Row],[Afhængig variabel ID]]=1,2,1))),$B$7)</f>
        <v>Eksempel 2 (interval)</v>
      </c>
      <c r="H779" s="45">
        <f>_xlfn.AGGREGATE(2,5,LineærRegression_Valg[[#This Row],[Tabel ID]])</f>
        <v>1</v>
      </c>
    </row>
    <row r="780" spans="1:8" x14ac:dyDescent="0.2">
      <c r="A780">
        <f>ROW(LineærRegression_Valg[[#This Row],[Tabel ID]])-ROW(LineærRegression_Valg[[#Headers],[Tabel ID]])</f>
        <v>770</v>
      </c>
      <c r="B780" s="45">
        <f>ROUNDDOWN((LineærRegression_Valg[[#This Row],[Tabel ID]]-1)/$B$5,0)+1</f>
        <v>193</v>
      </c>
      <c r="C780" s="45">
        <f t="shared" si="12"/>
        <v>2</v>
      </c>
      <c r="D780" s="45" t="b">
        <f>LineærRegression_Valg[[#This Row],[Afhængig variabel ID]]&lt;&gt;LineærRegression_Valg[[#This Row],[Uafhængig variabel ID]]</f>
        <v>1</v>
      </c>
      <c r="E780" t="b">
        <f>LineærRegression_Valg[[#This Row],[Afhængig variabel ID]]&lt;=$B$5</f>
        <v>0</v>
      </c>
      <c r="F780" t="str" cm="1">
        <f t="array" ref="F780">IF(LineærRegression_Valg[[#This Row],[Indenfor range]],INDEX(DataTitel_liste,LineærRegression_Valg[[#This Row],[Afhængig variabel ID]]),INDEX(DataTitel_liste,1))</f>
        <v>Eksempel 1 (interval)</v>
      </c>
      <c r="G780" s="45" t="str" cm="1">
        <f t="array" ref="G780">IF(LineærRegression_Valg[[#This Row],[Indenfor range]],IF(LineærRegression_Valg[[#This Row],[Intet overlap]],INDEX(DataTitel_liste,LineærRegression_Valg[[#This Row],[Uafhængig variabel ID]]),INDEX(DataTitel_liste,IF(LineærRegression_Valg[[#This Row],[Afhængig variabel ID]]=1,2,1))),$B$7)</f>
        <v>Eksempel 2 (interval)</v>
      </c>
      <c r="H780" s="45">
        <f>_xlfn.AGGREGATE(2,5,LineærRegression_Valg[[#This Row],[Tabel ID]])</f>
        <v>1</v>
      </c>
    </row>
    <row r="781" spans="1:8" x14ac:dyDescent="0.2">
      <c r="A781">
        <f>ROW(LineærRegression_Valg[[#This Row],[Tabel ID]])-ROW(LineærRegression_Valg[[#Headers],[Tabel ID]])</f>
        <v>771</v>
      </c>
      <c r="B781" s="45">
        <f>ROUNDDOWN((LineærRegression_Valg[[#This Row],[Tabel ID]]-1)/$B$5,0)+1</f>
        <v>193</v>
      </c>
      <c r="C781" s="45">
        <f t="shared" si="12"/>
        <v>3</v>
      </c>
      <c r="D781" s="45" t="b">
        <f>LineærRegression_Valg[[#This Row],[Afhængig variabel ID]]&lt;&gt;LineærRegression_Valg[[#This Row],[Uafhængig variabel ID]]</f>
        <v>1</v>
      </c>
      <c r="E781" t="b">
        <f>LineærRegression_Valg[[#This Row],[Afhængig variabel ID]]&lt;=$B$5</f>
        <v>0</v>
      </c>
      <c r="F781" t="str" cm="1">
        <f t="array" ref="F781">IF(LineærRegression_Valg[[#This Row],[Indenfor range]],INDEX(DataTitel_liste,LineærRegression_Valg[[#This Row],[Afhængig variabel ID]]),INDEX(DataTitel_liste,1))</f>
        <v>Eksempel 1 (interval)</v>
      </c>
      <c r="G781" s="45" t="str" cm="1">
        <f t="array" ref="G781">IF(LineærRegression_Valg[[#This Row],[Indenfor range]],IF(LineærRegression_Valg[[#This Row],[Intet overlap]],INDEX(DataTitel_liste,LineærRegression_Valg[[#This Row],[Uafhængig variabel ID]]),INDEX(DataTitel_liste,IF(LineærRegression_Valg[[#This Row],[Afhængig variabel ID]]=1,2,1))),$B$7)</f>
        <v>Eksempel 2 (interval)</v>
      </c>
      <c r="H781" s="45">
        <f>_xlfn.AGGREGATE(2,5,LineærRegression_Valg[[#This Row],[Tabel ID]])</f>
        <v>1</v>
      </c>
    </row>
    <row r="782" spans="1:8" x14ac:dyDescent="0.2">
      <c r="A782">
        <f>ROW(LineærRegression_Valg[[#This Row],[Tabel ID]])-ROW(LineærRegression_Valg[[#Headers],[Tabel ID]])</f>
        <v>772</v>
      </c>
      <c r="B782" s="45">
        <f>ROUNDDOWN((LineærRegression_Valg[[#This Row],[Tabel ID]]-1)/$B$5,0)+1</f>
        <v>193</v>
      </c>
      <c r="C782" s="45">
        <f t="shared" si="12"/>
        <v>4</v>
      </c>
      <c r="D782" s="45" t="b">
        <f>LineærRegression_Valg[[#This Row],[Afhængig variabel ID]]&lt;&gt;LineærRegression_Valg[[#This Row],[Uafhængig variabel ID]]</f>
        <v>1</v>
      </c>
      <c r="E782" t="b">
        <f>LineærRegression_Valg[[#This Row],[Afhængig variabel ID]]&lt;=$B$5</f>
        <v>0</v>
      </c>
      <c r="F782" t="str" cm="1">
        <f t="array" ref="F782">IF(LineærRegression_Valg[[#This Row],[Indenfor range]],INDEX(DataTitel_liste,LineærRegression_Valg[[#This Row],[Afhængig variabel ID]]),INDEX(DataTitel_liste,1))</f>
        <v>Eksempel 1 (interval)</v>
      </c>
      <c r="G782" s="45" t="str" cm="1">
        <f t="array" ref="G782">IF(LineærRegression_Valg[[#This Row],[Indenfor range]],IF(LineærRegression_Valg[[#This Row],[Intet overlap]],INDEX(DataTitel_liste,LineærRegression_Valg[[#This Row],[Uafhængig variabel ID]]),INDEX(DataTitel_liste,IF(LineærRegression_Valg[[#This Row],[Afhængig variabel ID]]=1,2,1))),$B$7)</f>
        <v>Eksempel 2 (interval)</v>
      </c>
      <c r="H782" s="45">
        <f>_xlfn.AGGREGATE(2,5,LineærRegression_Valg[[#This Row],[Tabel ID]])</f>
        <v>1</v>
      </c>
    </row>
    <row r="783" spans="1:8" x14ac:dyDescent="0.2">
      <c r="A783">
        <f>ROW(LineærRegression_Valg[[#This Row],[Tabel ID]])-ROW(LineærRegression_Valg[[#Headers],[Tabel ID]])</f>
        <v>773</v>
      </c>
      <c r="B783" s="45">
        <f>ROUNDDOWN((LineærRegression_Valg[[#This Row],[Tabel ID]]-1)/$B$5,0)+1</f>
        <v>194</v>
      </c>
      <c r="C783" s="45">
        <f t="shared" si="12"/>
        <v>1</v>
      </c>
      <c r="D783" s="45" t="b">
        <f>LineærRegression_Valg[[#This Row],[Afhængig variabel ID]]&lt;&gt;LineærRegression_Valg[[#This Row],[Uafhængig variabel ID]]</f>
        <v>1</v>
      </c>
      <c r="E783" t="b">
        <f>LineærRegression_Valg[[#This Row],[Afhængig variabel ID]]&lt;=$B$5</f>
        <v>0</v>
      </c>
      <c r="F783" t="str" cm="1">
        <f t="array" ref="F783">IF(LineærRegression_Valg[[#This Row],[Indenfor range]],INDEX(DataTitel_liste,LineærRegression_Valg[[#This Row],[Afhængig variabel ID]]),INDEX(DataTitel_liste,1))</f>
        <v>Eksempel 1 (interval)</v>
      </c>
      <c r="G783" s="45" t="str" cm="1">
        <f t="array" ref="G783">IF(LineærRegression_Valg[[#This Row],[Indenfor range]],IF(LineærRegression_Valg[[#This Row],[Intet overlap]],INDEX(DataTitel_liste,LineærRegression_Valg[[#This Row],[Uafhængig variabel ID]]),INDEX(DataTitel_liste,IF(LineærRegression_Valg[[#This Row],[Afhængig variabel ID]]=1,2,1))),$B$7)</f>
        <v>Eksempel 2 (interval)</v>
      </c>
      <c r="H783" s="45">
        <f>_xlfn.AGGREGATE(2,5,LineærRegression_Valg[[#This Row],[Tabel ID]])</f>
        <v>1</v>
      </c>
    </row>
    <row r="784" spans="1:8" x14ac:dyDescent="0.2">
      <c r="A784">
        <f>ROW(LineærRegression_Valg[[#This Row],[Tabel ID]])-ROW(LineærRegression_Valg[[#Headers],[Tabel ID]])</f>
        <v>774</v>
      </c>
      <c r="B784" s="45">
        <f>ROUNDDOWN((LineærRegression_Valg[[#This Row],[Tabel ID]]-1)/$B$5,0)+1</f>
        <v>194</v>
      </c>
      <c r="C784" s="45">
        <f t="shared" si="12"/>
        <v>2</v>
      </c>
      <c r="D784" s="45" t="b">
        <f>LineærRegression_Valg[[#This Row],[Afhængig variabel ID]]&lt;&gt;LineærRegression_Valg[[#This Row],[Uafhængig variabel ID]]</f>
        <v>1</v>
      </c>
      <c r="E784" t="b">
        <f>LineærRegression_Valg[[#This Row],[Afhængig variabel ID]]&lt;=$B$5</f>
        <v>0</v>
      </c>
      <c r="F784" t="str" cm="1">
        <f t="array" ref="F784">IF(LineærRegression_Valg[[#This Row],[Indenfor range]],INDEX(DataTitel_liste,LineærRegression_Valg[[#This Row],[Afhængig variabel ID]]),INDEX(DataTitel_liste,1))</f>
        <v>Eksempel 1 (interval)</v>
      </c>
      <c r="G784" s="45" t="str" cm="1">
        <f t="array" ref="G784">IF(LineærRegression_Valg[[#This Row],[Indenfor range]],IF(LineærRegression_Valg[[#This Row],[Intet overlap]],INDEX(DataTitel_liste,LineærRegression_Valg[[#This Row],[Uafhængig variabel ID]]),INDEX(DataTitel_liste,IF(LineærRegression_Valg[[#This Row],[Afhængig variabel ID]]=1,2,1))),$B$7)</f>
        <v>Eksempel 2 (interval)</v>
      </c>
      <c r="H784" s="45">
        <f>_xlfn.AGGREGATE(2,5,LineærRegression_Valg[[#This Row],[Tabel ID]])</f>
        <v>1</v>
      </c>
    </row>
    <row r="785" spans="1:8" x14ac:dyDescent="0.2">
      <c r="A785">
        <f>ROW(LineærRegression_Valg[[#This Row],[Tabel ID]])-ROW(LineærRegression_Valg[[#Headers],[Tabel ID]])</f>
        <v>775</v>
      </c>
      <c r="B785" s="45">
        <f>ROUNDDOWN((LineærRegression_Valg[[#This Row],[Tabel ID]]-1)/$B$5,0)+1</f>
        <v>194</v>
      </c>
      <c r="C785" s="45">
        <f t="shared" si="12"/>
        <v>3</v>
      </c>
      <c r="D785" s="45" t="b">
        <f>LineærRegression_Valg[[#This Row],[Afhængig variabel ID]]&lt;&gt;LineærRegression_Valg[[#This Row],[Uafhængig variabel ID]]</f>
        <v>1</v>
      </c>
      <c r="E785" t="b">
        <f>LineærRegression_Valg[[#This Row],[Afhængig variabel ID]]&lt;=$B$5</f>
        <v>0</v>
      </c>
      <c r="F785" t="str" cm="1">
        <f t="array" ref="F785">IF(LineærRegression_Valg[[#This Row],[Indenfor range]],INDEX(DataTitel_liste,LineærRegression_Valg[[#This Row],[Afhængig variabel ID]]),INDEX(DataTitel_liste,1))</f>
        <v>Eksempel 1 (interval)</v>
      </c>
      <c r="G785" s="45" t="str" cm="1">
        <f t="array" ref="G785">IF(LineærRegression_Valg[[#This Row],[Indenfor range]],IF(LineærRegression_Valg[[#This Row],[Intet overlap]],INDEX(DataTitel_liste,LineærRegression_Valg[[#This Row],[Uafhængig variabel ID]]),INDEX(DataTitel_liste,IF(LineærRegression_Valg[[#This Row],[Afhængig variabel ID]]=1,2,1))),$B$7)</f>
        <v>Eksempel 2 (interval)</v>
      </c>
      <c r="H785" s="45">
        <f>_xlfn.AGGREGATE(2,5,LineærRegression_Valg[[#This Row],[Tabel ID]])</f>
        <v>1</v>
      </c>
    </row>
    <row r="786" spans="1:8" x14ac:dyDescent="0.2">
      <c r="A786">
        <f>ROW(LineærRegression_Valg[[#This Row],[Tabel ID]])-ROW(LineærRegression_Valg[[#Headers],[Tabel ID]])</f>
        <v>776</v>
      </c>
      <c r="B786" s="45">
        <f>ROUNDDOWN((LineærRegression_Valg[[#This Row],[Tabel ID]]-1)/$B$5,0)+1</f>
        <v>194</v>
      </c>
      <c r="C786" s="45">
        <f t="shared" si="12"/>
        <v>4</v>
      </c>
      <c r="D786" s="45" t="b">
        <f>LineærRegression_Valg[[#This Row],[Afhængig variabel ID]]&lt;&gt;LineærRegression_Valg[[#This Row],[Uafhængig variabel ID]]</f>
        <v>1</v>
      </c>
      <c r="E786" t="b">
        <f>LineærRegression_Valg[[#This Row],[Afhængig variabel ID]]&lt;=$B$5</f>
        <v>0</v>
      </c>
      <c r="F786" t="str" cm="1">
        <f t="array" ref="F786">IF(LineærRegression_Valg[[#This Row],[Indenfor range]],INDEX(DataTitel_liste,LineærRegression_Valg[[#This Row],[Afhængig variabel ID]]),INDEX(DataTitel_liste,1))</f>
        <v>Eksempel 1 (interval)</v>
      </c>
      <c r="G786" s="45" t="str" cm="1">
        <f t="array" ref="G786">IF(LineærRegression_Valg[[#This Row],[Indenfor range]],IF(LineærRegression_Valg[[#This Row],[Intet overlap]],INDEX(DataTitel_liste,LineærRegression_Valg[[#This Row],[Uafhængig variabel ID]]),INDEX(DataTitel_liste,IF(LineærRegression_Valg[[#This Row],[Afhængig variabel ID]]=1,2,1))),$B$7)</f>
        <v>Eksempel 2 (interval)</v>
      </c>
      <c r="H786" s="45">
        <f>_xlfn.AGGREGATE(2,5,LineærRegression_Valg[[#This Row],[Tabel ID]])</f>
        <v>1</v>
      </c>
    </row>
    <row r="787" spans="1:8" x14ac:dyDescent="0.2">
      <c r="A787">
        <f>ROW(LineærRegression_Valg[[#This Row],[Tabel ID]])-ROW(LineærRegression_Valg[[#Headers],[Tabel ID]])</f>
        <v>777</v>
      </c>
      <c r="B787" s="45">
        <f>ROUNDDOWN((LineærRegression_Valg[[#This Row],[Tabel ID]]-1)/$B$5,0)+1</f>
        <v>195</v>
      </c>
      <c r="C787" s="45">
        <f t="shared" si="12"/>
        <v>1</v>
      </c>
      <c r="D787" s="45" t="b">
        <f>LineærRegression_Valg[[#This Row],[Afhængig variabel ID]]&lt;&gt;LineærRegression_Valg[[#This Row],[Uafhængig variabel ID]]</f>
        <v>1</v>
      </c>
      <c r="E787" t="b">
        <f>LineærRegression_Valg[[#This Row],[Afhængig variabel ID]]&lt;=$B$5</f>
        <v>0</v>
      </c>
      <c r="F787" t="str" cm="1">
        <f t="array" ref="F787">IF(LineærRegression_Valg[[#This Row],[Indenfor range]],INDEX(DataTitel_liste,LineærRegression_Valg[[#This Row],[Afhængig variabel ID]]),INDEX(DataTitel_liste,1))</f>
        <v>Eksempel 1 (interval)</v>
      </c>
      <c r="G787" s="45" t="str" cm="1">
        <f t="array" ref="G787">IF(LineærRegression_Valg[[#This Row],[Indenfor range]],IF(LineærRegression_Valg[[#This Row],[Intet overlap]],INDEX(DataTitel_liste,LineærRegression_Valg[[#This Row],[Uafhængig variabel ID]]),INDEX(DataTitel_liste,IF(LineærRegression_Valg[[#This Row],[Afhængig variabel ID]]=1,2,1))),$B$7)</f>
        <v>Eksempel 2 (interval)</v>
      </c>
      <c r="H787" s="45">
        <f>_xlfn.AGGREGATE(2,5,LineærRegression_Valg[[#This Row],[Tabel ID]])</f>
        <v>1</v>
      </c>
    </row>
    <row r="788" spans="1:8" x14ac:dyDescent="0.2">
      <c r="A788">
        <f>ROW(LineærRegression_Valg[[#This Row],[Tabel ID]])-ROW(LineærRegression_Valg[[#Headers],[Tabel ID]])</f>
        <v>778</v>
      </c>
      <c r="B788" s="45">
        <f>ROUNDDOWN((LineærRegression_Valg[[#This Row],[Tabel ID]]-1)/$B$5,0)+1</f>
        <v>195</v>
      </c>
      <c r="C788" s="45">
        <f t="shared" si="12"/>
        <v>2</v>
      </c>
      <c r="D788" s="45" t="b">
        <f>LineærRegression_Valg[[#This Row],[Afhængig variabel ID]]&lt;&gt;LineærRegression_Valg[[#This Row],[Uafhængig variabel ID]]</f>
        <v>1</v>
      </c>
      <c r="E788" t="b">
        <f>LineærRegression_Valg[[#This Row],[Afhængig variabel ID]]&lt;=$B$5</f>
        <v>0</v>
      </c>
      <c r="F788" t="str" cm="1">
        <f t="array" ref="F788">IF(LineærRegression_Valg[[#This Row],[Indenfor range]],INDEX(DataTitel_liste,LineærRegression_Valg[[#This Row],[Afhængig variabel ID]]),INDEX(DataTitel_liste,1))</f>
        <v>Eksempel 1 (interval)</v>
      </c>
      <c r="G788" s="45" t="str" cm="1">
        <f t="array" ref="G788">IF(LineærRegression_Valg[[#This Row],[Indenfor range]],IF(LineærRegression_Valg[[#This Row],[Intet overlap]],INDEX(DataTitel_liste,LineærRegression_Valg[[#This Row],[Uafhængig variabel ID]]),INDEX(DataTitel_liste,IF(LineærRegression_Valg[[#This Row],[Afhængig variabel ID]]=1,2,1))),$B$7)</f>
        <v>Eksempel 2 (interval)</v>
      </c>
      <c r="H788" s="45">
        <f>_xlfn.AGGREGATE(2,5,LineærRegression_Valg[[#This Row],[Tabel ID]])</f>
        <v>1</v>
      </c>
    </row>
    <row r="789" spans="1:8" x14ac:dyDescent="0.2">
      <c r="A789">
        <f>ROW(LineærRegression_Valg[[#This Row],[Tabel ID]])-ROW(LineærRegression_Valg[[#Headers],[Tabel ID]])</f>
        <v>779</v>
      </c>
      <c r="B789" s="45">
        <f>ROUNDDOWN((LineærRegression_Valg[[#This Row],[Tabel ID]]-1)/$B$5,0)+1</f>
        <v>195</v>
      </c>
      <c r="C789" s="45">
        <f t="shared" si="12"/>
        <v>3</v>
      </c>
      <c r="D789" s="45" t="b">
        <f>LineærRegression_Valg[[#This Row],[Afhængig variabel ID]]&lt;&gt;LineærRegression_Valg[[#This Row],[Uafhængig variabel ID]]</f>
        <v>1</v>
      </c>
      <c r="E789" t="b">
        <f>LineærRegression_Valg[[#This Row],[Afhængig variabel ID]]&lt;=$B$5</f>
        <v>0</v>
      </c>
      <c r="F789" t="str" cm="1">
        <f t="array" ref="F789">IF(LineærRegression_Valg[[#This Row],[Indenfor range]],INDEX(DataTitel_liste,LineærRegression_Valg[[#This Row],[Afhængig variabel ID]]),INDEX(DataTitel_liste,1))</f>
        <v>Eksempel 1 (interval)</v>
      </c>
      <c r="G789" s="45" t="str" cm="1">
        <f t="array" ref="G789">IF(LineærRegression_Valg[[#This Row],[Indenfor range]],IF(LineærRegression_Valg[[#This Row],[Intet overlap]],INDEX(DataTitel_liste,LineærRegression_Valg[[#This Row],[Uafhængig variabel ID]]),INDEX(DataTitel_liste,IF(LineærRegression_Valg[[#This Row],[Afhængig variabel ID]]=1,2,1))),$B$7)</f>
        <v>Eksempel 2 (interval)</v>
      </c>
      <c r="H789" s="45">
        <f>_xlfn.AGGREGATE(2,5,LineærRegression_Valg[[#This Row],[Tabel ID]])</f>
        <v>1</v>
      </c>
    </row>
    <row r="790" spans="1:8" x14ac:dyDescent="0.2">
      <c r="A790">
        <f>ROW(LineærRegression_Valg[[#This Row],[Tabel ID]])-ROW(LineærRegression_Valg[[#Headers],[Tabel ID]])</f>
        <v>780</v>
      </c>
      <c r="B790" s="45">
        <f>ROUNDDOWN((LineærRegression_Valg[[#This Row],[Tabel ID]]-1)/$B$5,0)+1</f>
        <v>195</v>
      </c>
      <c r="C790" s="45">
        <f t="shared" si="12"/>
        <v>4</v>
      </c>
      <c r="D790" s="45" t="b">
        <f>LineærRegression_Valg[[#This Row],[Afhængig variabel ID]]&lt;&gt;LineærRegression_Valg[[#This Row],[Uafhængig variabel ID]]</f>
        <v>1</v>
      </c>
      <c r="E790" t="b">
        <f>LineærRegression_Valg[[#This Row],[Afhængig variabel ID]]&lt;=$B$5</f>
        <v>0</v>
      </c>
      <c r="F790" t="str" cm="1">
        <f t="array" ref="F790">IF(LineærRegression_Valg[[#This Row],[Indenfor range]],INDEX(DataTitel_liste,LineærRegression_Valg[[#This Row],[Afhængig variabel ID]]),INDEX(DataTitel_liste,1))</f>
        <v>Eksempel 1 (interval)</v>
      </c>
      <c r="G790" s="45" t="str" cm="1">
        <f t="array" ref="G790">IF(LineærRegression_Valg[[#This Row],[Indenfor range]],IF(LineærRegression_Valg[[#This Row],[Intet overlap]],INDEX(DataTitel_liste,LineærRegression_Valg[[#This Row],[Uafhængig variabel ID]]),INDEX(DataTitel_liste,IF(LineærRegression_Valg[[#This Row],[Afhængig variabel ID]]=1,2,1))),$B$7)</f>
        <v>Eksempel 2 (interval)</v>
      </c>
      <c r="H790" s="45">
        <f>_xlfn.AGGREGATE(2,5,LineærRegression_Valg[[#This Row],[Tabel ID]])</f>
        <v>1</v>
      </c>
    </row>
    <row r="791" spans="1:8" x14ac:dyDescent="0.2">
      <c r="A791">
        <f>ROW(LineærRegression_Valg[[#This Row],[Tabel ID]])-ROW(LineærRegression_Valg[[#Headers],[Tabel ID]])</f>
        <v>781</v>
      </c>
      <c r="B791" s="45">
        <f>ROUNDDOWN((LineærRegression_Valg[[#This Row],[Tabel ID]]-1)/$B$5,0)+1</f>
        <v>196</v>
      </c>
      <c r="C791" s="45">
        <f t="shared" si="12"/>
        <v>1</v>
      </c>
      <c r="D791" s="45" t="b">
        <f>LineærRegression_Valg[[#This Row],[Afhængig variabel ID]]&lt;&gt;LineærRegression_Valg[[#This Row],[Uafhængig variabel ID]]</f>
        <v>1</v>
      </c>
      <c r="E791" t="b">
        <f>LineærRegression_Valg[[#This Row],[Afhængig variabel ID]]&lt;=$B$5</f>
        <v>0</v>
      </c>
      <c r="F791" t="str" cm="1">
        <f t="array" ref="F791">IF(LineærRegression_Valg[[#This Row],[Indenfor range]],INDEX(DataTitel_liste,LineærRegression_Valg[[#This Row],[Afhængig variabel ID]]),INDEX(DataTitel_liste,1))</f>
        <v>Eksempel 1 (interval)</v>
      </c>
      <c r="G791" s="45" t="str" cm="1">
        <f t="array" ref="G791">IF(LineærRegression_Valg[[#This Row],[Indenfor range]],IF(LineærRegression_Valg[[#This Row],[Intet overlap]],INDEX(DataTitel_liste,LineærRegression_Valg[[#This Row],[Uafhængig variabel ID]]),INDEX(DataTitel_liste,IF(LineærRegression_Valg[[#This Row],[Afhængig variabel ID]]=1,2,1))),$B$7)</f>
        <v>Eksempel 2 (interval)</v>
      </c>
      <c r="H791" s="45">
        <f>_xlfn.AGGREGATE(2,5,LineærRegression_Valg[[#This Row],[Tabel ID]])</f>
        <v>1</v>
      </c>
    </row>
    <row r="792" spans="1:8" x14ac:dyDescent="0.2">
      <c r="A792">
        <f>ROW(LineærRegression_Valg[[#This Row],[Tabel ID]])-ROW(LineærRegression_Valg[[#Headers],[Tabel ID]])</f>
        <v>782</v>
      </c>
      <c r="B792" s="45">
        <f>ROUNDDOWN((LineærRegression_Valg[[#This Row],[Tabel ID]]-1)/$B$5,0)+1</f>
        <v>196</v>
      </c>
      <c r="C792" s="45">
        <f t="shared" si="12"/>
        <v>2</v>
      </c>
      <c r="D792" s="45" t="b">
        <f>LineærRegression_Valg[[#This Row],[Afhængig variabel ID]]&lt;&gt;LineærRegression_Valg[[#This Row],[Uafhængig variabel ID]]</f>
        <v>1</v>
      </c>
      <c r="E792" t="b">
        <f>LineærRegression_Valg[[#This Row],[Afhængig variabel ID]]&lt;=$B$5</f>
        <v>0</v>
      </c>
      <c r="F792" t="str" cm="1">
        <f t="array" ref="F792">IF(LineærRegression_Valg[[#This Row],[Indenfor range]],INDEX(DataTitel_liste,LineærRegression_Valg[[#This Row],[Afhængig variabel ID]]),INDEX(DataTitel_liste,1))</f>
        <v>Eksempel 1 (interval)</v>
      </c>
      <c r="G792" s="45" t="str" cm="1">
        <f t="array" ref="G792">IF(LineærRegression_Valg[[#This Row],[Indenfor range]],IF(LineærRegression_Valg[[#This Row],[Intet overlap]],INDEX(DataTitel_liste,LineærRegression_Valg[[#This Row],[Uafhængig variabel ID]]),INDEX(DataTitel_liste,IF(LineærRegression_Valg[[#This Row],[Afhængig variabel ID]]=1,2,1))),$B$7)</f>
        <v>Eksempel 2 (interval)</v>
      </c>
      <c r="H792" s="45">
        <f>_xlfn.AGGREGATE(2,5,LineærRegression_Valg[[#This Row],[Tabel ID]])</f>
        <v>1</v>
      </c>
    </row>
    <row r="793" spans="1:8" x14ac:dyDescent="0.2">
      <c r="A793">
        <f>ROW(LineærRegression_Valg[[#This Row],[Tabel ID]])-ROW(LineærRegression_Valg[[#Headers],[Tabel ID]])</f>
        <v>783</v>
      </c>
      <c r="B793" s="45">
        <f>ROUNDDOWN((LineærRegression_Valg[[#This Row],[Tabel ID]]-1)/$B$5,0)+1</f>
        <v>196</v>
      </c>
      <c r="C793" s="45">
        <f t="shared" si="12"/>
        <v>3</v>
      </c>
      <c r="D793" s="45" t="b">
        <f>LineærRegression_Valg[[#This Row],[Afhængig variabel ID]]&lt;&gt;LineærRegression_Valg[[#This Row],[Uafhængig variabel ID]]</f>
        <v>1</v>
      </c>
      <c r="E793" t="b">
        <f>LineærRegression_Valg[[#This Row],[Afhængig variabel ID]]&lt;=$B$5</f>
        <v>0</v>
      </c>
      <c r="F793" t="str" cm="1">
        <f t="array" ref="F793">IF(LineærRegression_Valg[[#This Row],[Indenfor range]],INDEX(DataTitel_liste,LineærRegression_Valg[[#This Row],[Afhængig variabel ID]]),INDEX(DataTitel_liste,1))</f>
        <v>Eksempel 1 (interval)</v>
      </c>
      <c r="G793" s="45" t="str" cm="1">
        <f t="array" ref="G793">IF(LineærRegression_Valg[[#This Row],[Indenfor range]],IF(LineærRegression_Valg[[#This Row],[Intet overlap]],INDEX(DataTitel_liste,LineærRegression_Valg[[#This Row],[Uafhængig variabel ID]]),INDEX(DataTitel_liste,IF(LineærRegression_Valg[[#This Row],[Afhængig variabel ID]]=1,2,1))),$B$7)</f>
        <v>Eksempel 2 (interval)</v>
      </c>
      <c r="H793" s="45">
        <f>_xlfn.AGGREGATE(2,5,LineærRegression_Valg[[#This Row],[Tabel ID]])</f>
        <v>1</v>
      </c>
    </row>
    <row r="794" spans="1:8" x14ac:dyDescent="0.2">
      <c r="A794">
        <f>ROW(LineærRegression_Valg[[#This Row],[Tabel ID]])-ROW(LineærRegression_Valg[[#Headers],[Tabel ID]])</f>
        <v>784</v>
      </c>
      <c r="B794" s="45">
        <f>ROUNDDOWN((LineærRegression_Valg[[#This Row],[Tabel ID]]-1)/$B$5,0)+1</f>
        <v>196</v>
      </c>
      <c r="C794" s="45">
        <f t="shared" si="12"/>
        <v>4</v>
      </c>
      <c r="D794" s="45" t="b">
        <f>LineærRegression_Valg[[#This Row],[Afhængig variabel ID]]&lt;&gt;LineærRegression_Valg[[#This Row],[Uafhængig variabel ID]]</f>
        <v>1</v>
      </c>
      <c r="E794" t="b">
        <f>LineærRegression_Valg[[#This Row],[Afhængig variabel ID]]&lt;=$B$5</f>
        <v>0</v>
      </c>
      <c r="F794" t="str" cm="1">
        <f t="array" ref="F794">IF(LineærRegression_Valg[[#This Row],[Indenfor range]],INDEX(DataTitel_liste,LineærRegression_Valg[[#This Row],[Afhængig variabel ID]]),INDEX(DataTitel_liste,1))</f>
        <v>Eksempel 1 (interval)</v>
      </c>
      <c r="G794" s="45" t="str" cm="1">
        <f t="array" ref="G794">IF(LineærRegression_Valg[[#This Row],[Indenfor range]],IF(LineærRegression_Valg[[#This Row],[Intet overlap]],INDEX(DataTitel_liste,LineærRegression_Valg[[#This Row],[Uafhængig variabel ID]]),INDEX(DataTitel_liste,IF(LineærRegression_Valg[[#This Row],[Afhængig variabel ID]]=1,2,1))),$B$7)</f>
        <v>Eksempel 2 (interval)</v>
      </c>
      <c r="H794" s="45">
        <f>_xlfn.AGGREGATE(2,5,LineærRegression_Valg[[#This Row],[Tabel ID]])</f>
        <v>1</v>
      </c>
    </row>
    <row r="795" spans="1:8" x14ac:dyDescent="0.2">
      <c r="A795">
        <f>ROW(LineærRegression_Valg[[#This Row],[Tabel ID]])-ROW(LineærRegression_Valg[[#Headers],[Tabel ID]])</f>
        <v>785</v>
      </c>
      <c r="B795" s="45">
        <f>ROUNDDOWN((LineærRegression_Valg[[#This Row],[Tabel ID]]-1)/$B$5,0)+1</f>
        <v>197</v>
      </c>
      <c r="C795" s="45">
        <f t="shared" si="12"/>
        <v>1</v>
      </c>
      <c r="D795" s="45" t="b">
        <f>LineærRegression_Valg[[#This Row],[Afhængig variabel ID]]&lt;&gt;LineærRegression_Valg[[#This Row],[Uafhængig variabel ID]]</f>
        <v>1</v>
      </c>
      <c r="E795" t="b">
        <f>LineærRegression_Valg[[#This Row],[Afhængig variabel ID]]&lt;=$B$5</f>
        <v>0</v>
      </c>
      <c r="F795" t="str" cm="1">
        <f t="array" ref="F795">IF(LineærRegression_Valg[[#This Row],[Indenfor range]],INDEX(DataTitel_liste,LineærRegression_Valg[[#This Row],[Afhængig variabel ID]]),INDEX(DataTitel_liste,1))</f>
        <v>Eksempel 1 (interval)</v>
      </c>
      <c r="G795" s="45" t="str" cm="1">
        <f t="array" ref="G795">IF(LineærRegression_Valg[[#This Row],[Indenfor range]],IF(LineærRegression_Valg[[#This Row],[Intet overlap]],INDEX(DataTitel_liste,LineærRegression_Valg[[#This Row],[Uafhængig variabel ID]]),INDEX(DataTitel_liste,IF(LineærRegression_Valg[[#This Row],[Afhængig variabel ID]]=1,2,1))),$B$7)</f>
        <v>Eksempel 2 (interval)</v>
      </c>
      <c r="H795" s="45">
        <f>_xlfn.AGGREGATE(2,5,LineærRegression_Valg[[#This Row],[Tabel ID]])</f>
        <v>1</v>
      </c>
    </row>
    <row r="796" spans="1:8" x14ac:dyDescent="0.2">
      <c r="A796">
        <f>ROW(LineærRegression_Valg[[#This Row],[Tabel ID]])-ROW(LineærRegression_Valg[[#Headers],[Tabel ID]])</f>
        <v>786</v>
      </c>
      <c r="B796" s="45">
        <f>ROUNDDOWN((LineærRegression_Valg[[#This Row],[Tabel ID]]-1)/$B$5,0)+1</f>
        <v>197</v>
      </c>
      <c r="C796" s="45">
        <f t="shared" si="12"/>
        <v>2</v>
      </c>
      <c r="D796" s="45" t="b">
        <f>LineærRegression_Valg[[#This Row],[Afhængig variabel ID]]&lt;&gt;LineærRegression_Valg[[#This Row],[Uafhængig variabel ID]]</f>
        <v>1</v>
      </c>
      <c r="E796" t="b">
        <f>LineærRegression_Valg[[#This Row],[Afhængig variabel ID]]&lt;=$B$5</f>
        <v>0</v>
      </c>
      <c r="F796" t="str" cm="1">
        <f t="array" ref="F796">IF(LineærRegression_Valg[[#This Row],[Indenfor range]],INDEX(DataTitel_liste,LineærRegression_Valg[[#This Row],[Afhængig variabel ID]]),INDEX(DataTitel_liste,1))</f>
        <v>Eksempel 1 (interval)</v>
      </c>
      <c r="G796" s="45" t="str" cm="1">
        <f t="array" ref="G796">IF(LineærRegression_Valg[[#This Row],[Indenfor range]],IF(LineærRegression_Valg[[#This Row],[Intet overlap]],INDEX(DataTitel_liste,LineærRegression_Valg[[#This Row],[Uafhængig variabel ID]]),INDEX(DataTitel_liste,IF(LineærRegression_Valg[[#This Row],[Afhængig variabel ID]]=1,2,1))),$B$7)</f>
        <v>Eksempel 2 (interval)</v>
      </c>
      <c r="H796" s="45">
        <f>_xlfn.AGGREGATE(2,5,LineærRegression_Valg[[#This Row],[Tabel ID]])</f>
        <v>1</v>
      </c>
    </row>
    <row r="797" spans="1:8" x14ac:dyDescent="0.2">
      <c r="A797">
        <f>ROW(LineærRegression_Valg[[#This Row],[Tabel ID]])-ROW(LineærRegression_Valg[[#Headers],[Tabel ID]])</f>
        <v>787</v>
      </c>
      <c r="B797" s="45">
        <f>ROUNDDOWN((LineærRegression_Valg[[#This Row],[Tabel ID]]-1)/$B$5,0)+1</f>
        <v>197</v>
      </c>
      <c r="C797" s="45">
        <f t="shared" si="12"/>
        <v>3</v>
      </c>
      <c r="D797" s="45" t="b">
        <f>LineærRegression_Valg[[#This Row],[Afhængig variabel ID]]&lt;&gt;LineærRegression_Valg[[#This Row],[Uafhængig variabel ID]]</f>
        <v>1</v>
      </c>
      <c r="E797" t="b">
        <f>LineærRegression_Valg[[#This Row],[Afhængig variabel ID]]&lt;=$B$5</f>
        <v>0</v>
      </c>
      <c r="F797" t="str" cm="1">
        <f t="array" ref="F797">IF(LineærRegression_Valg[[#This Row],[Indenfor range]],INDEX(DataTitel_liste,LineærRegression_Valg[[#This Row],[Afhængig variabel ID]]),INDEX(DataTitel_liste,1))</f>
        <v>Eksempel 1 (interval)</v>
      </c>
      <c r="G797" s="45" t="str" cm="1">
        <f t="array" ref="G797">IF(LineærRegression_Valg[[#This Row],[Indenfor range]],IF(LineærRegression_Valg[[#This Row],[Intet overlap]],INDEX(DataTitel_liste,LineærRegression_Valg[[#This Row],[Uafhængig variabel ID]]),INDEX(DataTitel_liste,IF(LineærRegression_Valg[[#This Row],[Afhængig variabel ID]]=1,2,1))),$B$7)</f>
        <v>Eksempel 2 (interval)</v>
      </c>
      <c r="H797" s="45">
        <f>_xlfn.AGGREGATE(2,5,LineærRegression_Valg[[#This Row],[Tabel ID]])</f>
        <v>1</v>
      </c>
    </row>
    <row r="798" spans="1:8" x14ac:dyDescent="0.2">
      <c r="A798">
        <f>ROW(LineærRegression_Valg[[#This Row],[Tabel ID]])-ROW(LineærRegression_Valg[[#Headers],[Tabel ID]])</f>
        <v>788</v>
      </c>
      <c r="B798" s="45">
        <f>ROUNDDOWN((LineærRegression_Valg[[#This Row],[Tabel ID]]-1)/$B$5,0)+1</f>
        <v>197</v>
      </c>
      <c r="C798" s="45">
        <f t="shared" si="12"/>
        <v>4</v>
      </c>
      <c r="D798" s="45" t="b">
        <f>LineærRegression_Valg[[#This Row],[Afhængig variabel ID]]&lt;&gt;LineærRegression_Valg[[#This Row],[Uafhængig variabel ID]]</f>
        <v>1</v>
      </c>
      <c r="E798" t="b">
        <f>LineærRegression_Valg[[#This Row],[Afhængig variabel ID]]&lt;=$B$5</f>
        <v>0</v>
      </c>
      <c r="F798" t="str" cm="1">
        <f t="array" ref="F798">IF(LineærRegression_Valg[[#This Row],[Indenfor range]],INDEX(DataTitel_liste,LineærRegression_Valg[[#This Row],[Afhængig variabel ID]]),INDEX(DataTitel_liste,1))</f>
        <v>Eksempel 1 (interval)</v>
      </c>
      <c r="G798" s="45" t="str" cm="1">
        <f t="array" ref="G798">IF(LineærRegression_Valg[[#This Row],[Indenfor range]],IF(LineærRegression_Valg[[#This Row],[Intet overlap]],INDEX(DataTitel_liste,LineærRegression_Valg[[#This Row],[Uafhængig variabel ID]]),INDEX(DataTitel_liste,IF(LineærRegression_Valg[[#This Row],[Afhængig variabel ID]]=1,2,1))),$B$7)</f>
        <v>Eksempel 2 (interval)</v>
      </c>
      <c r="H798" s="45">
        <f>_xlfn.AGGREGATE(2,5,LineærRegression_Valg[[#This Row],[Tabel ID]])</f>
        <v>1</v>
      </c>
    </row>
    <row r="799" spans="1:8" x14ac:dyDescent="0.2">
      <c r="A799">
        <f>ROW(LineærRegression_Valg[[#This Row],[Tabel ID]])-ROW(LineærRegression_Valg[[#Headers],[Tabel ID]])</f>
        <v>789</v>
      </c>
      <c r="B799" s="45">
        <f>ROUNDDOWN((LineærRegression_Valg[[#This Row],[Tabel ID]]-1)/$B$5,0)+1</f>
        <v>198</v>
      </c>
      <c r="C799" s="45">
        <f t="shared" si="12"/>
        <v>1</v>
      </c>
      <c r="D799" s="45" t="b">
        <f>LineærRegression_Valg[[#This Row],[Afhængig variabel ID]]&lt;&gt;LineærRegression_Valg[[#This Row],[Uafhængig variabel ID]]</f>
        <v>1</v>
      </c>
      <c r="E799" t="b">
        <f>LineærRegression_Valg[[#This Row],[Afhængig variabel ID]]&lt;=$B$5</f>
        <v>0</v>
      </c>
      <c r="F799" t="str" cm="1">
        <f t="array" ref="F799">IF(LineærRegression_Valg[[#This Row],[Indenfor range]],INDEX(DataTitel_liste,LineærRegression_Valg[[#This Row],[Afhængig variabel ID]]),INDEX(DataTitel_liste,1))</f>
        <v>Eksempel 1 (interval)</v>
      </c>
      <c r="G799" s="45" t="str" cm="1">
        <f t="array" ref="G799">IF(LineærRegression_Valg[[#This Row],[Indenfor range]],IF(LineærRegression_Valg[[#This Row],[Intet overlap]],INDEX(DataTitel_liste,LineærRegression_Valg[[#This Row],[Uafhængig variabel ID]]),INDEX(DataTitel_liste,IF(LineærRegression_Valg[[#This Row],[Afhængig variabel ID]]=1,2,1))),$B$7)</f>
        <v>Eksempel 2 (interval)</v>
      </c>
      <c r="H799" s="45">
        <f>_xlfn.AGGREGATE(2,5,LineærRegression_Valg[[#This Row],[Tabel ID]])</f>
        <v>1</v>
      </c>
    </row>
    <row r="800" spans="1:8" x14ac:dyDescent="0.2">
      <c r="A800">
        <f>ROW(LineærRegression_Valg[[#This Row],[Tabel ID]])-ROW(LineærRegression_Valg[[#Headers],[Tabel ID]])</f>
        <v>790</v>
      </c>
      <c r="B800" s="45">
        <f>ROUNDDOWN((LineærRegression_Valg[[#This Row],[Tabel ID]]-1)/$B$5,0)+1</f>
        <v>198</v>
      </c>
      <c r="C800" s="45">
        <f t="shared" si="12"/>
        <v>2</v>
      </c>
      <c r="D800" s="45" t="b">
        <f>LineærRegression_Valg[[#This Row],[Afhængig variabel ID]]&lt;&gt;LineærRegression_Valg[[#This Row],[Uafhængig variabel ID]]</f>
        <v>1</v>
      </c>
      <c r="E800" t="b">
        <f>LineærRegression_Valg[[#This Row],[Afhængig variabel ID]]&lt;=$B$5</f>
        <v>0</v>
      </c>
      <c r="F800" t="str" cm="1">
        <f t="array" ref="F800">IF(LineærRegression_Valg[[#This Row],[Indenfor range]],INDEX(DataTitel_liste,LineærRegression_Valg[[#This Row],[Afhængig variabel ID]]),INDEX(DataTitel_liste,1))</f>
        <v>Eksempel 1 (interval)</v>
      </c>
      <c r="G800" s="45" t="str" cm="1">
        <f t="array" ref="G800">IF(LineærRegression_Valg[[#This Row],[Indenfor range]],IF(LineærRegression_Valg[[#This Row],[Intet overlap]],INDEX(DataTitel_liste,LineærRegression_Valg[[#This Row],[Uafhængig variabel ID]]),INDEX(DataTitel_liste,IF(LineærRegression_Valg[[#This Row],[Afhængig variabel ID]]=1,2,1))),$B$7)</f>
        <v>Eksempel 2 (interval)</v>
      </c>
      <c r="H800" s="45">
        <f>_xlfn.AGGREGATE(2,5,LineærRegression_Valg[[#This Row],[Tabel ID]])</f>
        <v>1</v>
      </c>
    </row>
    <row r="801" spans="1:8" x14ac:dyDescent="0.2">
      <c r="A801">
        <f>ROW(LineærRegression_Valg[[#This Row],[Tabel ID]])-ROW(LineærRegression_Valg[[#Headers],[Tabel ID]])</f>
        <v>791</v>
      </c>
      <c r="B801" s="45">
        <f>ROUNDDOWN((LineærRegression_Valg[[#This Row],[Tabel ID]]-1)/$B$5,0)+1</f>
        <v>198</v>
      </c>
      <c r="C801" s="45">
        <f t="shared" si="12"/>
        <v>3</v>
      </c>
      <c r="D801" s="45" t="b">
        <f>LineærRegression_Valg[[#This Row],[Afhængig variabel ID]]&lt;&gt;LineærRegression_Valg[[#This Row],[Uafhængig variabel ID]]</f>
        <v>1</v>
      </c>
      <c r="E801" t="b">
        <f>LineærRegression_Valg[[#This Row],[Afhængig variabel ID]]&lt;=$B$5</f>
        <v>0</v>
      </c>
      <c r="F801" t="str" cm="1">
        <f t="array" ref="F801">IF(LineærRegression_Valg[[#This Row],[Indenfor range]],INDEX(DataTitel_liste,LineærRegression_Valg[[#This Row],[Afhængig variabel ID]]),INDEX(DataTitel_liste,1))</f>
        <v>Eksempel 1 (interval)</v>
      </c>
      <c r="G801" s="45" t="str" cm="1">
        <f t="array" ref="G801">IF(LineærRegression_Valg[[#This Row],[Indenfor range]],IF(LineærRegression_Valg[[#This Row],[Intet overlap]],INDEX(DataTitel_liste,LineærRegression_Valg[[#This Row],[Uafhængig variabel ID]]),INDEX(DataTitel_liste,IF(LineærRegression_Valg[[#This Row],[Afhængig variabel ID]]=1,2,1))),$B$7)</f>
        <v>Eksempel 2 (interval)</v>
      </c>
      <c r="H801" s="45">
        <f>_xlfn.AGGREGATE(2,5,LineærRegression_Valg[[#This Row],[Tabel ID]])</f>
        <v>1</v>
      </c>
    </row>
    <row r="802" spans="1:8" x14ac:dyDescent="0.2">
      <c r="A802">
        <f>ROW(LineærRegression_Valg[[#This Row],[Tabel ID]])-ROW(LineærRegression_Valg[[#Headers],[Tabel ID]])</f>
        <v>792</v>
      </c>
      <c r="B802" s="45">
        <f>ROUNDDOWN((LineærRegression_Valg[[#This Row],[Tabel ID]]-1)/$B$5,0)+1</f>
        <v>198</v>
      </c>
      <c r="C802" s="45">
        <f t="shared" si="12"/>
        <v>4</v>
      </c>
      <c r="D802" s="45" t="b">
        <f>LineærRegression_Valg[[#This Row],[Afhængig variabel ID]]&lt;&gt;LineærRegression_Valg[[#This Row],[Uafhængig variabel ID]]</f>
        <v>1</v>
      </c>
      <c r="E802" t="b">
        <f>LineærRegression_Valg[[#This Row],[Afhængig variabel ID]]&lt;=$B$5</f>
        <v>0</v>
      </c>
      <c r="F802" t="str" cm="1">
        <f t="array" ref="F802">IF(LineærRegression_Valg[[#This Row],[Indenfor range]],INDEX(DataTitel_liste,LineærRegression_Valg[[#This Row],[Afhængig variabel ID]]),INDEX(DataTitel_liste,1))</f>
        <v>Eksempel 1 (interval)</v>
      </c>
      <c r="G802" s="45" t="str" cm="1">
        <f t="array" ref="G802">IF(LineærRegression_Valg[[#This Row],[Indenfor range]],IF(LineærRegression_Valg[[#This Row],[Intet overlap]],INDEX(DataTitel_liste,LineærRegression_Valg[[#This Row],[Uafhængig variabel ID]]),INDEX(DataTitel_liste,IF(LineærRegression_Valg[[#This Row],[Afhængig variabel ID]]=1,2,1))),$B$7)</f>
        <v>Eksempel 2 (interval)</v>
      </c>
      <c r="H802" s="45">
        <f>_xlfn.AGGREGATE(2,5,LineærRegression_Valg[[#This Row],[Tabel ID]])</f>
        <v>1</v>
      </c>
    </row>
    <row r="803" spans="1:8" x14ac:dyDescent="0.2">
      <c r="A803">
        <f>ROW(LineærRegression_Valg[[#This Row],[Tabel ID]])-ROW(LineærRegression_Valg[[#Headers],[Tabel ID]])</f>
        <v>793</v>
      </c>
      <c r="B803" s="45">
        <f>ROUNDDOWN((LineærRegression_Valg[[#This Row],[Tabel ID]]-1)/$B$5,0)+1</f>
        <v>199</v>
      </c>
      <c r="C803" s="45">
        <f t="shared" si="12"/>
        <v>1</v>
      </c>
      <c r="D803" s="45" t="b">
        <f>LineærRegression_Valg[[#This Row],[Afhængig variabel ID]]&lt;&gt;LineærRegression_Valg[[#This Row],[Uafhængig variabel ID]]</f>
        <v>1</v>
      </c>
      <c r="E803" t="b">
        <f>LineærRegression_Valg[[#This Row],[Afhængig variabel ID]]&lt;=$B$5</f>
        <v>0</v>
      </c>
      <c r="F803" t="str" cm="1">
        <f t="array" ref="F803">IF(LineærRegression_Valg[[#This Row],[Indenfor range]],INDEX(DataTitel_liste,LineærRegression_Valg[[#This Row],[Afhængig variabel ID]]),INDEX(DataTitel_liste,1))</f>
        <v>Eksempel 1 (interval)</v>
      </c>
      <c r="G803" s="45" t="str" cm="1">
        <f t="array" ref="G803">IF(LineærRegression_Valg[[#This Row],[Indenfor range]],IF(LineærRegression_Valg[[#This Row],[Intet overlap]],INDEX(DataTitel_liste,LineærRegression_Valg[[#This Row],[Uafhængig variabel ID]]),INDEX(DataTitel_liste,IF(LineærRegression_Valg[[#This Row],[Afhængig variabel ID]]=1,2,1))),$B$7)</f>
        <v>Eksempel 2 (interval)</v>
      </c>
      <c r="H803" s="45">
        <f>_xlfn.AGGREGATE(2,5,LineærRegression_Valg[[#This Row],[Tabel ID]])</f>
        <v>1</v>
      </c>
    </row>
    <row r="804" spans="1:8" x14ac:dyDescent="0.2">
      <c r="A804">
        <f>ROW(LineærRegression_Valg[[#This Row],[Tabel ID]])-ROW(LineærRegression_Valg[[#Headers],[Tabel ID]])</f>
        <v>794</v>
      </c>
      <c r="B804" s="45">
        <f>ROUNDDOWN((LineærRegression_Valg[[#This Row],[Tabel ID]]-1)/$B$5,0)+1</f>
        <v>199</v>
      </c>
      <c r="C804" s="45">
        <f t="shared" si="12"/>
        <v>2</v>
      </c>
      <c r="D804" s="45" t="b">
        <f>LineærRegression_Valg[[#This Row],[Afhængig variabel ID]]&lt;&gt;LineærRegression_Valg[[#This Row],[Uafhængig variabel ID]]</f>
        <v>1</v>
      </c>
      <c r="E804" t="b">
        <f>LineærRegression_Valg[[#This Row],[Afhængig variabel ID]]&lt;=$B$5</f>
        <v>0</v>
      </c>
      <c r="F804" t="str" cm="1">
        <f t="array" ref="F804">IF(LineærRegression_Valg[[#This Row],[Indenfor range]],INDEX(DataTitel_liste,LineærRegression_Valg[[#This Row],[Afhængig variabel ID]]),INDEX(DataTitel_liste,1))</f>
        <v>Eksempel 1 (interval)</v>
      </c>
      <c r="G804" s="45" t="str" cm="1">
        <f t="array" ref="G804">IF(LineærRegression_Valg[[#This Row],[Indenfor range]],IF(LineærRegression_Valg[[#This Row],[Intet overlap]],INDEX(DataTitel_liste,LineærRegression_Valg[[#This Row],[Uafhængig variabel ID]]),INDEX(DataTitel_liste,IF(LineærRegression_Valg[[#This Row],[Afhængig variabel ID]]=1,2,1))),$B$7)</f>
        <v>Eksempel 2 (interval)</v>
      </c>
      <c r="H804" s="45">
        <f>_xlfn.AGGREGATE(2,5,LineærRegression_Valg[[#This Row],[Tabel ID]])</f>
        <v>1</v>
      </c>
    </row>
    <row r="805" spans="1:8" x14ac:dyDescent="0.2">
      <c r="A805">
        <f>ROW(LineærRegression_Valg[[#This Row],[Tabel ID]])-ROW(LineærRegression_Valg[[#Headers],[Tabel ID]])</f>
        <v>795</v>
      </c>
      <c r="B805" s="45">
        <f>ROUNDDOWN((LineærRegression_Valg[[#This Row],[Tabel ID]]-1)/$B$5,0)+1</f>
        <v>199</v>
      </c>
      <c r="C805" s="45">
        <f t="shared" si="12"/>
        <v>3</v>
      </c>
      <c r="D805" s="45" t="b">
        <f>LineærRegression_Valg[[#This Row],[Afhængig variabel ID]]&lt;&gt;LineærRegression_Valg[[#This Row],[Uafhængig variabel ID]]</f>
        <v>1</v>
      </c>
      <c r="E805" t="b">
        <f>LineærRegression_Valg[[#This Row],[Afhængig variabel ID]]&lt;=$B$5</f>
        <v>0</v>
      </c>
      <c r="F805" t="str" cm="1">
        <f t="array" ref="F805">IF(LineærRegression_Valg[[#This Row],[Indenfor range]],INDEX(DataTitel_liste,LineærRegression_Valg[[#This Row],[Afhængig variabel ID]]),INDEX(DataTitel_liste,1))</f>
        <v>Eksempel 1 (interval)</v>
      </c>
      <c r="G805" s="45" t="str" cm="1">
        <f t="array" ref="G805">IF(LineærRegression_Valg[[#This Row],[Indenfor range]],IF(LineærRegression_Valg[[#This Row],[Intet overlap]],INDEX(DataTitel_liste,LineærRegression_Valg[[#This Row],[Uafhængig variabel ID]]),INDEX(DataTitel_liste,IF(LineærRegression_Valg[[#This Row],[Afhængig variabel ID]]=1,2,1))),$B$7)</f>
        <v>Eksempel 2 (interval)</v>
      </c>
      <c r="H805" s="45">
        <f>_xlfn.AGGREGATE(2,5,LineærRegression_Valg[[#This Row],[Tabel ID]])</f>
        <v>1</v>
      </c>
    </row>
    <row r="806" spans="1:8" x14ac:dyDescent="0.2">
      <c r="A806">
        <f>ROW(LineærRegression_Valg[[#This Row],[Tabel ID]])-ROW(LineærRegression_Valg[[#Headers],[Tabel ID]])</f>
        <v>796</v>
      </c>
      <c r="B806" s="45">
        <f>ROUNDDOWN((LineærRegression_Valg[[#This Row],[Tabel ID]]-1)/$B$5,0)+1</f>
        <v>199</v>
      </c>
      <c r="C806" s="45">
        <f t="shared" si="12"/>
        <v>4</v>
      </c>
      <c r="D806" s="45" t="b">
        <f>LineærRegression_Valg[[#This Row],[Afhængig variabel ID]]&lt;&gt;LineærRegression_Valg[[#This Row],[Uafhængig variabel ID]]</f>
        <v>1</v>
      </c>
      <c r="E806" t="b">
        <f>LineærRegression_Valg[[#This Row],[Afhængig variabel ID]]&lt;=$B$5</f>
        <v>0</v>
      </c>
      <c r="F806" t="str" cm="1">
        <f t="array" ref="F806">IF(LineærRegression_Valg[[#This Row],[Indenfor range]],INDEX(DataTitel_liste,LineærRegression_Valg[[#This Row],[Afhængig variabel ID]]),INDEX(DataTitel_liste,1))</f>
        <v>Eksempel 1 (interval)</v>
      </c>
      <c r="G806" s="45" t="str" cm="1">
        <f t="array" ref="G806">IF(LineærRegression_Valg[[#This Row],[Indenfor range]],IF(LineærRegression_Valg[[#This Row],[Intet overlap]],INDEX(DataTitel_liste,LineærRegression_Valg[[#This Row],[Uafhængig variabel ID]]),INDEX(DataTitel_liste,IF(LineærRegression_Valg[[#This Row],[Afhængig variabel ID]]=1,2,1))),$B$7)</f>
        <v>Eksempel 2 (interval)</v>
      </c>
      <c r="H806" s="45">
        <f>_xlfn.AGGREGATE(2,5,LineærRegression_Valg[[#This Row],[Tabel ID]])</f>
        <v>1</v>
      </c>
    </row>
    <row r="807" spans="1:8" x14ac:dyDescent="0.2">
      <c r="A807">
        <f>ROW(LineærRegression_Valg[[#This Row],[Tabel ID]])-ROW(LineærRegression_Valg[[#Headers],[Tabel ID]])</f>
        <v>797</v>
      </c>
      <c r="B807" s="45">
        <f>ROUNDDOWN((LineærRegression_Valg[[#This Row],[Tabel ID]]-1)/$B$5,0)+1</f>
        <v>200</v>
      </c>
      <c r="C807" s="45">
        <f t="shared" si="12"/>
        <v>1</v>
      </c>
      <c r="D807" s="45" t="b">
        <f>LineærRegression_Valg[[#This Row],[Afhængig variabel ID]]&lt;&gt;LineærRegression_Valg[[#This Row],[Uafhængig variabel ID]]</f>
        <v>1</v>
      </c>
      <c r="E807" t="b">
        <f>LineærRegression_Valg[[#This Row],[Afhængig variabel ID]]&lt;=$B$5</f>
        <v>0</v>
      </c>
      <c r="F807" t="str" cm="1">
        <f t="array" ref="F807">IF(LineærRegression_Valg[[#This Row],[Indenfor range]],INDEX(DataTitel_liste,LineærRegression_Valg[[#This Row],[Afhængig variabel ID]]),INDEX(DataTitel_liste,1))</f>
        <v>Eksempel 1 (interval)</v>
      </c>
      <c r="G807" s="45" t="str" cm="1">
        <f t="array" ref="G807">IF(LineærRegression_Valg[[#This Row],[Indenfor range]],IF(LineærRegression_Valg[[#This Row],[Intet overlap]],INDEX(DataTitel_liste,LineærRegression_Valg[[#This Row],[Uafhængig variabel ID]]),INDEX(DataTitel_liste,IF(LineærRegression_Valg[[#This Row],[Afhængig variabel ID]]=1,2,1))),$B$7)</f>
        <v>Eksempel 2 (interval)</v>
      </c>
      <c r="H807" s="45">
        <f>_xlfn.AGGREGATE(2,5,LineærRegression_Valg[[#This Row],[Tabel ID]])</f>
        <v>1</v>
      </c>
    </row>
    <row r="808" spans="1:8" x14ac:dyDescent="0.2">
      <c r="A808">
        <f>ROW(LineærRegression_Valg[[#This Row],[Tabel ID]])-ROW(LineærRegression_Valg[[#Headers],[Tabel ID]])</f>
        <v>798</v>
      </c>
      <c r="B808" s="45">
        <f>ROUNDDOWN((LineærRegression_Valg[[#This Row],[Tabel ID]]-1)/$B$5,0)+1</f>
        <v>200</v>
      </c>
      <c r="C808" s="45">
        <f t="shared" si="12"/>
        <v>2</v>
      </c>
      <c r="D808" s="45" t="b">
        <f>LineærRegression_Valg[[#This Row],[Afhængig variabel ID]]&lt;&gt;LineærRegression_Valg[[#This Row],[Uafhængig variabel ID]]</f>
        <v>1</v>
      </c>
      <c r="E808" t="b">
        <f>LineærRegression_Valg[[#This Row],[Afhængig variabel ID]]&lt;=$B$5</f>
        <v>0</v>
      </c>
      <c r="F808" t="str" cm="1">
        <f t="array" ref="F808">IF(LineærRegression_Valg[[#This Row],[Indenfor range]],INDEX(DataTitel_liste,LineærRegression_Valg[[#This Row],[Afhængig variabel ID]]),INDEX(DataTitel_liste,1))</f>
        <v>Eksempel 1 (interval)</v>
      </c>
      <c r="G808" s="45" t="str" cm="1">
        <f t="array" ref="G808">IF(LineærRegression_Valg[[#This Row],[Indenfor range]],IF(LineærRegression_Valg[[#This Row],[Intet overlap]],INDEX(DataTitel_liste,LineærRegression_Valg[[#This Row],[Uafhængig variabel ID]]),INDEX(DataTitel_liste,IF(LineærRegression_Valg[[#This Row],[Afhængig variabel ID]]=1,2,1))),$B$7)</f>
        <v>Eksempel 2 (interval)</v>
      </c>
      <c r="H808" s="45">
        <f>_xlfn.AGGREGATE(2,5,LineærRegression_Valg[[#This Row],[Tabel ID]])</f>
        <v>1</v>
      </c>
    </row>
    <row r="809" spans="1:8" x14ac:dyDescent="0.2">
      <c r="A809">
        <f>ROW(LineærRegression_Valg[[#This Row],[Tabel ID]])-ROW(LineærRegression_Valg[[#Headers],[Tabel ID]])</f>
        <v>799</v>
      </c>
      <c r="B809" s="45">
        <f>ROUNDDOWN((LineærRegression_Valg[[#This Row],[Tabel ID]]-1)/$B$5,0)+1</f>
        <v>200</v>
      </c>
      <c r="C809" s="45">
        <f t="shared" si="12"/>
        <v>3</v>
      </c>
      <c r="D809" s="45" t="b">
        <f>LineærRegression_Valg[[#This Row],[Afhængig variabel ID]]&lt;&gt;LineærRegression_Valg[[#This Row],[Uafhængig variabel ID]]</f>
        <v>1</v>
      </c>
      <c r="E809" t="b">
        <f>LineærRegression_Valg[[#This Row],[Afhængig variabel ID]]&lt;=$B$5</f>
        <v>0</v>
      </c>
      <c r="F809" t="str" cm="1">
        <f t="array" ref="F809">IF(LineærRegression_Valg[[#This Row],[Indenfor range]],INDEX(DataTitel_liste,LineærRegression_Valg[[#This Row],[Afhængig variabel ID]]),INDEX(DataTitel_liste,1))</f>
        <v>Eksempel 1 (interval)</v>
      </c>
      <c r="G809" s="45" t="str" cm="1">
        <f t="array" ref="G809">IF(LineærRegression_Valg[[#This Row],[Indenfor range]],IF(LineærRegression_Valg[[#This Row],[Intet overlap]],INDEX(DataTitel_liste,LineærRegression_Valg[[#This Row],[Uafhængig variabel ID]]),INDEX(DataTitel_liste,IF(LineærRegression_Valg[[#This Row],[Afhængig variabel ID]]=1,2,1))),$B$7)</f>
        <v>Eksempel 2 (interval)</v>
      </c>
      <c r="H809" s="45">
        <f>_xlfn.AGGREGATE(2,5,LineærRegression_Valg[[#This Row],[Tabel ID]])</f>
        <v>1</v>
      </c>
    </row>
    <row r="810" spans="1:8" x14ac:dyDescent="0.2">
      <c r="A810">
        <f>ROW(LineærRegression_Valg[[#This Row],[Tabel ID]])-ROW(LineærRegression_Valg[[#Headers],[Tabel ID]])</f>
        <v>800</v>
      </c>
      <c r="B810" s="45">
        <f>ROUNDDOWN((LineærRegression_Valg[[#This Row],[Tabel ID]]-1)/$B$5,0)+1</f>
        <v>200</v>
      </c>
      <c r="C810" s="45">
        <f t="shared" si="12"/>
        <v>4</v>
      </c>
      <c r="D810" s="45" t="b">
        <f>LineærRegression_Valg[[#This Row],[Afhængig variabel ID]]&lt;&gt;LineærRegression_Valg[[#This Row],[Uafhængig variabel ID]]</f>
        <v>1</v>
      </c>
      <c r="E810" t="b">
        <f>LineærRegression_Valg[[#This Row],[Afhængig variabel ID]]&lt;=$B$5</f>
        <v>0</v>
      </c>
      <c r="F810" t="str" cm="1">
        <f t="array" ref="F810">IF(LineærRegression_Valg[[#This Row],[Indenfor range]],INDEX(DataTitel_liste,LineærRegression_Valg[[#This Row],[Afhængig variabel ID]]),INDEX(DataTitel_liste,1))</f>
        <v>Eksempel 1 (interval)</v>
      </c>
      <c r="G810" s="45" t="str" cm="1">
        <f t="array" ref="G810">IF(LineærRegression_Valg[[#This Row],[Indenfor range]],IF(LineærRegression_Valg[[#This Row],[Intet overlap]],INDEX(DataTitel_liste,LineærRegression_Valg[[#This Row],[Uafhængig variabel ID]]),INDEX(DataTitel_liste,IF(LineærRegression_Valg[[#This Row],[Afhængig variabel ID]]=1,2,1))),$B$7)</f>
        <v>Eksempel 2 (interval)</v>
      </c>
      <c r="H810" s="45">
        <f>_xlfn.AGGREGATE(2,5,LineærRegression_Valg[[#This Row],[Tabel ID]])</f>
        <v>1</v>
      </c>
    </row>
    <row r="811" spans="1:8" x14ac:dyDescent="0.2">
      <c r="A811">
        <f>ROW(LineærRegression_Valg[[#This Row],[Tabel ID]])-ROW(LineærRegression_Valg[[#Headers],[Tabel ID]])</f>
        <v>801</v>
      </c>
      <c r="B811" s="45">
        <f>ROUNDDOWN((LineærRegression_Valg[[#This Row],[Tabel ID]]-1)/$B$5,0)+1</f>
        <v>201</v>
      </c>
      <c r="C811" s="45">
        <f t="shared" si="12"/>
        <v>1</v>
      </c>
      <c r="D811" s="45" t="b">
        <f>LineærRegression_Valg[[#This Row],[Afhængig variabel ID]]&lt;&gt;LineærRegression_Valg[[#This Row],[Uafhængig variabel ID]]</f>
        <v>1</v>
      </c>
      <c r="E811" t="b">
        <f>LineærRegression_Valg[[#This Row],[Afhængig variabel ID]]&lt;=$B$5</f>
        <v>0</v>
      </c>
      <c r="F811" t="str" cm="1">
        <f t="array" ref="F811">IF(LineærRegression_Valg[[#This Row],[Indenfor range]],INDEX(DataTitel_liste,LineærRegression_Valg[[#This Row],[Afhængig variabel ID]]),INDEX(DataTitel_liste,1))</f>
        <v>Eksempel 1 (interval)</v>
      </c>
      <c r="G811" s="45" t="str" cm="1">
        <f t="array" ref="G811">IF(LineærRegression_Valg[[#This Row],[Indenfor range]],IF(LineærRegression_Valg[[#This Row],[Intet overlap]],INDEX(DataTitel_liste,LineærRegression_Valg[[#This Row],[Uafhængig variabel ID]]),INDEX(DataTitel_liste,IF(LineærRegression_Valg[[#This Row],[Afhængig variabel ID]]=1,2,1))),$B$7)</f>
        <v>Eksempel 2 (interval)</v>
      </c>
      <c r="H811" s="45">
        <f>_xlfn.AGGREGATE(2,5,LineærRegression_Valg[[#This Row],[Tabel ID]])</f>
        <v>1</v>
      </c>
    </row>
    <row r="812" spans="1:8" x14ac:dyDescent="0.2">
      <c r="A812">
        <f>ROW(LineærRegression_Valg[[#This Row],[Tabel ID]])-ROW(LineærRegression_Valg[[#Headers],[Tabel ID]])</f>
        <v>802</v>
      </c>
      <c r="B812" s="45">
        <f>ROUNDDOWN((LineærRegression_Valg[[#This Row],[Tabel ID]]-1)/$B$5,0)+1</f>
        <v>201</v>
      </c>
      <c r="C812" s="45">
        <f t="shared" si="12"/>
        <v>2</v>
      </c>
      <c r="D812" s="45" t="b">
        <f>LineærRegression_Valg[[#This Row],[Afhængig variabel ID]]&lt;&gt;LineærRegression_Valg[[#This Row],[Uafhængig variabel ID]]</f>
        <v>1</v>
      </c>
      <c r="E812" t="b">
        <f>LineærRegression_Valg[[#This Row],[Afhængig variabel ID]]&lt;=$B$5</f>
        <v>0</v>
      </c>
      <c r="F812" t="str" cm="1">
        <f t="array" ref="F812">IF(LineærRegression_Valg[[#This Row],[Indenfor range]],INDEX(DataTitel_liste,LineærRegression_Valg[[#This Row],[Afhængig variabel ID]]),INDEX(DataTitel_liste,1))</f>
        <v>Eksempel 1 (interval)</v>
      </c>
      <c r="G812" s="45" t="str" cm="1">
        <f t="array" ref="G812">IF(LineærRegression_Valg[[#This Row],[Indenfor range]],IF(LineærRegression_Valg[[#This Row],[Intet overlap]],INDEX(DataTitel_liste,LineærRegression_Valg[[#This Row],[Uafhængig variabel ID]]),INDEX(DataTitel_liste,IF(LineærRegression_Valg[[#This Row],[Afhængig variabel ID]]=1,2,1))),$B$7)</f>
        <v>Eksempel 2 (interval)</v>
      </c>
      <c r="H812" s="45">
        <f>_xlfn.AGGREGATE(2,5,LineærRegression_Valg[[#This Row],[Tabel ID]])</f>
        <v>1</v>
      </c>
    </row>
    <row r="813" spans="1:8" x14ac:dyDescent="0.2">
      <c r="A813">
        <f>ROW(LineærRegression_Valg[[#This Row],[Tabel ID]])-ROW(LineærRegression_Valg[[#Headers],[Tabel ID]])</f>
        <v>803</v>
      </c>
      <c r="B813" s="45">
        <f>ROUNDDOWN((LineærRegression_Valg[[#This Row],[Tabel ID]]-1)/$B$5,0)+1</f>
        <v>201</v>
      </c>
      <c r="C813" s="45">
        <f t="shared" si="12"/>
        <v>3</v>
      </c>
      <c r="D813" s="45" t="b">
        <f>LineærRegression_Valg[[#This Row],[Afhængig variabel ID]]&lt;&gt;LineærRegression_Valg[[#This Row],[Uafhængig variabel ID]]</f>
        <v>1</v>
      </c>
      <c r="E813" t="b">
        <f>LineærRegression_Valg[[#This Row],[Afhængig variabel ID]]&lt;=$B$5</f>
        <v>0</v>
      </c>
      <c r="F813" t="str" cm="1">
        <f t="array" ref="F813">IF(LineærRegression_Valg[[#This Row],[Indenfor range]],INDEX(DataTitel_liste,LineærRegression_Valg[[#This Row],[Afhængig variabel ID]]),INDEX(DataTitel_liste,1))</f>
        <v>Eksempel 1 (interval)</v>
      </c>
      <c r="G813" s="45" t="str" cm="1">
        <f t="array" ref="G813">IF(LineærRegression_Valg[[#This Row],[Indenfor range]],IF(LineærRegression_Valg[[#This Row],[Intet overlap]],INDEX(DataTitel_liste,LineærRegression_Valg[[#This Row],[Uafhængig variabel ID]]),INDEX(DataTitel_liste,IF(LineærRegression_Valg[[#This Row],[Afhængig variabel ID]]=1,2,1))),$B$7)</f>
        <v>Eksempel 2 (interval)</v>
      </c>
      <c r="H813" s="45">
        <f>_xlfn.AGGREGATE(2,5,LineærRegression_Valg[[#This Row],[Tabel ID]])</f>
        <v>1</v>
      </c>
    </row>
    <row r="814" spans="1:8" x14ac:dyDescent="0.2">
      <c r="A814">
        <f>ROW(LineærRegression_Valg[[#This Row],[Tabel ID]])-ROW(LineærRegression_Valg[[#Headers],[Tabel ID]])</f>
        <v>804</v>
      </c>
      <c r="B814" s="45">
        <f>ROUNDDOWN((LineærRegression_Valg[[#This Row],[Tabel ID]]-1)/$B$5,0)+1</f>
        <v>201</v>
      </c>
      <c r="C814" s="45">
        <f t="shared" si="12"/>
        <v>4</v>
      </c>
      <c r="D814" s="45" t="b">
        <f>LineærRegression_Valg[[#This Row],[Afhængig variabel ID]]&lt;&gt;LineærRegression_Valg[[#This Row],[Uafhængig variabel ID]]</f>
        <v>1</v>
      </c>
      <c r="E814" t="b">
        <f>LineærRegression_Valg[[#This Row],[Afhængig variabel ID]]&lt;=$B$5</f>
        <v>0</v>
      </c>
      <c r="F814" t="str" cm="1">
        <f t="array" ref="F814">IF(LineærRegression_Valg[[#This Row],[Indenfor range]],INDEX(DataTitel_liste,LineærRegression_Valg[[#This Row],[Afhængig variabel ID]]),INDEX(DataTitel_liste,1))</f>
        <v>Eksempel 1 (interval)</v>
      </c>
      <c r="G814" s="45" t="str" cm="1">
        <f t="array" ref="G814">IF(LineærRegression_Valg[[#This Row],[Indenfor range]],IF(LineærRegression_Valg[[#This Row],[Intet overlap]],INDEX(DataTitel_liste,LineærRegression_Valg[[#This Row],[Uafhængig variabel ID]]),INDEX(DataTitel_liste,IF(LineærRegression_Valg[[#This Row],[Afhængig variabel ID]]=1,2,1))),$B$7)</f>
        <v>Eksempel 2 (interval)</v>
      </c>
      <c r="H814" s="45">
        <f>_xlfn.AGGREGATE(2,5,LineærRegression_Valg[[#This Row],[Tabel ID]])</f>
        <v>1</v>
      </c>
    </row>
    <row r="815" spans="1:8" x14ac:dyDescent="0.2">
      <c r="A815">
        <f>ROW(LineærRegression_Valg[[#This Row],[Tabel ID]])-ROW(LineærRegression_Valg[[#Headers],[Tabel ID]])</f>
        <v>805</v>
      </c>
      <c r="B815" s="45">
        <f>ROUNDDOWN((LineærRegression_Valg[[#This Row],[Tabel ID]]-1)/$B$5,0)+1</f>
        <v>202</v>
      </c>
      <c r="C815" s="45">
        <f t="shared" si="12"/>
        <v>1</v>
      </c>
      <c r="D815" s="45" t="b">
        <f>LineærRegression_Valg[[#This Row],[Afhængig variabel ID]]&lt;&gt;LineærRegression_Valg[[#This Row],[Uafhængig variabel ID]]</f>
        <v>1</v>
      </c>
      <c r="E815" t="b">
        <f>LineærRegression_Valg[[#This Row],[Afhængig variabel ID]]&lt;=$B$5</f>
        <v>0</v>
      </c>
      <c r="F815" t="str" cm="1">
        <f t="array" ref="F815">IF(LineærRegression_Valg[[#This Row],[Indenfor range]],INDEX(DataTitel_liste,LineærRegression_Valg[[#This Row],[Afhængig variabel ID]]),INDEX(DataTitel_liste,1))</f>
        <v>Eksempel 1 (interval)</v>
      </c>
      <c r="G815" s="45" t="str" cm="1">
        <f t="array" ref="G815">IF(LineærRegression_Valg[[#This Row],[Indenfor range]],IF(LineærRegression_Valg[[#This Row],[Intet overlap]],INDEX(DataTitel_liste,LineærRegression_Valg[[#This Row],[Uafhængig variabel ID]]),INDEX(DataTitel_liste,IF(LineærRegression_Valg[[#This Row],[Afhængig variabel ID]]=1,2,1))),$B$7)</f>
        <v>Eksempel 2 (interval)</v>
      </c>
      <c r="H815" s="45">
        <f>_xlfn.AGGREGATE(2,5,LineærRegression_Valg[[#This Row],[Tabel ID]])</f>
        <v>1</v>
      </c>
    </row>
    <row r="816" spans="1:8" x14ac:dyDescent="0.2">
      <c r="A816">
        <f>ROW(LineærRegression_Valg[[#This Row],[Tabel ID]])-ROW(LineærRegression_Valg[[#Headers],[Tabel ID]])</f>
        <v>806</v>
      </c>
      <c r="B816" s="45">
        <f>ROUNDDOWN((LineærRegression_Valg[[#This Row],[Tabel ID]]-1)/$B$5,0)+1</f>
        <v>202</v>
      </c>
      <c r="C816" s="45">
        <f t="shared" si="12"/>
        <v>2</v>
      </c>
      <c r="D816" s="45" t="b">
        <f>LineærRegression_Valg[[#This Row],[Afhængig variabel ID]]&lt;&gt;LineærRegression_Valg[[#This Row],[Uafhængig variabel ID]]</f>
        <v>1</v>
      </c>
      <c r="E816" t="b">
        <f>LineærRegression_Valg[[#This Row],[Afhængig variabel ID]]&lt;=$B$5</f>
        <v>0</v>
      </c>
      <c r="F816" t="str" cm="1">
        <f t="array" ref="F816">IF(LineærRegression_Valg[[#This Row],[Indenfor range]],INDEX(DataTitel_liste,LineærRegression_Valg[[#This Row],[Afhængig variabel ID]]),INDEX(DataTitel_liste,1))</f>
        <v>Eksempel 1 (interval)</v>
      </c>
      <c r="G816" s="45" t="str" cm="1">
        <f t="array" ref="G816">IF(LineærRegression_Valg[[#This Row],[Indenfor range]],IF(LineærRegression_Valg[[#This Row],[Intet overlap]],INDEX(DataTitel_liste,LineærRegression_Valg[[#This Row],[Uafhængig variabel ID]]),INDEX(DataTitel_liste,IF(LineærRegression_Valg[[#This Row],[Afhængig variabel ID]]=1,2,1))),$B$7)</f>
        <v>Eksempel 2 (interval)</v>
      </c>
      <c r="H816" s="45">
        <f>_xlfn.AGGREGATE(2,5,LineærRegression_Valg[[#This Row],[Tabel ID]])</f>
        <v>1</v>
      </c>
    </row>
    <row r="817" spans="1:8" x14ac:dyDescent="0.2">
      <c r="A817">
        <f>ROW(LineærRegression_Valg[[#This Row],[Tabel ID]])-ROW(LineærRegression_Valg[[#Headers],[Tabel ID]])</f>
        <v>807</v>
      </c>
      <c r="B817" s="45">
        <f>ROUNDDOWN((LineærRegression_Valg[[#This Row],[Tabel ID]]-1)/$B$5,0)+1</f>
        <v>202</v>
      </c>
      <c r="C817" s="45">
        <f t="shared" si="12"/>
        <v>3</v>
      </c>
      <c r="D817" s="45" t="b">
        <f>LineærRegression_Valg[[#This Row],[Afhængig variabel ID]]&lt;&gt;LineærRegression_Valg[[#This Row],[Uafhængig variabel ID]]</f>
        <v>1</v>
      </c>
      <c r="E817" t="b">
        <f>LineærRegression_Valg[[#This Row],[Afhængig variabel ID]]&lt;=$B$5</f>
        <v>0</v>
      </c>
      <c r="F817" t="str" cm="1">
        <f t="array" ref="F817">IF(LineærRegression_Valg[[#This Row],[Indenfor range]],INDEX(DataTitel_liste,LineærRegression_Valg[[#This Row],[Afhængig variabel ID]]),INDEX(DataTitel_liste,1))</f>
        <v>Eksempel 1 (interval)</v>
      </c>
      <c r="G817" s="45" t="str" cm="1">
        <f t="array" ref="G817">IF(LineærRegression_Valg[[#This Row],[Indenfor range]],IF(LineærRegression_Valg[[#This Row],[Intet overlap]],INDEX(DataTitel_liste,LineærRegression_Valg[[#This Row],[Uafhængig variabel ID]]),INDEX(DataTitel_liste,IF(LineærRegression_Valg[[#This Row],[Afhængig variabel ID]]=1,2,1))),$B$7)</f>
        <v>Eksempel 2 (interval)</v>
      </c>
      <c r="H817" s="45">
        <f>_xlfn.AGGREGATE(2,5,LineærRegression_Valg[[#This Row],[Tabel ID]])</f>
        <v>1</v>
      </c>
    </row>
    <row r="818" spans="1:8" x14ac:dyDescent="0.2">
      <c r="A818">
        <f>ROW(LineærRegression_Valg[[#This Row],[Tabel ID]])-ROW(LineærRegression_Valg[[#Headers],[Tabel ID]])</f>
        <v>808</v>
      </c>
      <c r="B818" s="45">
        <f>ROUNDDOWN((LineærRegression_Valg[[#This Row],[Tabel ID]]-1)/$B$5,0)+1</f>
        <v>202</v>
      </c>
      <c r="C818" s="45">
        <f t="shared" si="12"/>
        <v>4</v>
      </c>
      <c r="D818" s="45" t="b">
        <f>LineærRegression_Valg[[#This Row],[Afhængig variabel ID]]&lt;&gt;LineærRegression_Valg[[#This Row],[Uafhængig variabel ID]]</f>
        <v>1</v>
      </c>
      <c r="E818" t="b">
        <f>LineærRegression_Valg[[#This Row],[Afhængig variabel ID]]&lt;=$B$5</f>
        <v>0</v>
      </c>
      <c r="F818" t="str" cm="1">
        <f t="array" ref="F818">IF(LineærRegression_Valg[[#This Row],[Indenfor range]],INDEX(DataTitel_liste,LineærRegression_Valg[[#This Row],[Afhængig variabel ID]]),INDEX(DataTitel_liste,1))</f>
        <v>Eksempel 1 (interval)</v>
      </c>
      <c r="G818" s="45" t="str" cm="1">
        <f t="array" ref="G818">IF(LineærRegression_Valg[[#This Row],[Indenfor range]],IF(LineærRegression_Valg[[#This Row],[Intet overlap]],INDEX(DataTitel_liste,LineærRegression_Valg[[#This Row],[Uafhængig variabel ID]]),INDEX(DataTitel_liste,IF(LineærRegression_Valg[[#This Row],[Afhængig variabel ID]]=1,2,1))),$B$7)</f>
        <v>Eksempel 2 (interval)</v>
      </c>
      <c r="H818" s="45">
        <f>_xlfn.AGGREGATE(2,5,LineærRegression_Valg[[#This Row],[Tabel ID]])</f>
        <v>1</v>
      </c>
    </row>
    <row r="819" spans="1:8" x14ac:dyDescent="0.2">
      <c r="A819">
        <f>ROW(LineærRegression_Valg[[#This Row],[Tabel ID]])-ROW(LineærRegression_Valg[[#Headers],[Tabel ID]])</f>
        <v>809</v>
      </c>
      <c r="B819" s="45">
        <f>ROUNDDOWN((LineærRegression_Valg[[#This Row],[Tabel ID]]-1)/$B$5,0)+1</f>
        <v>203</v>
      </c>
      <c r="C819" s="45">
        <f t="shared" si="12"/>
        <v>1</v>
      </c>
      <c r="D819" s="45" t="b">
        <f>LineærRegression_Valg[[#This Row],[Afhængig variabel ID]]&lt;&gt;LineærRegression_Valg[[#This Row],[Uafhængig variabel ID]]</f>
        <v>1</v>
      </c>
      <c r="E819" t="b">
        <f>LineærRegression_Valg[[#This Row],[Afhængig variabel ID]]&lt;=$B$5</f>
        <v>0</v>
      </c>
      <c r="F819" t="str" cm="1">
        <f t="array" ref="F819">IF(LineærRegression_Valg[[#This Row],[Indenfor range]],INDEX(DataTitel_liste,LineærRegression_Valg[[#This Row],[Afhængig variabel ID]]),INDEX(DataTitel_liste,1))</f>
        <v>Eksempel 1 (interval)</v>
      </c>
      <c r="G819" s="45" t="str" cm="1">
        <f t="array" ref="G819">IF(LineærRegression_Valg[[#This Row],[Indenfor range]],IF(LineærRegression_Valg[[#This Row],[Intet overlap]],INDEX(DataTitel_liste,LineærRegression_Valg[[#This Row],[Uafhængig variabel ID]]),INDEX(DataTitel_liste,IF(LineærRegression_Valg[[#This Row],[Afhængig variabel ID]]=1,2,1))),$B$7)</f>
        <v>Eksempel 2 (interval)</v>
      </c>
      <c r="H819" s="45">
        <f>_xlfn.AGGREGATE(2,5,LineærRegression_Valg[[#This Row],[Tabel ID]])</f>
        <v>1</v>
      </c>
    </row>
    <row r="820" spans="1:8" x14ac:dyDescent="0.2">
      <c r="A820">
        <f>ROW(LineærRegression_Valg[[#This Row],[Tabel ID]])-ROW(LineærRegression_Valg[[#Headers],[Tabel ID]])</f>
        <v>810</v>
      </c>
      <c r="B820" s="45">
        <f>ROUNDDOWN((LineærRegression_Valg[[#This Row],[Tabel ID]]-1)/$B$5,0)+1</f>
        <v>203</v>
      </c>
      <c r="C820" s="45">
        <f t="shared" si="12"/>
        <v>2</v>
      </c>
      <c r="D820" s="45" t="b">
        <f>LineærRegression_Valg[[#This Row],[Afhængig variabel ID]]&lt;&gt;LineærRegression_Valg[[#This Row],[Uafhængig variabel ID]]</f>
        <v>1</v>
      </c>
      <c r="E820" t="b">
        <f>LineærRegression_Valg[[#This Row],[Afhængig variabel ID]]&lt;=$B$5</f>
        <v>0</v>
      </c>
      <c r="F820" t="str" cm="1">
        <f t="array" ref="F820">IF(LineærRegression_Valg[[#This Row],[Indenfor range]],INDEX(DataTitel_liste,LineærRegression_Valg[[#This Row],[Afhængig variabel ID]]),INDEX(DataTitel_liste,1))</f>
        <v>Eksempel 1 (interval)</v>
      </c>
      <c r="G820" s="45" t="str" cm="1">
        <f t="array" ref="G820">IF(LineærRegression_Valg[[#This Row],[Indenfor range]],IF(LineærRegression_Valg[[#This Row],[Intet overlap]],INDEX(DataTitel_liste,LineærRegression_Valg[[#This Row],[Uafhængig variabel ID]]),INDEX(DataTitel_liste,IF(LineærRegression_Valg[[#This Row],[Afhængig variabel ID]]=1,2,1))),$B$7)</f>
        <v>Eksempel 2 (interval)</v>
      </c>
      <c r="H820" s="45">
        <f>_xlfn.AGGREGATE(2,5,LineærRegression_Valg[[#This Row],[Tabel ID]])</f>
        <v>1</v>
      </c>
    </row>
    <row r="821" spans="1:8" x14ac:dyDescent="0.2">
      <c r="A821">
        <f>ROW(LineærRegression_Valg[[#This Row],[Tabel ID]])-ROW(LineærRegression_Valg[[#Headers],[Tabel ID]])</f>
        <v>811</v>
      </c>
      <c r="B821" s="45">
        <f>ROUNDDOWN((LineærRegression_Valg[[#This Row],[Tabel ID]]-1)/$B$5,0)+1</f>
        <v>203</v>
      </c>
      <c r="C821" s="45">
        <f t="shared" si="12"/>
        <v>3</v>
      </c>
      <c r="D821" s="45" t="b">
        <f>LineærRegression_Valg[[#This Row],[Afhængig variabel ID]]&lt;&gt;LineærRegression_Valg[[#This Row],[Uafhængig variabel ID]]</f>
        <v>1</v>
      </c>
      <c r="E821" t="b">
        <f>LineærRegression_Valg[[#This Row],[Afhængig variabel ID]]&lt;=$B$5</f>
        <v>0</v>
      </c>
      <c r="F821" t="str" cm="1">
        <f t="array" ref="F821">IF(LineærRegression_Valg[[#This Row],[Indenfor range]],INDEX(DataTitel_liste,LineærRegression_Valg[[#This Row],[Afhængig variabel ID]]),INDEX(DataTitel_liste,1))</f>
        <v>Eksempel 1 (interval)</v>
      </c>
      <c r="G821" s="45" t="str" cm="1">
        <f t="array" ref="G821">IF(LineærRegression_Valg[[#This Row],[Indenfor range]],IF(LineærRegression_Valg[[#This Row],[Intet overlap]],INDEX(DataTitel_liste,LineærRegression_Valg[[#This Row],[Uafhængig variabel ID]]),INDEX(DataTitel_liste,IF(LineærRegression_Valg[[#This Row],[Afhængig variabel ID]]=1,2,1))),$B$7)</f>
        <v>Eksempel 2 (interval)</v>
      </c>
      <c r="H821" s="45">
        <f>_xlfn.AGGREGATE(2,5,LineærRegression_Valg[[#This Row],[Tabel ID]])</f>
        <v>1</v>
      </c>
    </row>
    <row r="822" spans="1:8" x14ac:dyDescent="0.2">
      <c r="A822">
        <f>ROW(LineærRegression_Valg[[#This Row],[Tabel ID]])-ROW(LineærRegression_Valg[[#Headers],[Tabel ID]])</f>
        <v>812</v>
      </c>
      <c r="B822" s="45">
        <f>ROUNDDOWN((LineærRegression_Valg[[#This Row],[Tabel ID]]-1)/$B$5,0)+1</f>
        <v>203</v>
      </c>
      <c r="C822" s="45">
        <f t="shared" si="12"/>
        <v>4</v>
      </c>
      <c r="D822" s="45" t="b">
        <f>LineærRegression_Valg[[#This Row],[Afhængig variabel ID]]&lt;&gt;LineærRegression_Valg[[#This Row],[Uafhængig variabel ID]]</f>
        <v>1</v>
      </c>
      <c r="E822" t="b">
        <f>LineærRegression_Valg[[#This Row],[Afhængig variabel ID]]&lt;=$B$5</f>
        <v>0</v>
      </c>
      <c r="F822" t="str" cm="1">
        <f t="array" ref="F822">IF(LineærRegression_Valg[[#This Row],[Indenfor range]],INDEX(DataTitel_liste,LineærRegression_Valg[[#This Row],[Afhængig variabel ID]]),INDEX(DataTitel_liste,1))</f>
        <v>Eksempel 1 (interval)</v>
      </c>
      <c r="G822" s="45" t="str" cm="1">
        <f t="array" ref="G822">IF(LineærRegression_Valg[[#This Row],[Indenfor range]],IF(LineærRegression_Valg[[#This Row],[Intet overlap]],INDEX(DataTitel_liste,LineærRegression_Valg[[#This Row],[Uafhængig variabel ID]]),INDEX(DataTitel_liste,IF(LineærRegression_Valg[[#This Row],[Afhængig variabel ID]]=1,2,1))),$B$7)</f>
        <v>Eksempel 2 (interval)</v>
      </c>
      <c r="H822" s="45">
        <f>_xlfn.AGGREGATE(2,5,LineærRegression_Valg[[#This Row],[Tabel ID]])</f>
        <v>1</v>
      </c>
    </row>
    <row r="823" spans="1:8" x14ac:dyDescent="0.2">
      <c r="A823">
        <f>ROW(LineærRegression_Valg[[#This Row],[Tabel ID]])-ROW(LineærRegression_Valg[[#Headers],[Tabel ID]])</f>
        <v>813</v>
      </c>
      <c r="B823" s="45">
        <f>ROUNDDOWN((LineærRegression_Valg[[#This Row],[Tabel ID]]-1)/$B$5,0)+1</f>
        <v>204</v>
      </c>
      <c r="C823" s="45">
        <f t="shared" si="12"/>
        <v>1</v>
      </c>
      <c r="D823" s="45" t="b">
        <f>LineærRegression_Valg[[#This Row],[Afhængig variabel ID]]&lt;&gt;LineærRegression_Valg[[#This Row],[Uafhængig variabel ID]]</f>
        <v>1</v>
      </c>
      <c r="E823" t="b">
        <f>LineærRegression_Valg[[#This Row],[Afhængig variabel ID]]&lt;=$B$5</f>
        <v>0</v>
      </c>
      <c r="F823" t="str" cm="1">
        <f t="array" ref="F823">IF(LineærRegression_Valg[[#This Row],[Indenfor range]],INDEX(DataTitel_liste,LineærRegression_Valg[[#This Row],[Afhængig variabel ID]]),INDEX(DataTitel_liste,1))</f>
        <v>Eksempel 1 (interval)</v>
      </c>
      <c r="G823" s="45" t="str" cm="1">
        <f t="array" ref="G823">IF(LineærRegression_Valg[[#This Row],[Indenfor range]],IF(LineærRegression_Valg[[#This Row],[Intet overlap]],INDEX(DataTitel_liste,LineærRegression_Valg[[#This Row],[Uafhængig variabel ID]]),INDEX(DataTitel_liste,IF(LineærRegression_Valg[[#This Row],[Afhængig variabel ID]]=1,2,1))),$B$7)</f>
        <v>Eksempel 2 (interval)</v>
      </c>
      <c r="H823" s="45">
        <f>_xlfn.AGGREGATE(2,5,LineærRegression_Valg[[#This Row],[Tabel ID]])</f>
        <v>1</v>
      </c>
    </row>
    <row r="824" spans="1:8" x14ac:dyDescent="0.2">
      <c r="A824">
        <f>ROW(LineærRegression_Valg[[#This Row],[Tabel ID]])-ROW(LineærRegression_Valg[[#Headers],[Tabel ID]])</f>
        <v>814</v>
      </c>
      <c r="B824" s="45">
        <f>ROUNDDOWN((LineærRegression_Valg[[#This Row],[Tabel ID]]-1)/$B$5,0)+1</f>
        <v>204</v>
      </c>
      <c r="C824" s="45">
        <f t="shared" si="12"/>
        <v>2</v>
      </c>
      <c r="D824" s="45" t="b">
        <f>LineærRegression_Valg[[#This Row],[Afhængig variabel ID]]&lt;&gt;LineærRegression_Valg[[#This Row],[Uafhængig variabel ID]]</f>
        <v>1</v>
      </c>
      <c r="E824" t="b">
        <f>LineærRegression_Valg[[#This Row],[Afhængig variabel ID]]&lt;=$B$5</f>
        <v>0</v>
      </c>
      <c r="F824" t="str" cm="1">
        <f t="array" ref="F824">IF(LineærRegression_Valg[[#This Row],[Indenfor range]],INDEX(DataTitel_liste,LineærRegression_Valg[[#This Row],[Afhængig variabel ID]]),INDEX(DataTitel_liste,1))</f>
        <v>Eksempel 1 (interval)</v>
      </c>
      <c r="G824" s="45" t="str" cm="1">
        <f t="array" ref="G824">IF(LineærRegression_Valg[[#This Row],[Indenfor range]],IF(LineærRegression_Valg[[#This Row],[Intet overlap]],INDEX(DataTitel_liste,LineærRegression_Valg[[#This Row],[Uafhængig variabel ID]]),INDEX(DataTitel_liste,IF(LineærRegression_Valg[[#This Row],[Afhængig variabel ID]]=1,2,1))),$B$7)</f>
        <v>Eksempel 2 (interval)</v>
      </c>
      <c r="H824" s="45">
        <f>_xlfn.AGGREGATE(2,5,LineærRegression_Valg[[#This Row],[Tabel ID]])</f>
        <v>1</v>
      </c>
    </row>
    <row r="825" spans="1:8" x14ac:dyDescent="0.2">
      <c r="A825">
        <f>ROW(LineærRegression_Valg[[#This Row],[Tabel ID]])-ROW(LineærRegression_Valg[[#Headers],[Tabel ID]])</f>
        <v>815</v>
      </c>
      <c r="B825" s="45">
        <f>ROUNDDOWN((LineærRegression_Valg[[#This Row],[Tabel ID]]-1)/$B$5,0)+1</f>
        <v>204</v>
      </c>
      <c r="C825" s="45">
        <f t="shared" si="12"/>
        <v>3</v>
      </c>
      <c r="D825" s="45" t="b">
        <f>LineærRegression_Valg[[#This Row],[Afhængig variabel ID]]&lt;&gt;LineærRegression_Valg[[#This Row],[Uafhængig variabel ID]]</f>
        <v>1</v>
      </c>
      <c r="E825" t="b">
        <f>LineærRegression_Valg[[#This Row],[Afhængig variabel ID]]&lt;=$B$5</f>
        <v>0</v>
      </c>
      <c r="F825" t="str" cm="1">
        <f t="array" ref="F825">IF(LineærRegression_Valg[[#This Row],[Indenfor range]],INDEX(DataTitel_liste,LineærRegression_Valg[[#This Row],[Afhængig variabel ID]]),INDEX(DataTitel_liste,1))</f>
        <v>Eksempel 1 (interval)</v>
      </c>
      <c r="G825" s="45" t="str" cm="1">
        <f t="array" ref="G825">IF(LineærRegression_Valg[[#This Row],[Indenfor range]],IF(LineærRegression_Valg[[#This Row],[Intet overlap]],INDEX(DataTitel_liste,LineærRegression_Valg[[#This Row],[Uafhængig variabel ID]]),INDEX(DataTitel_liste,IF(LineærRegression_Valg[[#This Row],[Afhængig variabel ID]]=1,2,1))),$B$7)</f>
        <v>Eksempel 2 (interval)</v>
      </c>
      <c r="H825" s="45">
        <f>_xlfn.AGGREGATE(2,5,LineærRegression_Valg[[#This Row],[Tabel ID]])</f>
        <v>1</v>
      </c>
    </row>
    <row r="826" spans="1:8" x14ac:dyDescent="0.2">
      <c r="A826">
        <f>ROW(LineærRegression_Valg[[#This Row],[Tabel ID]])-ROW(LineærRegression_Valg[[#Headers],[Tabel ID]])</f>
        <v>816</v>
      </c>
      <c r="B826" s="45">
        <f>ROUNDDOWN((LineærRegression_Valg[[#This Row],[Tabel ID]]-1)/$B$5,0)+1</f>
        <v>204</v>
      </c>
      <c r="C826" s="45">
        <f t="shared" si="12"/>
        <v>4</v>
      </c>
      <c r="D826" s="45" t="b">
        <f>LineærRegression_Valg[[#This Row],[Afhængig variabel ID]]&lt;&gt;LineærRegression_Valg[[#This Row],[Uafhængig variabel ID]]</f>
        <v>1</v>
      </c>
      <c r="E826" t="b">
        <f>LineærRegression_Valg[[#This Row],[Afhængig variabel ID]]&lt;=$B$5</f>
        <v>0</v>
      </c>
      <c r="F826" t="str" cm="1">
        <f t="array" ref="F826">IF(LineærRegression_Valg[[#This Row],[Indenfor range]],INDEX(DataTitel_liste,LineærRegression_Valg[[#This Row],[Afhængig variabel ID]]),INDEX(DataTitel_liste,1))</f>
        <v>Eksempel 1 (interval)</v>
      </c>
      <c r="G826" s="45" t="str" cm="1">
        <f t="array" ref="G826">IF(LineærRegression_Valg[[#This Row],[Indenfor range]],IF(LineærRegression_Valg[[#This Row],[Intet overlap]],INDEX(DataTitel_liste,LineærRegression_Valg[[#This Row],[Uafhængig variabel ID]]),INDEX(DataTitel_liste,IF(LineærRegression_Valg[[#This Row],[Afhængig variabel ID]]=1,2,1))),$B$7)</f>
        <v>Eksempel 2 (interval)</v>
      </c>
      <c r="H826" s="45">
        <f>_xlfn.AGGREGATE(2,5,LineærRegression_Valg[[#This Row],[Tabel ID]])</f>
        <v>1</v>
      </c>
    </row>
    <row r="827" spans="1:8" x14ac:dyDescent="0.2">
      <c r="A827">
        <f>ROW(LineærRegression_Valg[[#This Row],[Tabel ID]])-ROW(LineærRegression_Valg[[#Headers],[Tabel ID]])</f>
        <v>817</v>
      </c>
      <c r="B827" s="45">
        <f>ROUNDDOWN((LineærRegression_Valg[[#This Row],[Tabel ID]]-1)/$B$5,0)+1</f>
        <v>205</v>
      </c>
      <c r="C827" s="45">
        <f t="shared" si="12"/>
        <v>1</v>
      </c>
      <c r="D827" s="45" t="b">
        <f>LineærRegression_Valg[[#This Row],[Afhængig variabel ID]]&lt;&gt;LineærRegression_Valg[[#This Row],[Uafhængig variabel ID]]</f>
        <v>1</v>
      </c>
      <c r="E827" t="b">
        <f>LineærRegression_Valg[[#This Row],[Afhængig variabel ID]]&lt;=$B$5</f>
        <v>0</v>
      </c>
      <c r="F827" t="str" cm="1">
        <f t="array" ref="F827">IF(LineærRegression_Valg[[#This Row],[Indenfor range]],INDEX(DataTitel_liste,LineærRegression_Valg[[#This Row],[Afhængig variabel ID]]),INDEX(DataTitel_liste,1))</f>
        <v>Eksempel 1 (interval)</v>
      </c>
      <c r="G827" s="45" t="str" cm="1">
        <f t="array" ref="G827">IF(LineærRegression_Valg[[#This Row],[Indenfor range]],IF(LineærRegression_Valg[[#This Row],[Intet overlap]],INDEX(DataTitel_liste,LineærRegression_Valg[[#This Row],[Uafhængig variabel ID]]),INDEX(DataTitel_liste,IF(LineærRegression_Valg[[#This Row],[Afhængig variabel ID]]=1,2,1))),$B$7)</f>
        <v>Eksempel 2 (interval)</v>
      </c>
      <c r="H827" s="45">
        <f>_xlfn.AGGREGATE(2,5,LineærRegression_Valg[[#This Row],[Tabel ID]])</f>
        <v>1</v>
      </c>
    </row>
    <row r="828" spans="1:8" x14ac:dyDescent="0.2">
      <c r="A828">
        <f>ROW(LineærRegression_Valg[[#This Row],[Tabel ID]])-ROW(LineærRegression_Valg[[#Headers],[Tabel ID]])</f>
        <v>818</v>
      </c>
      <c r="B828" s="45">
        <f>ROUNDDOWN((LineærRegression_Valg[[#This Row],[Tabel ID]]-1)/$B$5,0)+1</f>
        <v>205</v>
      </c>
      <c r="C828" s="45">
        <f t="shared" si="12"/>
        <v>2</v>
      </c>
      <c r="D828" s="45" t="b">
        <f>LineærRegression_Valg[[#This Row],[Afhængig variabel ID]]&lt;&gt;LineærRegression_Valg[[#This Row],[Uafhængig variabel ID]]</f>
        <v>1</v>
      </c>
      <c r="E828" t="b">
        <f>LineærRegression_Valg[[#This Row],[Afhængig variabel ID]]&lt;=$B$5</f>
        <v>0</v>
      </c>
      <c r="F828" t="str" cm="1">
        <f t="array" ref="F828">IF(LineærRegression_Valg[[#This Row],[Indenfor range]],INDEX(DataTitel_liste,LineærRegression_Valg[[#This Row],[Afhængig variabel ID]]),INDEX(DataTitel_liste,1))</f>
        <v>Eksempel 1 (interval)</v>
      </c>
      <c r="G828" s="45" t="str" cm="1">
        <f t="array" ref="G828">IF(LineærRegression_Valg[[#This Row],[Indenfor range]],IF(LineærRegression_Valg[[#This Row],[Intet overlap]],INDEX(DataTitel_liste,LineærRegression_Valg[[#This Row],[Uafhængig variabel ID]]),INDEX(DataTitel_liste,IF(LineærRegression_Valg[[#This Row],[Afhængig variabel ID]]=1,2,1))),$B$7)</f>
        <v>Eksempel 2 (interval)</v>
      </c>
      <c r="H828" s="45">
        <f>_xlfn.AGGREGATE(2,5,LineærRegression_Valg[[#This Row],[Tabel ID]])</f>
        <v>1</v>
      </c>
    </row>
    <row r="829" spans="1:8" x14ac:dyDescent="0.2">
      <c r="A829">
        <f>ROW(LineærRegression_Valg[[#This Row],[Tabel ID]])-ROW(LineærRegression_Valg[[#Headers],[Tabel ID]])</f>
        <v>819</v>
      </c>
      <c r="B829" s="45">
        <f>ROUNDDOWN((LineærRegression_Valg[[#This Row],[Tabel ID]]-1)/$B$5,0)+1</f>
        <v>205</v>
      </c>
      <c r="C829" s="45">
        <f t="shared" si="12"/>
        <v>3</v>
      </c>
      <c r="D829" s="45" t="b">
        <f>LineærRegression_Valg[[#This Row],[Afhængig variabel ID]]&lt;&gt;LineærRegression_Valg[[#This Row],[Uafhængig variabel ID]]</f>
        <v>1</v>
      </c>
      <c r="E829" t="b">
        <f>LineærRegression_Valg[[#This Row],[Afhængig variabel ID]]&lt;=$B$5</f>
        <v>0</v>
      </c>
      <c r="F829" t="str" cm="1">
        <f t="array" ref="F829">IF(LineærRegression_Valg[[#This Row],[Indenfor range]],INDEX(DataTitel_liste,LineærRegression_Valg[[#This Row],[Afhængig variabel ID]]),INDEX(DataTitel_liste,1))</f>
        <v>Eksempel 1 (interval)</v>
      </c>
      <c r="G829" s="45" t="str" cm="1">
        <f t="array" ref="G829">IF(LineærRegression_Valg[[#This Row],[Indenfor range]],IF(LineærRegression_Valg[[#This Row],[Intet overlap]],INDEX(DataTitel_liste,LineærRegression_Valg[[#This Row],[Uafhængig variabel ID]]),INDEX(DataTitel_liste,IF(LineærRegression_Valg[[#This Row],[Afhængig variabel ID]]=1,2,1))),$B$7)</f>
        <v>Eksempel 2 (interval)</v>
      </c>
      <c r="H829" s="45">
        <f>_xlfn.AGGREGATE(2,5,LineærRegression_Valg[[#This Row],[Tabel ID]])</f>
        <v>1</v>
      </c>
    </row>
    <row r="830" spans="1:8" x14ac:dyDescent="0.2">
      <c r="A830">
        <f>ROW(LineærRegression_Valg[[#This Row],[Tabel ID]])-ROW(LineærRegression_Valg[[#Headers],[Tabel ID]])</f>
        <v>820</v>
      </c>
      <c r="B830" s="45">
        <f>ROUNDDOWN((LineærRegression_Valg[[#This Row],[Tabel ID]]-1)/$B$5,0)+1</f>
        <v>205</v>
      </c>
      <c r="C830" s="45">
        <f t="shared" si="12"/>
        <v>4</v>
      </c>
      <c r="D830" s="45" t="b">
        <f>LineærRegression_Valg[[#This Row],[Afhængig variabel ID]]&lt;&gt;LineærRegression_Valg[[#This Row],[Uafhængig variabel ID]]</f>
        <v>1</v>
      </c>
      <c r="E830" t="b">
        <f>LineærRegression_Valg[[#This Row],[Afhængig variabel ID]]&lt;=$B$5</f>
        <v>0</v>
      </c>
      <c r="F830" t="str" cm="1">
        <f t="array" ref="F830">IF(LineærRegression_Valg[[#This Row],[Indenfor range]],INDEX(DataTitel_liste,LineærRegression_Valg[[#This Row],[Afhængig variabel ID]]),INDEX(DataTitel_liste,1))</f>
        <v>Eksempel 1 (interval)</v>
      </c>
      <c r="G830" s="45" t="str" cm="1">
        <f t="array" ref="G830">IF(LineærRegression_Valg[[#This Row],[Indenfor range]],IF(LineærRegression_Valg[[#This Row],[Intet overlap]],INDEX(DataTitel_liste,LineærRegression_Valg[[#This Row],[Uafhængig variabel ID]]),INDEX(DataTitel_liste,IF(LineærRegression_Valg[[#This Row],[Afhængig variabel ID]]=1,2,1))),$B$7)</f>
        <v>Eksempel 2 (interval)</v>
      </c>
      <c r="H830" s="45">
        <f>_xlfn.AGGREGATE(2,5,LineærRegression_Valg[[#This Row],[Tabel ID]])</f>
        <v>1</v>
      </c>
    </row>
    <row r="831" spans="1:8" x14ac:dyDescent="0.2">
      <c r="A831">
        <f>ROW(LineærRegression_Valg[[#This Row],[Tabel ID]])-ROW(LineærRegression_Valg[[#Headers],[Tabel ID]])</f>
        <v>821</v>
      </c>
      <c r="B831" s="45">
        <f>ROUNDDOWN((LineærRegression_Valg[[#This Row],[Tabel ID]]-1)/$B$5,0)+1</f>
        <v>206</v>
      </c>
      <c r="C831" s="45">
        <f t="shared" si="12"/>
        <v>1</v>
      </c>
      <c r="D831" s="45" t="b">
        <f>LineærRegression_Valg[[#This Row],[Afhængig variabel ID]]&lt;&gt;LineærRegression_Valg[[#This Row],[Uafhængig variabel ID]]</f>
        <v>1</v>
      </c>
      <c r="E831" t="b">
        <f>LineærRegression_Valg[[#This Row],[Afhængig variabel ID]]&lt;=$B$5</f>
        <v>0</v>
      </c>
      <c r="F831" t="str" cm="1">
        <f t="array" ref="F831">IF(LineærRegression_Valg[[#This Row],[Indenfor range]],INDEX(DataTitel_liste,LineærRegression_Valg[[#This Row],[Afhængig variabel ID]]),INDEX(DataTitel_liste,1))</f>
        <v>Eksempel 1 (interval)</v>
      </c>
      <c r="G831" s="45" t="str" cm="1">
        <f t="array" ref="G831">IF(LineærRegression_Valg[[#This Row],[Indenfor range]],IF(LineærRegression_Valg[[#This Row],[Intet overlap]],INDEX(DataTitel_liste,LineærRegression_Valg[[#This Row],[Uafhængig variabel ID]]),INDEX(DataTitel_liste,IF(LineærRegression_Valg[[#This Row],[Afhængig variabel ID]]=1,2,1))),$B$7)</f>
        <v>Eksempel 2 (interval)</v>
      </c>
      <c r="H831" s="45">
        <f>_xlfn.AGGREGATE(2,5,LineærRegression_Valg[[#This Row],[Tabel ID]])</f>
        <v>1</v>
      </c>
    </row>
    <row r="832" spans="1:8" x14ac:dyDescent="0.2">
      <c r="A832">
        <f>ROW(LineærRegression_Valg[[#This Row],[Tabel ID]])-ROW(LineærRegression_Valg[[#Headers],[Tabel ID]])</f>
        <v>822</v>
      </c>
      <c r="B832" s="45">
        <f>ROUNDDOWN((LineærRegression_Valg[[#This Row],[Tabel ID]]-1)/$B$5,0)+1</f>
        <v>206</v>
      </c>
      <c r="C832" s="45">
        <f t="shared" si="12"/>
        <v>2</v>
      </c>
      <c r="D832" s="45" t="b">
        <f>LineærRegression_Valg[[#This Row],[Afhængig variabel ID]]&lt;&gt;LineærRegression_Valg[[#This Row],[Uafhængig variabel ID]]</f>
        <v>1</v>
      </c>
      <c r="E832" t="b">
        <f>LineærRegression_Valg[[#This Row],[Afhængig variabel ID]]&lt;=$B$5</f>
        <v>0</v>
      </c>
      <c r="F832" t="str" cm="1">
        <f t="array" ref="F832">IF(LineærRegression_Valg[[#This Row],[Indenfor range]],INDEX(DataTitel_liste,LineærRegression_Valg[[#This Row],[Afhængig variabel ID]]),INDEX(DataTitel_liste,1))</f>
        <v>Eksempel 1 (interval)</v>
      </c>
      <c r="G832" s="45" t="str" cm="1">
        <f t="array" ref="G832">IF(LineærRegression_Valg[[#This Row],[Indenfor range]],IF(LineærRegression_Valg[[#This Row],[Intet overlap]],INDEX(DataTitel_liste,LineærRegression_Valg[[#This Row],[Uafhængig variabel ID]]),INDEX(DataTitel_liste,IF(LineærRegression_Valg[[#This Row],[Afhængig variabel ID]]=1,2,1))),$B$7)</f>
        <v>Eksempel 2 (interval)</v>
      </c>
      <c r="H832" s="45">
        <f>_xlfn.AGGREGATE(2,5,LineærRegression_Valg[[#This Row],[Tabel ID]])</f>
        <v>1</v>
      </c>
    </row>
    <row r="833" spans="1:8" x14ac:dyDescent="0.2">
      <c r="A833">
        <f>ROW(LineærRegression_Valg[[#This Row],[Tabel ID]])-ROW(LineærRegression_Valg[[#Headers],[Tabel ID]])</f>
        <v>823</v>
      </c>
      <c r="B833" s="45">
        <f>ROUNDDOWN((LineærRegression_Valg[[#This Row],[Tabel ID]]-1)/$B$5,0)+1</f>
        <v>206</v>
      </c>
      <c r="C833" s="45">
        <f t="shared" si="12"/>
        <v>3</v>
      </c>
      <c r="D833" s="45" t="b">
        <f>LineærRegression_Valg[[#This Row],[Afhængig variabel ID]]&lt;&gt;LineærRegression_Valg[[#This Row],[Uafhængig variabel ID]]</f>
        <v>1</v>
      </c>
      <c r="E833" t="b">
        <f>LineærRegression_Valg[[#This Row],[Afhængig variabel ID]]&lt;=$B$5</f>
        <v>0</v>
      </c>
      <c r="F833" t="str" cm="1">
        <f t="array" ref="F833">IF(LineærRegression_Valg[[#This Row],[Indenfor range]],INDEX(DataTitel_liste,LineærRegression_Valg[[#This Row],[Afhængig variabel ID]]),INDEX(DataTitel_liste,1))</f>
        <v>Eksempel 1 (interval)</v>
      </c>
      <c r="G833" s="45" t="str" cm="1">
        <f t="array" ref="G833">IF(LineærRegression_Valg[[#This Row],[Indenfor range]],IF(LineærRegression_Valg[[#This Row],[Intet overlap]],INDEX(DataTitel_liste,LineærRegression_Valg[[#This Row],[Uafhængig variabel ID]]),INDEX(DataTitel_liste,IF(LineærRegression_Valg[[#This Row],[Afhængig variabel ID]]=1,2,1))),$B$7)</f>
        <v>Eksempel 2 (interval)</v>
      </c>
      <c r="H833" s="45">
        <f>_xlfn.AGGREGATE(2,5,LineærRegression_Valg[[#This Row],[Tabel ID]])</f>
        <v>1</v>
      </c>
    </row>
    <row r="834" spans="1:8" x14ac:dyDescent="0.2">
      <c r="A834">
        <f>ROW(LineærRegression_Valg[[#This Row],[Tabel ID]])-ROW(LineærRegression_Valg[[#Headers],[Tabel ID]])</f>
        <v>824</v>
      </c>
      <c r="B834" s="45">
        <f>ROUNDDOWN((LineærRegression_Valg[[#This Row],[Tabel ID]]-1)/$B$5,0)+1</f>
        <v>206</v>
      </c>
      <c r="C834" s="45">
        <f t="shared" si="12"/>
        <v>4</v>
      </c>
      <c r="D834" s="45" t="b">
        <f>LineærRegression_Valg[[#This Row],[Afhængig variabel ID]]&lt;&gt;LineærRegression_Valg[[#This Row],[Uafhængig variabel ID]]</f>
        <v>1</v>
      </c>
      <c r="E834" t="b">
        <f>LineærRegression_Valg[[#This Row],[Afhængig variabel ID]]&lt;=$B$5</f>
        <v>0</v>
      </c>
      <c r="F834" t="str" cm="1">
        <f t="array" ref="F834">IF(LineærRegression_Valg[[#This Row],[Indenfor range]],INDEX(DataTitel_liste,LineærRegression_Valg[[#This Row],[Afhængig variabel ID]]),INDEX(DataTitel_liste,1))</f>
        <v>Eksempel 1 (interval)</v>
      </c>
      <c r="G834" s="45" t="str" cm="1">
        <f t="array" ref="G834">IF(LineærRegression_Valg[[#This Row],[Indenfor range]],IF(LineærRegression_Valg[[#This Row],[Intet overlap]],INDEX(DataTitel_liste,LineærRegression_Valg[[#This Row],[Uafhængig variabel ID]]),INDEX(DataTitel_liste,IF(LineærRegression_Valg[[#This Row],[Afhængig variabel ID]]=1,2,1))),$B$7)</f>
        <v>Eksempel 2 (interval)</v>
      </c>
      <c r="H834" s="45">
        <f>_xlfn.AGGREGATE(2,5,LineærRegression_Valg[[#This Row],[Tabel ID]])</f>
        <v>1</v>
      </c>
    </row>
    <row r="835" spans="1:8" x14ac:dyDescent="0.2">
      <c r="A835">
        <f>ROW(LineærRegression_Valg[[#This Row],[Tabel ID]])-ROW(LineærRegression_Valg[[#Headers],[Tabel ID]])</f>
        <v>825</v>
      </c>
      <c r="B835" s="45">
        <f>ROUNDDOWN((LineærRegression_Valg[[#This Row],[Tabel ID]]-1)/$B$5,0)+1</f>
        <v>207</v>
      </c>
      <c r="C835" s="45">
        <f t="shared" si="12"/>
        <v>1</v>
      </c>
      <c r="D835" s="45" t="b">
        <f>LineærRegression_Valg[[#This Row],[Afhængig variabel ID]]&lt;&gt;LineærRegression_Valg[[#This Row],[Uafhængig variabel ID]]</f>
        <v>1</v>
      </c>
      <c r="E835" t="b">
        <f>LineærRegression_Valg[[#This Row],[Afhængig variabel ID]]&lt;=$B$5</f>
        <v>0</v>
      </c>
      <c r="F835" t="str" cm="1">
        <f t="array" ref="F835">IF(LineærRegression_Valg[[#This Row],[Indenfor range]],INDEX(DataTitel_liste,LineærRegression_Valg[[#This Row],[Afhængig variabel ID]]),INDEX(DataTitel_liste,1))</f>
        <v>Eksempel 1 (interval)</v>
      </c>
      <c r="G835" s="45" t="str" cm="1">
        <f t="array" ref="G835">IF(LineærRegression_Valg[[#This Row],[Indenfor range]],IF(LineærRegression_Valg[[#This Row],[Intet overlap]],INDEX(DataTitel_liste,LineærRegression_Valg[[#This Row],[Uafhængig variabel ID]]),INDEX(DataTitel_liste,IF(LineærRegression_Valg[[#This Row],[Afhængig variabel ID]]=1,2,1))),$B$7)</f>
        <v>Eksempel 2 (interval)</v>
      </c>
      <c r="H835" s="45">
        <f>_xlfn.AGGREGATE(2,5,LineærRegression_Valg[[#This Row],[Tabel ID]])</f>
        <v>1</v>
      </c>
    </row>
    <row r="836" spans="1:8" x14ac:dyDescent="0.2">
      <c r="A836">
        <f>ROW(LineærRegression_Valg[[#This Row],[Tabel ID]])-ROW(LineærRegression_Valg[[#Headers],[Tabel ID]])</f>
        <v>826</v>
      </c>
      <c r="B836" s="45">
        <f>ROUNDDOWN((LineærRegression_Valg[[#This Row],[Tabel ID]]-1)/$B$5,0)+1</f>
        <v>207</v>
      </c>
      <c r="C836" s="45">
        <f t="shared" si="12"/>
        <v>2</v>
      </c>
      <c r="D836" s="45" t="b">
        <f>LineærRegression_Valg[[#This Row],[Afhængig variabel ID]]&lt;&gt;LineærRegression_Valg[[#This Row],[Uafhængig variabel ID]]</f>
        <v>1</v>
      </c>
      <c r="E836" t="b">
        <f>LineærRegression_Valg[[#This Row],[Afhængig variabel ID]]&lt;=$B$5</f>
        <v>0</v>
      </c>
      <c r="F836" t="str" cm="1">
        <f t="array" ref="F836">IF(LineærRegression_Valg[[#This Row],[Indenfor range]],INDEX(DataTitel_liste,LineærRegression_Valg[[#This Row],[Afhængig variabel ID]]),INDEX(DataTitel_liste,1))</f>
        <v>Eksempel 1 (interval)</v>
      </c>
      <c r="G836" s="45" t="str" cm="1">
        <f t="array" ref="G836">IF(LineærRegression_Valg[[#This Row],[Indenfor range]],IF(LineærRegression_Valg[[#This Row],[Intet overlap]],INDEX(DataTitel_liste,LineærRegression_Valg[[#This Row],[Uafhængig variabel ID]]),INDEX(DataTitel_liste,IF(LineærRegression_Valg[[#This Row],[Afhængig variabel ID]]=1,2,1))),$B$7)</f>
        <v>Eksempel 2 (interval)</v>
      </c>
      <c r="H836" s="45">
        <f>_xlfn.AGGREGATE(2,5,LineærRegression_Valg[[#This Row],[Tabel ID]])</f>
        <v>1</v>
      </c>
    </row>
    <row r="837" spans="1:8" x14ac:dyDescent="0.2">
      <c r="A837">
        <f>ROW(LineærRegression_Valg[[#This Row],[Tabel ID]])-ROW(LineærRegression_Valg[[#Headers],[Tabel ID]])</f>
        <v>827</v>
      </c>
      <c r="B837" s="45">
        <f>ROUNDDOWN((LineærRegression_Valg[[#This Row],[Tabel ID]]-1)/$B$5,0)+1</f>
        <v>207</v>
      </c>
      <c r="C837" s="45">
        <f t="shared" si="12"/>
        <v>3</v>
      </c>
      <c r="D837" s="45" t="b">
        <f>LineærRegression_Valg[[#This Row],[Afhængig variabel ID]]&lt;&gt;LineærRegression_Valg[[#This Row],[Uafhængig variabel ID]]</f>
        <v>1</v>
      </c>
      <c r="E837" t="b">
        <f>LineærRegression_Valg[[#This Row],[Afhængig variabel ID]]&lt;=$B$5</f>
        <v>0</v>
      </c>
      <c r="F837" t="str" cm="1">
        <f t="array" ref="F837">IF(LineærRegression_Valg[[#This Row],[Indenfor range]],INDEX(DataTitel_liste,LineærRegression_Valg[[#This Row],[Afhængig variabel ID]]),INDEX(DataTitel_liste,1))</f>
        <v>Eksempel 1 (interval)</v>
      </c>
      <c r="G837" s="45" t="str" cm="1">
        <f t="array" ref="G837">IF(LineærRegression_Valg[[#This Row],[Indenfor range]],IF(LineærRegression_Valg[[#This Row],[Intet overlap]],INDEX(DataTitel_liste,LineærRegression_Valg[[#This Row],[Uafhængig variabel ID]]),INDEX(DataTitel_liste,IF(LineærRegression_Valg[[#This Row],[Afhængig variabel ID]]=1,2,1))),$B$7)</f>
        <v>Eksempel 2 (interval)</v>
      </c>
      <c r="H837" s="45">
        <f>_xlfn.AGGREGATE(2,5,LineærRegression_Valg[[#This Row],[Tabel ID]])</f>
        <v>1</v>
      </c>
    </row>
    <row r="838" spans="1:8" x14ac:dyDescent="0.2">
      <c r="A838">
        <f>ROW(LineærRegression_Valg[[#This Row],[Tabel ID]])-ROW(LineærRegression_Valg[[#Headers],[Tabel ID]])</f>
        <v>828</v>
      </c>
      <c r="B838" s="45">
        <f>ROUNDDOWN((LineærRegression_Valg[[#This Row],[Tabel ID]]-1)/$B$5,0)+1</f>
        <v>207</v>
      </c>
      <c r="C838" s="45">
        <f t="shared" si="12"/>
        <v>4</v>
      </c>
      <c r="D838" s="45" t="b">
        <f>LineærRegression_Valg[[#This Row],[Afhængig variabel ID]]&lt;&gt;LineærRegression_Valg[[#This Row],[Uafhængig variabel ID]]</f>
        <v>1</v>
      </c>
      <c r="E838" t="b">
        <f>LineærRegression_Valg[[#This Row],[Afhængig variabel ID]]&lt;=$B$5</f>
        <v>0</v>
      </c>
      <c r="F838" t="str" cm="1">
        <f t="array" ref="F838">IF(LineærRegression_Valg[[#This Row],[Indenfor range]],INDEX(DataTitel_liste,LineærRegression_Valg[[#This Row],[Afhængig variabel ID]]),INDEX(DataTitel_liste,1))</f>
        <v>Eksempel 1 (interval)</v>
      </c>
      <c r="G838" s="45" t="str" cm="1">
        <f t="array" ref="G838">IF(LineærRegression_Valg[[#This Row],[Indenfor range]],IF(LineærRegression_Valg[[#This Row],[Intet overlap]],INDEX(DataTitel_liste,LineærRegression_Valg[[#This Row],[Uafhængig variabel ID]]),INDEX(DataTitel_liste,IF(LineærRegression_Valg[[#This Row],[Afhængig variabel ID]]=1,2,1))),$B$7)</f>
        <v>Eksempel 2 (interval)</v>
      </c>
      <c r="H838" s="45">
        <f>_xlfn.AGGREGATE(2,5,LineærRegression_Valg[[#This Row],[Tabel ID]])</f>
        <v>1</v>
      </c>
    </row>
    <row r="839" spans="1:8" x14ac:dyDescent="0.2">
      <c r="A839">
        <f>ROW(LineærRegression_Valg[[#This Row],[Tabel ID]])-ROW(LineærRegression_Valg[[#Headers],[Tabel ID]])</f>
        <v>829</v>
      </c>
      <c r="B839" s="45">
        <f>ROUNDDOWN((LineærRegression_Valg[[#This Row],[Tabel ID]]-1)/$B$5,0)+1</f>
        <v>208</v>
      </c>
      <c r="C839" s="45">
        <f t="shared" si="12"/>
        <v>1</v>
      </c>
      <c r="D839" s="45" t="b">
        <f>LineærRegression_Valg[[#This Row],[Afhængig variabel ID]]&lt;&gt;LineærRegression_Valg[[#This Row],[Uafhængig variabel ID]]</f>
        <v>1</v>
      </c>
      <c r="E839" t="b">
        <f>LineærRegression_Valg[[#This Row],[Afhængig variabel ID]]&lt;=$B$5</f>
        <v>0</v>
      </c>
      <c r="F839" t="str" cm="1">
        <f t="array" ref="F839">IF(LineærRegression_Valg[[#This Row],[Indenfor range]],INDEX(DataTitel_liste,LineærRegression_Valg[[#This Row],[Afhængig variabel ID]]),INDEX(DataTitel_liste,1))</f>
        <v>Eksempel 1 (interval)</v>
      </c>
      <c r="G839" s="45" t="str" cm="1">
        <f t="array" ref="G839">IF(LineærRegression_Valg[[#This Row],[Indenfor range]],IF(LineærRegression_Valg[[#This Row],[Intet overlap]],INDEX(DataTitel_liste,LineærRegression_Valg[[#This Row],[Uafhængig variabel ID]]),INDEX(DataTitel_liste,IF(LineærRegression_Valg[[#This Row],[Afhængig variabel ID]]=1,2,1))),$B$7)</f>
        <v>Eksempel 2 (interval)</v>
      </c>
      <c r="H839" s="45">
        <f>_xlfn.AGGREGATE(2,5,LineærRegression_Valg[[#This Row],[Tabel ID]])</f>
        <v>1</v>
      </c>
    </row>
    <row r="840" spans="1:8" x14ac:dyDescent="0.2">
      <c r="A840">
        <f>ROW(LineærRegression_Valg[[#This Row],[Tabel ID]])-ROW(LineærRegression_Valg[[#Headers],[Tabel ID]])</f>
        <v>830</v>
      </c>
      <c r="B840" s="45">
        <f>ROUNDDOWN((LineærRegression_Valg[[#This Row],[Tabel ID]]-1)/$B$5,0)+1</f>
        <v>208</v>
      </c>
      <c r="C840" s="45">
        <f t="shared" si="12"/>
        <v>2</v>
      </c>
      <c r="D840" s="45" t="b">
        <f>LineærRegression_Valg[[#This Row],[Afhængig variabel ID]]&lt;&gt;LineærRegression_Valg[[#This Row],[Uafhængig variabel ID]]</f>
        <v>1</v>
      </c>
      <c r="E840" t="b">
        <f>LineærRegression_Valg[[#This Row],[Afhængig variabel ID]]&lt;=$B$5</f>
        <v>0</v>
      </c>
      <c r="F840" t="str" cm="1">
        <f t="array" ref="F840">IF(LineærRegression_Valg[[#This Row],[Indenfor range]],INDEX(DataTitel_liste,LineærRegression_Valg[[#This Row],[Afhængig variabel ID]]),INDEX(DataTitel_liste,1))</f>
        <v>Eksempel 1 (interval)</v>
      </c>
      <c r="G840" s="45" t="str" cm="1">
        <f t="array" ref="G840">IF(LineærRegression_Valg[[#This Row],[Indenfor range]],IF(LineærRegression_Valg[[#This Row],[Intet overlap]],INDEX(DataTitel_liste,LineærRegression_Valg[[#This Row],[Uafhængig variabel ID]]),INDEX(DataTitel_liste,IF(LineærRegression_Valg[[#This Row],[Afhængig variabel ID]]=1,2,1))),$B$7)</f>
        <v>Eksempel 2 (interval)</v>
      </c>
      <c r="H840" s="45">
        <f>_xlfn.AGGREGATE(2,5,LineærRegression_Valg[[#This Row],[Tabel ID]])</f>
        <v>1</v>
      </c>
    </row>
    <row r="841" spans="1:8" x14ac:dyDescent="0.2">
      <c r="A841">
        <f>ROW(LineærRegression_Valg[[#This Row],[Tabel ID]])-ROW(LineærRegression_Valg[[#Headers],[Tabel ID]])</f>
        <v>831</v>
      </c>
      <c r="B841" s="45">
        <f>ROUNDDOWN((LineærRegression_Valg[[#This Row],[Tabel ID]]-1)/$B$5,0)+1</f>
        <v>208</v>
      </c>
      <c r="C841" s="45">
        <f t="shared" si="12"/>
        <v>3</v>
      </c>
      <c r="D841" s="45" t="b">
        <f>LineærRegression_Valg[[#This Row],[Afhængig variabel ID]]&lt;&gt;LineærRegression_Valg[[#This Row],[Uafhængig variabel ID]]</f>
        <v>1</v>
      </c>
      <c r="E841" t="b">
        <f>LineærRegression_Valg[[#This Row],[Afhængig variabel ID]]&lt;=$B$5</f>
        <v>0</v>
      </c>
      <c r="F841" t="str" cm="1">
        <f t="array" ref="F841">IF(LineærRegression_Valg[[#This Row],[Indenfor range]],INDEX(DataTitel_liste,LineærRegression_Valg[[#This Row],[Afhængig variabel ID]]),INDEX(DataTitel_liste,1))</f>
        <v>Eksempel 1 (interval)</v>
      </c>
      <c r="G841" s="45" t="str" cm="1">
        <f t="array" ref="G841">IF(LineærRegression_Valg[[#This Row],[Indenfor range]],IF(LineærRegression_Valg[[#This Row],[Intet overlap]],INDEX(DataTitel_liste,LineærRegression_Valg[[#This Row],[Uafhængig variabel ID]]),INDEX(DataTitel_liste,IF(LineærRegression_Valg[[#This Row],[Afhængig variabel ID]]=1,2,1))),$B$7)</f>
        <v>Eksempel 2 (interval)</v>
      </c>
      <c r="H841" s="45">
        <f>_xlfn.AGGREGATE(2,5,LineærRegression_Valg[[#This Row],[Tabel ID]])</f>
        <v>1</v>
      </c>
    </row>
    <row r="842" spans="1:8" x14ac:dyDescent="0.2">
      <c r="A842">
        <f>ROW(LineærRegression_Valg[[#This Row],[Tabel ID]])-ROW(LineærRegression_Valg[[#Headers],[Tabel ID]])</f>
        <v>832</v>
      </c>
      <c r="B842" s="45">
        <f>ROUNDDOWN((LineærRegression_Valg[[#This Row],[Tabel ID]]-1)/$B$5,0)+1</f>
        <v>208</v>
      </c>
      <c r="C842" s="45">
        <f t="shared" si="12"/>
        <v>4</v>
      </c>
      <c r="D842" s="45" t="b">
        <f>LineærRegression_Valg[[#This Row],[Afhængig variabel ID]]&lt;&gt;LineærRegression_Valg[[#This Row],[Uafhængig variabel ID]]</f>
        <v>1</v>
      </c>
      <c r="E842" t="b">
        <f>LineærRegression_Valg[[#This Row],[Afhængig variabel ID]]&lt;=$B$5</f>
        <v>0</v>
      </c>
      <c r="F842" t="str" cm="1">
        <f t="array" ref="F842">IF(LineærRegression_Valg[[#This Row],[Indenfor range]],INDEX(DataTitel_liste,LineærRegression_Valg[[#This Row],[Afhængig variabel ID]]),INDEX(DataTitel_liste,1))</f>
        <v>Eksempel 1 (interval)</v>
      </c>
      <c r="G842" s="45" t="str" cm="1">
        <f t="array" ref="G842">IF(LineærRegression_Valg[[#This Row],[Indenfor range]],IF(LineærRegression_Valg[[#This Row],[Intet overlap]],INDEX(DataTitel_liste,LineærRegression_Valg[[#This Row],[Uafhængig variabel ID]]),INDEX(DataTitel_liste,IF(LineærRegression_Valg[[#This Row],[Afhængig variabel ID]]=1,2,1))),$B$7)</f>
        <v>Eksempel 2 (interval)</v>
      </c>
      <c r="H842" s="45">
        <f>_xlfn.AGGREGATE(2,5,LineærRegression_Valg[[#This Row],[Tabel ID]])</f>
        <v>1</v>
      </c>
    </row>
    <row r="843" spans="1:8" x14ac:dyDescent="0.2">
      <c r="A843">
        <f>ROW(LineærRegression_Valg[[#This Row],[Tabel ID]])-ROW(LineærRegression_Valg[[#Headers],[Tabel ID]])</f>
        <v>833</v>
      </c>
      <c r="B843" s="45">
        <f>ROUNDDOWN((LineærRegression_Valg[[#This Row],[Tabel ID]]-1)/$B$5,0)+1</f>
        <v>209</v>
      </c>
      <c r="C843" s="45">
        <f t="shared" ref="C843:C906" si="13">MOD(A843-1,$B$5)+1</f>
        <v>1</v>
      </c>
      <c r="D843" s="45" t="b">
        <f>LineærRegression_Valg[[#This Row],[Afhængig variabel ID]]&lt;&gt;LineærRegression_Valg[[#This Row],[Uafhængig variabel ID]]</f>
        <v>1</v>
      </c>
      <c r="E843" t="b">
        <f>LineærRegression_Valg[[#This Row],[Afhængig variabel ID]]&lt;=$B$5</f>
        <v>0</v>
      </c>
      <c r="F843" t="str" cm="1">
        <f t="array" ref="F843">IF(LineærRegression_Valg[[#This Row],[Indenfor range]],INDEX(DataTitel_liste,LineærRegression_Valg[[#This Row],[Afhængig variabel ID]]),INDEX(DataTitel_liste,1))</f>
        <v>Eksempel 1 (interval)</v>
      </c>
      <c r="G843" s="45" t="str" cm="1">
        <f t="array" ref="G843">IF(LineærRegression_Valg[[#This Row],[Indenfor range]],IF(LineærRegression_Valg[[#This Row],[Intet overlap]],INDEX(DataTitel_liste,LineærRegression_Valg[[#This Row],[Uafhængig variabel ID]]),INDEX(DataTitel_liste,IF(LineærRegression_Valg[[#This Row],[Afhængig variabel ID]]=1,2,1))),$B$7)</f>
        <v>Eksempel 2 (interval)</v>
      </c>
      <c r="H843" s="45">
        <f>_xlfn.AGGREGATE(2,5,LineærRegression_Valg[[#This Row],[Tabel ID]])</f>
        <v>1</v>
      </c>
    </row>
    <row r="844" spans="1:8" x14ac:dyDescent="0.2">
      <c r="A844">
        <f>ROW(LineærRegression_Valg[[#This Row],[Tabel ID]])-ROW(LineærRegression_Valg[[#Headers],[Tabel ID]])</f>
        <v>834</v>
      </c>
      <c r="B844" s="45">
        <f>ROUNDDOWN((LineærRegression_Valg[[#This Row],[Tabel ID]]-1)/$B$5,0)+1</f>
        <v>209</v>
      </c>
      <c r="C844" s="45">
        <f t="shared" si="13"/>
        <v>2</v>
      </c>
      <c r="D844" s="45" t="b">
        <f>LineærRegression_Valg[[#This Row],[Afhængig variabel ID]]&lt;&gt;LineærRegression_Valg[[#This Row],[Uafhængig variabel ID]]</f>
        <v>1</v>
      </c>
      <c r="E844" t="b">
        <f>LineærRegression_Valg[[#This Row],[Afhængig variabel ID]]&lt;=$B$5</f>
        <v>0</v>
      </c>
      <c r="F844" t="str" cm="1">
        <f t="array" ref="F844">IF(LineærRegression_Valg[[#This Row],[Indenfor range]],INDEX(DataTitel_liste,LineærRegression_Valg[[#This Row],[Afhængig variabel ID]]),INDEX(DataTitel_liste,1))</f>
        <v>Eksempel 1 (interval)</v>
      </c>
      <c r="G844" s="45" t="str" cm="1">
        <f t="array" ref="G844">IF(LineærRegression_Valg[[#This Row],[Indenfor range]],IF(LineærRegression_Valg[[#This Row],[Intet overlap]],INDEX(DataTitel_liste,LineærRegression_Valg[[#This Row],[Uafhængig variabel ID]]),INDEX(DataTitel_liste,IF(LineærRegression_Valg[[#This Row],[Afhængig variabel ID]]=1,2,1))),$B$7)</f>
        <v>Eksempel 2 (interval)</v>
      </c>
      <c r="H844" s="45">
        <f>_xlfn.AGGREGATE(2,5,LineærRegression_Valg[[#This Row],[Tabel ID]])</f>
        <v>1</v>
      </c>
    </row>
    <row r="845" spans="1:8" x14ac:dyDescent="0.2">
      <c r="A845">
        <f>ROW(LineærRegression_Valg[[#This Row],[Tabel ID]])-ROW(LineærRegression_Valg[[#Headers],[Tabel ID]])</f>
        <v>835</v>
      </c>
      <c r="B845" s="45">
        <f>ROUNDDOWN((LineærRegression_Valg[[#This Row],[Tabel ID]]-1)/$B$5,0)+1</f>
        <v>209</v>
      </c>
      <c r="C845" s="45">
        <f t="shared" si="13"/>
        <v>3</v>
      </c>
      <c r="D845" s="45" t="b">
        <f>LineærRegression_Valg[[#This Row],[Afhængig variabel ID]]&lt;&gt;LineærRegression_Valg[[#This Row],[Uafhængig variabel ID]]</f>
        <v>1</v>
      </c>
      <c r="E845" t="b">
        <f>LineærRegression_Valg[[#This Row],[Afhængig variabel ID]]&lt;=$B$5</f>
        <v>0</v>
      </c>
      <c r="F845" t="str" cm="1">
        <f t="array" ref="F845">IF(LineærRegression_Valg[[#This Row],[Indenfor range]],INDEX(DataTitel_liste,LineærRegression_Valg[[#This Row],[Afhængig variabel ID]]),INDEX(DataTitel_liste,1))</f>
        <v>Eksempel 1 (interval)</v>
      </c>
      <c r="G845" s="45" t="str" cm="1">
        <f t="array" ref="G845">IF(LineærRegression_Valg[[#This Row],[Indenfor range]],IF(LineærRegression_Valg[[#This Row],[Intet overlap]],INDEX(DataTitel_liste,LineærRegression_Valg[[#This Row],[Uafhængig variabel ID]]),INDEX(DataTitel_liste,IF(LineærRegression_Valg[[#This Row],[Afhængig variabel ID]]=1,2,1))),$B$7)</f>
        <v>Eksempel 2 (interval)</v>
      </c>
      <c r="H845" s="45">
        <f>_xlfn.AGGREGATE(2,5,LineærRegression_Valg[[#This Row],[Tabel ID]])</f>
        <v>1</v>
      </c>
    </row>
    <row r="846" spans="1:8" x14ac:dyDescent="0.2">
      <c r="A846">
        <f>ROW(LineærRegression_Valg[[#This Row],[Tabel ID]])-ROW(LineærRegression_Valg[[#Headers],[Tabel ID]])</f>
        <v>836</v>
      </c>
      <c r="B846" s="45">
        <f>ROUNDDOWN((LineærRegression_Valg[[#This Row],[Tabel ID]]-1)/$B$5,0)+1</f>
        <v>209</v>
      </c>
      <c r="C846" s="45">
        <f t="shared" si="13"/>
        <v>4</v>
      </c>
      <c r="D846" s="45" t="b">
        <f>LineærRegression_Valg[[#This Row],[Afhængig variabel ID]]&lt;&gt;LineærRegression_Valg[[#This Row],[Uafhængig variabel ID]]</f>
        <v>1</v>
      </c>
      <c r="E846" t="b">
        <f>LineærRegression_Valg[[#This Row],[Afhængig variabel ID]]&lt;=$B$5</f>
        <v>0</v>
      </c>
      <c r="F846" t="str" cm="1">
        <f t="array" ref="F846">IF(LineærRegression_Valg[[#This Row],[Indenfor range]],INDEX(DataTitel_liste,LineærRegression_Valg[[#This Row],[Afhængig variabel ID]]),INDEX(DataTitel_liste,1))</f>
        <v>Eksempel 1 (interval)</v>
      </c>
      <c r="G846" s="45" t="str" cm="1">
        <f t="array" ref="G846">IF(LineærRegression_Valg[[#This Row],[Indenfor range]],IF(LineærRegression_Valg[[#This Row],[Intet overlap]],INDEX(DataTitel_liste,LineærRegression_Valg[[#This Row],[Uafhængig variabel ID]]),INDEX(DataTitel_liste,IF(LineærRegression_Valg[[#This Row],[Afhængig variabel ID]]=1,2,1))),$B$7)</f>
        <v>Eksempel 2 (interval)</v>
      </c>
      <c r="H846" s="45">
        <f>_xlfn.AGGREGATE(2,5,LineærRegression_Valg[[#This Row],[Tabel ID]])</f>
        <v>1</v>
      </c>
    </row>
    <row r="847" spans="1:8" x14ac:dyDescent="0.2">
      <c r="A847">
        <f>ROW(LineærRegression_Valg[[#This Row],[Tabel ID]])-ROW(LineærRegression_Valg[[#Headers],[Tabel ID]])</f>
        <v>837</v>
      </c>
      <c r="B847" s="45">
        <f>ROUNDDOWN((LineærRegression_Valg[[#This Row],[Tabel ID]]-1)/$B$5,0)+1</f>
        <v>210</v>
      </c>
      <c r="C847" s="45">
        <f t="shared" si="13"/>
        <v>1</v>
      </c>
      <c r="D847" s="45" t="b">
        <f>LineærRegression_Valg[[#This Row],[Afhængig variabel ID]]&lt;&gt;LineærRegression_Valg[[#This Row],[Uafhængig variabel ID]]</f>
        <v>1</v>
      </c>
      <c r="E847" t="b">
        <f>LineærRegression_Valg[[#This Row],[Afhængig variabel ID]]&lt;=$B$5</f>
        <v>0</v>
      </c>
      <c r="F847" t="str" cm="1">
        <f t="array" ref="F847">IF(LineærRegression_Valg[[#This Row],[Indenfor range]],INDEX(DataTitel_liste,LineærRegression_Valg[[#This Row],[Afhængig variabel ID]]),INDEX(DataTitel_liste,1))</f>
        <v>Eksempel 1 (interval)</v>
      </c>
      <c r="G847" s="45" t="str" cm="1">
        <f t="array" ref="G847">IF(LineærRegression_Valg[[#This Row],[Indenfor range]],IF(LineærRegression_Valg[[#This Row],[Intet overlap]],INDEX(DataTitel_liste,LineærRegression_Valg[[#This Row],[Uafhængig variabel ID]]),INDEX(DataTitel_liste,IF(LineærRegression_Valg[[#This Row],[Afhængig variabel ID]]=1,2,1))),$B$7)</f>
        <v>Eksempel 2 (interval)</v>
      </c>
      <c r="H847" s="45">
        <f>_xlfn.AGGREGATE(2,5,LineærRegression_Valg[[#This Row],[Tabel ID]])</f>
        <v>1</v>
      </c>
    </row>
    <row r="848" spans="1:8" x14ac:dyDescent="0.2">
      <c r="A848">
        <f>ROW(LineærRegression_Valg[[#This Row],[Tabel ID]])-ROW(LineærRegression_Valg[[#Headers],[Tabel ID]])</f>
        <v>838</v>
      </c>
      <c r="B848" s="45">
        <f>ROUNDDOWN((LineærRegression_Valg[[#This Row],[Tabel ID]]-1)/$B$5,0)+1</f>
        <v>210</v>
      </c>
      <c r="C848" s="45">
        <f t="shared" si="13"/>
        <v>2</v>
      </c>
      <c r="D848" s="45" t="b">
        <f>LineærRegression_Valg[[#This Row],[Afhængig variabel ID]]&lt;&gt;LineærRegression_Valg[[#This Row],[Uafhængig variabel ID]]</f>
        <v>1</v>
      </c>
      <c r="E848" t="b">
        <f>LineærRegression_Valg[[#This Row],[Afhængig variabel ID]]&lt;=$B$5</f>
        <v>0</v>
      </c>
      <c r="F848" t="str" cm="1">
        <f t="array" ref="F848">IF(LineærRegression_Valg[[#This Row],[Indenfor range]],INDEX(DataTitel_liste,LineærRegression_Valg[[#This Row],[Afhængig variabel ID]]),INDEX(DataTitel_liste,1))</f>
        <v>Eksempel 1 (interval)</v>
      </c>
      <c r="G848" s="45" t="str" cm="1">
        <f t="array" ref="G848">IF(LineærRegression_Valg[[#This Row],[Indenfor range]],IF(LineærRegression_Valg[[#This Row],[Intet overlap]],INDEX(DataTitel_liste,LineærRegression_Valg[[#This Row],[Uafhængig variabel ID]]),INDEX(DataTitel_liste,IF(LineærRegression_Valg[[#This Row],[Afhængig variabel ID]]=1,2,1))),$B$7)</f>
        <v>Eksempel 2 (interval)</v>
      </c>
      <c r="H848" s="45">
        <f>_xlfn.AGGREGATE(2,5,LineærRegression_Valg[[#This Row],[Tabel ID]])</f>
        <v>1</v>
      </c>
    </row>
    <row r="849" spans="1:8" x14ac:dyDescent="0.2">
      <c r="A849">
        <f>ROW(LineærRegression_Valg[[#This Row],[Tabel ID]])-ROW(LineærRegression_Valg[[#Headers],[Tabel ID]])</f>
        <v>839</v>
      </c>
      <c r="B849" s="45">
        <f>ROUNDDOWN((LineærRegression_Valg[[#This Row],[Tabel ID]]-1)/$B$5,0)+1</f>
        <v>210</v>
      </c>
      <c r="C849" s="45">
        <f t="shared" si="13"/>
        <v>3</v>
      </c>
      <c r="D849" s="45" t="b">
        <f>LineærRegression_Valg[[#This Row],[Afhængig variabel ID]]&lt;&gt;LineærRegression_Valg[[#This Row],[Uafhængig variabel ID]]</f>
        <v>1</v>
      </c>
      <c r="E849" t="b">
        <f>LineærRegression_Valg[[#This Row],[Afhængig variabel ID]]&lt;=$B$5</f>
        <v>0</v>
      </c>
      <c r="F849" t="str" cm="1">
        <f t="array" ref="F849">IF(LineærRegression_Valg[[#This Row],[Indenfor range]],INDEX(DataTitel_liste,LineærRegression_Valg[[#This Row],[Afhængig variabel ID]]),INDEX(DataTitel_liste,1))</f>
        <v>Eksempel 1 (interval)</v>
      </c>
      <c r="G849" s="45" t="str" cm="1">
        <f t="array" ref="G849">IF(LineærRegression_Valg[[#This Row],[Indenfor range]],IF(LineærRegression_Valg[[#This Row],[Intet overlap]],INDEX(DataTitel_liste,LineærRegression_Valg[[#This Row],[Uafhængig variabel ID]]),INDEX(DataTitel_liste,IF(LineærRegression_Valg[[#This Row],[Afhængig variabel ID]]=1,2,1))),$B$7)</f>
        <v>Eksempel 2 (interval)</v>
      </c>
      <c r="H849" s="45">
        <f>_xlfn.AGGREGATE(2,5,LineærRegression_Valg[[#This Row],[Tabel ID]])</f>
        <v>1</v>
      </c>
    </row>
    <row r="850" spans="1:8" x14ac:dyDescent="0.2">
      <c r="A850">
        <f>ROW(LineærRegression_Valg[[#This Row],[Tabel ID]])-ROW(LineærRegression_Valg[[#Headers],[Tabel ID]])</f>
        <v>840</v>
      </c>
      <c r="B850" s="45">
        <f>ROUNDDOWN((LineærRegression_Valg[[#This Row],[Tabel ID]]-1)/$B$5,0)+1</f>
        <v>210</v>
      </c>
      <c r="C850" s="45">
        <f t="shared" si="13"/>
        <v>4</v>
      </c>
      <c r="D850" s="45" t="b">
        <f>LineærRegression_Valg[[#This Row],[Afhængig variabel ID]]&lt;&gt;LineærRegression_Valg[[#This Row],[Uafhængig variabel ID]]</f>
        <v>1</v>
      </c>
      <c r="E850" t="b">
        <f>LineærRegression_Valg[[#This Row],[Afhængig variabel ID]]&lt;=$B$5</f>
        <v>0</v>
      </c>
      <c r="F850" t="str" cm="1">
        <f t="array" ref="F850">IF(LineærRegression_Valg[[#This Row],[Indenfor range]],INDEX(DataTitel_liste,LineærRegression_Valg[[#This Row],[Afhængig variabel ID]]),INDEX(DataTitel_liste,1))</f>
        <v>Eksempel 1 (interval)</v>
      </c>
      <c r="G850" s="45" t="str" cm="1">
        <f t="array" ref="G850">IF(LineærRegression_Valg[[#This Row],[Indenfor range]],IF(LineærRegression_Valg[[#This Row],[Intet overlap]],INDEX(DataTitel_liste,LineærRegression_Valg[[#This Row],[Uafhængig variabel ID]]),INDEX(DataTitel_liste,IF(LineærRegression_Valg[[#This Row],[Afhængig variabel ID]]=1,2,1))),$B$7)</f>
        <v>Eksempel 2 (interval)</v>
      </c>
      <c r="H850" s="45">
        <f>_xlfn.AGGREGATE(2,5,LineærRegression_Valg[[#This Row],[Tabel ID]])</f>
        <v>1</v>
      </c>
    </row>
    <row r="851" spans="1:8" x14ac:dyDescent="0.2">
      <c r="A851">
        <f>ROW(LineærRegression_Valg[[#This Row],[Tabel ID]])-ROW(LineærRegression_Valg[[#Headers],[Tabel ID]])</f>
        <v>841</v>
      </c>
      <c r="B851" s="45">
        <f>ROUNDDOWN((LineærRegression_Valg[[#This Row],[Tabel ID]]-1)/$B$5,0)+1</f>
        <v>211</v>
      </c>
      <c r="C851" s="45">
        <f t="shared" si="13"/>
        <v>1</v>
      </c>
      <c r="D851" s="45" t="b">
        <f>LineærRegression_Valg[[#This Row],[Afhængig variabel ID]]&lt;&gt;LineærRegression_Valg[[#This Row],[Uafhængig variabel ID]]</f>
        <v>1</v>
      </c>
      <c r="E851" t="b">
        <f>LineærRegression_Valg[[#This Row],[Afhængig variabel ID]]&lt;=$B$5</f>
        <v>0</v>
      </c>
      <c r="F851" t="str" cm="1">
        <f t="array" ref="F851">IF(LineærRegression_Valg[[#This Row],[Indenfor range]],INDEX(DataTitel_liste,LineærRegression_Valg[[#This Row],[Afhængig variabel ID]]),INDEX(DataTitel_liste,1))</f>
        <v>Eksempel 1 (interval)</v>
      </c>
      <c r="G851" s="45" t="str" cm="1">
        <f t="array" ref="G851">IF(LineærRegression_Valg[[#This Row],[Indenfor range]],IF(LineærRegression_Valg[[#This Row],[Intet overlap]],INDEX(DataTitel_liste,LineærRegression_Valg[[#This Row],[Uafhængig variabel ID]]),INDEX(DataTitel_liste,IF(LineærRegression_Valg[[#This Row],[Afhængig variabel ID]]=1,2,1))),$B$7)</f>
        <v>Eksempel 2 (interval)</v>
      </c>
      <c r="H851" s="45">
        <f>_xlfn.AGGREGATE(2,5,LineærRegression_Valg[[#This Row],[Tabel ID]])</f>
        <v>1</v>
      </c>
    </row>
    <row r="852" spans="1:8" x14ac:dyDescent="0.2">
      <c r="A852">
        <f>ROW(LineærRegression_Valg[[#This Row],[Tabel ID]])-ROW(LineærRegression_Valg[[#Headers],[Tabel ID]])</f>
        <v>842</v>
      </c>
      <c r="B852" s="45">
        <f>ROUNDDOWN((LineærRegression_Valg[[#This Row],[Tabel ID]]-1)/$B$5,0)+1</f>
        <v>211</v>
      </c>
      <c r="C852" s="45">
        <f t="shared" si="13"/>
        <v>2</v>
      </c>
      <c r="D852" s="45" t="b">
        <f>LineærRegression_Valg[[#This Row],[Afhængig variabel ID]]&lt;&gt;LineærRegression_Valg[[#This Row],[Uafhængig variabel ID]]</f>
        <v>1</v>
      </c>
      <c r="E852" t="b">
        <f>LineærRegression_Valg[[#This Row],[Afhængig variabel ID]]&lt;=$B$5</f>
        <v>0</v>
      </c>
      <c r="F852" t="str" cm="1">
        <f t="array" ref="F852">IF(LineærRegression_Valg[[#This Row],[Indenfor range]],INDEX(DataTitel_liste,LineærRegression_Valg[[#This Row],[Afhængig variabel ID]]),INDEX(DataTitel_liste,1))</f>
        <v>Eksempel 1 (interval)</v>
      </c>
      <c r="G852" s="45" t="str" cm="1">
        <f t="array" ref="G852">IF(LineærRegression_Valg[[#This Row],[Indenfor range]],IF(LineærRegression_Valg[[#This Row],[Intet overlap]],INDEX(DataTitel_liste,LineærRegression_Valg[[#This Row],[Uafhængig variabel ID]]),INDEX(DataTitel_liste,IF(LineærRegression_Valg[[#This Row],[Afhængig variabel ID]]=1,2,1))),$B$7)</f>
        <v>Eksempel 2 (interval)</v>
      </c>
      <c r="H852" s="45">
        <f>_xlfn.AGGREGATE(2,5,LineærRegression_Valg[[#This Row],[Tabel ID]])</f>
        <v>1</v>
      </c>
    </row>
    <row r="853" spans="1:8" x14ac:dyDescent="0.2">
      <c r="A853">
        <f>ROW(LineærRegression_Valg[[#This Row],[Tabel ID]])-ROW(LineærRegression_Valg[[#Headers],[Tabel ID]])</f>
        <v>843</v>
      </c>
      <c r="B853" s="45">
        <f>ROUNDDOWN((LineærRegression_Valg[[#This Row],[Tabel ID]]-1)/$B$5,0)+1</f>
        <v>211</v>
      </c>
      <c r="C853" s="45">
        <f t="shared" si="13"/>
        <v>3</v>
      </c>
      <c r="D853" s="45" t="b">
        <f>LineærRegression_Valg[[#This Row],[Afhængig variabel ID]]&lt;&gt;LineærRegression_Valg[[#This Row],[Uafhængig variabel ID]]</f>
        <v>1</v>
      </c>
      <c r="E853" t="b">
        <f>LineærRegression_Valg[[#This Row],[Afhængig variabel ID]]&lt;=$B$5</f>
        <v>0</v>
      </c>
      <c r="F853" t="str" cm="1">
        <f t="array" ref="F853">IF(LineærRegression_Valg[[#This Row],[Indenfor range]],INDEX(DataTitel_liste,LineærRegression_Valg[[#This Row],[Afhængig variabel ID]]),INDEX(DataTitel_liste,1))</f>
        <v>Eksempel 1 (interval)</v>
      </c>
      <c r="G853" s="45" t="str" cm="1">
        <f t="array" ref="G853">IF(LineærRegression_Valg[[#This Row],[Indenfor range]],IF(LineærRegression_Valg[[#This Row],[Intet overlap]],INDEX(DataTitel_liste,LineærRegression_Valg[[#This Row],[Uafhængig variabel ID]]),INDEX(DataTitel_liste,IF(LineærRegression_Valg[[#This Row],[Afhængig variabel ID]]=1,2,1))),$B$7)</f>
        <v>Eksempel 2 (interval)</v>
      </c>
      <c r="H853" s="45">
        <f>_xlfn.AGGREGATE(2,5,LineærRegression_Valg[[#This Row],[Tabel ID]])</f>
        <v>1</v>
      </c>
    </row>
    <row r="854" spans="1:8" x14ac:dyDescent="0.2">
      <c r="A854">
        <f>ROW(LineærRegression_Valg[[#This Row],[Tabel ID]])-ROW(LineærRegression_Valg[[#Headers],[Tabel ID]])</f>
        <v>844</v>
      </c>
      <c r="B854" s="45">
        <f>ROUNDDOWN((LineærRegression_Valg[[#This Row],[Tabel ID]]-1)/$B$5,0)+1</f>
        <v>211</v>
      </c>
      <c r="C854" s="45">
        <f t="shared" si="13"/>
        <v>4</v>
      </c>
      <c r="D854" s="45" t="b">
        <f>LineærRegression_Valg[[#This Row],[Afhængig variabel ID]]&lt;&gt;LineærRegression_Valg[[#This Row],[Uafhængig variabel ID]]</f>
        <v>1</v>
      </c>
      <c r="E854" t="b">
        <f>LineærRegression_Valg[[#This Row],[Afhængig variabel ID]]&lt;=$B$5</f>
        <v>0</v>
      </c>
      <c r="F854" t="str" cm="1">
        <f t="array" ref="F854">IF(LineærRegression_Valg[[#This Row],[Indenfor range]],INDEX(DataTitel_liste,LineærRegression_Valg[[#This Row],[Afhængig variabel ID]]),INDEX(DataTitel_liste,1))</f>
        <v>Eksempel 1 (interval)</v>
      </c>
      <c r="G854" s="45" t="str" cm="1">
        <f t="array" ref="G854">IF(LineærRegression_Valg[[#This Row],[Indenfor range]],IF(LineærRegression_Valg[[#This Row],[Intet overlap]],INDEX(DataTitel_liste,LineærRegression_Valg[[#This Row],[Uafhængig variabel ID]]),INDEX(DataTitel_liste,IF(LineærRegression_Valg[[#This Row],[Afhængig variabel ID]]=1,2,1))),$B$7)</f>
        <v>Eksempel 2 (interval)</v>
      </c>
      <c r="H854" s="45">
        <f>_xlfn.AGGREGATE(2,5,LineærRegression_Valg[[#This Row],[Tabel ID]])</f>
        <v>1</v>
      </c>
    </row>
    <row r="855" spans="1:8" x14ac:dyDescent="0.2">
      <c r="A855">
        <f>ROW(LineærRegression_Valg[[#This Row],[Tabel ID]])-ROW(LineærRegression_Valg[[#Headers],[Tabel ID]])</f>
        <v>845</v>
      </c>
      <c r="B855" s="45">
        <f>ROUNDDOWN((LineærRegression_Valg[[#This Row],[Tabel ID]]-1)/$B$5,0)+1</f>
        <v>212</v>
      </c>
      <c r="C855" s="45">
        <f t="shared" si="13"/>
        <v>1</v>
      </c>
      <c r="D855" s="45" t="b">
        <f>LineærRegression_Valg[[#This Row],[Afhængig variabel ID]]&lt;&gt;LineærRegression_Valg[[#This Row],[Uafhængig variabel ID]]</f>
        <v>1</v>
      </c>
      <c r="E855" t="b">
        <f>LineærRegression_Valg[[#This Row],[Afhængig variabel ID]]&lt;=$B$5</f>
        <v>0</v>
      </c>
      <c r="F855" t="str" cm="1">
        <f t="array" ref="F855">IF(LineærRegression_Valg[[#This Row],[Indenfor range]],INDEX(DataTitel_liste,LineærRegression_Valg[[#This Row],[Afhængig variabel ID]]),INDEX(DataTitel_liste,1))</f>
        <v>Eksempel 1 (interval)</v>
      </c>
      <c r="G855" s="45" t="str" cm="1">
        <f t="array" ref="G855">IF(LineærRegression_Valg[[#This Row],[Indenfor range]],IF(LineærRegression_Valg[[#This Row],[Intet overlap]],INDEX(DataTitel_liste,LineærRegression_Valg[[#This Row],[Uafhængig variabel ID]]),INDEX(DataTitel_liste,IF(LineærRegression_Valg[[#This Row],[Afhængig variabel ID]]=1,2,1))),$B$7)</f>
        <v>Eksempel 2 (interval)</v>
      </c>
      <c r="H855" s="45">
        <f>_xlfn.AGGREGATE(2,5,LineærRegression_Valg[[#This Row],[Tabel ID]])</f>
        <v>1</v>
      </c>
    </row>
    <row r="856" spans="1:8" x14ac:dyDescent="0.2">
      <c r="A856">
        <f>ROW(LineærRegression_Valg[[#This Row],[Tabel ID]])-ROW(LineærRegression_Valg[[#Headers],[Tabel ID]])</f>
        <v>846</v>
      </c>
      <c r="B856" s="45">
        <f>ROUNDDOWN((LineærRegression_Valg[[#This Row],[Tabel ID]]-1)/$B$5,0)+1</f>
        <v>212</v>
      </c>
      <c r="C856" s="45">
        <f t="shared" si="13"/>
        <v>2</v>
      </c>
      <c r="D856" s="45" t="b">
        <f>LineærRegression_Valg[[#This Row],[Afhængig variabel ID]]&lt;&gt;LineærRegression_Valg[[#This Row],[Uafhængig variabel ID]]</f>
        <v>1</v>
      </c>
      <c r="E856" t="b">
        <f>LineærRegression_Valg[[#This Row],[Afhængig variabel ID]]&lt;=$B$5</f>
        <v>0</v>
      </c>
      <c r="F856" t="str" cm="1">
        <f t="array" ref="F856">IF(LineærRegression_Valg[[#This Row],[Indenfor range]],INDEX(DataTitel_liste,LineærRegression_Valg[[#This Row],[Afhængig variabel ID]]),INDEX(DataTitel_liste,1))</f>
        <v>Eksempel 1 (interval)</v>
      </c>
      <c r="G856" s="45" t="str" cm="1">
        <f t="array" ref="G856">IF(LineærRegression_Valg[[#This Row],[Indenfor range]],IF(LineærRegression_Valg[[#This Row],[Intet overlap]],INDEX(DataTitel_liste,LineærRegression_Valg[[#This Row],[Uafhængig variabel ID]]),INDEX(DataTitel_liste,IF(LineærRegression_Valg[[#This Row],[Afhængig variabel ID]]=1,2,1))),$B$7)</f>
        <v>Eksempel 2 (interval)</v>
      </c>
      <c r="H856" s="45">
        <f>_xlfn.AGGREGATE(2,5,LineærRegression_Valg[[#This Row],[Tabel ID]])</f>
        <v>1</v>
      </c>
    </row>
    <row r="857" spans="1:8" x14ac:dyDescent="0.2">
      <c r="A857">
        <f>ROW(LineærRegression_Valg[[#This Row],[Tabel ID]])-ROW(LineærRegression_Valg[[#Headers],[Tabel ID]])</f>
        <v>847</v>
      </c>
      <c r="B857" s="45">
        <f>ROUNDDOWN((LineærRegression_Valg[[#This Row],[Tabel ID]]-1)/$B$5,0)+1</f>
        <v>212</v>
      </c>
      <c r="C857" s="45">
        <f t="shared" si="13"/>
        <v>3</v>
      </c>
      <c r="D857" s="45" t="b">
        <f>LineærRegression_Valg[[#This Row],[Afhængig variabel ID]]&lt;&gt;LineærRegression_Valg[[#This Row],[Uafhængig variabel ID]]</f>
        <v>1</v>
      </c>
      <c r="E857" t="b">
        <f>LineærRegression_Valg[[#This Row],[Afhængig variabel ID]]&lt;=$B$5</f>
        <v>0</v>
      </c>
      <c r="F857" t="str" cm="1">
        <f t="array" ref="F857">IF(LineærRegression_Valg[[#This Row],[Indenfor range]],INDEX(DataTitel_liste,LineærRegression_Valg[[#This Row],[Afhængig variabel ID]]),INDEX(DataTitel_liste,1))</f>
        <v>Eksempel 1 (interval)</v>
      </c>
      <c r="G857" s="45" t="str" cm="1">
        <f t="array" ref="G857">IF(LineærRegression_Valg[[#This Row],[Indenfor range]],IF(LineærRegression_Valg[[#This Row],[Intet overlap]],INDEX(DataTitel_liste,LineærRegression_Valg[[#This Row],[Uafhængig variabel ID]]),INDEX(DataTitel_liste,IF(LineærRegression_Valg[[#This Row],[Afhængig variabel ID]]=1,2,1))),$B$7)</f>
        <v>Eksempel 2 (interval)</v>
      </c>
      <c r="H857" s="45">
        <f>_xlfn.AGGREGATE(2,5,LineærRegression_Valg[[#This Row],[Tabel ID]])</f>
        <v>1</v>
      </c>
    </row>
    <row r="858" spans="1:8" x14ac:dyDescent="0.2">
      <c r="A858">
        <f>ROW(LineærRegression_Valg[[#This Row],[Tabel ID]])-ROW(LineærRegression_Valg[[#Headers],[Tabel ID]])</f>
        <v>848</v>
      </c>
      <c r="B858" s="45">
        <f>ROUNDDOWN((LineærRegression_Valg[[#This Row],[Tabel ID]]-1)/$B$5,0)+1</f>
        <v>212</v>
      </c>
      <c r="C858" s="45">
        <f t="shared" si="13"/>
        <v>4</v>
      </c>
      <c r="D858" s="45" t="b">
        <f>LineærRegression_Valg[[#This Row],[Afhængig variabel ID]]&lt;&gt;LineærRegression_Valg[[#This Row],[Uafhængig variabel ID]]</f>
        <v>1</v>
      </c>
      <c r="E858" t="b">
        <f>LineærRegression_Valg[[#This Row],[Afhængig variabel ID]]&lt;=$B$5</f>
        <v>0</v>
      </c>
      <c r="F858" t="str" cm="1">
        <f t="array" ref="F858">IF(LineærRegression_Valg[[#This Row],[Indenfor range]],INDEX(DataTitel_liste,LineærRegression_Valg[[#This Row],[Afhængig variabel ID]]),INDEX(DataTitel_liste,1))</f>
        <v>Eksempel 1 (interval)</v>
      </c>
      <c r="G858" s="45" t="str" cm="1">
        <f t="array" ref="G858">IF(LineærRegression_Valg[[#This Row],[Indenfor range]],IF(LineærRegression_Valg[[#This Row],[Intet overlap]],INDEX(DataTitel_liste,LineærRegression_Valg[[#This Row],[Uafhængig variabel ID]]),INDEX(DataTitel_liste,IF(LineærRegression_Valg[[#This Row],[Afhængig variabel ID]]=1,2,1))),$B$7)</f>
        <v>Eksempel 2 (interval)</v>
      </c>
      <c r="H858" s="45">
        <f>_xlfn.AGGREGATE(2,5,LineærRegression_Valg[[#This Row],[Tabel ID]])</f>
        <v>1</v>
      </c>
    </row>
    <row r="859" spans="1:8" x14ac:dyDescent="0.2">
      <c r="A859">
        <f>ROW(LineærRegression_Valg[[#This Row],[Tabel ID]])-ROW(LineærRegression_Valg[[#Headers],[Tabel ID]])</f>
        <v>849</v>
      </c>
      <c r="B859" s="45">
        <f>ROUNDDOWN((LineærRegression_Valg[[#This Row],[Tabel ID]]-1)/$B$5,0)+1</f>
        <v>213</v>
      </c>
      <c r="C859" s="45">
        <f t="shared" si="13"/>
        <v>1</v>
      </c>
      <c r="D859" s="45" t="b">
        <f>LineærRegression_Valg[[#This Row],[Afhængig variabel ID]]&lt;&gt;LineærRegression_Valg[[#This Row],[Uafhængig variabel ID]]</f>
        <v>1</v>
      </c>
      <c r="E859" t="b">
        <f>LineærRegression_Valg[[#This Row],[Afhængig variabel ID]]&lt;=$B$5</f>
        <v>0</v>
      </c>
      <c r="F859" t="str" cm="1">
        <f t="array" ref="F859">IF(LineærRegression_Valg[[#This Row],[Indenfor range]],INDEX(DataTitel_liste,LineærRegression_Valg[[#This Row],[Afhængig variabel ID]]),INDEX(DataTitel_liste,1))</f>
        <v>Eksempel 1 (interval)</v>
      </c>
      <c r="G859" s="45" t="str" cm="1">
        <f t="array" ref="G859">IF(LineærRegression_Valg[[#This Row],[Indenfor range]],IF(LineærRegression_Valg[[#This Row],[Intet overlap]],INDEX(DataTitel_liste,LineærRegression_Valg[[#This Row],[Uafhængig variabel ID]]),INDEX(DataTitel_liste,IF(LineærRegression_Valg[[#This Row],[Afhængig variabel ID]]=1,2,1))),$B$7)</f>
        <v>Eksempel 2 (interval)</v>
      </c>
      <c r="H859" s="45">
        <f>_xlfn.AGGREGATE(2,5,LineærRegression_Valg[[#This Row],[Tabel ID]])</f>
        <v>1</v>
      </c>
    </row>
    <row r="860" spans="1:8" x14ac:dyDescent="0.2">
      <c r="A860">
        <f>ROW(LineærRegression_Valg[[#This Row],[Tabel ID]])-ROW(LineærRegression_Valg[[#Headers],[Tabel ID]])</f>
        <v>850</v>
      </c>
      <c r="B860" s="45">
        <f>ROUNDDOWN((LineærRegression_Valg[[#This Row],[Tabel ID]]-1)/$B$5,0)+1</f>
        <v>213</v>
      </c>
      <c r="C860" s="45">
        <f t="shared" si="13"/>
        <v>2</v>
      </c>
      <c r="D860" s="45" t="b">
        <f>LineærRegression_Valg[[#This Row],[Afhængig variabel ID]]&lt;&gt;LineærRegression_Valg[[#This Row],[Uafhængig variabel ID]]</f>
        <v>1</v>
      </c>
      <c r="E860" t="b">
        <f>LineærRegression_Valg[[#This Row],[Afhængig variabel ID]]&lt;=$B$5</f>
        <v>0</v>
      </c>
      <c r="F860" t="str" cm="1">
        <f t="array" ref="F860">IF(LineærRegression_Valg[[#This Row],[Indenfor range]],INDEX(DataTitel_liste,LineærRegression_Valg[[#This Row],[Afhængig variabel ID]]),INDEX(DataTitel_liste,1))</f>
        <v>Eksempel 1 (interval)</v>
      </c>
      <c r="G860" s="45" t="str" cm="1">
        <f t="array" ref="G860">IF(LineærRegression_Valg[[#This Row],[Indenfor range]],IF(LineærRegression_Valg[[#This Row],[Intet overlap]],INDEX(DataTitel_liste,LineærRegression_Valg[[#This Row],[Uafhængig variabel ID]]),INDEX(DataTitel_liste,IF(LineærRegression_Valg[[#This Row],[Afhængig variabel ID]]=1,2,1))),$B$7)</f>
        <v>Eksempel 2 (interval)</v>
      </c>
      <c r="H860" s="45">
        <f>_xlfn.AGGREGATE(2,5,LineærRegression_Valg[[#This Row],[Tabel ID]])</f>
        <v>1</v>
      </c>
    </row>
    <row r="861" spans="1:8" x14ac:dyDescent="0.2">
      <c r="A861">
        <f>ROW(LineærRegression_Valg[[#This Row],[Tabel ID]])-ROW(LineærRegression_Valg[[#Headers],[Tabel ID]])</f>
        <v>851</v>
      </c>
      <c r="B861" s="45">
        <f>ROUNDDOWN((LineærRegression_Valg[[#This Row],[Tabel ID]]-1)/$B$5,0)+1</f>
        <v>213</v>
      </c>
      <c r="C861" s="45">
        <f t="shared" si="13"/>
        <v>3</v>
      </c>
      <c r="D861" s="45" t="b">
        <f>LineærRegression_Valg[[#This Row],[Afhængig variabel ID]]&lt;&gt;LineærRegression_Valg[[#This Row],[Uafhængig variabel ID]]</f>
        <v>1</v>
      </c>
      <c r="E861" t="b">
        <f>LineærRegression_Valg[[#This Row],[Afhængig variabel ID]]&lt;=$B$5</f>
        <v>0</v>
      </c>
      <c r="F861" t="str" cm="1">
        <f t="array" ref="F861">IF(LineærRegression_Valg[[#This Row],[Indenfor range]],INDEX(DataTitel_liste,LineærRegression_Valg[[#This Row],[Afhængig variabel ID]]),INDEX(DataTitel_liste,1))</f>
        <v>Eksempel 1 (interval)</v>
      </c>
      <c r="G861" s="45" t="str" cm="1">
        <f t="array" ref="G861">IF(LineærRegression_Valg[[#This Row],[Indenfor range]],IF(LineærRegression_Valg[[#This Row],[Intet overlap]],INDEX(DataTitel_liste,LineærRegression_Valg[[#This Row],[Uafhængig variabel ID]]),INDEX(DataTitel_liste,IF(LineærRegression_Valg[[#This Row],[Afhængig variabel ID]]=1,2,1))),$B$7)</f>
        <v>Eksempel 2 (interval)</v>
      </c>
      <c r="H861" s="45">
        <f>_xlfn.AGGREGATE(2,5,LineærRegression_Valg[[#This Row],[Tabel ID]])</f>
        <v>1</v>
      </c>
    </row>
    <row r="862" spans="1:8" x14ac:dyDescent="0.2">
      <c r="A862">
        <f>ROW(LineærRegression_Valg[[#This Row],[Tabel ID]])-ROW(LineærRegression_Valg[[#Headers],[Tabel ID]])</f>
        <v>852</v>
      </c>
      <c r="B862" s="45">
        <f>ROUNDDOWN((LineærRegression_Valg[[#This Row],[Tabel ID]]-1)/$B$5,0)+1</f>
        <v>213</v>
      </c>
      <c r="C862" s="45">
        <f t="shared" si="13"/>
        <v>4</v>
      </c>
      <c r="D862" s="45" t="b">
        <f>LineærRegression_Valg[[#This Row],[Afhængig variabel ID]]&lt;&gt;LineærRegression_Valg[[#This Row],[Uafhængig variabel ID]]</f>
        <v>1</v>
      </c>
      <c r="E862" t="b">
        <f>LineærRegression_Valg[[#This Row],[Afhængig variabel ID]]&lt;=$B$5</f>
        <v>0</v>
      </c>
      <c r="F862" t="str" cm="1">
        <f t="array" ref="F862">IF(LineærRegression_Valg[[#This Row],[Indenfor range]],INDEX(DataTitel_liste,LineærRegression_Valg[[#This Row],[Afhængig variabel ID]]),INDEX(DataTitel_liste,1))</f>
        <v>Eksempel 1 (interval)</v>
      </c>
      <c r="G862" s="45" t="str" cm="1">
        <f t="array" ref="G862">IF(LineærRegression_Valg[[#This Row],[Indenfor range]],IF(LineærRegression_Valg[[#This Row],[Intet overlap]],INDEX(DataTitel_liste,LineærRegression_Valg[[#This Row],[Uafhængig variabel ID]]),INDEX(DataTitel_liste,IF(LineærRegression_Valg[[#This Row],[Afhængig variabel ID]]=1,2,1))),$B$7)</f>
        <v>Eksempel 2 (interval)</v>
      </c>
      <c r="H862" s="45">
        <f>_xlfn.AGGREGATE(2,5,LineærRegression_Valg[[#This Row],[Tabel ID]])</f>
        <v>1</v>
      </c>
    </row>
    <row r="863" spans="1:8" x14ac:dyDescent="0.2">
      <c r="A863">
        <f>ROW(LineærRegression_Valg[[#This Row],[Tabel ID]])-ROW(LineærRegression_Valg[[#Headers],[Tabel ID]])</f>
        <v>853</v>
      </c>
      <c r="B863" s="45">
        <f>ROUNDDOWN((LineærRegression_Valg[[#This Row],[Tabel ID]]-1)/$B$5,0)+1</f>
        <v>214</v>
      </c>
      <c r="C863" s="45">
        <f t="shared" si="13"/>
        <v>1</v>
      </c>
      <c r="D863" s="45" t="b">
        <f>LineærRegression_Valg[[#This Row],[Afhængig variabel ID]]&lt;&gt;LineærRegression_Valg[[#This Row],[Uafhængig variabel ID]]</f>
        <v>1</v>
      </c>
      <c r="E863" t="b">
        <f>LineærRegression_Valg[[#This Row],[Afhængig variabel ID]]&lt;=$B$5</f>
        <v>0</v>
      </c>
      <c r="F863" t="str" cm="1">
        <f t="array" ref="F863">IF(LineærRegression_Valg[[#This Row],[Indenfor range]],INDEX(DataTitel_liste,LineærRegression_Valg[[#This Row],[Afhængig variabel ID]]),INDEX(DataTitel_liste,1))</f>
        <v>Eksempel 1 (interval)</v>
      </c>
      <c r="G863" s="45" t="str" cm="1">
        <f t="array" ref="G863">IF(LineærRegression_Valg[[#This Row],[Indenfor range]],IF(LineærRegression_Valg[[#This Row],[Intet overlap]],INDEX(DataTitel_liste,LineærRegression_Valg[[#This Row],[Uafhængig variabel ID]]),INDEX(DataTitel_liste,IF(LineærRegression_Valg[[#This Row],[Afhængig variabel ID]]=1,2,1))),$B$7)</f>
        <v>Eksempel 2 (interval)</v>
      </c>
      <c r="H863" s="45">
        <f>_xlfn.AGGREGATE(2,5,LineærRegression_Valg[[#This Row],[Tabel ID]])</f>
        <v>1</v>
      </c>
    </row>
    <row r="864" spans="1:8" x14ac:dyDescent="0.2">
      <c r="A864">
        <f>ROW(LineærRegression_Valg[[#This Row],[Tabel ID]])-ROW(LineærRegression_Valg[[#Headers],[Tabel ID]])</f>
        <v>854</v>
      </c>
      <c r="B864" s="45">
        <f>ROUNDDOWN((LineærRegression_Valg[[#This Row],[Tabel ID]]-1)/$B$5,0)+1</f>
        <v>214</v>
      </c>
      <c r="C864" s="45">
        <f t="shared" si="13"/>
        <v>2</v>
      </c>
      <c r="D864" s="45" t="b">
        <f>LineærRegression_Valg[[#This Row],[Afhængig variabel ID]]&lt;&gt;LineærRegression_Valg[[#This Row],[Uafhængig variabel ID]]</f>
        <v>1</v>
      </c>
      <c r="E864" t="b">
        <f>LineærRegression_Valg[[#This Row],[Afhængig variabel ID]]&lt;=$B$5</f>
        <v>0</v>
      </c>
      <c r="F864" t="str" cm="1">
        <f t="array" ref="F864">IF(LineærRegression_Valg[[#This Row],[Indenfor range]],INDEX(DataTitel_liste,LineærRegression_Valg[[#This Row],[Afhængig variabel ID]]),INDEX(DataTitel_liste,1))</f>
        <v>Eksempel 1 (interval)</v>
      </c>
      <c r="G864" s="45" t="str" cm="1">
        <f t="array" ref="G864">IF(LineærRegression_Valg[[#This Row],[Indenfor range]],IF(LineærRegression_Valg[[#This Row],[Intet overlap]],INDEX(DataTitel_liste,LineærRegression_Valg[[#This Row],[Uafhængig variabel ID]]),INDEX(DataTitel_liste,IF(LineærRegression_Valg[[#This Row],[Afhængig variabel ID]]=1,2,1))),$B$7)</f>
        <v>Eksempel 2 (interval)</v>
      </c>
      <c r="H864" s="45">
        <f>_xlfn.AGGREGATE(2,5,LineærRegression_Valg[[#This Row],[Tabel ID]])</f>
        <v>1</v>
      </c>
    </row>
    <row r="865" spans="1:8" x14ac:dyDescent="0.2">
      <c r="A865">
        <f>ROW(LineærRegression_Valg[[#This Row],[Tabel ID]])-ROW(LineærRegression_Valg[[#Headers],[Tabel ID]])</f>
        <v>855</v>
      </c>
      <c r="B865" s="45">
        <f>ROUNDDOWN((LineærRegression_Valg[[#This Row],[Tabel ID]]-1)/$B$5,0)+1</f>
        <v>214</v>
      </c>
      <c r="C865" s="45">
        <f t="shared" si="13"/>
        <v>3</v>
      </c>
      <c r="D865" s="45" t="b">
        <f>LineærRegression_Valg[[#This Row],[Afhængig variabel ID]]&lt;&gt;LineærRegression_Valg[[#This Row],[Uafhængig variabel ID]]</f>
        <v>1</v>
      </c>
      <c r="E865" t="b">
        <f>LineærRegression_Valg[[#This Row],[Afhængig variabel ID]]&lt;=$B$5</f>
        <v>0</v>
      </c>
      <c r="F865" t="str" cm="1">
        <f t="array" ref="F865">IF(LineærRegression_Valg[[#This Row],[Indenfor range]],INDEX(DataTitel_liste,LineærRegression_Valg[[#This Row],[Afhængig variabel ID]]),INDEX(DataTitel_liste,1))</f>
        <v>Eksempel 1 (interval)</v>
      </c>
      <c r="G865" s="45" t="str" cm="1">
        <f t="array" ref="G865">IF(LineærRegression_Valg[[#This Row],[Indenfor range]],IF(LineærRegression_Valg[[#This Row],[Intet overlap]],INDEX(DataTitel_liste,LineærRegression_Valg[[#This Row],[Uafhængig variabel ID]]),INDEX(DataTitel_liste,IF(LineærRegression_Valg[[#This Row],[Afhængig variabel ID]]=1,2,1))),$B$7)</f>
        <v>Eksempel 2 (interval)</v>
      </c>
      <c r="H865" s="45">
        <f>_xlfn.AGGREGATE(2,5,LineærRegression_Valg[[#This Row],[Tabel ID]])</f>
        <v>1</v>
      </c>
    </row>
    <row r="866" spans="1:8" x14ac:dyDescent="0.2">
      <c r="A866">
        <f>ROW(LineærRegression_Valg[[#This Row],[Tabel ID]])-ROW(LineærRegression_Valg[[#Headers],[Tabel ID]])</f>
        <v>856</v>
      </c>
      <c r="B866" s="45">
        <f>ROUNDDOWN((LineærRegression_Valg[[#This Row],[Tabel ID]]-1)/$B$5,0)+1</f>
        <v>214</v>
      </c>
      <c r="C866" s="45">
        <f t="shared" si="13"/>
        <v>4</v>
      </c>
      <c r="D866" s="45" t="b">
        <f>LineærRegression_Valg[[#This Row],[Afhængig variabel ID]]&lt;&gt;LineærRegression_Valg[[#This Row],[Uafhængig variabel ID]]</f>
        <v>1</v>
      </c>
      <c r="E866" t="b">
        <f>LineærRegression_Valg[[#This Row],[Afhængig variabel ID]]&lt;=$B$5</f>
        <v>0</v>
      </c>
      <c r="F866" t="str" cm="1">
        <f t="array" ref="F866">IF(LineærRegression_Valg[[#This Row],[Indenfor range]],INDEX(DataTitel_liste,LineærRegression_Valg[[#This Row],[Afhængig variabel ID]]),INDEX(DataTitel_liste,1))</f>
        <v>Eksempel 1 (interval)</v>
      </c>
      <c r="G866" s="45" t="str" cm="1">
        <f t="array" ref="G866">IF(LineærRegression_Valg[[#This Row],[Indenfor range]],IF(LineærRegression_Valg[[#This Row],[Intet overlap]],INDEX(DataTitel_liste,LineærRegression_Valg[[#This Row],[Uafhængig variabel ID]]),INDEX(DataTitel_liste,IF(LineærRegression_Valg[[#This Row],[Afhængig variabel ID]]=1,2,1))),$B$7)</f>
        <v>Eksempel 2 (interval)</v>
      </c>
      <c r="H866" s="45">
        <f>_xlfn.AGGREGATE(2,5,LineærRegression_Valg[[#This Row],[Tabel ID]])</f>
        <v>1</v>
      </c>
    </row>
    <row r="867" spans="1:8" x14ac:dyDescent="0.2">
      <c r="A867">
        <f>ROW(LineærRegression_Valg[[#This Row],[Tabel ID]])-ROW(LineærRegression_Valg[[#Headers],[Tabel ID]])</f>
        <v>857</v>
      </c>
      <c r="B867" s="45">
        <f>ROUNDDOWN((LineærRegression_Valg[[#This Row],[Tabel ID]]-1)/$B$5,0)+1</f>
        <v>215</v>
      </c>
      <c r="C867" s="45">
        <f t="shared" si="13"/>
        <v>1</v>
      </c>
      <c r="D867" s="45" t="b">
        <f>LineærRegression_Valg[[#This Row],[Afhængig variabel ID]]&lt;&gt;LineærRegression_Valg[[#This Row],[Uafhængig variabel ID]]</f>
        <v>1</v>
      </c>
      <c r="E867" t="b">
        <f>LineærRegression_Valg[[#This Row],[Afhængig variabel ID]]&lt;=$B$5</f>
        <v>0</v>
      </c>
      <c r="F867" t="str" cm="1">
        <f t="array" ref="F867">IF(LineærRegression_Valg[[#This Row],[Indenfor range]],INDEX(DataTitel_liste,LineærRegression_Valg[[#This Row],[Afhængig variabel ID]]),INDEX(DataTitel_liste,1))</f>
        <v>Eksempel 1 (interval)</v>
      </c>
      <c r="G867" s="45" t="str" cm="1">
        <f t="array" ref="G867">IF(LineærRegression_Valg[[#This Row],[Indenfor range]],IF(LineærRegression_Valg[[#This Row],[Intet overlap]],INDEX(DataTitel_liste,LineærRegression_Valg[[#This Row],[Uafhængig variabel ID]]),INDEX(DataTitel_liste,IF(LineærRegression_Valg[[#This Row],[Afhængig variabel ID]]=1,2,1))),$B$7)</f>
        <v>Eksempel 2 (interval)</v>
      </c>
      <c r="H867" s="45">
        <f>_xlfn.AGGREGATE(2,5,LineærRegression_Valg[[#This Row],[Tabel ID]])</f>
        <v>1</v>
      </c>
    </row>
    <row r="868" spans="1:8" x14ac:dyDescent="0.2">
      <c r="A868">
        <f>ROW(LineærRegression_Valg[[#This Row],[Tabel ID]])-ROW(LineærRegression_Valg[[#Headers],[Tabel ID]])</f>
        <v>858</v>
      </c>
      <c r="B868" s="45">
        <f>ROUNDDOWN((LineærRegression_Valg[[#This Row],[Tabel ID]]-1)/$B$5,0)+1</f>
        <v>215</v>
      </c>
      <c r="C868" s="45">
        <f t="shared" si="13"/>
        <v>2</v>
      </c>
      <c r="D868" s="45" t="b">
        <f>LineærRegression_Valg[[#This Row],[Afhængig variabel ID]]&lt;&gt;LineærRegression_Valg[[#This Row],[Uafhængig variabel ID]]</f>
        <v>1</v>
      </c>
      <c r="E868" t="b">
        <f>LineærRegression_Valg[[#This Row],[Afhængig variabel ID]]&lt;=$B$5</f>
        <v>0</v>
      </c>
      <c r="F868" t="str" cm="1">
        <f t="array" ref="F868">IF(LineærRegression_Valg[[#This Row],[Indenfor range]],INDEX(DataTitel_liste,LineærRegression_Valg[[#This Row],[Afhængig variabel ID]]),INDEX(DataTitel_liste,1))</f>
        <v>Eksempel 1 (interval)</v>
      </c>
      <c r="G868" s="45" t="str" cm="1">
        <f t="array" ref="G868">IF(LineærRegression_Valg[[#This Row],[Indenfor range]],IF(LineærRegression_Valg[[#This Row],[Intet overlap]],INDEX(DataTitel_liste,LineærRegression_Valg[[#This Row],[Uafhængig variabel ID]]),INDEX(DataTitel_liste,IF(LineærRegression_Valg[[#This Row],[Afhængig variabel ID]]=1,2,1))),$B$7)</f>
        <v>Eksempel 2 (interval)</v>
      </c>
      <c r="H868" s="45">
        <f>_xlfn.AGGREGATE(2,5,LineærRegression_Valg[[#This Row],[Tabel ID]])</f>
        <v>1</v>
      </c>
    </row>
    <row r="869" spans="1:8" x14ac:dyDescent="0.2">
      <c r="A869">
        <f>ROW(LineærRegression_Valg[[#This Row],[Tabel ID]])-ROW(LineærRegression_Valg[[#Headers],[Tabel ID]])</f>
        <v>859</v>
      </c>
      <c r="B869" s="45">
        <f>ROUNDDOWN((LineærRegression_Valg[[#This Row],[Tabel ID]]-1)/$B$5,0)+1</f>
        <v>215</v>
      </c>
      <c r="C869" s="45">
        <f t="shared" si="13"/>
        <v>3</v>
      </c>
      <c r="D869" s="45" t="b">
        <f>LineærRegression_Valg[[#This Row],[Afhængig variabel ID]]&lt;&gt;LineærRegression_Valg[[#This Row],[Uafhængig variabel ID]]</f>
        <v>1</v>
      </c>
      <c r="E869" t="b">
        <f>LineærRegression_Valg[[#This Row],[Afhængig variabel ID]]&lt;=$B$5</f>
        <v>0</v>
      </c>
      <c r="F869" t="str" cm="1">
        <f t="array" ref="F869">IF(LineærRegression_Valg[[#This Row],[Indenfor range]],INDEX(DataTitel_liste,LineærRegression_Valg[[#This Row],[Afhængig variabel ID]]),INDEX(DataTitel_liste,1))</f>
        <v>Eksempel 1 (interval)</v>
      </c>
      <c r="G869" s="45" t="str" cm="1">
        <f t="array" ref="G869">IF(LineærRegression_Valg[[#This Row],[Indenfor range]],IF(LineærRegression_Valg[[#This Row],[Intet overlap]],INDEX(DataTitel_liste,LineærRegression_Valg[[#This Row],[Uafhængig variabel ID]]),INDEX(DataTitel_liste,IF(LineærRegression_Valg[[#This Row],[Afhængig variabel ID]]=1,2,1))),$B$7)</f>
        <v>Eksempel 2 (interval)</v>
      </c>
      <c r="H869" s="45">
        <f>_xlfn.AGGREGATE(2,5,LineærRegression_Valg[[#This Row],[Tabel ID]])</f>
        <v>1</v>
      </c>
    </row>
    <row r="870" spans="1:8" x14ac:dyDescent="0.2">
      <c r="A870">
        <f>ROW(LineærRegression_Valg[[#This Row],[Tabel ID]])-ROW(LineærRegression_Valg[[#Headers],[Tabel ID]])</f>
        <v>860</v>
      </c>
      <c r="B870" s="45">
        <f>ROUNDDOWN((LineærRegression_Valg[[#This Row],[Tabel ID]]-1)/$B$5,0)+1</f>
        <v>215</v>
      </c>
      <c r="C870" s="45">
        <f t="shared" si="13"/>
        <v>4</v>
      </c>
      <c r="D870" s="45" t="b">
        <f>LineærRegression_Valg[[#This Row],[Afhængig variabel ID]]&lt;&gt;LineærRegression_Valg[[#This Row],[Uafhængig variabel ID]]</f>
        <v>1</v>
      </c>
      <c r="E870" t="b">
        <f>LineærRegression_Valg[[#This Row],[Afhængig variabel ID]]&lt;=$B$5</f>
        <v>0</v>
      </c>
      <c r="F870" t="str" cm="1">
        <f t="array" ref="F870">IF(LineærRegression_Valg[[#This Row],[Indenfor range]],INDEX(DataTitel_liste,LineærRegression_Valg[[#This Row],[Afhængig variabel ID]]),INDEX(DataTitel_liste,1))</f>
        <v>Eksempel 1 (interval)</v>
      </c>
      <c r="G870" s="45" t="str" cm="1">
        <f t="array" ref="G870">IF(LineærRegression_Valg[[#This Row],[Indenfor range]],IF(LineærRegression_Valg[[#This Row],[Intet overlap]],INDEX(DataTitel_liste,LineærRegression_Valg[[#This Row],[Uafhængig variabel ID]]),INDEX(DataTitel_liste,IF(LineærRegression_Valg[[#This Row],[Afhængig variabel ID]]=1,2,1))),$B$7)</f>
        <v>Eksempel 2 (interval)</v>
      </c>
      <c r="H870" s="45">
        <f>_xlfn.AGGREGATE(2,5,LineærRegression_Valg[[#This Row],[Tabel ID]])</f>
        <v>1</v>
      </c>
    </row>
    <row r="871" spans="1:8" x14ac:dyDescent="0.2">
      <c r="A871">
        <f>ROW(LineærRegression_Valg[[#This Row],[Tabel ID]])-ROW(LineærRegression_Valg[[#Headers],[Tabel ID]])</f>
        <v>861</v>
      </c>
      <c r="B871" s="45">
        <f>ROUNDDOWN((LineærRegression_Valg[[#This Row],[Tabel ID]]-1)/$B$5,0)+1</f>
        <v>216</v>
      </c>
      <c r="C871" s="45">
        <f t="shared" si="13"/>
        <v>1</v>
      </c>
      <c r="D871" s="45" t="b">
        <f>LineærRegression_Valg[[#This Row],[Afhængig variabel ID]]&lt;&gt;LineærRegression_Valg[[#This Row],[Uafhængig variabel ID]]</f>
        <v>1</v>
      </c>
      <c r="E871" t="b">
        <f>LineærRegression_Valg[[#This Row],[Afhængig variabel ID]]&lt;=$B$5</f>
        <v>0</v>
      </c>
      <c r="F871" t="str" cm="1">
        <f t="array" ref="F871">IF(LineærRegression_Valg[[#This Row],[Indenfor range]],INDEX(DataTitel_liste,LineærRegression_Valg[[#This Row],[Afhængig variabel ID]]),INDEX(DataTitel_liste,1))</f>
        <v>Eksempel 1 (interval)</v>
      </c>
      <c r="G871" s="45" t="str" cm="1">
        <f t="array" ref="G871">IF(LineærRegression_Valg[[#This Row],[Indenfor range]],IF(LineærRegression_Valg[[#This Row],[Intet overlap]],INDEX(DataTitel_liste,LineærRegression_Valg[[#This Row],[Uafhængig variabel ID]]),INDEX(DataTitel_liste,IF(LineærRegression_Valg[[#This Row],[Afhængig variabel ID]]=1,2,1))),$B$7)</f>
        <v>Eksempel 2 (interval)</v>
      </c>
      <c r="H871" s="45">
        <f>_xlfn.AGGREGATE(2,5,LineærRegression_Valg[[#This Row],[Tabel ID]])</f>
        <v>1</v>
      </c>
    </row>
    <row r="872" spans="1:8" x14ac:dyDescent="0.2">
      <c r="A872">
        <f>ROW(LineærRegression_Valg[[#This Row],[Tabel ID]])-ROW(LineærRegression_Valg[[#Headers],[Tabel ID]])</f>
        <v>862</v>
      </c>
      <c r="B872" s="45">
        <f>ROUNDDOWN((LineærRegression_Valg[[#This Row],[Tabel ID]]-1)/$B$5,0)+1</f>
        <v>216</v>
      </c>
      <c r="C872" s="45">
        <f t="shared" si="13"/>
        <v>2</v>
      </c>
      <c r="D872" s="45" t="b">
        <f>LineærRegression_Valg[[#This Row],[Afhængig variabel ID]]&lt;&gt;LineærRegression_Valg[[#This Row],[Uafhængig variabel ID]]</f>
        <v>1</v>
      </c>
      <c r="E872" t="b">
        <f>LineærRegression_Valg[[#This Row],[Afhængig variabel ID]]&lt;=$B$5</f>
        <v>0</v>
      </c>
      <c r="F872" t="str" cm="1">
        <f t="array" ref="F872">IF(LineærRegression_Valg[[#This Row],[Indenfor range]],INDEX(DataTitel_liste,LineærRegression_Valg[[#This Row],[Afhængig variabel ID]]),INDEX(DataTitel_liste,1))</f>
        <v>Eksempel 1 (interval)</v>
      </c>
      <c r="G872" s="45" t="str" cm="1">
        <f t="array" ref="G872">IF(LineærRegression_Valg[[#This Row],[Indenfor range]],IF(LineærRegression_Valg[[#This Row],[Intet overlap]],INDEX(DataTitel_liste,LineærRegression_Valg[[#This Row],[Uafhængig variabel ID]]),INDEX(DataTitel_liste,IF(LineærRegression_Valg[[#This Row],[Afhængig variabel ID]]=1,2,1))),$B$7)</f>
        <v>Eksempel 2 (interval)</v>
      </c>
      <c r="H872" s="45">
        <f>_xlfn.AGGREGATE(2,5,LineærRegression_Valg[[#This Row],[Tabel ID]])</f>
        <v>1</v>
      </c>
    </row>
    <row r="873" spans="1:8" x14ac:dyDescent="0.2">
      <c r="A873">
        <f>ROW(LineærRegression_Valg[[#This Row],[Tabel ID]])-ROW(LineærRegression_Valg[[#Headers],[Tabel ID]])</f>
        <v>863</v>
      </c>
      <c r="B873" s="45">
        <f>ROUNDDOWN((LineærRegression_Valg[[#This Row],[Tabel ID]]-1)/$B$5,0)+1</f>
        <v>216</v>
      </c>
      <c r="C873" s="45">
        <f t="shared" si="13"/>
        <v>3</v>
      </c>
      <c r="D873" s="45" t="b">
        <f>LineærRegression_Valg[[#This Row],[Afhængig variabel ID]]&lt;&gt;LineærRegression_Valg[[#This Row],[Uafhængig variabel ID]]</f>
        <v>1</v>
      </c>
      <c r="E873" t="b">
        <f>LineærRegression_Valg[[#This Row],[Afhængig variabel ID]]&lt;=$B$5</f>
        <v>0</v>
      </c>
      <c r="F873" t="str" cm="1">
        <f t="array" ref="F873">IF(LineærRegression_Valg[[#This Row],[Indenfor range]],INDEX(DataTitel_liste,LineærRegression_Valg[[#This Row],[Afhængig variabel ID]]),INDEX(DataTitel_liste,1))</f>
        <v>Eksempel 1 (interval)</v>
      </c>
      <c r="G873" s="45" t="str" cm="1">
        <f t="array" ref="G873">IF(LineærRegression_Valg[[#This Row],[Indenfor range]],IF(LineærRegression_Valg[[#This Row],[Intet overlap]],INDEX(DataTitel_liste,LineærRegression_Valg[[#This Row],[Uafhængig variabel ID]]),INDEX(DataTitel_liste,IF(LineærRegression_Valg[[#This Row],[Afhængig variabel ID]]=1,2,1))),$B$7)</f>
        <v>Eksempel 2 (interval)</v>
      </c>
      <c r="H873" s="45">
        <f>_xlfn.AGGREGATE(2,5,LineærRegression_Valg[[#This Row],[Tabel ID]])</f>
        <v>1</v>
      </c>
    </row>
    <row r="874" spans="1:8" x14ac:dyDescent="0.2">
      <c r="A874">
        <f>ROW(LineærRegression_Valg[[#This Row],[Tabel ID]])-ROW(LineærRegression_Valg[[#Headers],[Tabel ID]])</f>
        <v>864</v>
      </c>
      <c r="B874" s="45">
        <f>ROUNDDOWN((LineærRegression_Valg[[#This Row],[Tabel ID]]-1)/$B$5,0)+1</f>
        <v>216</v>
      </c>
      <c r="C874" s="45">
        <f t="shared" si="13"/>
        <v>4</v>
      </c>
      <c r="D874" s="45" t="b">
        <f>LineærRegression_Valg[[#This Row],[Afhængig variabel ID]]&lt;&gt;LineærRegression_Valg[[#This Row],[Uafhængig variabel ID]]</f>
        <v>1</v>
      </c>
      <c r="E874" t="b">
        <f>LineærRegression_Valg[[#This Row],[Afhængig variabel ID]]&lt;=$B$5</f>
        <v>0</v>
      </c>
      <c r="F874" t="str" cm="1">
        <f t="array" ref="F874">IF(LineærRegression_Valg[[#This Row],[Indenfor range]],INDEX(DataTitel_liste,LineærRegression_Valg[[#This Row],[Afhængig variabel ID]]),INDEX(DataTitel_liste,1))</f>
        <v>Eksempel 1 (interval)</v>
      </c>
      <c r="G874" s="45" t="str" cm="1">
        <f t="array" ref="G874">IF(LineærRegression_Valg[[#This Row],[Indenfor range]],IF(LineærRegression_Valg[[#This Row],[Intet overlap]],INDEX(DataTitel_liste,LineærRegression_Valg[[#This Row],[Uafhængig variabel ID]]),INDEX(DataTitel_liste,IF(LineærRegression_Valg[[#This Row],[Afhængig variabel ID]]=1,2,1))),$B$7)</f>
        <v>Eksempel 2 (interval)</v>
      </c>
      <c r="H874" s="45">
        <f>_xlfn.AGGREGATE(2,5,LineærRegression_Valg[[#This Row],[Tabel ID]])</f>
        <v>1</v>
      </c>
    </row>
    <row r="875" spans="1:8" x14ac:dyDescent="0.2">
      <c r="A875">
        <f>ROW(LineærRegression_Valg[[#This Row],[Tabel ID]])-ROW(LineærRegression_Valg[[#Headers],[Tabel ID]])</f>
        <v>865</v>
      </c>
      <c r="B875" s="45">
        <f>ROUNDDOWN((LineærRegression_Valg[[#This Row],[Tabel ID]]-1)/$B$5,0)+1</f>
        <v>217</v>
      </c>
      <c r="C875" s="45">
        <f t="shared" si="13"/>
        <v>1</v>
      </c>
      <c r="D875" s="45" t="b">
        <f>LineærRegression_Valg[[#This Row],[Afhængig variabel ID]]&lt;&gt;LineærRegression_Valg[[#This Row],[Uafhængig variabel ID]]</f>
        <v>1</v>
      </c>
      <c r="E875" t="b">
        <f>LineærRegression_Valg[[#This Row],[Afhængig variabel ID]]&lt;=$B$5</f>
        <v>0</v>
      </c>
      <c r="F875" t="str" cm="1">
        <f t="array" ref="F875">IF(LineærRegression_Valg[[#This Row],[Indenfor range]],INDEX(DataTitel_liste,LineærRegression_Valg[[#This Row],[Afhængig variabel ID]]),INDEX(DataTitel_liste,1))</f>
        <v>Eksempel 1 (interval)</v>
      </c>
      <c r="G875" s="45" t="str" cm="1">
        <f t="array" ref="G875">IF(LineærRegression_Valg[[#This Row],[Indenfor range]],IF(LineærRegression_Valg[[#This Row],[Intet overlap]],INDEX(DataTitel_liste,LineærRegression_Valg[[#This Row],[Uafhængig variabel ID]]),INDEX(DataTitel_liste,IF(LineærRegression_Valg[[#This Row],[Afhængig variabel ID]]=1,2,1))),$B$7)</f>
        <v>Eksempel 2 (interval)</v>
      </c>
      <c r="H875" s="45">
        <f>_xlfn.AGGREGATE(2,5,LineærRegression_Valg[[#This Row],[Tabel ID]])</f>
        <v>1</v>
      </c>
    </row>
    <row r="876" spans="1:8" x14ac:dyDescent="0.2">
      <c r="A876">
        <f>ROW(LineærRegression_Valg[[#This Row],[Tabel ID]])-ROW(LineærRegression_Valg[[#Headers],[Tabel ID]])</f>
        <v>866</v>
      </c>
      <c r="B876" s="45">
        <f>ROUNDDOWN((LineærRegression_Valg[[#This Row],[Tabel ID]]-1)/$B$5,0)+1</f>
        <v>217</v>
      </c>
      <c r="C876" s="45">
        <f t="shared" si="13"/>
        <v>2</v>
      </c>
      <c r="D876" s="45" t="b">
        <f>LineærRegression_Valg[[#This Row],[Afhængig variabel ID]]&lt;&gt;LineærRegression_Valg[[#This Row],[Uafhængig variabel ID]]</f>
        <v>1</v>
      </c>
      <c r="E876" t="b">
        <f>LineærRegression_Valg[[#This Row],[Afhængig variabel ID]]&lt;=$B$5</f>
        <v>0</v>
      </c>
      <c r="F876" t="str" cm="1">
        <f t="array" ref="F876">IF(LineærRegression_Valg[[#This Row],[Indenfor range]],INDEX(DataTitel_liste,LineærRegression_Valg[[#This Row],[Afhængig variabel ID]]),INDEX(DataTitel_liste,1))</f>
        <v>Eksempel 1 (interval)</v>
      </c>
      <c r="G876" s="45" t="str" cm="1">
        <f t="array" ref="G876">IF(LineærRegression_Valg[[#This Row],[Indenfor range]],IF(LineærRegression_Valg[[#This Row],[Intet overlap]],INDEX(DataTitel_liste,LineærRegression_Valg[[#This Row],[Uafhængig variabel ID]]),INDEX(DataTitel_liste,IF(LineærRegression_Valg[[#This Row],[Afhængig variabel ID]]=1,2,1))),$B$7)</f>
        <v>Eksempel 2 (interval)</v>
      </c>
      <c r="H876" s="45">
        <f>_xlfn.AGGREGATE(2,5,LineærRegression_Valg[[#This Row],[Tabel ID]])</f>
        <v>1</v>
      </c>
    </row>
    <row r="877" spans="1:8" x14ac:dyDescent="0.2">
      <c r="A877">
        <f>ROW(LineærRegression_Valg[[#This Row],[Tabel ID]])-ROW(LineærRegression_Valg[[#Headers],[Tabel ID]])</f>
        <v>867</v>
      </c>
      <c r="B877" s="45">
        <f>ROUNDDOWN((LineærRegression_Valg[[#This Row],[Tabel ID]]-1)/$B$5,0)+1</f>
        <v>217</v>
      </c>
      <c r="C877" s="45">
        <f t="shared" si="13"/>
        <v>3</v>
      </c>
      <c r="D877" s="45" t="b">
        <f>LineærRegression_Valg[[#This Row],[Afhængig variabel ID]]&lt;&gt;LineærRegression_Valg[[#This Row],[Uafhængig variabel ID]]</f>
        <v>1</v>
      </c>
      <c r="E877" t="b">
        <f>LineærRegression_Valg[[#This Row],[Afhængig variabel ID]]&lt;=$B$5</f>
        <v>0</v>
      </c>
      <c r="F877" t="str" cm="1">
        <f t="array" ref="F877">IF(LineærRegression_Valg[[#This Row],[Indenfor range]],INDEX(DataTitel_liste,LineærRegression_Valg[[#This Row],[Afhængig variabel ID]]),INDEX(DataTitel_liste,1))</f>
        <v>Eksempel 1 (interval)</v>
      </c>
      <c r="G877" s="45" t="str" cm="1">
        <f t="array" ref="G877">IF(LineærRegression_Valg[[#This Row],[Indenfor range]],IF(LineærRegression_Valg[[#This Row],[Intet overlap]],INDEX(DataTitel_liste,LineærRegression_Valg[[#This Row],[Uafhængig variabel ID]]),INDEX(DataTitel_liste,IF(LineærRegression_Valg[[#This Row],[Afhængig variabel ID]]=1,2,1))),$B$7)</f>
        <v>Eksempel 2 (interval)</v>
      </c>
      <c r="H877" s="45">
        <f>_xlfn.AGGREGATE(2,5,LineærRegression_Valg[[#This Row],[Tabel ID]])</f>
        <v>1</v>
      </c>
    </row>
    <row r="878" spans="1:8" x14ac:dyDescent="0.2">
      <c r="A878">
        <f>ROW(LineærRegression_Valg[[#This Row],[Tabel ID]])-ROW(LineærRegression_Valg[[#Headers],[Tabel ID]])</f>
        <v>868</v>
      </c>
      <c r="B878" s="45">
        <f>ROUNDDOWN((LineærRegression_Valg[[#This Row],[Tabel ID]]-1)/$B$5,0)+1</f>
        <v>217</v>
      </c>
      <c r="C878" s="45">
        <f t="shared" si="13"/>
        <v>4</v>
      </c>
      <c r="D878" s="45" t="b">
        <f>LineærRegression_Valg[[#This Row],[Afhængig variabel ID]]&lt;&gt;LineærRegression_Valg[[#This Row],[Uafhængig variabel ID]]</f>
        <v>1</v>
      </c>
      <c r="E878" t="b">
        <f>LineærRegression_Valg[[#This Row],[Afhængig variabel ID]]&lt;=$B$5</f>
        <v>0</v>
      </c>
      <c r="F878" t="str" cm="1">
        <f t="array" ref="F878">IF(LineærRegression_Valg[[#This Row],[Indenfor range]],INDEX(DataTitel_liste,LineærRegression_Valg[[#This Row],[Afhængig variabel ID]]),INDEX(DataTitel_liste,1))</f>
        <v>Eksempel 1 (interval)</v>
      </c>
      <c r="G878" s="45" t="str" cm="1">
        <f t="array" ref="G878">IF(LineærRegression_Valg[[#This Row],[Indenfor range]],IF(LineærRegression_Valg[[#This Row],[Intet overlap]],INDEX(DataTitel_liste,LineærRegression_Valg[[#This Row],[Uafhængig variabel ID]]),INDEX(DataTitel_liste,IF(LineærRegression_Valg[[#This Row],[Afhængig variabel ID]]=1,2,1))),$B$7)</f>
        <v>Eksempel 2 (interval)</v>
      </c>
      <c r="H878" s="45">
        <f>_xlfn.AGGREGATE(2,5,LineærRegression_Valg[[#This Row],[Tabel ID]])</f>
        <v>1</v>
      </c>
    </row>
    <row r="879" spans="1:8" x14ac:dyDescent="0.2">
      <c r="A879">
        <f>ROW(LineærRegression_Valg[[#This Row],[Tabel ID]])-ROW(LineærRegression_Valg[[#Headers],[Tabel ID]])</f>
        <v>869</v>
      </c>
      <c r="B879" s="45">
        <f>ROUNDDOWN((LineærRegression_Valg[[#This Row],[Tabel ID]]-1)/$B$5,0)+1</f>
        <v>218</v>
      </c>
      <c r="C879" s="45">
        <f t="shared" si="13"/>
        <v>1</v>
      </c>
      <c r="D879" s="45" t="b">
        <f>LineærRegression_Valg[[#This Row],[Afhængig variabel ID]]&lt;&gt;LineærRegression_Valg[[#This Row],[Uafhængig variabel ID]]</f>
        <v>1</v>
      </c>
      <c r="E879" t="b">
        <f>LineærRegression_Valg[[#This Row],[Afhængig variabel ID]]&lt;=$B$5</f>
        <v>0</v>
      </c>
      <c r="F879" t="str" cm="1">
        <f t="array" ref="F879">IF(LineærRegression_Valg[[#This Row],[Indenfor range]],INDEX(DataTitel_liste,LineærRegression_Valg[[#This Row],[Afhængig variabel ID]]),INDEX(DataTitel_liste,1))</f>
        <v>Eksempel 1 (interval)</v>
      </c>
      <c r="G879" s="45" t="str" cm="1">
        <f t="array" ref="G879">IF(LineærRegression_Valg[[#This Row],[Indenfor range]],IF(LineærRegression_Valg[[#This Row],[Intet overlap]],INDEX(DataTitel_liste,LineærRegression_Valg[[#This Row],[Uafhængig variabel ID]]),INDEX(DataTitel_liste,IF(LineærRegression_Valg[[#This Row],[Afhængig variabel ID]]=1,2,1))),$B$7)</f>
        <v>Eksempel 2 (interval)</v>
      </c>
      <c r="H879" s="45">
        <f>_xlfn.AGGREGATE(2,5,LineærRegression_Valg[[#This Row],[Tabel ID]])</f>
        <v>1</v>
      </c>
    </row>
    <row r="880" spans="1:8" x14ac:dyDescent="0.2">
      <c r="A880">
        <f>ROW(LineærRegression_Valg[[#This Row],[Tabel ID]])-ROW(LineærRegression_Valg[[#Headers],[Tabel ID]])</f>
        <v>870</v>
      </c>
      <c r="B880" s="45">
        <f>ROUNDDOWN((LineærRegression_Valg[[#This Row],[Tabel ID]]-1)/$B$5,0)+1</f>
        <v>218</v>
      </c>
      <c r="C880" s="45">
        <f t="shared" si="13"/>
        <v>2</v>
      </c>
      <c r="D880" s="45" t="b">
        <f>LineærRegression_Valg[[#This Row],[Afhængig variabel ID]]&lt;&gt;LineærRegression_Valg[[#This Row],[Uafhængig variabel ID]]</f>
        <v>1</v>
      </c>
      <c r="E880" t="b">
        <f>LineærRegression_Valg[[#This Row],[Afhængig variabel ID]]&lt;=$B$5</f>
        <v>0</v>
      </c>
      <c r="F880" t="str" cm="1">
        <f t="array" ref="F880">IF(LineærRegression_Valg[[#This Row],[Indenfor range]],INDEX(DataTitel_liste,LineærRegression_Valg[[#This Row],[Afhængig variabel ID]]),INDEX(DataTitel_liste,1))</f>
        <v>Eksempel 1 (interval)</v>
      </c>
      <c r="G880" s="45" t="str" cm="1">
        <f t="array" ref="G880">IF(LineærRegression_Valg[[#This Row],[Indenfor range]],IF(LineærRegression_Valg[[#This Row],[Intet overlap]],INDEX(DataTitel_liste,LineærRegression_Valg[[#This Row],[Uafhængig variabel ID]]),INDEX(DataTitel_liste,IF(LineærRegression_Valg[[#This Row],[Afhængig variabel ID]]=1,2,1))),$B$7)</f>
        <v>Eksempel 2 (interval)</v>
      </c>
      <c r="H880" s="45">
        <f>_xlfn.AGGREGATE(2,5,LineærRegression_Valg[[#This Row],[Tabel ID]])</f>
        <v>1</v>
      </c>
    </row>
    <row r="881" spans="1:8" x14ac:dyDescent="0.2">
      <c r="A881">
        <f>ROW(LineærRegression_Valg[[#This Row],[Tabel ID]])-ROW(LineærRegression_Valg[[#Headers],[Tabel ID]])</f>
        <v>871</v>
      </c>
      <c r="B881" s="45">
        <f>ROUNDDOWN((LineærRegression_Valg[[#This Row],[Tabel ID]]-1)/$B$5,0)+1</f>
        <v>218</v>
      </c>
      <c r="C881" s="45">
        <f t="shared" si="13"/>
        <v>3</v>
      </c>
      <c r="D881" s="45" t="b">
        <f>LineærRegression_Valg[[#This Row],[Afhængig variabel ID]]&lt;&gt;LineærRegression_Valg[[#This Row],[Uafhængig variabel ID]]</f>
        <v>1</v>
      </c>
      <c r="E881" t="b">
        <f>LineærRegression_Valg[[#This Row],[Afhængig variabel ID]]&lt;=$B$5</f>
        <v>0</v>
      </c>
      <c r="F881" t="str" cm="1">
        <f t="array" ref="F881">IF(LineærRegression_Valg[[#This Row],[Indenfor range]],INDEX(DataTitel_liste,LineærRegression_Valg[[#This Row],[Afhængig variabel ID]]),INDEX(DataTitel_liste,1))</f>
        <v>Eksempel 1 (interval)</v>
      </c>
      <c r="G881" s="45" t="str" cm="1">
        <f t="array" ref="G881">IF(LineærRegression_Valg[[#This Row],[Indenfor range]],IF(LineærRegression_Valg[[#This Row],[Intet overlap]],INDEX(DataTitel_liste,LineærRegression_Valg[[#This Row],[Uafhængig variabel ID]]),INDEX(DataTitel_liste,IF(LineærRegression_Valg[[#This Row],[Afhængig variabel ID]]=1,2,1))),$B$7)</f>
        <v>Eksempel 2 (interval)</v>
      </c>
      <c r="H881" s="45">
        <f>_xlfn.AGGREGATE(2,5,LineærRegression_Valg[[#This Row],[Tabel ID]])</f>
        <v>1</v>
      </c>
    </row>
    <row r="882" spans="1:8" x14ac:dyDescent="0.2">
      <c r="A882">
        <f>ROW(LineærRegression_Valg[[#This Row],[Tabel ID]])-ROW(LineærRegression_Valg[[#Headers],[Tabel ID]])</f>
        <v>872</v>
      </c>
      <c r="B882" s="45">
        <f>ROUNDDOWN((LineærRegression_Valg[[#This Row],[Tabel ID]]-1)/$B$5,0)+1</f>
        <v>218</v>
      </c>
      <c r="C882" s="45">
        <f t="shared" si="13"/>
        <v>4</v>
      </c>
      <c r="D882" s="45" t="b">
        <f>LineærRegression_Valg[[#This Row],[Afhængig variabel ID]]&lt;&gt;LineærRegression_Valg[[#This Row],[Uafhængig variabel ID]]</f>
        <v>1</v>
      </c>
      <c r="E882" t="b">
        <f>LineærRegression_Valg[[#This Row],[Afhængig variabel ID]]&lt;=$B$5</f>
        <v>0</v>
      </c>
      <c r="F882" t="str" cm="1">
        <f t="array" ref="F882">IF(LineærRegression_Valg[[#This Row],[Indenfor range]],INDEX(DataTitel_liste,LineærRegression_Valg[[#This Row],[Afhængig variabel ID]]),INDEX(DataTitel_liste,1))</f>
        <v>Eksempel 1 (interval)</v>
      </c>
      <c r="G882" s="45" t="str" cm="1">
        <f t="array" ref="G882">IF(LineærRegression_Valg[[#This Row],[Indenfor range]],IF(LineærRegression_Valg[[#This Row],[Intet overlap]],INDEX(DataTitel_liste,LineærRegression_Valg[[#This Row],[Uafhængig variabel ID]]),INDEX(DataTitel_liste,IF(LineærRegression_Valg[[#This Row],[Afhængig variabel ID]]=1,2,1))),$B$7)</f>
        <v>Eksempel 2 (interval)</v>
      </c>
      <c r="H882" s="45">
        <f>_xlfn.AGGREGATE(2,5,LineærRegression_Valg[[#This Row],[Tabel ID]])</f>
        <v>1</v>
      </c>
    </row>
    <row r="883" spans="1:8" x14ac:dyDescent="0.2">
      <c r="A883">
        <f>ROW(LineærRegression_Valg[[#This Row],[Tabel ID]])-ROW(LineærRegression_Valg[[#Headers],[Tabel ID]])</f>
        <v>873</v>
      </c>
      <c r="B883" s="45">
        <f>ROUNDDOWN((LineærRegression_Valg[[#This Row],[Tabel ID]]-1)/$B$5,0)+1</f>
        <v>219</v>
      </c>
      <c r="C883" s="45">
        <f t="shared" si="13"/>
        <v>1</v>
      </c>
      <c r="D883" s="45" t="b">
        <f>LineærRegression_Valg[[#This Row],[Afhængig variabel ID]]&lt;&gt;LineærRegression_Valg[[#This Row],[Uafhængig variabel ID]]</f>
        <v>1</v>
      </c>
      <c r="E883" t="b">
        <f>LineærRegression_Valg[[#This Row],[Afhængig variabel ID]]&lt;=$B$5</f>
        <v>0</v>
      </c>
      <c r="F883" t="str" cm="1">
        <f t="array" ref="F883">IF(LineærRegression_Valg[[#This Row],[Indenfor range]],INDEX(DataTitel_liste,LineærRegression_Valg[[#This Row],[Afhængig variabel ID]]),INDEX(DataTitel_liste,1))</f>
        <v>Eksempel 1 (interval)</v>
      </c>
      <c r="G883" s="45" t="str" cm="1">
        <f t="array" ref="G883">IF(LineærRegression_Valg[[#This Row],[Indenfor range]],IF(LineærRegression_Valg[[#This Row],[Intet overlap]],INDEX(DataTitel_liste,LineærRegression_Valg[[#This Row],[Uafhængig variabel ID]]),INDEX(DataTitel_liste,IF(LineærRegression_Valg[[#This Row],[Afhængig variabel ID]]=1,2,1))),$B$7)</f>
        <v>Eksempel 2 (interval)</v>
      </c>
      <c r="H883" s="45">
        <f>_xlfn.AGGREGATE(2,5,LineærRegression_Valg[[#This Row],[Tabel ID]])</f>
        <v>1</v>
      </c>
    </row>
    <row r="884" spans="1:8" x14ac:dyDescent="0.2">
      <c r="A884">
        <f>ROW(LineærRegression_Valg[[#This Row],[Tabel ID]])-ROW(LineærRegression_Valg[[#Headers],[Tabel ID]])</f>
        <v>874</v>
      </c>
      <c r="B884" s="45">
        <f>ROUNDDOWN((LineærRegression_Valg[[#This Row],[Tabel ID]]-1)/$B$5,0)+1</f>
        <v>219</v>
      </c>
      <c r="C884" s="45">
        <f t="shared" si="13"/>
        <v>2</v>
      </c>
      <c r="D884" s="45" t="b">
        <f>LineærRegression_Valg[[#This Row],[Afhængig variabel ID]]&lt;&gt;LineærRegression_Valg[[#This Row],[Uafhængig variabel ID]]</f>
        <v>1</v>
      </c>
      <c r="E884" t="b">
        <f>LineærRegression_Valg[[#This Row],[Afhængig variabel ID]]&lt;=$B$5</f>
        <v>0</v>
      </c>
      <c r="F884" t="str" cm="1">
        <f t="array" ref="F884">IF(LineærRegression_Valg[[#This Row],[Indenfor range]],INDEX(DataTitel_liste,LineærRegression_Valg[[#This Row],[Afhængig variabel ID]]),INDEX(DataTitel_liste,1))</f>
        <v>Eksempel 1 (interval)</v>
      </c>
      <c r="G884" s="45" t="str" cm="1">
        <f t="array" ref="G884">IF(LineærRegression_Valg[[#This Row],[Indenfor range]],IF(LineærRegression_Valg[[#This Row],[Intet overlap]],INDEX(DataTitel_liste,LineærRegression_Valg[[#This Row],[Uafhængig variabel ID]]),INDEX(DataTitel_liste,IF(LineærRegression_Valg[[#This Row],[Afhængig variabel ID]]=1,2,1))),$B$7)</f>
        <v>Eksempel 2 (interval)</v>
      </c>
      <c r="H884" s="45">
        <f>_xlfn.AGGREGATE(2,5,LineærRegression_Valg[[#This Row],[Tabel ID]])</f>
        <v>1</v>
      </c>
    </row>
    <row r="885" spans="1:8" x14ac:dyDescent="0.2">
      <c r="A885">
        <f>ROW(LineærRegression_Valg[[#This Row],[Tabel ID]])-ROW(LineærRegression_Valg[[#Headers],[Tabel ID]])</f>
        <v>875</v>
      </c>
      <c r="B885" s="45">
        <f>ROUNDDOWN((LineærRegression_Valg[[#This Row],[Tabel ID]]-1)/$B$5,0)+1</f>
        <v>219</v>
      </c>
      <c r="C885" s="45">
        <f t="shared" si="13"/>
        <v>3</v>
      </c>
      <c r="D885" s="45" t="b">
        <f>LineærRegression_Valg[[#This Row],[Afhængig variabel ID]]&lt;&gt;LineærRegression_Valg[[#This Row],[Uafhængig variabel ID]]</f>
        <v>1</v>
      </c>
      <c r="E885" t="b">
        <f>LineærRegression_Valg[[#This Row],[Afhængig variabel ID]]&lt;=$B$5</f>
        <v>0</v>
      </c>
      <c r="F885" t="str" cm="1">
        <f t="array" ref="F885">IF(LineærRegression_Valg[[#This Row],[Indenfor range]],INDEX(DataTitel_liste,LineærRegression_Valg[[#This Row],[Afhængig variabel ID]]),INDEX(DataTitel_liste,1))</f>
        <v>Eksempel 1 (interval)</v>
      </c>
      <c r="G885" s="45" t="str" cm="1">
        <f t="array" ref="G885">IF(LineærRegression_Valg[[#This Row],[Indenfor range]],IF(LineærRegression_Valg[[#This Row],[Intet overlap]],INDEX(DataTitel_liste,LineærRegression_Valg[[#This Row],[Uafhængig variabel ID]]),INDEX(DataTitel_liste,IF(LineærRegression_Valg[[#This Row],[Afhængig variabel ID]]=1,2,1))),$B$7)</f>
        <v>Eksempel 2 (interval)</v>
      </c>
      <c r="H885" s="45">
        <f>_xlfn.AGGREGATE(2,5,LineærRegression_Valg[[#This Row],[Tabel ID]])</f>
        <v>1</v>
      </c>
    </row>
    <row r="886" spans="1:8" x14ac:dyDescent="0.2">
      <c r="A886">
        <f>ROW(LineærRegression_Valg[[#This Row],[Tabel ID]])-ROW(LineærRegression_Valg[[#Headers],[Tabel ID]])</f>
        <v>876</v>
      </c>
      <c r="B886" s="45">
        <f>ROUNDDOWN((LineærRegression_Valg[[#This Row],[Tabel ID]]-1)/$B$5,0)+1</f>
        <v>219</v>
      </c>
      <c r="C886" s="45">
        <f t="shared" si="13"/>
        <v>4</v>
      </c>
      <c r="D886" s="45" t="b">
        <f>LineærRegression_Valg[[#This Row],[Afhængig variabel ID]]&lt;&gt;LineærRegression_Valg[[#This Row],[Uafhængig variabel ID]]</f>
        <v>1</v>
      </c>
      <c r="E886" t="b">
        <f>LineærRegression_Valg[[#This Row],[Afhængig variabel ID]]&lt;=$B$5</f>
        <v>0</v>
      </c>
      <c r="F886" t="str" cm="1">
        <f t="array" ref="F886">IF(LineærRegression_Valg[[#This Row],[Indenfor range]],INDEX(DataTitel_liste,LineærRegression_Valg[[#This Row],[Afhængig variabel ID]]),INDEX(DataTitel_liste,1))</f>
        <v>Eksempel 1 (interval)</v>
      </c>
      <c r="G886" s="45" t="str" cm="1">
        <f t="array" ref="G886">IF(LineærRegression_Valg[[#This Row],[Indenfor range]],IF(LineærRegression_Valg[[#This Row],[Intet overlap]],INDEX(DataTitel_liste,LineærRegression_Valg[[#This Row],[Uafhængig variabel ID]]),INDEX(DataTitel_liste,IF(LineærRegression_Valg[[#This Row],[Afhængig variabel ID]]=1,2,1))),$B$7)</f>
        <v>Eksempel 2 (interval)</v>
      </c>
      <c r="H886" s="45">
        <f>_xlfn.AGGREGATE(2,5,LineærRegression_Valg[[#This Row],[Tabel ID]])</f>
        <v>1</v>
      </c>
    </row>
    <row r="887" spans="1:8" x14ac:dyDescent="0.2">
      <c r="A887">
        <f>ROW(LineærRegression_Valg[[#This Row],[Tabel ID]])-ROW(LineærRegression_Valg[[#Headers],[Tabel ID]])</f>
        <v>877</v>
      </c>
      <c r="B887" s="45">
        <f>ROUNDDOWN((LineærRegression_Valg[[#This Row],[Tabel ID]]-1)/$B$5,0)+1</f>
        <v>220</v>
      </c>
      <c r="C887" s="45">
        <f t="shared" si="13"/>
        <v>1</v>
      </c>
      <c r="D887" s="45" t="b">
        <f>LineærRegression_Valg[[#This Row],[Afhængig variabel ID]]&lt;&gt;LineærRegression_Valg[[#This Row],[Uafhængig variabel ID]]</f>
        <v>1</v>
      </c>
      <c r="E887" t="b">
        <f>LineærRegression_Valg[[#This Row],[Afhængig variabel ID]]&lt;=$B$5</f>
        <v>0</v>
      </c>
      <c r="F887" t="str" cm="1">
        <f t="array" ref="F887">IF(LineærRegression_Valg[[#This Row],[Indenfor range]],INDEX(DataTitel_liste,LineærRegression_Valg[[#This Row],[Afhængig variabel ID]]),INDEX(DataTitel_liste,1))</f>
        <v>Eksempel 1 (interval)</v>
      </c>
      <c r="G887" s="45" t="str" cm="1">
        <f t="array" ref="G887">IF(LineærRegression_Valg[[#This Row],[Indenfor range]],IF(LineærRegression_Valg[[#This Row],[Intet overlap]],INDEX(DataTitel_liste,LineærRegression_Valg[[#This Row],[Uafhængig variabel ID]]),INDEX(DataTitel_liste,IF(LineærRegression_Valg[[#This Row],[Afhængig variabel ID]]=1,2,1))),$B$7)</f>
        <v>Eksempel 2 (interval)</v>
      </c>
      <c r="H887" s="45">
        <f>_xlfn.AGGREGATE(2,5,LineærRegression_Valg[[#This Row],[Tabel ID]])</f>
        <v>1</v>
      </c>
    </row>
    <row r="888" spans="1:8" x14ac:dyDescent="0.2">
      <c r="A888">
        <f>ROW(LineærRegression_Valg[[#This Row],[Tabel ID]])-ROW(LineærRegression_Valg[[#Headers],[Tabel ID]])</f>
        <v>878</v>
      </c>
      <c r="B888" s="45">
        <f>ROUNDDOWN((LineærRegression_Valg[[#This Row],[Tabel ID]]-1)/$B$5,0)+1</f>
        <v>220</v>
      </c>
      <c r="C888" s="45">
        <f t="shared" si="13"/>
        <v>2</v>
      </c>
      <c r="D888" s="45" t="b">
        <f>LineærRegression_Valg[[#This Row],[Afhængig variabel ID]]&lt;&gt;LineærRegression_Valg[[#This Row],[Uafhængig variabel ID]]</f>
        <v>1</v>
      </c>
      <c r="E888" t="b">
        <f>LineærRegression_Valg[[#This Row],[Afhængig variabel ID]]&lt;=$B$5</f>
        <v>0</v>
      </c>
      <c r="F888" t="str" cm="1">
        <f t="array" ref="F888">IF(LineærRegression_Valg[[#This Row],[Indenfor range]],INDEX(DataTitel_liste,LineærRegression_Valg[[#This Row],[Afhængig variabel ID]]),INDEX(DataTitel_liste,1))</f>
        <v>Eksempel 1 (interval)</v>
      </c>
      <c r="G888" s="45" t="str" cm="1">
        <f t="array" ref="G888">IF(LineærRegression_Valg[[#This Row],[Indenfor range]],IF(LineærRegression_Valg[[#This Row],[Intet overlap]],INDEX(DataTitel_liste,LineærRegression_Valg[[#This Row],[Uafhængig variabel ID]]),INDEX(DataTitel_liste,IF(LineærRegression_Valg[[#This Row],[Afhængig variabel ID]]=1,2,1))),$B$7)</f>
        <v>Eksempel 2 (interval)</v>
      </c>
      <c r="H888" s="45">
        <f>_xlfn.AGGREGATE(2,5,LineærRegression_Valg[[#This Row],[Tabel ID]])</f>
        <v>1</v>
      </c>
    </row>
    <row r="889" spans="1:8" x14ac:dyDescent="0.2">
      <c r="A889">
        <f>ROW(LineærRegression_Valg[[#This Row],[Tabel ID]])-ROW(LineærRegression_Valg[[#Headers],[Tabel ID]])</f>
        <v>879</v>
      </c>
      <c r="B889" s="45">
        <f>ROUNDDOWN((LineærRegression_Valg[[#This Row],[Tabel ID]]-1)/$B$5,0)+1</f>
        <v>220</v>
      </c>
      <c r="C889" s="45">
        <f t="shared" si="13"/>
        <v>3</v>
      </c>
      <c r="D889" s="45" t="b">
        <f>LineærRegression_Valg[[#This Row],[Afhængig variabel ID]]&lt;&gt;LineærRegression_Valg[[#This Row],[Uafhængig variabel ID]]</f>
        <v>1</v>
      </c>
      <c r="E889" t="b">
        <f>LineærRegression_Valg[[#This Row],[Afhængig variabel ID]]&lt;=$B$5</f>
        <v>0</v>
      </c>
      <c r="F889" t="str" cm="1">
        <f t="array" ref="F889">IF(LineærRegression_Valg[[#This Row],[Indenfor range]],INDEX(DataTitel_liste,LineærRegression_Valg[[#This Row],[Afhængig variabel ID]]),INDEX(DataTitel_liste,1))</f>
        <v>Eksempel 1 (interval)</v>
      </c>
      <c r="G889" s="45" t="str" cm="1">
        <f t="array" ref="G889">IF(LineærRegression_Valg[[#This Row],[Indenfor range]],IF(LineærRegression_Valg[[#This Row],[Intet overlap]],INDEX(DataTitel_liste,LineærRegression_Valg[[#This Row],[Uafhængig variabel ID]]),INDEX(DataTitel_liste,IF(LineærRegression_Valg[[#This Row],[Afhængig variabel ID]]=1,2,1))),$B$7)</f>
        <v>Eksempel 2 (interval)</v>
      </c>
      <c r="H889" s="45">
        <f>_xlfn.AGGREGATE(2,5,LineærRegression_Valg[[#This Row],[Tabel ID]])</f>
        <v>1</v>
      </c>
    </row>
    <row r="890" spans="1:8" x14ac:dyDescent="0.2">
      <c r="A890">
        <f>ROW(LineærRegression_Valg[[#This Row],[Tabel ID]])-ROW(LineærRegression_Valg[[#Headers],[Tabel ID]])</f>
        <v>880</v>
      </c>
      <c r="B890" s="45">
        <f>ROUNDDOWN((LineærRegression_Valg[[#This Row],[Tabel ID]]-1)/$B$5,0)+1</f>
        <v>220</v>
      </c>
      <c r="C890" s="45">
        <f t="shared" si="13"/>
        <v>4</v>
      </c>
      <c r="D890" s="45" t="b">
        <f>LineærRegression_Valg[[#This Row],[Afhængig variabel ID]]&lt;&gt;LineærRegression_Valg[[#This Row],[Uafhængig variabel ID]]</f>
        <v>1</v>
      </c>
      <c r="E890" t="b">
        <f>LineærRegression_Valg[[#This Row],[Afhængig variabel ID]]&lt;=$B$5</f>
        <v>0</v>
      </c>
      <c r="F890" t="str" cm="1">
        <f t="array" ref="F890">IF(LineærRegression_Valg[[#This Row],[Indenfor range]],INDEX(DataTitel_liste,LineærRegression_Valg[[#This Row],[Afhængig variabel ID]]),INDEX(DataTitel_liste,1))</f>
        <v>Eksempel 1 (interval)</v>
      </c>
      <c r="G890" s="45" t="str" cm="1">
        <f t="array" ref="G890">IF(LineærRegression_Valg[[#This Row],[Indenfor range]],IF(LineærRegression_Valg[[#This Row],[Intet overlap]],INDEX(DataTitel_liste,LineærRegression_Valg[[#This Row],[Uafhængig variabel ID]]),INDEX(DataTitel_liste,IF(LineærRegression_Valg[[#This Row],[Afhængig variabel ID]]=1,2,1))),$B$7)</f>
        <v>Eksempel 2 (interval)</v>
      </c>
      <c r="H890" s="45">
        <f>_xlfn.AGGREGATE(2,5,LineærRegression_Valg[[#This Row],[Tabel ID]])</f>
        <v>1</v>
      </c>
    </row>
    <row r="891" spans="1:8" x14ac:dyDescent="0.2">
      <c r="A891">
        <f>ROW(LineærRegression_Valg[[#This Row],[Tabel ID]])-ROW(LineærRegression_Valg[[#Headers],[Tabel ID]])</f>
        <v>881</v>
      </c>
      <c r="B891" s="45">
        <f>ROUNDDOWN((LineærRegression_Valg[[#This Row],[Tabel ID]]-1)/$B$5,0)+1</f>
        <v>221</v>
      </c>
      <c r="C891" s="45">
        <f t="shared" si="13"/>
        <v>1</v>
      </c>
      <c r="D891" s="45" t="b">
        <f>LineærRegression_Valg[[#This Row],[Afhængig variabel ID]]&lt;&gt;LineærRegression_Valg[[#This Row],[Uafhængig variabel ID]]</f>
        <v>1</v>
      </c>
      <c r="E891" t="b">
        <f>LineærRegression_Valg[[#This Row],[Afhængig variabel ID]]&lt;=$B$5</f>
        <v>0</v>
      </c>
      <c r="F891" t="str" cm="1">
        <f t="array" ref="F891">IF(LineærRegression_Valg[[#This Row],[Indenfor range]],INDEX(DataTitel_liste,LineærRegression_Valg[[#This Row],[Afhængig variabel ID]]),INDEX(DataTitel_liste,1))</f>
        <v>Eksempel 1 (interval)</v>
      </c>
      <c r="G891" s="45" t="str" cm="1">
        <f t="array" ref="G891">IF(LineærRegression_Valg[[#This Row],[Indenfor range]],IF(LineærRegression_Valg[[#This Row],[Intet overlap]],INDEX(DataTitel_liste,LineærRegression_Valg[[#This Row],[Uafhængig variabel ID]]),INDEX(DataTitel_liste,IF(LineærRegression_Valg[[#This Row],[Afhængig variabel ID]]=1,2,1))),$B$7)</f>
        <v>Eksempel 2 (interval)</v>
      </c>
      <c r="H891" s="45">
        <f>_xlfn.AGGREGATE(2,5,LineærRegression_Valg[[#This Row],[Tabel ID]])</f>
        <v>1</v>
      </c>
    </row>
    <row r="892" spans="1:8" x14ac:dyDescent="0.2">
      <c r="A892">
        <f>ROW(LineærRegression_Valg[[#This Row],[Tabel ID]])-ROW(LineærRegression_Valg[[#Headers],[Tabel ID]])</f>
        <v>882</v>
      </c>
      <c r="B892" s="45">
        <f>ROUNDDOWN((LineærRegression_Valg[[#This Row],[Tabel ID]]-1)/$B$5,0)+1</f>
        <v>221</v>
      </c>
      <c r="C892" s="45">
        <f t="shared" si="13"/>
        <v>2</v>
      </c>
      <c r="D892" s="45" t="b">
        <f>LineærRegression_Valg[[#This Row],[Afhængig variabel ID]]&lt;&gt;LineærRegression_Valg[[#This Row],[Uafhængig variabel ID]]</f>
        <v>1</v>
      </c>
      <c r="E892" t="b">
        <f>LineærRegression_Valg[[#This Row],[Afhængig variabel ID]]&lt;=$B$5</f>
        <v>0</v>
      </c>
      <c r="F892" t="str" cm="1">
        <f t="array" ref="F892">IF(LineærRegression_Valg[[#This Row],[Indenfor range]],INDEX(DataTitel_liste,LineærRegression_Valg[[#This Row],[Afhængig variabel ID]]),INDEX(DataTitel_liste,1))</f>
        <v>Eksempel 1 (interval)</v>
      </c>
      <c r="G892" s="45" t="str" cm="1">
        <f t="array" ref="G892">IF(LineærRegression_Valg[[#This Row],[Indenfor range]],IF(LineærRegression_Valg[[#This Row],[Intet overlap]],INDEX(DataTitel_liste,LineærRegression_Valg[[#This Row],[Uafhængig variabel ID]]),INDEX(DataTitel_liste,IF(LineærRegression_Valg[[#This Row],[Afhængig variabel ID]]=1,2,1))),$B$7)</f>
        <v>Eksempel 2 (interval)</v>
      </c>
      <c r="H892" s="45">
        <f>_xlfn.AGGREGATE(2,5,LineærRegression_Valg[[#This Row],[Tabel ID]])</f>
        <v>1</v>
      </c>
    </row>
    <row r="893" spans="1:8" x14ac:dyDescent="0.2">
      <c r="A893">
        <f>ROW(LineærRegression_Valg[[#This Row],[Tabel ID]])-ROW(LineærRegression_Valg[[#Headers],[Tabel ID]])</f>
        <v>883</v>
      </c>
      <c r="B893" s="45">
        <f>ROUNDDOWN((LineærRegression_Valg[[#This Row],[Tabel ID]]-1)/$B$5,0)+1</f>
        <v>221</v>
      </c>
      <c r="C893" s="45">
        <f t="shared" si="13"/>
        <v>3</v>
      </c>
      <c r="D893" s="45" t="b">
        <f>LineærRegression_Valg[[#This Row],[Afhængig variabel ID]]&lt;&gt;LineærRegression_Valg[[#This Row],[Uafhængig variabel ID]]</f>
        <v>1</v>
      </c>
      <c r="E893" t="b">
        <f>LineærRegression_Valg[[#This Row],[Afhængig variabel ID]]&lt;=$B$5</f>
        <v>0</v>
      </c>
      <c r="F893" t="str" cm="1">
        <f t="array" ref="F893">IF(LineærRegression_Valg[[#This Row],[Indenfor range]],INDEX(DataTitel_liste,LineærRegression_Valg[[#This Row],[Afhængig variabel ID]]),INDEX(DataTitel_liste,1))</f>
        <v>Eksempel 1 (interval)</v>
      </c>
      <c r="G893" s="45" t="str" cm="1">
        <f t="array" ref="G893">IF(LineærRegression_Valg[[#This Row],[Indenfor range]],IF(LineærRegression_Valg[[#This Row],[Intet overlap]],INDEX(DataTitel_liste,LineærRegression_Valg[[#This Row],[Uafhængig variabel ID]]),INDEX(DataTitel_liste,IF(LineærRegression_Valg[[#This Row],[Afhængig variabel ID]]=1,2,1))),$B$7)</f>
        <v>Eksempel 2 (interval)</v>
      </c>
      <c r="H893" s="45">
        <f>_xlfn.AGGREGATE(2,5,LineærRegression_Valg[[#This Row],[Tabel ID]])</f>
        <v>1</v>
      </c>
    </row>
    <row r="894" spans="1:8" x14ac:dyDescent="0.2">
      <c r="A894">
        <f>ROW(LineærRegression_Valg[[#This Row],[Tabel ID]])-ROW(LineærRegression_Valg[[#Headers],[Tabel ID]])</f>
        <v>884</v>
      </c>
      <c r="B894" s="45">
        <f>ROUNDDOWN((LineærRegression_Valg[[#This Row],[Tabel ID]]-1)/$B$5,0)+1</f>
        <v>221</v>
      </c>
      <c r="C894" s="45">
        <f t="shared" si="13"/>
        <v>4</v>
      </c>
      <c r="D894" s="45" t="b">
        <f>LineærRegression_Valg[[#This Row],[Afhængig variabel ID]]&lt;&gt;LineærRegression_Valg[[#This Row],[Uafhængig variabel ID]]</f>
        <v>1</v>
      </c>
      <c r="E894" t="b">
        <f>LineærRegression_Valg[[#This Row],[Afhængig variabel ID]]&lt;=$B$5</f>
        <v>0</v>
      </c>
      <c r="F894" t="str" cm="1">
        <f t="array" ref="F894">IF(LineærRegression_Valg[[#This Row],[Indenfor range]],INDEX(DataTitel_liste,LineærRegression_Valg[[#This Row],[Afhængig variabel ID]]),INDEX(DataTitel_liste,1))</f>
        <v>Eksempel 1 (interval)</v>
      </c>
      <c r="G894" s="45" t="str" cm="1">
        <f t="array" ref="G894">IF(LineærRegression_Valg[[#This Row],[Indenfor range]],IF(LineærRegression_Valg[[#This Row],[Intet overlap]],INDEX(DataTitel_liste,LineærRegression_Valg[[#This Row],[Uafhængig variabel ID]]),INDEX(DataTitel_liste,IF(LineærRegression_Valg[[#This Row],[Afhængig variabel ID]]=1,2,1))),$B$7)</f>
        <v>Eksempel 2 (interval)</v>
      </c>
      <c r="H894" s="45">
        <f>_xlfn.AGGREGATE(2,5,LineærRegression_Valg[[#This Row],[Tabel ID]])</f>
        <v>1</v>
      </c>
    </row>
    <row r="895" spans="1:8" x14ac:dyDescent="0.2">
      <c r="A895">
        <f>ROW(LineærRegression_Valg[[#This Row],[Tabel ID]])-ROW(LineærRegression_Valg[[#Headers],[Tabel ID]])</f>
        <v>885</v>
      </c>
      <c r="B895" s="45">
        <f>ROUNDDOWN((LineærRegression_Valg[[#This Row],[Tabel ID]]-1)/$B$5,0)+1</f>
        <v>222</v>
      </c>
      <c r="C895" s="45">
        <f t="shared" si="13"/>
        <v>1</v>
      </c>
      <c r="D895" s="45" t="b">
        <f>LineærRegression_Valg[[#This Row],[Afhængig variabel ID]]&lt;&gt;LineærRegression_Valg[[#This Row],[Uafhængig variabel ID]]</f>
        <v>1</v>
      </c>
      <c r="E895" t="b">
        <f>LineærRegression_Valg[[#This Row],[Afhængig variabel ID]]&lt;=$B$5</f>
        <v>0</v>
      </c>
      <c r="F895" t="str" cm="1">
        <f t="array" ref="F895">IF(LineærRegression_Valg[[#This Row],[Indenfor range]],INDEX(DataTitel_liste,LineærRegression_Valg[[#This Row],[Afhængig variabel ID]]),INDEX(DataTitel_liste,1))</f>
        <v>Eksempel 1 (interval)</v>
      </c>
      <c r="G895" s="45" t="str" cm="1">
        <f t="array" ref="G895">IF(LineærRegression_Valg[[#This Row],[Indenfor range]],IF(LineærRegression_Valg[[#This Row],[Intet overlap]],INDEX(DataTitel_liste,LineærRegression_Valg[[#This Row],[Uafhængig variabel ID]]),INDEX(DataTitel_liste,IF(LineærRegression_Valg[[#This Row],[Afhængig variabel ID]]=1,2,1))),$B$7)</f>
        <v>Eksempel 2 (interval)</v>
      </c>
      <c r="H895" s="45">
        <f>_xlfn.AGGREGATE(2,5,LineærRegression_Valg[[#This Row],[Tabel ID]])</f>
        <v>1</v>
      </c>
    </row>
    <row r="896" spans="1:8" x14ac:dyDescent="0.2">
      <c r="A896">
        <f>ROW(LineærRegression_Valg[[#This Row],[Tabel ID]])-ROW(LineærRegression_Valg[[#Headers],[Tabel ID]])</f>
        <v>886</v>
      </c>
      <c r="B896" s="45">
        <f>ROUNDDOWN((LineærRegression_Valg[[#This Row],[Tabel ID]]-1)/$B$5,0)+1</f>
        <v>222</v>
      </c>
      <c r="C896" s="45">
        <f t="shared" si="13"/>
        <v>2</v>
      </c>
      <c r="D896" s="45" t="b">
        <f>LineærRegression_Valg[[#This Row],[Afhængig variabel ID]]&lt;&gt;LineærRegression_Valg[[#This Row],[Uafhængig variabel ID]]</f>
        <v>1</v>
      </c>
      <c r="E896" t="b">
        <f>LineærRegression_Valg[[#This Row],[Afhængig variabel ID]]&lt;=$B$5</f>
        <v>0</v>
      </c>
      <c r="F896" t="str" cm="1">
        <f t="array" ref="F896">IF(LineærRegression_Valg[[#This Row],[Indenfor range]],INDEX(DataTitel_liste,LineærRegression_Valg[[#This Row],[Afhængig variabel ID]]),INDEX(DataTitel_liste,1))</f>
        <v>Eksempel 1 (interval)</v>
      </c>
      <c r="G896" s="45" t="str" cm="1">
        <f t="array" ref="G896">IF(LineærRegression_Valg[[#This Row],[Indenfor range]],IF(LineærRegression_Valg[[#This Row],[Intet overlap]],INDEX(DataTitel_liste,LineærRegression_Valg[[#This Row],[Uafhængig variabel ID]]),INDEX(DataTitel_liste,IF(LineærRegression_Valg[[#This Row],[Afhængig variabel ID]]=1,2,1))),$B$7)</f>
        <v>Eksempel 2 (interval)</v>
      </c>
      <c r="H896" s="45">
        <f>_xlfn.AGGREGATE(2,5,LineærRegression_Valg[[#This Row],[Tabel ID]])</f>
        <v>1</v>
      </c>
    </row>
    <row r="897" spans="1:8" x14ac:dyDescent="0.2">
      <c r="A897">
        <f>ROW(LineærRegression_Valg[[#This Row],[Tabel ID]])-ROW(LineærRegression_Valg[[#Headers],[Tabel ID]])</f>
        <v>887</v>
      </c>
      <c r="B897" s="45">
        <f>ROUNDDOWN((LineærRegression_Valg[[#This Row],[Tabel ID]]-1)/$B$5,0)+1</f>
        <v>222</v>
      </c>
      <c r="C897" s="45">
        <f t="shared" si="13"/>
        <v>3</v>
      </c>
      <c r="D897" s="45" t="b">
        <f>LineærRegression_Valg[[#This Row],[Afhængig variabel ID]]&lt;&gt;LineærRegression_Valg[[#This Row],[Uafhængig variabel ID]]</f>
        <v>1</v>
      </c>
      <c r="E897" t="b">
        <f>LineærRegression_Valg[[#This Row],[Afhængig variabel ID]]&lt;=$B$5</f>
        <v>0</v>
      </c>
      <c r="F897" t="str" cm="1">
        <f t="array" ref="F897">IF(LineærRegression_Valg[[#This Row],[Indenfor range]],INDEX(DataTitel_liste,LineærRegression_Valg[[#This Row],[Afhængig variabel ID]]),INDEX(DataTitel_liste,1))</f>
        <v>Eksempel 1 (interval)</v>
      </c>
      <c r="G897" s="45" t="str" cm="1">
        <f t="array" ref="G897">IF(LineærRegression_Valg[[#This Row],[Indenfor range]],IF(LineærRegression_Valg[[#This Row],[Intet overlap]],INDEX(DataTitel_liste,LineærRegression_Valg[[#This Row],[Uafhængig variabel ID]]),INDEX(DataTitel_liste,IF(LineærRegression_Valg[[#This Row],[Afhængig variabel ID]]=1,2,1))),$B$7)</f>
        <v>Eksempel 2 (interval)</v>
      </c>
      <c r="H897" s="45">
        <f>_xlfn.AGGREGATE(2,5,LineærRegression_Valg[[#This Row],[Tabel ID]])</f>
        <v>1</v>
      </c>
    </row>
    <row r="898" spans="1:8" x14ac:dyDescent="0.2">
      <c r="A898">
        <f>ROW(LineærRegression_Valg[[#This Row],[Tabel ID]])-ROW(LineærRegression_Valg[[#Headers],[Tabel ID]])</f>
        <v>888</v>
      </c>
      <c r="B898" s="45">
        <f>ROUNDDOWN((LineærRegression_Valg[[#This Row],[Tabel ID]]-1)/$B$5,0)+1</f>
        <v>222</v>
      </c>
      <c r="C898" s="45">
        <f t="shared" si="13"/>
        <v>4</v>
      </c>
      <c r="D898" s="45" t="b">
        <f>LineærRegression_Valg[[#This Row],[Afhængig variabel ID]]&lt;&gt;LineærRegression_Valg[[#This Row],[Uafhængig variabel ID]]</f>
        <v>1</v>
      </c>
      <c r="E898" t="b">
        <f>LineærRegression_Valg[[#This Row],[Afhængig variabel ID]]&lt;=$B$5</f>
        <v>0</v>
      </c>
      <c r="F898" t="str" cm="1">
        <f t="array" ref="F898">IF(LineærRegression_Valg[[#This Row],[Indenfor range]],INDEX(DataTitel_liste,LineærRegression_Valg[[#This Row],[Afhængig variabel ID]]),INDEX(DataTitel_liste,1))</f>
        <v>Eksempel 1 (interval)</v>
      </c>
      <c r="G898" s="45" t="str" cm="1">
        <f t="array" ref="G898">IF(LineærRegression_Valg[[#This Row],[Indenfor range]],IF(LineærRegression_Valg[[#This Row],[Intet overlap]],INDEX(DataTitel_liste,LineærRegression_Valg[[#This Row],[Uafhængig variabel ID]]),INDEX(DataTitel_liste,IF(LineærRegression_Valg[[#This Row],[Afhængig variabel ID]]=1,2,1))),$B$7)</f>
        <v>Eksempel 2 (interval)</v>
      </c>
      <c r="H898" s="45">
        <f>_xlfn.AGGREGATE(2,5,LineærRegression_Valg[[#This Row],[Tabel ID]])</f>
        <v>1</v>
      </c>
    </row>
    <row r="899" spans="1:8" x14ac:dyDescent="0.2">
      <c r="A899">
        <f>ROW(LineærRegression_Valg[[#This Row],[Tabel ID]])-ROW(LineærRegression_Valg[[#Headers],[Tabel ID]])</f>
        <v>889</v>
      </c>
      <c r="B899" s="45">
        <f>ROUNDDOWN((LineærRegression_Valg[[#This Row],[Tabel ID]]-1)/$B$5,0)+1</f>
        <v>223</v>
      </c>
      <c r="C899" s="45">
        <f t="shared" si="13"/>
        <v>1</v>
      </c>
      <c r="D899" s="45" t="b">
        <f>LineærRegression_Valg[[#This Row],[Afhængig variabel ID]]&lt;&gt;LineærRegression_Valg[[#This Row],[Uafhængig variabel ID]]</f>
        <v>1</v>
      </c>
      <c r="E899" t="b">
        <f>LineærRegression_Valg[[#This Row],[Afhængig variabel ID]]&lt;=$B$5</f>
        <v>0</v>
      </c>
      <c r="F899" t="str" cm="1">
        <f t="array" ref="F899">IF(LineærRegression_Valg[[#This Row],[Indenfor range]],INDEX(DataTitel_liste,LineærRegression_Valg[[#This Row],[Afhængig variabel ID]]),INDEX(DataTitel_liste,1))</f>
        <v>Eksempel 1 (interval)</v>
      </c>
      <c r="G899" s="45" t="str" cm="1">
        <f t="array" ref="G899">IF(LineærRegression_Valg[[#This Row],[Indenfor range]],IF(LineærRegression_Valg[[#This Row],[Intet overlap]],INDEX(DataTitel_liste,LineærRegression_Valg[[#This Row],[Uafhængig variabel ID]]),INDEX(DataTitel_liste,IF(LineærRegression_Valg[[#This Row],[Afhængig variabel ID]]=1,2,1))),$B$7)</f>
        <v>Eksempel 2 (interval)</v>
      </c>
      <c r="H899" s="45">
        <f>_xlfn.AGGREGATE(2,5,LineærRegression_Valg[[#This Row],[Tabel ID]])</f>
        <v>1</v>
      </c>
    </row>
    <row r="900" spans="1:8" x14ac:dyDescent="0.2">
      <c r="A900">
        <f>ROW(LineærRegression_Valg[[#This Row],[Tabel ID]])-ROW(LineærRegression_Valg[[#Headers],[Tabel ID]])</f>
        <v>890</v>
      </c>
      <c r="B900" s="45">
        <f>ROUNDDOWN((LineærRegression_Valg[[#This Row],[Tabel ID]]-1)/$B$5,0)+1</f>
        <v>223</v>
      </c>
      <c r="C900" s="45">
        <f t="shared" si="13"/>
        <v>2</v>
      </c>
      <c r="D900" s="45" t="b">
        <f>LineærRegression_Valg[[#This Row],[Afhængig variabel ID]]&lt;&gt;LineærRegression_Valg[[#This Row],[Uafhængig variabel ID]]</f>
        <v>1</v>
      </c>
      <c r="E900" t="b">
        <f>LineærRegression_Valg[[#This Row],[Afhængig variabel ID]]&lt;=$B$5</f>
        <v>0</v>
      </c>
      <c r="F900" t="str" cm="1">
        <f t="array" ref="F900">IF(LineærRegression_Valg[[#This Row],[Indenfor range]],INDEX(DataTitel_liste,LineærRegression_Valg[[#This Row],[Afhængig variabel ID]]),INDEX(DataTitel_liste,1))</f>
        <v>Eksempel 1 (interval)</v>
      </c>
      <c r="G900" s="45" t="str" cm="1">
        <f t="array" ref="G900">IF(LineærRegression_Valg[[#This Row],[Indenfor range]],IF(LineærRegression_Valg[[#This Row],[Intet overlap]],INDEX(DataTitel_liste,LineærRegression_Valg[[#This Row],[Uafhængig variabel ID]]),INDEX(DataTitel_liste,IF(LineærRegression_Valg[[#This Row],[Afhængig variabel ID]]=1,2,1))),$B$7)</f>
        <v>Eksempel 2 (interval)</v>
      </c>
      <c r="H900" s="45">
        <f>_xlfn.AGGREGATE(2,5,LineærRegression_Valg[[#This Row],[Tabel ID]])</f>
        <v>1</v>
      </c>
    </row>
    <row r="901" spans="1:8" x14ac:dyDescent="0.2">
      <c r="A901">
        <f>ROW(LineærRegression_Valg[[#This Row],[Tabel ID]])-ROW(LineærRegression_Valg[[#Headers],[Tabel ID]])</f>
        <v>891</v>
      </c>
      <c r="B901" s="45">
        <f>ROUNDDOWN((LineærRegression_Valg[[#This Row],[Tabel ID]]-1)/$B$5,0)+1</f>
        <v>223</v>
      </c>
      <c r="C901" s="45">
        <f t="shared" si="13"/>
        <v>3</v>
      </c>
      <c r="D901" s="45" t="b">
        <f>LineærRegression_Valg[[#This Row],[Afhængig variabel ID]]&lt;&gt;LineærRegression_Valg[[#This Row],[Uafhængig variabel ID]]</f>
        <v>1</v>
      </c>
      <c r="E901" t="b">
        <f>LineærRegression_Valg[[#This Row],[Afhængig variabel ID]]&lt;=$B$5</f>
        <v>0</v>
      </c>
      <c r="F901" t="str" cm="1">
        <f t="array" ref="F901">IF(LineærRegression_Valg[[#This Row],[Indenfor range]],INDEX(DataTitel_liste,LineærRegression_Valg[[#This Row],[Afhængig variabel ID]]),INDEX(DataTitel_liste,1))</f>
        <v>Eksempel 1 (interval)</v>
      </c>
      <c r="G901" s="45" t="str" cm="1">
        <f t="array" ref="G901">IF(LineærRegression_Valg[[#This Row],[Indenfor range]],IF(LineærRegression_Valg[[#This Row],[Intet overlap]],INDEX(DataTitel_liste,LineærRegression_Valg[[#This Row],[Uafhængig variabel ID]]),INDEX(DataTitel_liste,IF(LineærRegression_Valg[[#This Row],[Afhængig variabel ID]]=1,2,1))),$B$7)</f>
        <v>Eksempel 2 (interval)</v>
      </c>
      <c r="H901" s="45">
        <f>_xlfn.AGGREGATE(2,5,LineærRegression_Valg[[#This Row],[Tabel ID]])</f>
        <v>1</v>
      </c>
    </row>
    <row r="902" spans="1:8" x14ac:dyDescent="0.2">
      <c r="A902">
        <f>ROW(LineærRegression_Valg[[#This Row],[Tabel ID]])-ROW(LineærRegression_Valg[[#Headers],[Tabel ID]])</f>
        <v>892</v>
      </c>
      <c r="B902" s="45">
        <f>ROUNDDOWN((LineærRegression_Valg[[#This Row],[Tabel ID]]-1)/$B$5,0)+1</f>
        <v>223</v>
      </c>
      <c r="C902" s="45">
        <f t="shared" si="13"/>
        <v>4</v>
      </c>
      <c r="D902" s="45" t="b">
        <f>LineærRegression_Valg[[#This Row],[Afhængig variabel ID]]&lt;&gt;LineærRegression_Valg[[#This Row],[Uafhængig variabel ID]]</f>
        <v>1</v>
      </c>
      <c r="E902" t="b">
        <f>LineærRegression_Valg[[#This Row],[Afhængig variabel ID]]&lt;=$B$5</f>
        <v>0</v>
      </c>
      <c r="F902" t="str" cm="1">
        <f t="array" ref="F902">IF(LineærRegression_Valg[[#This Row],[Indenfor range]],INDEX(DataTitel_liste,LineærRegression_Valg[[#This Row],[Afhængig variabel ID]]),INDEX(DataTitel_liste,1))</f>
        <v>Eksempel 1 (interval)</v>
      </c>
      <c r="G902" s="45" t="str" cm="1">
        <f t="array" ref="G902">IF(LineærRegression_Valg[[#This Row],[Indenfor range]],IF(LineærRegression_Valg[[#This Row],[Intet overlap]],INDEX(DataTitel_liste,LineærRegression_Valg[[#This Row],[Uafhængig variabel ID]]),INDEX(DataTitel_liste,IF(LineærRegression_Valg[[#This Row],[Afhængig variabel ID]]=1,2,1))),$B$7)</f>
        <v>Eksempel 2 (interval)</v>
      </c>
      <c r="H902" s="45">
        <f>_xlfn.AGGREGATE(2,5,LineærRegression_Valg[[#This Row],[Tabel ID]])</f>
        <v>1</v>
      </c>
    </row>
    <row r="903" spans="1:8" x14ac:dyDescent="0.2">
      <c r="A903">
        <f>ROW(LineærRegression_Valg[[#This Row],[Tabel ID]])-ROW(LineærRegression_Valg[[#Headers],[Tabel ID]])</f>
        <v>893</v>
      </c>
      <c r="B903" s="45">
        <f>ROUNDDOWN((LineærRegression_Valg[[#This Row],[Tabel ID]]-1)/$B$5,0)+1</f>
        <v>224</v>
      </c>
      <c r="C903" s="45">
        <f t="shared" si="13"/>
        <v>1</v>
      </c>
      <c r="D903" s="45" t="b">
        <f>LineærRegression_Valg[[#This Row],[Afhængig variabel ID]]&lt;&gt;LineærRegression_Valg[[#This Row],[Uafhængig variabel ID]]</f>
        <v>1</v>
      </c>
      <c r="E903" t="b">
        <f>LineærRegression_Valg[[#This Row],[Afhængig variabel ID]]&lt;=$B$5</f>
        <v>0</v>
      </c>
      <c r="F903" t="str" cm="1">
        <f t="array" ref="F903">IF(LineærRegression_Valg[[#This Row],[Indenfor range]],INDEX(DataTitel_liste,LineærRegression_Valg[[#This Row],[Afhængig variabel ID]]),INDEX(DataTitel_liste,1))</f>
        <v>Eksempel 1 (interval)</v>
      </c>
      <c r="G903" s="45" t="str" cm="1">
        <f t="array" ref="G903">IF(LineærRegression_Valg[[#This Row],[Indenfor range]],IF(LineærRegression_Valg[[#This Row],[Intet overlap]],INDEX(DataTitel_liste,LineærRegression_Valg[[#This Row],[Uafhængig variabel ID]]),INDEX(DataTitel_liste,IF(LineærRegression_Valg[[#This Row],[Afhængig variabel ID]]=1,2,1))),$B$7)</f>
        <v>Eksempel 2 (interval)</v>
      </c>
      <c r="H903" s="45">
        <f>_xlfn.AGGREGATE(2,5,LineærRegression_Valg[[#This Row],[Tabel ID]])</f>
        <v>1</v>
      </c>
    </row>
    <row r="904" spans="1:8" x14ac:dyDescent="0.2">
      <c r="A904">
        <f>ROW(LineærRegression_Valg[[#This Row],[Tabel ID]])-ROW(LineærRegression_Valg[[#Headers],[Tabel ID]])</f>
        <v>894</v>
      </c>
      <c r="B904" s="45">
        <f>ROUNDDOWN((LineærRegression_Valg[[#This Row],[Tabel ID]]-1)/$B$5,0)+1</f>
        <v>224</v>
      </c>
      <c r="C904" s="45">
        <f t="shared" si="13"/>
        <v>2</v>
      </c>
      <c r="D904" s="45" t="b">
        <f>LineærRegression_Valg[[#This Row],[Afhængig variabel ID]]&lt;&gt;LineærRegression_Valg[[#This Row],[Uafhængig variabel ID]]</f>
        <v>1</v>
      </c>
      <c r="E904" t="b">
        <f>LineærRegression_Valg[[#This Row],[Afhængig variabel ID]]&lt;=$B$5</f>
        <v>0</v>
      </c>
      <c r="F904" t="str" cm="1">
        <f t="array" ref="F904">IF(LineærRegression_Valg[[#This Row],[Indenfor range]],INDEX(DataTitel_liste,LineærRegression_Valg[[#This Row],[Afhængig variabel ID]]),INDEX(DataTitel_liste,1))</f>
        <v>Eksempel 1 (interval)</v>
      </c>
      <c r="G904" s="45" t="str" cm="1">
        <f t="array" ref="G904">IF(LineærRegression_Valg[[#This Row],[Indenfor range]],IF(LineærRegression_Valg[[#This Row],[Intet overlap]],INDEX(DataTitel_liste,LineærRegression_Valg[[#This Row],[Uafhængig variabel ID]]),INDEX(DataTitel_liste,IF(LineærRegression_Valg[[#This Row],[Afhængig variabel ID]]=1,2,1))),$B$7)</f>
        <v>Eksempel 2 (interval)</v>
      </c>
      <c r="H904" s="45">
        <f>_xlfn.AGGREGATE(2,5,LineærRegression_Valg[[#This Row],[Tabel ID]])</f>
        <v>1</v>
      </c>
    </row>
    <row r="905" spans="1:8" x14ac:dyDescent="0.2">
      <c r="A905">
        <f>ROW(LineærRegression_Valg[[#This Row],[Tabel ID]])-ROW(LineærRegression_Valg[[#Headers],[Tabel ID]])</f>
        <v>895</v>
      </c>
      <c r="B905" s="45">
        <f>ROUNDDOWN((LineærRegression_Valg[[#This Row],[Tabel ID]]-1)/$B$5,0)+1</f>
        <v>224</v>
      </c>
      <c r="C905" s="45">
        <f t="shared" si="13"/>
        <v>3</v>
      </c>
      <c r="D905" s="45" t="b">
        <f>LineærRegression_Valg[[#This Row],[Afhængig variabel ID]]&lt;&gt;LineærRegression_Valg[[#This Row],[Uafhængig variabel ID]]</f>
        <v>1</v>
      </c>
      <c r="E905" t="b">
        <f>LineærRegression_Valg[[#This Row],[Afhængig variabel ID]]&lt;=$B$5</f>
        <v>0</v>
      </c>
      <c r="F905" t="str" cm="1">
        <f t="array" ref="F905">IF(LineærRegression_Valg[[#This Row],[Indenfor range]],INDEX(DataTitel_liste,LineærRegression_Valg[[#This Row],[Afhængig variabel ID]]),INDEX(DataTitel_liste,1))</f>
        <v>Eksempel 1 (interval)</v>
      </c>
      <c r="G905" s="45" t="str" cm="1">
        <f t="array" ref="G905">IF(LineærRegression_Valg[[#This Row],[Indenfor range]],IF(LineærRegression_Valg[[#This Row],[Intet overlap]],INDEX(DataTitel_liste,LineærRegression_Valg[[#This Row],[Uafhængig variabel ID]]),INDEX(DataTitel_liste,IF(LineærRegression_Valg[[#This Row],[Afhængig variabel ID]]=1,2,1))),$B$7)</f>
        <v>Eksempel 2 (interval)</v>
      </c>
      <c r="H905" s="45">
        <f>_xlfn.AGGREGATE(2,5,LineærRegression_Valg[[#This Row],[Tabel ID]])</f>
        <v>1</v>
      </c>
    </row>
    <row r="906" spans="1:8" x14ac:dyDescent="0.2">
      <c r="A906">
        <f>ROW(LineærRegression_Valg[[#This Row],[Tabel ID]])-ROW(LineærRegression_Valg[[#Headers],[Tabel ID]])</f>
        <v>896</v>
      </c>
      <c r="B906" s="45">
        <f>ROUNDDOWN((LineærRegression_Valg[[#This Row],[Tabel ID]]-1)/$B$5,0)+1</f>
        <v>224</v>
      </c>
      <c r="C906" s="45">
        <f t="shared" si="13"/>
        <v>4</v>
      </c>
      <c r="D906" s="45" t="b">
        <f>LineærRegression_Valg[[#This Row],[Afhængig variabel ID]]&lt;&gt;LineærRegression_Valg[[#This Row],[Uafhængig variabel ID]]</f>
        <v>1</v>
      </c>
      <c r="E906" t="b">
        <f>LineærRegression_Valg[[#This Row],[Afhængig variabel ID]]&lt;=$B$5</f>
        <v>0</v>
      </c>
      <c r="F906" t="str" cm="1">
        <f t="array" ref="F906">IF(LineærRegression_Valg[[#This Row],[Indenfor range]],INDEX(DataTitel_liste,LineærRegression_Valg[[#This Row],[Afhængig variabel ID]]),INDEX(DataTitel_liste,1))</f>
        <v>Eksempel 1 (interval)</v>
      </c>
      <c r="G906" s="45" t="str" cm="1">
        <f t="array" ref="G906">IF(LineærRegression_Valg[[#This Row],[Indenfor range]],IF(LineærRegression_Valg[[#This Row],[Intet overlap]],INDEX(DataTitel_liste,LineærRegression_Valg[[#This Row],[Uafhængig variabel ID]]),INDEX(DataTitel_liste,IF(LineærRegression_Valg[[#This Row],[Afhængig variabel ID]]=1,2,1))),$B$7)</f>
        <v>Eksempel 2 (interval)</v>
      </c>
      <c r="H906" s="45">
        <f>_xlfn.AGGREGATE(2,5,LineærRegression_Valg[[#This Row],[Tabel ID]])</f>
        <v>1</v>
      </c>
    </row>
    <row r="907" spans="1:8" x14ac:dyDescent="0.2">
      <c r="A907">
        <f>ROW(LineærRegression_Valg[[#This Row],[Tabel ID]])-ROW(LineærRegression_Valg[[#Headers],[Tabel ID]])</f>
        <v>897</v>
      </c>
      <c r="B907" s="45">
        <f>ROUNDDOWN((LineærRegression_Valg[[#This Row],[Tabel ID]]-1)/$B$5,0)+1</f>
        <v>225</v>
      </c>
      <c r="C907" s="45">
        <f t="shared" ref="C907:C970" si="14">MOD(A907-1,$B$5)+1</f>
        <v>1</v>
      </c>
      <c r="D907" s="45" t="b">
        <f>LineærRegression_Valg[[#This Row],[Afhængig variabel ID]]&lt;&gt;LineærRegression_Valg[[#This Row],[Uafhængig variabel ID]]</f>
        <v>1</v>
      </c>
      <c r="E907" t="b">
        <f>LineærRegression_Valg[[#This Row],[Afhængig variabel ID]]&lt;=$B$5</f>
        <v>0</v>
      </c>
      <c r="F907" t="str" cm="1">
        <f t="array" ref="F907">IF(LineærRegression_Valg[[#This Row],[Indenfor range]],INDEX(DataTitel_liste,LineærRegression_Valg[[#This Row],[Afhængig variabel ID]]),INDEX(DataTitel_liste,1))</f>
        <v>Eksempel 1 (interval)</v>
      </c>
      <c r="G907" s="45" t="str" cm="1">
        <f t="array" ref="G907">IF(LineærRegression_Valg[[#This Row],[Indenfor range]],IF(LineærRegression_Valg[[#This Row],[Intet overlap]],INDEX(DataTitel_liste,LineærRegression_Valg[[#This Row],[Uafhængig variabel ID]]),INDEX(DataTitel_liste,IF(LineærRegression_Valg[[#This Row],[Afhængig variabel ID]]=1,2,1))),$B$7)</f>
        <v>Eksempel 2 (interval)</v>
      </c>
      <c r="H907" s="45">
        <f>_xlfn.AGGREGATE(2,5,LineærRegression_Valg[[#This Row],[Tabel ID]])</f>
        <v>1</v>
      </c>
    </row>
    <row r="908" spans="1:8" x14ac:dyDescent="0.2">
      <c r="A908">
        <f>ROW(LineærRegression_Valg[[#This Row],[Tabel ID]])-ROW(LineærRegression_Valg[[#Headers],[Tabel ID]])</f>
        <v>898</v>
      </c>
      <c r="B908" s="45">
        <f>ROUNDDOWN((LineærRegression_Valg[[#This Row],[Tabel ID]]-1)/$B$5,0)+1</f>
        <v>225</v>
      </c>
      <c r="C908" s="45">
        <f t="shared" si="14"/>
        <v>2</v>
      </c>
      <c r="D908" s="45" t="b">
        <f>LineærRegression_Valg[[#This Row],[Afhængig variabel ID]]&lt;&gt;LineærRegression_Valg[[#This Row],[Uafhængig variabel ID]]</f>
        <v>1</v>
      </c>
      <c r="E908" t="b">
        <f>LineærRegression_Valg[[#This Row],[Afhængig variabel ID]]&lt;=$B$5</f>
        <v>0</v>
      </c>
      <c r="F908" t="str" cm="1">
        <f t="array" ref="F908">IF(LineærRegression_Valg[[#This Row],[Indenfor range]],INDEX(DataTitel_liste,LineærRegression_Valg[[#This Row],[Afhængig variabel ID]]),INDEX(DataTitel_liste,1))</f>
        <v>Eksempel 1 (interval)</v>
      </c>
      <c r="G908" s="45" t="str" cm="1">
        <f t="array" ref="G908">IF(LineærRegression_Valg[[#This Row],[Indenfor range]],IF(LineærRegression_Valg[[#This Row],[Intet overlap]],INDEX(DataTitel_liste,LineærRegression_Valg[[#This Row],[Uafhængig variabel ID]]),INDEX(DataTitel_liste,IF(LineærRegression_Valg[[#This Row],[Afhængig variabel ID]]=1,2,1))),$B$7)</f>
        <v>Eksempel 2 (interval)</v>
      </c>
      <c r="H908" s="45">
        <f>_xlfn.AGGREGATE(2,5,LineærRegression_Valg[[#This Row],[Tabel ID]])</f>
        <v>1</v>
      </c>
    </row>
    <row r="909" spans="1:8" x14ac:dyDescent="0.2">
      <c r="A909">
        <f>ROW(LineærRegression_Valg[[#This Row],[Tabel ID]])-ROW(LineærRegression_Valg[[#Headers],[Tabel ID]])</f>
        <v>899</v>
      </c>
      <c r="B909" s="45">
        <f>ROUNDDOWN((LineærRegression_Valg[[#This Row],[Tabel ID]]-1)/$B$5,0)+1</f>
        <v>225</v>
      </c>
      <c r="C909" s="45">
        <f t="shared" si="14"/>
        <v>3</v>
      </c>
      <c r="D909" s="45" t="b">
        <f>LineærRegression_Valg[[#This Row],[Afhængig variabel ID]]&lt;&gt;LineærRegression_Valg[[#This Row],[Uafhængig variabel ID]]</f>
        <v>1</v>
      </c>
      <c r="E909" t="b">
        <f>LineærRegression_Valg[[#This Row],[Afhængig variabel ID]]&lt;=$B$5</f>
        <v>0</v>
      </c>
      <c r="F909" t="str" cm="1">
        <f t="array" ref="F909">IF(LineærRegression_Valg[[#This Row],[Indenfor range]],INDEX(DataTitel_liste,LineærRegression_Valg[[#This Row],[Afhængig variabel ID]]),INDEX(DataTitel_liste,1))</f>
        <v>Eksempel 1 (interval)</v>
      </c>
      <c r="G909" s="45" t="str" cm="1">
        <f t="array" ref="G909">IF(LineærRegression_Valg[[#This Row],[Indenfor range]],IF(LineærRegression_Valg[[#This Row],[Intet overlap]],INDEX(DataTitel_liste,LineærRegression_Valg[[#This Row],[Uafhængig variabel ID]]),INDEX(DataTitel_liste,IF(LineærRegression_Valg[[#This Row],[Afhængig variabel ID]]=1,2,1))),$B$7)</f>
        <v>Eksempel 2 (interval)</v>
      </c>
      <c r="H909" s="45">
        <f>_xlfn.AGGREGATE(2,5,LineærRegression_Valg[[#This Row],[Tabel ID]])</f>
        <v>1</v>
      </c>
    </row>
    <row r="910" spans="1:8" x14ac:dyDescent="0.2">
      <c r="A910">
        <f>ROW(LineærRegression_Valg[[#This Row],[Tabel ID]])-ROW(LineærRegression_Valg[[#Headers],[Tabel ID]])</f>
        <v>900</v>
      </c>
      <c r="B910" s="45">
        <f>ROUNDDOWN((LineærRegression_Valg[[#This Row],[Tabel ID]]-1)/$B$5,0)+1</f>
        <v>225</v>
      </c>
      <c r="C910" s="45">
        <f t="shared" si="14"/>
        <v>4</v>
      </c>
      <c r="D910" s="45" t="b">
        <f>LineærRegression_Valg[[#This Row],[Afhængig variabel ID]]&lt;&gt;LineærRegression_Valg[[#This Row],[Uafhængig variabel ID]]</f>
        <v>1</v>
      </c>
      <c r="E910" t="b">
        <f>LineærRegression_Valg[[#This Row],[Afhængig variabel ID]]&lt;=$B$5</f>
        <v>0</v>
      </c>
      <c r="F910" t="str" cm="1">
        <f t="array" ref="F910">IF(LineærRegression_Valg[[#This Row],[Indenfor range]],INDEX(DataTitel_liste,LineærRegression_Valg[[#This Row],[Afhængig variabel ID]]),INDEX(DataTitel_liste,1))</f>
        <v>Eksempel 1 (interval)</v>
      </c>
      <c r="G910" s="45" t="str" cm="1">
        <f t="array" ref="G910">IF(LineærRegression_Valg[[#This Row],[Indenfor range]],IF(LineærRegression_Valg[[#This Row],[Intet overlap]],INDEX(DataTitel_liste,LineærRegression_Valg[[#This Row],[Uafhængig variabel ID]]),INDEX(DataTitel_liste,IF(LineærRegression_Valg[[#This Row],[Afhængig variabel ID]]=1,2,1))),$B$7)</f>
        <v>Eksempel 2 (interval)</v>
      </c>
      <c r="H910" s="45">
        <f>_xlfn.AGGREGATE(2,5,LineærRegression_Valg[[#This Row],[Tabel ID]])</f>
        <v>1</v>
      </c>
    </row>
    <row r="911" spans="1:8" x14ac:dyDescent="0.2">
      <c r="A911">
        <f>ROW(LineærRegression_Valg[[#This Row],[Tabel ID]])-ROW(LineærRegression_Valg[[#Headers],[Tabel ID]])</f>
        <v>901</v>
      </c>
      <c r="B911" s="45">
        <f>ROUNDDOWN((LineærRegression_Valg[[#This Row],[Tabel ID]]-1)/$B$5,0)+1</f>
        <v>226</v>
      </c>
      <c r="C911" s="45">
        <f t="shared" si="14"/>
        <v>1</v>
      </c>
      <c r="D911" s="45" t="b">
        <f>LineærRegression_Valg[[#This Row],[Afhængig variabel ID]]&lt;&gt;LineærRegression_Valg[[#This Row],[Uafhængig variabel ID]]</f>
        <v>1</v>
      </c>
      <c r="E911" t="b">
        <f>LineærRegression_Valg[[#This Row],[Afhængig variabel ID]]&lt;=$B$5</f>
        <v>0</v>
      </c>
      <c r="F911" t="str" cm="1">
        <f t="array" ref="F911">IF(LineærRegression_Valg[[#This Row],[Indenfor range]],INDEX(DataTitel_liste,LineærRegression_Valg[[#This Row],[Afhængig variabel ID]]),INDEX(DataTitel_liste,1))</f>
        <v>Eksempel 1 (interval)</v>
      </c>
      <c r="G911" s="45" t="str" cm="1">
        <f t="array" ref="G911">IF(LineærRegression_Valg[[#This Row],[Indenfor range]],IF(LineærRegression_Valg[[#This Row],[Intet overlap]],INDEX(DataTitel_liste,LineærRegression_Valg[[#This Row],[Uafhængig variabel ID]]),INDEX(DataTitel_liste,IF(LineærRegression_Valg[[#This Row],[Afhængig variabel ID]]=1,2,1))),$B$7)</f>
        <v>Eksempel 2 (interval)</v>
      </c>
      <c r="H911" s="45">
        <f>_xlfn.AGGREGATE(2,5,LineærRegression_Valg[[#This Row],[Tabel ID]])</f>
        <v>1</v>
      </c>
    </row>
    <row r="912" spans="1:8" x14ac:dyDescent="0.2">
      <c r="A912">
        <f>ROW(LineærRegression_Valg[[#This Row],[Tabel ID]])-ROW(LineærRegression_Valg[[#Headers],[Tabel ID]])</f>
        <v>902</v>
      </c>
      <c r="B912" s="45">
        <f>ROUNDDOWN((LineærRegression_Valg[[#This Row],[Tabel ID]]-1)/$B$5,0)+1</f>
        <v>226</v>
      </c>
      <c r="C912" s="45">
        <f t="shared" si="14"/>
        <v>2</v>
      </c>
      <c r="D912" s="45" t="b">
        <f>LineærRegression_Valg[[#This Row],[Afhængig variabel ID]]&lt;&gt;LineærRegression_Valg[[#This Row],[Uafhængig variabel ID]]</f>
        <v>1</v>
      </c>
      <c r="E912" t="b">
        <f>LineærRegression_Valg[[#This Row],[Afhængig variabel ID]]&lt;=$B$5</f>
        <v>0</v>
      </c>
      <c r="F912" t="str" cm="1">
        <f t="array" ref="F912">IF(LineærRegression_Valg[[#This Row],[Indenfor range]],INDEX(DataTitel_liste,LineærRegression_Valg[[#This Row],[Afhængig variabel ID]]),INDEX(DataTitel_liste,1))</f>
        <v>Eksempel 1 (interval)</v>
      </c>
      <c r="G912" s="45" t="str" cm="1">
        <f t="array" ref="G912">IF(LineærRegression_Valg[[#This Row],[Indenfor range]],IF(LineærRegression_Valg[[#This Row],[Intet overlap]],INDEX(DataTitel_liste,LineærRegression_Valg[[#This Row],[Uafhængig variabel ID]]),INDEX(DataTitel_liste,IF(LineærRegression_Valg[[#This Row],[Afhængig variabel ID]]=1,2,1))),$B$7)</f>
        <v>Eksempel 2 (interval)</v>
      </c>
      <c r="H912" s="45">
        <f>_xlfn.AGGREGATE(2,5,LineærRegression_Valg[[#This Row],[Tabel ID]])</f>
        <v>1</v>
      </c>
    </row>
    <row r="913" spans="1:8" x14ac:dyDescent="0.2">
      <c r="A913">
        <f>ROW(LineærRegression_Valg[[#This Row],[Tabel ID]])-ROW(LineærRegression_Valg[[#Headers],[Tabel ID]])</f>
        <v>903</v>
      </c>
      <c r="B913" s="45">
        <f>ROUNDDOWN((LineærRegression_Valg[[#This Row],[Tabel ID]]-1)/$B$5,0)+1</f>
        <v>226</v>
      </c>
      <c r="C913" s="45">
        <f t="shared" si="14"/>
        <v>3</v>
      </c>
      <c r="D913" s="45" t="b">
        <f>LineærRegression_Valg[[#This Row],[Afhængig variabel ID]]&lt;&gt;LineærRegression_Valg[[#This Row],[Uafhængig variabel ID]]</f>
        <v>1</v>
      </c>
      <c r="E913" t="b">
        <f>LineærRegression_Valg[[#This Row],[Afhængig variabel ID]]&lt;=$B$5</f>
        <v>0</v>
      </c>
      <c r="F913" t="str" cm="1">
        <f t="array" ref="F913">IF(LineærRegression_Valg[[#This Row],[Indenfor range]],INDEX(DataTitel_liste,LineærRegression_Valg[[#This Row],[Afhængig variabel ID]]),INDEX(DataTitel_liste,1))</f>
        <v>Eksempel 1 (interval)</v>
      </c>
      <c r="G913" s="45" t="str" cm="1">
        <f t="array" ref="G913">IF(LineærRegression_Valg[[#This Row],[Indenfor range]],IF(LineærRegression_Valg[[#This Row],[Intet overlap]],INDEX(DataTitel_liste,LineærRegression_Valg[[#This Row],[Uafhængig variabel ID]]),INDEX(DataTitel_liste,IF(LineærRegression_Valg[[#This Row],[Afhængig variabel ID]]=1,2,1))),$B$7)</f>
        <v>Eksempel 2 (interval)</v>
      </c>
      <c r="H913" s="45">
        <f>_xlfn.AGGREGATE(2,5,LineærRegression_Valg[[#This Row],[Tabel ID]])</f>
        <v>1</v>
      </c>
    </row>
    <row r="914" spans="1:8" x14ac:dyDescent="0.2">
      <c r="A914">
        <f>ROW(LineærRegression_Valg[[#This Row],[Tabel ID]])-ROW(LineærRegression_Valg[[#Headers],[Tabel ID]])</f>
        <v>904</v>
      </c>
      <c r="B914" s="45">
        <f>ROUNDDOWN((LineærRegression_Valg[[#This Row],[Tabel ID]]-1)/$B$5,0)+1</f>
        <v>226</v>
      </c>
      <c r="C914" s="45">
        <f t="shared" si="14"/>
        <v>4</v>
      </c>
      <c r="D914" s="45" t="b">
        <f>LineærRegression_Valg[[#This Row],[Afhængig variabel ID]]&lt;&gt;LineærRegression_Valg[[#This Row],[Uafhængig variabel ID]]</f>
        <v>1</v>
      </c>
      <c r="E914" t="b">
        <f>LineærRegression_Valg[[#This Row],[Afhængig variabel ID]]&lt;=$B$5</f>
        <v>0</v>
      </c>
      <c r="F914" t="str" cm="1">
        <f t="array" ref="F914">IF(LineærRegression_Valg[[#This Row],[Indenfor range]],INDEX(DataTitel_liste,LineærRegression_Valg[[#This Row],[Afhængig variabel ID]]),INDEX(DataTitel_liste,1))</f>
        <v>Eksempel 1 (interval)</v>
      </c>
      <c r="G914" s="45" t="str" cm="1">
        <f t="array" ref="G914">IF(LineærRegression_Valg[[#This Row],[Indenfor range]],IF(LineærRegression_Valg[[#This Row],[Intet overlap]],INDEX(DataTitel_liste,LineærRegression_Valg[[#This Row],[Uafhængig variabel ID]]),INDEX(DataTitel_liste,IF(LineærRegression_Valg[[#This Row],[Afhængig variabel ID]]=1,2,1))),$B$7)</f>
        <v>Eksempel 2 (interval)</v>
      </c>
      <c r="H914" s="45">
        <f>_xlfn.AGGREGATE(2,5,LineærRegression_Valg[[#This Row],[Tabel ID]])</f>
        <v>1</v>
      </c>
    </row>
    <row r="915" spans="1:8" x14ac:dyDescent="0.2">
      <c r="A915">
        <f>ROW(LineærRegression_Valg[[#This Row],[Tabel ID]])-ROW(LineærRegression_Valg[[#Headers],[Tabel ID]])</f>
        <v>905</v>
      </c>
      <c r="B915" s="45">
        <f>ROUNDDOWN((LineærRegression_Valg[[#This Row],[Tabel ID]]-1)/$B$5,0)+1</f>
        <v>227</v>
      </c>
      <c r="C915" s="45">
        <f t="shared" si="14"/>
        <v>1</v>
      </c>
      <c r="D915" s="45" t="b">
        <f>LineærRegression_Valg[[#This Row],[Afhængig variabel ID]]&lt;&gt;LineærRegression_Valg[[#This Row],[Uafhængig variabel ID]]</f>
        <v>1</v>
      </c>
      <c r="E915" t="b">
        <f>LineærRegression_Valg[[#This Row],[Afhængig variabel ID]]&lt;=$B$5</f>
        <v>0</v>
      </c>
      <c r="F915" t="str" cm="1">
        <f t="array" ref="F915">IF(LineærRegression_Valg[[#This Row],[Indenfor range]],INDEX(DataTitel_liste,LineærRegression_Valg[[#This Row],[Afhængig variabel ID]]),INDEX(DataTitel_liste,1))</f>
        <v>Eksempel 1 (interval)</v>
      </c>
      <c r="G915" s="45" t="str" cm="1">
        <f t="array" ref="G915">IF(LineærRegression_Valg[[#This Row],[Indenfor range]],IF(LineærRegression_Valg[[#This Row],[Intet overlap]],INDEX(DataTitel_liste,LineærRegression_Valg[[#This Row],[Uafhængig variabel ID]]),INDEX(DataTitel_liste,IF(LineærRegression_Valg[[#This Row],[Afhængig variabel ID]]=1,2,1))),$B$7)</f>
        <v>Eksempel 2 (interval)</v>
      </c>
      <c r="H915" s="45">
        <f>_xlfn.AGGREGATE(2,5,LineærRegression_Valg[[#This Row],[Tabel ID]])</f>
        <v>1</v>
      </c>
    </row>
    <row r="916" spans="1:8" x14ac:dyDescent="0.2">
      <c r="A916">
        <f>ROW(LineærRegression_Valg[[#This Row],[Tabel ID]])-ROW(LineærRegression_Valg[[#Headers],[Tabel ID]])</f>
        <v>906</v>
      </c>
      <c r="B916" s="45">
        <f>ROUNDDOWN((LineærRegression_Valg[[#This Row],[Tabel ID]]-1)/$B$5,0)+1</f>
        <v>227</v>
      </c>
      <c r="C916" s="45">
        <f t="shared" si="14"/>
        <v>2</v>
      </c>
      <c r="D916" s="45" t="b">
        <f>LineærRegression_Valg[[#This Row],[Afhængig variabel ID]]&lt;&gt;LineærRegression_Valg[[#This Row],[Uafhængig variabel ID]]</f>
        <v>1</v>
      </c>
      <c r="E916" t="b">
        <f>LineærRegression_Valg[[#This Row],[Afhængig variabel ID]]&lt;=$B$5</f>
        <v>0</v>
      </c>
      <c r="F916" t="str" cm="1">
        <f t="array" ref="F916">IF(LineærRegression_Valg[[#This Row],[Indenfor range]],INDEX(DataTitel_liste,LineærRegression_Valg[[#This Row],[Afhængig variabel ID]]),INDEX(DataTitel_liste,1))</f>
        <v>Eksempel 1 (interval)</v>
      </c>
      <c r="G916" s="45" t="str" cm="1">
        <f t="array" ref="G916">IF(LineærRegression_Valg[[#This Row],[Indenfor range]],IF(LineærRegression_Valg[[#This Row],[Intet overlap]],INDEX(DataTitel_liste,LineærRegression_Valg[[#This Row],[Uafhængig variabel ID]]),INDEX(DataTitel_liste,IF(LineærRegression_Valg[[#This Row],[Afhængig variabel ID]]=1,2,1))),$B$7)</f>
        <v>Eksempel 2 (interval)</v>
      </c>
      <c r="H916" s="45">
        <f>_xlfn.AGGREGATE(2,5,LineærRegression_Valg[[#This Row],[Tabel ID]])</f>
        <v>1</v>
      </c>
    </row>
    <row r="917" spans="1:8" x14ac:dyDescent="0.2">
      <c r="A917">
        <f>ROW(LineærRegression_Valg[[#This Row],[Tabel ID]])-ROW(LineærRegression_Valg[[#Headers],[Tabel ID]])</f>
        <v>907</v>
      </c>
      <c r="B917" s="45">
        <f>ROUNDDOWN((LineærRegression_Valg[[#This Row],[Tabel ID]]-1)/$B$5,0)+1</f>
        <v>227</v>
      </c>
      <c r="C917" s="45">
        <f t="shared" si="14"/>
        <v>3</v>
      </c>
      <c r="D917" s="45" t="b">
        <f>LineærRegression_Valg[[#This Row],[Afhængig variabel ID]]&lt;&gt;LineærRegression_Valg[[#This Row],[Uafhængig variabel ID]]</f>
        <v>1</v>
      </c>
      <c r="E917" t="b">
        <f>LineærRegression_Valg[[#This Row],[Afhængig variabel ID]]&lt;=$B$5</f>
        <v>0</v>
      </c>
      <c r="F917" t="str" cm="1">
        <f t="array" ref="F917">IF(LineærRegression_Valg[[#This Row],[Indenfor range]],INDEX(DataTitel_liste,LineærRegression_Valg[[#This Row],[Afhængig variabel ID]]),INDEX(DataTitel_liste,1))</f>
        <v>Eksempel 1 (interval)</v>
      </c>
      <c r="G917" s="45" t="str" cm="1">
        <f t="array" ref="G917">IF(LineærRegression_Valg[[#This Row],[Indenfor range]],IF(LineærRegression_Valg[[#This Row],[Intet overlap]],INDEX(DataTitel_liste,LineærRegression_Valg[[#This Row],[Uafhængig variabel ID]]),INDEX(DataTitel_liste,IF(LineærRegression_Valg[[#This Row],[Afhængig variabel ID]]=1,2,1))),$B$7)</f>
        <v>Eksempel 2 (interval)</v>
      </c>
      <c r="H917" s="45">
        <f>_xlfn.AGGREGATE(2,5,LineærRegression_Valg[[#This Row],[Tabel ID]])</f>
        <v>1</v>
      </c>
    </row>
    <row r="918" spans="1:8" x14ac:dyDescent="0.2">
      <c r="A918">
        <f>ROW(LineærRegression_Valg[[#This Row],[Tabel ID]])-ROW(LineærRegression_Valg[[#Headers],[Tabel ID]])</f>
        <v>908</v>
      </c>
      <c r="B918" s="45">
        <f>ROUNDDOWN((LineærRegression_Valg[[#This Row],[Tabel ID]]-1)/$B$5,0)+1</f>
        <v>227</v>
      </c>
      <c r="C918" s="45">
        <f t="shared" si="14"/>
        <v>4</v>
      </c>
      <c r="D918" s="45" t="b">
        <f>LineærRegression_Valg[[#This Row],[Afhængig variabel ID]]&lt;&gt;LineærRegression_Valg[[#This Row],[Uafhængig variabel ID]]</f>
        <v>1</v>
      </c>
      <c r="E918" t="b">
        <f>LineærRegression_Valg[[#This Row],[Afhængig variabel ID]]&lt;=$B$5</f>
        <v>0</v>
      </c>
      <c r="F918" t="str" cm="1">
        <f t="array" ref="F918">IF(LineærRegression_Valg[[#This Row],[Indenfor range]],INDEX(DataTitel_liste,LineærRegression_Valg[[#This Row],[Afhængig variabel ID]]),INDEX(DataTitel_liste,1))</f>
        <v>Eksempel 1 (interval)</v>
      </c>
      <c r="G918" s="45" t="str" cm="1">
        <f t="array" ref="G918">IF(LineærRegression_Valg[[#This Row],[Indenfor range]],IF(LineærRegression_Valg[[#This Row],[Intet overlap]],INDEX(DataTitel_liste,LineærRegression_Valg[[#This Row],[Uafhængig variabel ID]]),INDEX(DataTitel_liste,IF(LineærRegression_Valg[[#This Row],[Afhængig variabel ID]]=1,2,1))),$B$7)</f>
        <v>Eksempel 2 (interval)</v>
      </c>
      <c r="H918" s="45">
        <f>_xlfn.AGGREGATE(2,5,LineærRegression_Valg[[#This Row],[Tabel ID]])</f>
        <v>1</v>
      </c>
    </row>
    <row r="919" spans="1:8" x14ac:dyDescent="0.2">
      <c r="A919">
        <f>ROW(LineærRegression_Valg[[#This Row],[Tabel ID]])-ROW(LineærRegression_Valg[[#Headers],[Tabel ID]])</f>
        <v>909</v>
      </c>
      <c r="B919" s="45">
        <f>ROUNDDOWN((LineærRegression_Valg[[#This Row],[Tabel ID]]-1)/$B$5,0)+1</f>
        <v>228</v>
      </c>
      <c r="C919" s="45">
        <f t="shared" si="14"/>
        <v>1</v>
      </c>
      <c r="D919" s="45" t="b">
        <f>LineærRegression_Valg[[#This Row],[Afhængig variabel ID]]&lt;&gt;LineærRegression_Valg[[#This Row],[Uafhængig variabel ID]]</f>
        <v>1</v>
      </c>
      <c r="E919" t="b">
        <f>LineærRegression_Valg[[#This Row],[Afhængig variabel ID]]&lt;=$B$5</f>
        <v>0</v>
      </c>
      <c r="F919" t="str" cm="1">
        <f t="array" ref="F919">IF(LineærRegression_Valg[[#This Row],[Indenfor range]],INDEX(DataTitel_liste,LineærRegression_Valg[[#This Row],[Afhængig variabel ID]]),INDEX(DataTitel_liste,1))</f>
        <v>Eksempel 1 (interval)</v>
      </c>
      <c r="G919" s="45" t="str" cm="1">
        <f t="array" ref="G919">IF(LineærRegression_Valg[[#This Row],[Indenfor range]],IF(LineærRegression_Valg[[#This Row],[Intet overlap]],INDEX(DataTitel_liste,LineærRegression_Valg[[#This Row],[Uafhængig variabel ID]]),INDEX(DataTitel_liste,IF(LineærRegression_Valg[[#This Row],[Afhængig variabel ID]]=1,2,1))),$B$7)</f>
        <v>Eksempel 2 (interval)</v>
      </c>
      <c r="H919" s="45">
        <f>_xlfn.AGGREGATE(2,5,LineærRegression_Valg[[#This Row],[Tabel ID]])</f>
        <v>1</v>
      </c>
    </row>
    <row r="920" spans="1:8" x14ac:dyDescent="0.2">
      <c r="A920">
        <f>ROW(LineærRegression_Valg[[#This Row],[Tabel ID]])-ROW(LineærRegression_Valg[[#Headers],[Tabel ID]])</f>
        <v>910</v>
      </c>
      <c r="B920" s="45">
        <f>ROUNDDOWN((LineærRegression_Valg[[#This Row],[Tabel ID]]-1)/$B$5,0)+1</f>
        <v>228</v>
      </c>
      <c r="C920" s="45">
        <f t="shared" si="14"/>
        <v>2</v>
      </c>
      <c r="D920" s="45" t="b">
        <f>LineærRegression_Valg[[#This Row],[Afhængig variabel ID]]&lt;&gt;LineærRegression_Valg[[#This Row],[Uafhængig variabel ID]]</f>
        <v>1</v>
      </c>
      <c r="E920" t="b">
        <f>LineærRegression_Valg[[#This Row],[Afhængig variabel ID]]&lt;=$B$5</f>
        <v>0</v>
      </c>
      <c r="F920" t="str" cm="1">
        <f t="array" ref="F920">IF(LineærRegression_Valg[[#This Row],[Indenfor range]],INDEX(DataTitel_liste,LineærRegression_Valg[[#This Row],[Afhængig variabel ID]]),INDEX(DataTitel_liste,1))</f>
        <v>Eksempel 1 (interval)</v>
      </c>
      <c r="G920" s="45" t="str" cm="1">
        <f t="array" ref="G920">IF(LineærRegression_Valg[[#This Row],[Indenfor range]],IF(LineærRegression_Valg[[#This Row],[Intet overlap]],INDEX(DataTitel_liste,LineærRegression_Valg[[#This Row],[Uafhængig variabel ID]]),INDEX(DataTitel_liste,IF(LineærRegression_Valg[[#This Row],[Afhængig variabel ID]]=1,2,1))),$B$7)</f>
        <v>Eksempel 2 (interval)</v>
      </c>
      <c r="H920" s="45">
        <f>_xlfn.AGGREGATE(2,5,LineærRegression_Valg[[#This Row],[Tabel ID]])</f>
        <v>1</v>
      </c>
    </row>
    <row r="921" spans="1:8" x14ac:dyDescent="0.2">
      <c r="A921">
        <f>ROW(LineærRegression_Valg[[#This Row],[Tabel ID]])-ROW(LineærRegression_Valg[[#Headers],[Tabel ID]])</f>
        <v>911</v>
      </c>
      <c r="B921" s="45">
        <f>ROUNDDOWN((LineærRegression_Valg[[#This Row],[Tabel ID]]-1)/$B$5,0)+1</f>
        <v>228</v>
      </c>
      <c r="C921" s="45">
        <f t="shared" si="14"/>
        <v>3</v>
      </c>
      <c r="D921" s="45" t="b">
        <f>LineærRegression_Valg[[#This Row],[Afhængig variabel ID]]&lt;&gt;LineærRegression_Valg[[#This Row],[Uafhængig variabel ID]]</f>
        <v>1</v>
      </c>
      <c r="E921" t="b">
        <f>LineærRegression_Valg[[#This Row],[Afhængig variabel ID]]&lt;=$B$5</f>
        <v>0</v>
      </c>
      <c r="F921" t="str" cm="1">
        <f t="array" ref="F921">IF(LineærRegression_Valg[[#This Row],[Indenfor range]],INDEX(DataTitel_liste,LineærRegression_Valg[[#This Row],[Afhængig variabel ID]]),INDEX(DataTitel_liste,1))</f>
        <v>Eksempel 1 (interval)</v>
      </c>
      <c r="G921" s="45" t="str" cm="1">
        <f t="array" ref="G921">IF(LineærRegression_Valg[[#This Row],[Indenfor range]],IF(LineærRegression_Valg[[#This Row],[Intet overlap]],INDEX(DataTitel_liste,LineærRegression_Valg[[#This Row],[Uafhængig variabel ID]]),INDEX(DataTitel_liste,IF(LineærRegression_Valg[[#This Row],[Afhængig variabel ID]]=1,2,1))),$B$7)</f>
        <v>Eksempel 2 (interval)</v>
      </c>
      <c r="H921" s="45">
        <f>_xlfn.AGGREGATE(2,5,LineærRegression_Valg[[#This Row],[Tabel ID]])</f>
        <v>1</v>
      </c>
    </row>
    <row r="922" spans="1:8" x14ac:dyDescent="0.2">
      <c r="A922">
        <f>ROW(LineærRegression_Valg[[#This Row],[Tabel ID]])-ROW(LineærRegression_Valg[[#Headers],[Tabel ID]])</f>
        <v>912</v>
      </c>
      <c r="B922" s="45">
        <f>ROUNDDOWN((LineærRegression_Valg[[#This Row],[Tabel ID]]-1)/$B$5,0)+1</f>
        <v>228</v>
      </c>
      <c r="C922" s="45">
        <f t="shared" si="14"/>
        <v>4</v>
      </c>
      <c r="D922" s="45" t="b">
        <f>LineærRegression_Valg[[#This Row],[Afhængig variabel ID]]&lt;&gt;LineærRegression_Valg[[#This Row],[Uafhængig variabel ID]]</f>
        <v>1</v>
      </c>
      <c r="E922" t="b">
        <f>LineærRegression_Valg[[#This Row],[Afhængig variabel ID]]&lt;=$B$5</f>
        <v>0</v>
      </c>
      <c r="F922" t="str" cm="1">
        <f t="array" ref="F922">IF(LineærRegression_Valg[[#This Row],[Indenfor range]],INDEX(DataTitel_liste,LineærRegression_Valg[[#This Row],[Afhængig variabel ID]]),INDEX(DataTitel_liste,1))</f>
        <v>Eksempel 1 (interval)</v>
      </c>
      <c r="G922" s="45" t="str" cm="1">
        <f t="array" ref="G922">IF(LineærRegression_Valg[[#This Row],[Indenfor range]],IF(LineærRegression_Valg[[#This Row],[Intet overlap]],INDEX(DataTitel_liste,LineærRegression_Valg[[#This Row],[Uafhængig variabel ID]]),INDEX(DataTitel_liste,IF(LineærRegression_Valg[[#This Row],[Afhængig variabel ID]]=1,2,1))),$B$7)</f>
        <v>Eksempel 2 (interval)</v>
      </c>
      <c r="H922" s="45">
        <f>_xlfn.AGGREGATE(2,5,LineærRegression_Valg[[#This Row],[Tabel ID]])</f>
        <v>1</v>
      </c>
    </row>
    <row r="923" spans="1:8" x14ac:dyDescent="0.2">
      <c r="A923">
        <f>ROW(LineærRegression_Valg[[#This Row],[Tabel ID]])-ROW(LineærRegression_Valg[[#Headers],[Tabel ID]])</f>
        <v>913</v>
      </c>
      <c r="B923" s="45">
        <f>ROUNDDOWN((LineærRegression_Valg[[#This Row],[Tabel ID]]-1)/$B$5,0)+1</f>
        <v>229</v>
      </c>
      <c r="C923" s="45">
        <f t="shared" si="14"/>
        <v>1</v>
      </c>
      <c r="D923" s="45" t="b">
        <f>LineærRegression_Valg[[#This Row],[Afhængig variabel ID]]&lt;&gt;LineærRegression_Valg[[#This Row],[Uafhængig variabel ID]]</f>
        <v>1</v>
      </c>
      <c r="E923" t="b">
        <f>LineærRegression_Valg[[#This Row],[Afhængig variabel ID]]&lt;=$B$5</f>
        <v>0</v>
      </c>
      <c r="F923" t="str" cm="1">
        <f t="array" ref="F923">IF(LineærRegression_Valg[[#This Row],[Indenfor range]],INDEX(DataTitel_liste,LineærRegression_Valg[[#This Row],[Afhængig variabel ID]]),INDEX(DataTitel_liste,1))</f>
        <v>Eksempel 1 (interval)</v>
      </c>
      <c r="G923" s="45" t="str" cm="1">
        <f t="array" ref="G923">IF(LineærRegression_Valg[[#This Row],[Indenfor range]],IF(LineærRegression_Valg[[#This Row],[Intet overlap]],INDEX(DataTitel_liste,LineærRegression_Valg[[#This Row],[Uafhængig variabel ID]]),INDEX(DataTitel_liste,IF(LineærRegression_Valg[[#This Row],[Afhængig variabel ID]]=1,2,1))),$B$7)</f>
        <v>Eksempel 2 (interval)</v>
      </c>
      <c r="H923" s="45">
        <f>_xlfn.AGGREGATE(2,5,LineærRegression_Valg[[#This Row],[Tabel ID]])</f>
        <v>1</v>
      </c>
    </row>
    <row r="924" spans="1:8" x14ac:dyDescent="0.2">
      <c r="A924">
        <f>ROW(LineærRegression_Valg[[#This Row],[Tabel ID]])-ROW(LineærRegression_Valg[[#Headers],[Tabel ID]])</f>
        <v>914</v>
      </c>
      <c r="B924" s="45">
        <f>ROUNDDOWN((LineærRegression_Valg[[#This Row],[Tabel ID]]-1)/$B$5,0)+1</f>
        <v>229</v>
      </c>
      <c r="C924" s="45">
        <f t="shared" si="14"/>
        <v>2</v>
      </c>
      <c r="D924" s="45" t="b">
        <f>LineærRegression_Valg[[#This Row],[Afhængig variabel ID]]&lt;&gt;LineærRegression_Valg[[#This Row],[Uafhængig variabel ID]]</f>
        <v>1</v>
      </c>
      <c r="E924" t="b">
        <f>LineærRegression_Valg[[#This Row],[Afhængig variabel ID]]&lt;=$B$5</f>
        <v>0</v>
      </c>
      <c r="F924" t="str" cm="1">
        <f t="array" ref="F924">IF(LineærRegression_Valg[[#This Row],[Indenfor range]],INDEX(DataTitel_liste,LineærRegression_Valg[[#This Row],[Afhængig variabel ID]]),INDEX(DataTitel_liste,1))</f>
        <v>Eksempel 1 (interval)</v>
      </c>
      <c r="G924" s="45" t="str" cm="1">
        <f t="array" ref="G924">IF(LineærRegression_Valg[[#This Row],[Indenfor range]],IF(LineærRegression_Valg[[#This Row],[Intet overlap]],INDEX(DataTitel_liste,LineærRegression_Valg[[#This Row],[Uafhængig variabel ID]]),INDEX(DataTitel_liste,IF(LineærRegression_Valg[[#This Row],[Afhængig variabel ID]]=1,2,1))),$B$7)</f>
        <v>Eksempel 2 (interval)</v>
      </c>
      <c r="H924" s="45">
        <f>_xlfn.AGGREGATE(2,5,LineærRegression_Valg[[#This Row],[Tabel ID]])</f>
        <v>1</v>
      </c>
    </row>
    <row r="925" spans="1:8" x14ac:dyDescent="0.2">
      <c r="A925">
        <f>ROW(LineærRegression_Valg[[#This Row],[Tabel ID]])-ROW(LineærRegression_Valg[[#Headers],[Tabel ID]])</f>
        <v>915</v>
      </c>
      <c r="B925" s="45">
        <f>ROUNDDOWN((LineærRegression_Valg[[#This Row],[Tabel ID]]-1)/$B$5,0)+1</f>
        <v>229</v>
      </c>
      <c r="C925" s="45">
        <f t="shared" si="14"/>
        <v>3</v>
      </c>
      <c r="D925" s="45" t="b">
        <f>LineærRegression_Valg[[#This Row],[Afhængig variabel ID]]&lt;&gt;LineærRegression_Valg[[#This Row],[Uafhængig variabel ID]]</f>
        <v>1</v>
      </c>
      <c r="E925" t="b">
        <f>LineærRegression_Valg[[#This Row],[Afhængig variabel ID]]&lt;=$B$5</f>
        <v>0</v>
      </c>
      <c r="F925" t="str" cm="1">
        <f t="array" ref="F925">IF(LineærRegression_Valg[[#This Row],[Indenfor range]],INDEX(DataTitel_liste,LineærRegression_Valg[[#This Row],[Afhængig variabel ID]]),INDEX(DataTitel_liste,1))</f>
        <v>Eksempel 1 (interval)</v>
      </c>
      <c r="G925" s="45" t="str" cm="1">
        <f t="array" ref="G925">IF(LineærRegression_Valg[[#This Row],[Indenfor range]],IF(LineærRegression_Valg[[#This Row],[Intet overlap]],INDEX(DataTitel_liste,LineærRegression_Valg[[#This Row],[Uafhængig variabel ID]]),INDEX(DataTitel_liste,IF(LineærRegression_Valg[[#This Row],[Afhængig variabel ID]]=1,2,1))),$B$7)</f>
        <v>Eksempel 2 (interval)</v>
      </c>
      <c r="H925" s="45">
        <f>_xlfn.AGGREGATE(2,5,LineærRegression_Valg[[#This Row],[Tabel ID]])</f>
        <v>1</v>
      </c>
    </row>
    <row r="926" spans="1:8" x14ac:dyDescent="0.2">
      <c r="A926">
        <f>ROW(LineærRegression_Valg[[#This Row],[Tabel ID]])-ROW(LineærRegression_Valg[[#Headers],[Tabel ID]])</f>
        <v>916</v>
      </c>
      <c r="B926" s="45">
        <f>ROUNDDOWN((LineærRegression_Valg[[#This Row],[Tabel ID]]-1)/$B$5,0)+1</f>
        <v>229</v>
      </c>
      <c r="C926" s="45">
        <f t="shared" si="14"/>
        <v>4</v>
      </c>
      <c r="D926" s="45" t="b">
        <f>LineærRegression_Valg[[#This Row],[Afhængig variabel ID]]&lt;&gt;LineærRegression_Valg[[#This Row],[Uafhængig variabel ID]]</f>
        <v>1</v>
      </c>
      <c r="E926" t="b">
        <f>LineærRegression_Valg[[#This Row],[Afhængig variabel ID]]&lt;=$B$5</f>
        <v>0</v>
      </c>
      <c r="F926" t="str" cm="1">
        <f t="array" ref="F926">IF(LineærRegression_Valg[[#This Row],[Indenfor range]],INDEX(DataTitel_liste,LineærRegression_Valg[[#This Row],[Afhængig variabel ID]]),INDEX(DataTitel_liste,1))</f>
        <v>Eksempel 1 (interval)</v>
      </c>
      <c r="G926" s="45" t="str" cm="1">
        <f t="array" ref="G926">IF(LineærRegression_Valg[[#This Row],[Indenfor range]],IF(LineærRegression_Valg[[#This Row],[Intet overlap]],INDEX(DataTitel_liste,LineærRegression_Valg[[#This Row],[Uafhængig variabel ID]]),INDEX(DataTitel_liste,IF(LineærRegression_Valg[[#This Row],[Afhængig variabel ID]]=1,2,1))),$B$7)</f>
        <v>Eksempel 2 (interval)</v>
      </c>
      <c r="H926" s="45">
        <f>_xlfn.AGGREGATE(2,5,LineærRegression_Valg[[#This Row],[Tabel ID]])</f>
        <v>1</v>
      </c>
    </row>
    <row r="927" spans="1:8" x14ac:dyDescent="0.2">
      <c r="A927">
        <f>ROW(LineærRegression_Valg[[#This Row],[Tabel ID]])-ROW(LineærRegression_Valg[[#Headers],[Tabel ID]])</f>
        <v>917</v>
      </c>
      <c r="B927" s="45">
        <f>ROUNDDOWN((LineærRegression_Valg[[#This Row],[Tabel ID]]-1)/$B$5,0)+1</f>
        <v>230</v>
      </c>
      <c r="C927" s="45">
        <f t="shared" si="14"/>
        <v>1</v>
      </c>
      <c r="D927" s="45" t="b">
        <f>LineærRegression_Valg[[#This Row],[Afhængig variabel ID]]&lt;&gt;LineærRegression_Valg[[#This Row],[Uafhængig variabel ID]]</f>
        <v>1</v>
      </c>
      <c r="E927" t="b">
        <f>LineærRegression_Valg[[#This Row],[Afhængig variabel ID]]&lt;=$B$5</f>
        <v>0</v>
      </c>
      <c r="F927" t="str" cm="1">
        <f t="array" ref="F927">IF(LineærRegression_Valg[[#This Row],[Indenfor range]],INDEX(DataTitel_liste,LineærRegression_Valg[[#This Row],[Afhængig variabel ID]]),INDEX(DataTitel_liste,1))</f>
        <v>Eksempel 1 (interval)</v>
      </c>
      <c r="G927" s="45" t="str" cm="1">
        <f t="array" ref="G927">IF(LineærRegression_Valg[[#This Row],[Indenfor range]],IF(LineærRegression_Valg[[#This Row],[Intet overlap]],INDEX(DataTitel_liste,LineærRegression_Valg[[#This Row],[Uafhængig variabel ID]]),INDEX(DataTitel_liste,IF(LineærRegression_Valg[[#This Row],[Afhængig variabel ID]]=1,2,1))),$B$7)</f>
        <v>Eksempel 2 (interval)</v>
      </c>
      <c r="H927" s="45">
        <f>_xlfn.AGGREGATE(2,5,LineærRegression_Valg[[#This Row],[Tabel ID]])</f>
        <v>1</v>
      </c>
    </row>
    <row r="928" spans="1:8" x14ac:dyDescent="0.2">
      <c r="A928">
        <f>ROW(LineærRegression_Valg[[#This Row],[Tabel ID]])-ROW(LineærRegression_Valg[[#Headers],[Tabel ID]])</f>
        <v>918</v>
      </c>
      <c r="B928" s="45">
        <f>ROUNDDOWN((LineærRegression_Valg[[#This Row],[Tabel ID]]-1)/$B$5,0)+1</f>
        <v>230</v>
      </c>
      <c r="C928" s="45">
        <f t="shared" si="14"/>
        <v>2</v>
      </c>
      <c r="D928" s="45" t="b">
        <f>LineærRegression_Valg[[#This Row],[Afhængig variabel ID]]&lt;&gt;LineærRegression_Valg[[#This Row],[Uafhængig variabel ID]]</f>
        <v>1</v>
      </c>
      <c r="E928" t="b">
        <f>LineærRegression_Valg[[#This Row],[Afhængig variabel ID]]&lt;=$B$5</f>
        <v>0</v>
      </c>
      <c r="F928" t="str" cm="1">
        <f t="array" ref="F928">IF(LineærRegression_Valg[[#This Row],[Indenfor range]],INDEX(DataTitel_liste,LineærRegression_Valg[[#This Row],[Afhængig variabel ID]]),INDEX(DataTitel_liste,1))</f>
        <v>Eksempel 1 (interval)</v>
      </c>
      <c r="G928" s="45" t="str" cm="1">
        <f t="array" ref="G928">IF(LineærRegression_Valg[[#This Row],[Indenfor range]],IF(LineærRegression_Valg[[#This Row],[Intet overlap]],INDEX(DataTitel_liste,LineærRegression_Valg[[#This Row],[Uafhængig variabel ID]]),INDEX(DataTitel_liste,IF(LineærRegression_Valg[[#This Row],[Afhængig variabel ID]]=1,2,1))),$B$7)</f>
        <v>Eksempel 2 (interval)</v>
      </c>
      <c r="H928" s="45">
        <f>_xlfn.AGGREGATE(2,5,LineærRegression_Valg[[#This Row],[Tabel ID]])</f>
        <v>1</v>
      </c>
    </row>
    <row r="929" spans="1:8" x14ac:dyDescent="0.2">
      <c r="A929">
        <f>ROW(LineærRegression_Valg[[#This Row],[Tabel ID]])-ROW(LineærRegression_Valg[[#Headers],[Tabel ID]])</f>
        <v>919</v>
      </c>
      <c r="B929" s="45">
        <f>ROUNDDOWN((LineærRegression_Valg[[#This Row],[Tabel ID]]-1)/$B$5,0)+1</f>
        <v>230</v>
      </c>
      <c r="C929" s="45">
        <f t="shared" si="14"/>
        <v>3</v>
      </c>
      <c r="D929" s="45" t="b">
        <f>LineærRegression_Valg[[#This Row],[Afhængig variabel ID]]&lt;&gt;LineærRegression_Valg[[#This Row],[Uafhængig variabel ID]]</f>
        <v>1</v>
      </c>
      <c r="E929" t="b">
        <f>LineærRegression_Valg[[#This Row],[Afhængig variabel ID]]&lt;=$B$5</f>
        <v>0</v>
      </c>
      <c r="F929" t="str" cm="1">
        <f t="array" ref="F929">IF(LineærRegression_Valg[[#This Row],[Indenfor range]],INDEX(DataTitel_liste,LineærRegression_Valg[[#This Row],[Afhængig variabel ID]]),INDEX(DataTitel_liste,1))</f>
        <v>Eksempel 1 (interval)</v>
      </c>
      <c r="G929" s="45" t="str" cm="1">
        <f t="array" ref="G929">IF(LineærRegression_Valg[[#This Row],[Indenfor range]],IF(LineærRegression_Valg[[#This Row],[Intet overlap]],INDEX(DataTitel_liste,LineærRegression_Valg[[#This Row],[Uafhængig variabel ID]]),INDEX(DataTitel_liste,IF(LineærRegression_Valg[[#This Row],[Afhængig variabel ID]]=1,2,1))),$B$7)</f>
        <v>Eksempel 2 (interval)</v>
      </c>
      <c r="H929" s="45">
        <f>_xlfn.AGGREGATE(2,5,LineærRegression_Valg[[#This Row],[Tabel ID]])</f>
        <v>1</v>
      </c>
    </row>
    <row r="930" spans="1:8" x14ac:dyDescent="0.2">
      <c r="A930">
        <f>ROW(LineærRegression_Valg[[#This Row],[Tabel ID]])-ROW(LineærRegression_Valg[[#Headers],[Tabel ID]])</f>
        <v>920</v>
      </c>
      <c r="B930" s="45">
        <f>ROUNDDOWN((LineærRegression_Valg[[#This Row],[Tabel ID]]-1)/$B$5,0)+1</f>
        <v>230</v>
      </c>
      <c r="C930" s="45">
        <f t="shared" si="14"/>
        <v>4</v>
      </c>
      <c r="D930" s="45" t="b">
        <f>LineærRegression_Valg[[#This Row],[Afhængig variabel ID]]&lt;&gt;LineærRegression_Valg[[#This Row],[Uafhængig variabel ID]]</f>
        <v>1</v>
      </c>
      <c r="E930" t="b">
        <f>LineærRegression_Valg[[#This Row],[Afhængig variabel ID]]&lt;=$B$5</f>
        <v>0</v>
      </c>
      <c r="F930" t="str" cm="1">
        <f t="array" ref="F930">IF(LineærRegression_Valg[[#This Row],[Indenfor range]],INDEX(DataTitel_liste,LineærRegression_Valg[[#This Row],[Afhængig variabel ID]]),INDEX(DataTitel_liste,1))</f>
        <v>Eksempel 1 (interval)</v>
      </c>
      <c r="G930" s="45" t="str" cm="1">
        <f t="array" ref="G930">IF(LineærRegression_Valg[[#This Row],[Indenfor range]],IF(LineærRegression_Valg[[#This Row],[Intet overlap]],INDEX(DataTitel_liste,LineærRegression_Valg[[#This Row],[Uafhængig variabel ID]]),INDEX(DataTitel_liste,IF(LineærRegression_Valg[[#This Row],[Afhængig variabel ID]]=1,2,1))),$B$7)</f>
        <v>Eksempel 2 (interval)</v>
      </c>
      <c r="H930" s="45">
        <f>_xlfn.AGGREGATE(2,5,LineærRegression_Valg[[#This Row],[Tabel ID]])</f>
        <v>1</v>
      </c>
    </row>
    <row r="931" spans="1:8" x14ac:dyDescent="0.2">
      <c r="A931">
        <f>ROW(LineærRegression_Valg[[#This Row],[Tabel ID]])-ROW(LineærRegression_Valg[[#Headers],[Tabel ID]])</f>
        <v>921</v>
      </c>
      <c r="B931" s="45">
        <f>ROUNDDOWN((LineærRegression_Valg[[#This Row],[Tabel ID]]-1)/$B$5,0)+1</f>
        <v>231</v>
      </c>
      <c r="C931" s="45">
        <f t="shared" si="14"/>
        <v>1</v>
      </c>
      <c r="D931" s="45" t="b">
        <f>LineærRegression_Valg[[#This Row],[Afhængig variabel ID]]&lt;&gt;LineærRegression_Valg[[#This Row],[Uafhængig variabel ID]]</f>
        <v>1</v>
      </c>
      <c r="E931" t="b">
        <f>LineærRegression_Valg[[#This Row],[Afhængig variabel ID]]&lt;=$B$5</f>
        <v>0</v>
      </c>
      <c r="F931" t="str" cm="1">
        <f t="array" ref="F931">IF(LineærRegression_Valg[[#This Row],[Indenfor range]],INDEX(DataTitel_liste,LineærRegression_Valg[[#This Row],[Afhængig variabel ID]]),INDEX(DataTitel_liste,1))</f>
        <v>Eksempel 1 (interval)</v>
      </c>
      <c r="G931" s="45" t="str" cm="1">
        <f t="array" ref="G931">IF(LineærRegression_Valg[[#This Row],[Indenfor range]],IF(LineærRegression_Valg[[#This Row],[Intet overlap]],INDEX(DataTitel_liste,LineærRegression_Valg[[#This Row],[Uafhængig variabel ID]]),INDEX(DataTitel_liste,IF(LineærRegression_Valg[[#This Row],[Afhængig variabel ID]]=1,2,1))),$B$7)</f>
        <v>Eksempel 2 (interval)</v>
      </c>
      <c r="H931" s="45">
        <f>_xlfn.AGGREGATE(2,5,LineærRegression_Valg[[#This Row],[Tabel ID]])</f>
        <v>1</v>
      </c>
    </row>
    <row r="932" spans="1:8" x14ac:dyDescent="0.2">
      <c r="A932">
        <f>ROW(LineærRegression_Valg[[#This Row],[Tabel ID]])-ROW(LineærRegression_Valg[[#Headers],[Tabel ID]])</f>
        <v>922</v>
      </c>
      <c r="B932" s="45">
        <f>ROUNDDOWN((LineærRegression_Valg[[#This Row],[Tabel ID]]-1)/$B$5,0)+1</f>
        <v>231</v>
      </c>
      <c r="C932" s="45">
        <f t="shared" si="14"/>
        <v>2</v>
      </c>
      <c r="D932" s="45" t="b">
        <f>LineærRegression_Valg[[#This Row],[Afhængig variabel ID]]&lt;&gt;LineærRegression_Valg[[#This Row],[Uafhængig variabel ID]]</f>
        <v>1</v>
      </c>
      <c r="E932" t="b">
        <f>LineærRegression_Valg[[#This Row],[Afhængig variabel ID]]&lt;=$B$5</f>
        <v>0</v>
      </c>
      <c r="F932" t="str" cm="1">
        <f t="array" ref="F932">IF(LineærRegression_Valg[[#This Row],[Indenfor range]],INDEX(DataTitel_liste,LineærRegression_Valg[[#This Row],[Afhængig variabel ID]]),INDEX(DataTitel_liste,1))</f>
        <v>Eksempel 1 (interval)</v>
      </c>
      <c r="G932" s="45" t="str" cm="1">
        <f t="array" ref="G932">IF(LineærRegression_Valg[[#This Row],[Indenfor range]],IF(LineærRegression_Valg[[#This Row],[Intet overlap]],INDEX(DataTitel_liste,LineærRegression_Valg[[#This Row],[Uafhængig variabel ID]]),INDEX(DataTitel_liste,IF(LineærRegression_Valg[[#This Row],[Afhængig variabel ID]]=1,2,1))),$B$7)</f>
        <v>Eksempel 2 (interval)</v>
      </c>
      <c r="H932" s="45">
        <f>_xlfn.AGGREGATE(2,5,LineærRegression_Valg[[#This Row],[Tabel ID]])</f>
        <v>1</v>
      </c>
    </row>
    <row r="933" spans="1:8" x14ac:dyDescent="0.2">
      <c r="A933">
        <f>ROW(LineærRegression_Valg[[#This Row],[Tabel ID]])-ROW(LineærRegression_Valg[[#Headers],[Tabel ID]])</f>
        <v>923</v>
      </c>
      <c r="B933" s="45">
        <f>ROUNDDOWN((LineærRegression_Valg[[#This Row],[Tabel ID]]-1)/$B$5,0)+1</f>
        <v>231</v>
      </c>
      <c r="C933" s="45">
        <f t="shared" si="14"/>
        <v>3</v>
      </c>
      <c r="D933" s="45" t="b">
        <f>LineærRegression_Valg[[#This Row],[Afhængig variabel ID]]&lt;&gt;LineærRegression_Valg[[#This Row],[Uafhængig variabel ID]]</f>
        <v>1</v>
      </c>
      <c r="E933" t="b">
        <f>LineærRegression_Valg[[#This Row],[Afhængig variabel ID]]&lt;=$B$5</f>
        <v>0</v>
      </c>
      <c r="F933" t="str" cm="1">
        <f t="array" ref="F933">IF(LineærRegression_Valg[[#This Row],[Indenfor range]],INDEX(DataTitel_liste,LineærRegression_Valg[[#This Row],[Afhængig variabel ID]]),INDEX(DataTitel_liste,1))</f>
        <v>Eksempel 1 (interval)</v>
      </c>
      <c r="G933" s="45" t="str" cm="1">
        <f t="array" ref="G933">IF(LineærRegression_Valg[[#This Row],[Indenfor range]],IF(LineærRegression_Valg[[#This Row],[Intet overlap]],INDEX(DataTitel_liste,LineærRegression_Valg[[#This Row],[Uafhængig variabel ID]]),INDEX(DataTitel_liste,IF(LineærRegression_Valg[[#This Row],[Afhængig variabel ID]]=1,2,1))),$B$7)</f>
        <v>Eksempel 2 (interval)</v>
      </c>
      <c r="H933" s="45">
        <f>_xlfn.AGGREGATE(2,5,LineærRegression_Valg[[#This Row],[Tabel ID]])</f>
        <v>1</v>
      </c>
    </row>
    <row r="934" spans="1:8" x14ac:dyDescent="0.2">
      <c r="A934">
        <f>ROW(LineærRegression_Valg[[#This Row],[Tabel ID]])-ROW(LineærRegression_Valg[[#Headers],[Tabel ID]])</f>
        <v>924</v>
      </c>
      <c r="B934" s="45">
        <f>ROUNDDOWN((LineærRegression_Valg[[#This Row],[Tabel ID]]-1)/$B$5,0)+1</f>
        <v>231</v>
      </c>
      <c r="C934" s="45">
        <f t="shared" si="14"/>
        <v>4</v>
      </c>
      <c r="D934" s="45" t="b">
        <f>LineærRegression_Valg[[#This Row],[Afhængig variabel ID]]&lt;&gt;LineærRegression_Valg[[#This Row],[Uafhængig variabel ID]]</f>
        <v>1</v>
      </c>
      <c r="E934" t="b">
        <f>LineærRegression_Valg[[#This Row],[Afhængig variabel ID]]&lt;=$B$5</f>
        <v>0</v>
      </c>
      <c r="F934" t="str" cm="1">
        <f t="array" ref="F934">IF(LineærRegression_Valg[[#This Row],[Indenfor range]],INDEX(DataTitel_liste,LineærRegression_Valg[[#This Row],[Afhængig variabel ID]]),INDEX(DataTitel_liste,1))</f>
        <v>Eksempel 1 (interval)</v>
      </c>
      <c r="G934" s="45" t="str" cm="1">
        <f t="array" ref="G934">IF(LineærRegression_Valg[[#This Row],[Indenfor range]],IF(LineærRegression_Valg[[#This Row],[Intet overlap]],INDEX(DataTitel_liste,LineærRegression_Valg[[#This Row],[Uafhængig variabel ID]]),INDEX(DataTitel_liste,IF(LineærRegression_Valg[[#This Row],[Afhængig variabel ID]]=1,2,1))),$B$7)</f>
        <v>Eksempel 2 (interval)</v>
      </c>
      <c r="H934" s="45">
        <f>_xlfn.AGGREGATE(2,5,LineærRegression_Valg[[#This Row],[Tabel ID]])</f>
        <v>1</v>
      </c>
    </row>
    <row r="935" spans="1:8" x14ac:dyDescent="0.2">
      <c r="A935">
        <f>ROW(LineærRegression_Valg[[#This Row],[Tabel ID]])-ROW(LineærRegression_Valg[[#Headers],[Tabel ID]])</f>
        <v>925</v>
      </c>
      <c r="B935" s="45">
        <f>ROUNDDOWN((LineærRegression_Valg[[#This Row],[Tabel ID]]-1)/$B$5,0)+1</f>
        <v>232</v>
      </c>
      <c r="C935" s="45">
        <f t="shared" si="14"/>
        <v>1</v>
      </c>
      <c r="D935" s="45" t="b">
        <f>LineærRegression_Valg[[#This Row],[Afhængig variabel ID]]&lt;&gt;LineærRegression_Valg[[#This Row],[Uafhængig variabel ID]]</f>
        <v>1</v>
      </c>
      <c r="E935" t="b">
        <f>LineærRegression_Valg[[#This Row],[Afhængig variabel ID]]&lt;=$B$5</f>
        <v>0</v>
      </c>
      <c r="F935" t="str" cm="1">
        <f t="array" ref="F935">IF(LineærRegression_Valg[[#This Row],[Indenfor range]],INDEX(DataTitel_liste,LineærRegression_Valg[[#This Row],[Afhængig variabel ID]]),INDEX(DataTitel_liste,1))</f>
        <v>Eksempel 1 (interval)</v>
      </c>
      <c r="G935" s="45" t="str" cm="1">
        <f t="array" ref="G935">IF(LineærRegression_Valg[[#This Row],[Indenfor range]],IF(LineærRegression_Valg[[#This Row],[Intet overlap]],INDEX(DataTitel_liste,LineærRegression_Valg[[#This Row],[Uafhængig variabel ID]]),INDEX(DataTitel_liste,IF(LineærRegression_Valg[[#This Row],[Afhængig variabel ID]]=1,2,1))),$B$7)</f>
        <v>Eksempel 2 (interval)</v>
      </c>
      <c r="H935" s="45">
        <f>_xlfn.AGGREGATE(2,5,LineærRegression_Valg[[#This Row],[Tabel ID]])</f>
        <v>1</v>
      </c>
    </row>
    <row r="936" spans="1:8" x14ac:dyDescent="0.2">
      <c r="A936">
        <f>ROW(LineærRegression_Valg[[#This Row],[Tabel ID]])-ROW(LineærRegression_Valg[[#Headers],[Tabel ID]])</f>
        <v>926</v>
      </c>
      <c r="B936" s="45">
        <f>ROUNDDOWN((LineærRegression_Valg[[#This Row],[Tabel ID]]-1)/$B$5,0)+1</f>
        <v>232</v>
      </c>
      <c r="C936" s="45">
        <f t="shared" si="14"/>
        <v>2</v>
      </c>
      <c r="D936" s="45" t="b">
        <f>LineærRegression_Valg[[#This Row],[Afhængig variabel ID]]&lt;&gt;LineærRegression_Valg[[#This Row],[Uafhængig variabel ID]]</f>
        <v>1</v>
      </c>
      <c r="E936" t="b">
        <f>LineærRegression_Valg[[#This Row],[Afhængig variabel ID]]&lt;=$B$5</f>
        <v>0</v>
      </c>
      <c r="F936" t="str" cm="1">
        <f t="array" ref="F936">IF(LineærRegression_Valg[[#This Row],[Indenfor range]],INDEX(DataTitel_liste,LineærRegression_Valg[[#This Row],[Afhængig variabel ID]]),INDEX(DataTitel_liste,1))</f>
        <v>Eksempel 1 (interval)</v>
      </c>
      <c r="G936" s="45" t="str" cm="1">
        <f t="array" ref="G936">IF(LineærRegression_Valg[[#This Row],[Indenfor range]],IF(LineærRegression_Valg[[#This Row],[Intet overlap]],INDEX(DataTitel_liste,LineærRegression_Valg[[#This Row],[Uafhængig variabel ID]]),INDEX(DataTitel_liste,IF(LineærRegression_Valg[[#This Row],[Afhængig variabel ID]]=1,2,1))),$B$7)</f>
        <v>Eksempel 2 (interval)</v>
      </c>
      <c r="H936" s="45">
        <f>_xlfn.AGGREGATE(2,5,LineærRegression_Valg[[#This Row],[Tabel ID]])</f>
        <v>1</v>
      </c>
    </row>
    <row r="937" spans="1:8" x14ac:dyDescent="0.2">
      <c r="A937">
        <f>ROW(LineærRegression_Valg[[#This Row],[Tabel ID]])-ROW(LineærRegression_Valg[[#Headers],[Tabel ID]])</f>
        <v>927</v>
      </c>
      <c r="B937" s="45">
        <f>ROUNDDOWN((LineærRegression_Valg[[#This Row],[Tabel ID]]-1)/$B$5,0)+1</f>
        <v>232</v>
      </c>
      <c r="C937" s="45">
        <f t="shared" si="14"/>
        <v>3</v>
      </c>
      <c r="D937" s="45" t="b">
        <f>LineærRegression_Valg[[#This Row],[Afhængig variabel ID]]&lt;&gt;LineærRegression_Valg[[#This Row],[Uafhængig variabel ID]]</f>
        <v>1</v>
      </c>
      <c r="E937" t="b">
        <f>LineærRegression_Valg[[#This Row],[Afhængig variabel ID]]&lt;=$B$5</f>
        <v>0</v>
      </c>
      <c r="F937" t="str" cm="1">
        <f t="array" ref="F937">IF(LineærRegression_Valg[[#This Row],[Indenfor range]],INDEX(DataTitel_liste,LineærRegression_Valg[[#This Row],[Afhængig variabel ID]]),INDEX(DataTitel_liste,1))</f>
        <v>Eksempel 1 (interval)</v>
      </c>
      <c r="G937" s="45" t="str" cm="1">
        <f t="array" ref="G937">IF(LineærRegression_Valg[[#This Row],[Indenfor range]],IF(LineærRegression_Valg[[#This Row],[Intet overlap]],INDEX(DataTitel_liste,LineærRegression_Valg[[#This Row],[Uafhængig variabel ID]]),INDEX(DataTitel_liste,IF(LineærRegression_Valg[[#This Row],[Afhængig variabel ID]]=1,2,1))),$B$7)</f>
        <v>Eksempel 2 (interval)</v>
      </c>
      <c r="H937" s="45">
        <f>_xlfn.AGGREGATE(2,5,LineærRegression_Valg[[#This Row],[Tabel ID]])</f>
        <v>1</v>
      </c>
    </row>
    <row r="938" spans="1:8" x14ac:dyDescent="0.2">
      <c r="A938">
        <f>ROW(LineærRegression_Valg[[#This Row],[Tabel ID]])-ROW(LineærRegression_Valg[[#Headers],[Tabel ID]])</f>
        <v>928</v>
      </c>
      <c r="B938" s="45">
        <f>ROUNDDOWN((LineærRegression_Valg[[#This Row],[Tabel ID]]-1)/$B$5,0)+1</f>
        <v>232</v>
      </c>
      <c r="C938" s="45">
        <f t="shared" si="14"/>
        <v>4</v>
      </c>
      <c r="D938" s="45" t="b">
        <f>LineærRegression_Valg[[#This Row],[Afhængig variabel ID]]&lt;&gt;LineærRegression_Valg[[#This Row],[Uafhængig variabel ID]]</f>
        <v>1</v>
      </c>
      <c r="E938" t="b">
        <f>LineærRegression_Valg[[#This Row],[Afhængig variabel ID]]&lt;=$B$5</f>
        <v>0</v>
      </c>
      <c r="F938" t="str" cm="1">
        <f t="array" ref="F938">IF(LineærRegression_Valg[[#This Row],[Indenfor range]],INDEX(DataTitel_liste,LineærRegression_Valg[[#This Row],[Afhængig variabel ID]]),INDEX(DataTitel_liste,1))</f>
        <v>Eksempel 1 (interval)</v>
      </c>
      <c r="G938" s="45" t="str" cm="1">
        <f t="array" ref="G938">IF(LineærRegression_Valg[[#This Row],[Indenfor range]],IF(LineærRegression_Valg[[#This Row],[Intet overlap]],INDEX(DataTitel_liste,LineærRegression_Valg[[#This Row],[Uafhængig variabel ID]]),INDEX(DataTitel_liste,IF(LineærRegression_Valg[[#This Row],[Afhængig variabel ID]]=1,2,1))),$B$7)</f>
        <v>Eksempel 2 (interval)</v>
      </c>
      <c r="H938" s="45">
        <f>_xlfn.AGGREGATE(2,5,LineærRegression_Valg[[#This Row],[Tabel ID]])</f>
        <v>1</v>
      </c>
    </row>
    <row r="939" spans="1:8" x14ac:dyDescent="0.2">
      <c r="A939">
        <f>ROW(LineærRegression_Valg[[#This Row],[Tabel ID]])-ROW(LineærRegression_Valg[[#Headers],[Tabel ID]])</f>
        <v>929</v>
      </c>
      <c r="B939" s="45">
        <f>ROUNDDOWN((LineærRegression_Valg[[#This Row],[Tabel ID]]-1)/$B$5,0)+1</f>
        <v>233</v>
      </c>
      <c r="C939" s="45">
        <f t="shared" si="14"/>
        <v>1</v>
      </c>
      <c r="D939" s="45" t="b">
        <f>LineærRegression_Valg[[#This Row],[Afhængig variabel ID]]&lt;&gt;LineærRegression_Valg[[#This Row],[Uafhængig variabel ID]]</f>
        <v>1</v>
      </c>
      <c r="E939" t="b">
        <f>LineærRegression_Valg[[#This Row],[Afhængig variabel ID]]&lt;=$B$5</f>
        <v>0</v>
      </c>
      <c r="F939" t="str" cm="1">
        <f t="array" ref="F939">IF(LineærRegression_Valg[[#This Row],[Indenfor range]],INDEX(DataTitel_liste,LineærRegression_Valg[[#This Row],[Afhængig variabel ID]]),INDEX(DataTitel_liste,1))</f>
        <v>Eksempel 1 (interval)</v>
      </c>
      <c r="G939" s="45" t="str" cm="1">
        <f t="array" ref="G939">IF(LineærRegression_Valg[[#This Row],[Indenfor range]],IF(LineærRegression_Valg[[#This Row],[Intet overlap]],INDEX(DataTitel_liste,LineærRegression_Valg[[#This Row],[Uafhængig variabel ID]]),INDEX(DataTitel_liste,IF(LineærRegression_Valg[[#This Row],[Afhængig variabel ID]]=1,2,1))),$B$7)</f>
        <v>Eksempel 2 (interval)</v>
      </c>
      <c r="H939" s="45">
        <f>_xlfn.AGGREGATE(2,5,LineærRegression_Valg[[#This Row],[Tabel ID]])</f>
        <v>1</v>
      </c>
    </row>
    <row r="940" spans="1:8" x14ac:dyDescent="0.2">
      <c r="A940">
        <f>ROW(LineærRegression_Valg[[#This Row],[Tabel ID]])-ROW(LineærRegression_Valg[[#Headers],[Tabel ID]])</f>
        <v>930</v>
      </c>
      <c r="B940" s="45">
        <f>ROUNDDOWN((LineærRegression_Valg[[#This Row],[Tabel ID]]-1)/$B$5,0)+1</f>
        <v>233</v>
      </c>
      <c r="C940" s="45">
        <f t="shared" si="14"/>
        <v>2</v>
      </c>
      <c r="D940" s="45" t="b">
        <f>LineærRegression_Valg[[#This Row],[Afhængig variabel ID]]&lt;&gt;LineærRegression_Valg[[#This Row],[Uafhængig variabel ID]]</f>
        <v>1</v>
      </c>
      <c r="E940" t="b">
        <f>LineærRegression_Valg[[#This Row],[Afhængig variabel ID]]&lt;=$B$5</f>
        <v>0</v>
      </c>
      <c r="F940" t="str" cm="1">
        <f t="array" ref="F940">IF(LineærRegression_Valg[[#This Row],[Indenfor range]],INDEX(DataTitel_liste,LineærRegression_Valg[[#This Row],[Afhængig variabel ID]]),INDEX(DataTitel_liste,1))</f>
        <v>Eksempel 1 (interval)</v>
      </c>
      <c r="G940" s="45" t="str" cm="1">
        <f t="array" ref="G940">IF(LineærRegression_Valg[[#This Row],[Indenfor range]],IF(LineærRegression_Valg[[#This Row],[Intet overlap]],INDEX(DataTitel_liste,LineærRegression_Valg[[#This Row],[Uafhængig variabel ID]]),INDEX(DataTitel_liste,IF(LineærRegression_Valg[[#This Row],[Afhængig variabel ID]]=1,2,1))),$B$7)</f>
        <v>Eksempel 2 (interval)</v>
      </c>
      <c r="H940" s="45">
        <f>_xlfn.AGGREGATE(2,5,LineærRegression_Valg[[#This Row],[Tabel ID]])</f>
        <v>1</v>
      </c>
    </row>
    <row r="941" spans="1:8" x14ac:dyDescent="0.2">
      <c r="A941">
        <f>ROW(LineærRegression_Valg[[#This Row],[Tabel ID]])-ROW(LineærRegression_Valg[[#Headers],[Tabel ID]])</f>
        <v>931</v>
      </c>
      <c r="B941" s="45">
        <f>ROUNDDOWN((LineærRegression_Valg[[#This Row],[Tabel ID]]-1)/$B$5,0)+1</f>
        <v>233</v>
      </c>
      <c r="C941" s="45">
        <f t="shared" si="14"/>
        <v>3</v>
      </c>
      <c r="D941" s="45" t="b">
        <f>LineærRegression_Valg[[#This Row],[Afhængig variabel ID]]&lt;&gt;LineærRegression_Valg[[#This Row],[Uafhængig variabel ID]]</f>
        <v>1</v>
      </c>
      <c r="E941" t="b">
        <f>LineærRegression_Valg[[#This Row],[Afhængig variabel ID]]&lt;=$B$5</f>
        <v>0</v>
      </c>
      <c r="F941" t="str" cm="1">
        <f t="array" ref="F941">IF(LineærRegression_Valg[[#This Row],[Indenfor range]],INDEX(DataTitel_liste,LineærRegression_Valg[[#This Row],[Afhængig variabel ID]]),INDEX(DataTitel_liste,1))</f>
        <v>Eksempel 1 (interval)</v>
      </c>
      <c r="G941" s="45" t="str" cm="1">
        <f t="array" ref="G941">IF(LineærRegression_Valg[[#This Row],[Indenfor range]],IF(LineærRegression_Valg[[#This Row],[Intet overlap]],INDEX(DataTitel_liste,LineærRegression_Valg[[#This Row],[Uafhængig variabel ID]]),INDEX(DataTitel_liste,IF(LineærRegression_Valg[[#This Row],[Afhængig variabel ID]]=1,2,1))),$B$7)</f>
        <v>Eksempel 2 (interval)</v>
      </c>
      <c r="H941" s="45">
        <f>_xlfn.AGGREGATE(2,5,LineærRegression_Valg[[#This Row],[Tabel ID]])</f>
        <v>1</v>
      </c>
    </row>
    <row r="942" spans="1:8" x14ac:dyDescent="0.2">
      <c r="A942">
        <f>ROW(LineærRegression_Valg[[#This Row],[Tabel ID]])-ROW(LineærRegression_Valg[[#Headers],[Tabel ID]])</f>
        <v>932</v>
      </c>
      <c r="B942" s="45">
        <f>ROUNDDOWN((LineærRegression_Valg[[#This Row],[Tabel ID]]-1)/$B$5,0)+1</f>
        <v>233</v>
      </c>
      <c r="C942" s="45">
        <f t="shared" si="14"/>
        <v>4</v>
      </c>
      <c r="D942" s="45" t="b">
        <f>LineærRegression_Valg[[#This Row],[Afhængig variabel ID]]&lt;&gt;LineærRegression_Valg[[#This Row],[Uafhængig variabel ID]]</f>
        <v>1</v>
      </c>
      <c r="E942" t="b">
        <f>LineærRegression_Valg[[#This Row],[Afhængig variabel ID]]&lt;=$B$5</f>
        <v>0</v>
      </c>
      <c r="F942" t="str" cm="1">
        <f t="array" ref="F942">IF(LineærRegression_Valg[[#This Row],[Indenfor range]],INDEX(DataTitel_liste,LineærRegression_Valg[[#This Row],[Afhængig variabel ID]]),INDEX(DataTitel_liste,1))</f>
        <v>Eksempel 1 (interval)</v>
      </c>
      <c r="G942" s="45" t="str" cm="1">
        <f t="array" ref="G942">IF(LineærRegression_Valg[[#This Row],[Indenfor range]],IF(LineærRegression_Valg[[#This Row],[Intet overlap]],INDEX(DataTitel_liste,LineærRegression_Valg[[#This Row],[Uafhængig variabel ID]]),INDEX(DataTitel_liste,IF(LineærRegression_Valg[[#This Row],[Afhængig variabel ID]]=1,2,1))),$B$7)</f>
        <v>Eksempel 2 (interval)</v>
      </c>
      <c r="H942" s="45">
        <f>_xlfn.AGGREGATE(2,5,LineærRegression_Valg[[#This Row],[Tabel ID]])</f>
        <v>1</v>
      </c>
    </row>
    <row r="943" spans="1:8" x14ac:dyDescent="0.2">
      <c r="A943">
        <f>ROW(LineærRegression_Valg[[#This Row],[Tabel ID]])-ROW(LineærRegression_Valg[[#Headers],[Tabel ID]])</f>
        <v>933</v>
      </c>
      <c r="B943" s="45">
        <f>ROUNDDOWN((LineærRegression_Valg[[#This Row],[Tabel ID]]-1)/$B$5,0)+1</f>
        <v>234</v>
      </c>
      <c r="C943" s="45">
        <f t="shared" si="14"/>
        <v>1</v>
      </c>
      <c r="D943" s="45" t="b">
        <f>LineærRegression_Valg[[#This Row],[Afhængig variabel ID]]&lt;&gt;LineærRegression_Valg[[#This Row],[Uafhængig variabel ID]]</f>
        <v>1</v>
      </c>
      <c r="E943" t="b">
        <f>LineærRegression_Valg[[#This Row],[Afhængig variabel ID]]&lt;=$B$5</f>
        <v>0</v>
      </c>
      <c r="F943" t="str" cm="1">
        <f t="array" ref="F943">IF(LineærRegression_Valg[[#This Row],[Indenfor range]],INDEX(DataTitel_liste,LineærRegression_Valg[[#This Row],[Afhængig variabel ID]]),INDEX(DataTitel_liste,1))</f>
        <v>Eksempel 1 (interval)</v>
      </c>
      <c r="G943" s="45" t="str" cm="1">
        <f t="array" ref="G943">IF(LineærRegression_Valg[[#This Row],[Indenfor range]],IF(LineærRegression_Valg[[#This Row],[Intet overlap]],INDEX(DataTitel_liste,LineærRegression_Valg[[#This Row],[Uafhængig variabel ID]]),INDEX(DataTitel_liste,IF(LineærRegression_Valg[[#This Row],[Afhængig variabel ID]]=1,2,1))),$B$7)</f>
        <v>Eksempel 2 (interval)</v>
      </c>
      <c r="H943" s="45">
        <f>_xlfn.AGGREGATE(2,5,LineærRegression_Valg[[#This Row],[Tabel ID]])</f>
        <v>1</v>
      </c>
    </row>
    <row r="944" spans="1:8" x14ac:dyDescent="0.2">
      <c r="A944">
        <f>ROW(LineærRegression_Valg[[#This Row],[Tabel ID]])-ROW(LineærRegression_Valg[[#Headers],[Tabel ID]])</f>
        <v>934</v>
      </c>
      <c r="B944" s="45">
        <f>ROUNDDOWN((LineærRegression_Valg[[#This Row],[Tabel ID]]-1)/$B$5,0)+1</f>
        <v>234</v>
      </c>
      <c r="C944" s="45">
        <f t="shared" si="14"/>
        <v>2</v>
      </c>
      <c r="D944" s="45" t="b">
        <f>LineærRegression_Valg[[#This Row],[Afhængig variabel ID]]&lt;&gt;LineærRegression_Valg[[#This Row],[Uafhængig variabel ID]]</f>
        <v>1</v>
      </c>
      <c r="E944" t="b">
        <f>LineærRegression_Valg[[#This Row],[Afhængig variabel ID]]&lt;=$B$5</f>
        <v>0</v>
      </c>
      <c r="F944" t="str" cm="1">
        <f t="array" ref="F944">IF(LineærRegression_Valg[[#This Row],[Indenfor range]],INDEX(DataTitel_liste,LineærRegression_Valg[[#This Row],[Afhængig variabel ID]]),INDEX(DataTitel_liste,1))</f>
        <v>Eksempel 1 (interval)</v>
      </c>
      <c r="G944" s="45" t="str" cm="1">
        <f t="array" ref="G944">IF(LineærRegression_Valg[[#This Row],[Indenfor range]],IF(LineærRegression_Valg[[#This Row],[Intet overlap]],INDEX(DataTitel_liste,LineærRegression_Valg[[#This Row],[Uafhængig variabel ID]]),INDEX(DataTitel_liste,IF(LineærRegression_Valg[[#This Row],[Afhængig variabel ID]]=1,2,1))),$B$7)</f>
        <v>Eksempel 2 (interval)</v>
      </c>
      <c r="H944" s="45">
        <f>_xlfn.AGGREGATE(2,5,LineærRegression_Valg[[#This Row],[Tabel ID]])</f>
        <v>1</v>
      </c>
    </row>
    <row r="945" spans="1:8" x14ac:dyDescent="0.2">
      <c r="A945">
        <f>ROW(LineærRegression_Valg[[#This Row],[Tabel ID]])-ROW(LineærRegression_Valg[[#Headers],[Tabel ID]])</f>
        <v>935</v>
      </c>
      <c r="B945" s="45">
        <f>ROUNDDOWN((LineærRegression_Valg[[#This Row],[Tabel ID]]-1)/$B$5,0)+1</f>
        <v>234</v>
      </c>
      <c r="C945" s="45">
        <f t="shared" si="14"/>
        <v>3</v>
      </c>
      <c r="D945" s="45" t="b">
        <f>LineærRegression_Valg[[#This Row],[Afhængig variabel ID]]&lt;&gt;LineærRegression_Valg[[#This Row],[Uafhængig variabel ID]]</f>
        <v>1</v>
      </c>
      <c r="E945" t="b">
        <f>LineærRegression_Valg[[#This Row],[Afhængig variabel ID]]&lt;=$B$5</f>
        <v>0</v>
      </c>
      <c r="F945" t="str" cm="1">
        <f t="array" ref="F945">IF(LineærRegression_Valg[[#This Row],[Indenfor range]],INDEX(DataTitel_liste,LineærRegression_Valg[[#This Row],[Afhængig variabel ID]]),INDEX(DataTitel_liste,1))</f>
        <v>Eksempel 1 (interval)</v>
      </c>
      <c r="G945" s="45" t="str" cm="1">
        <f t="array" ref="G945">IF(LineærRegression_Valg[[#This Row],[Indenfor range]],IF(LineærRegression_Valg[[#This Row],[Intet overlap]],INDEX(DataTitel_liste,LineærRegression_Valg[[#This Row],[Uafhængig variabel ID]]),INDEX(DataTitel_liste,IF(LineærRegression_Valg[[#This Row],[Afhængig variabel ID]]=1,2,1))),$B$7)</f>
        <v>Eksempel 2 (interval)</v>
      </c>
      <c r="H945" s="45">
        <f>_xlfn.AGGREGATE(2,5,LineærRegression_Valg[[#This Row],[Tabel ID]])</f>
        <v>1</v>
      </c>
    </row>
    <row r="946" spans="1:8" x14ac:dyDescent="0.2">
      <c r="A946">
        <f>ROW(LineærRegression_Valg[[#This Row],[Tabel ID]])-ROW(LineærRegression_Valg[[#Headers],[Tabel ID]])</f>
        <v>936</v>
      </c>
      <c r="B946" s="45">
        <f>ROUNDDOWN((LineærRegression_Valg[[#This Row],[Tabel ID]]-1)/$B$5,0)+1</f>
        <v>234</v>
      </c>
      <c r="C946" s="45">
        <f t="shared" si="14"/>
        <v>4</v>
      </c>
      <c r="D946" s="45" t="b">
        <f>LineærRegression_Valg[[#This Row],[Afhængig variabel ID]]&lt;&gt;LineærRegression_Valg[[#This Row],[Uafhængig variabel ID]]</f>
        <v>1</v>
      </c>
      <c r="E946" t="b">
        <f>LineærRegression_Valg[[#This Row],[Afhængig variabel ID]]&lt;=$B$5</f>
        <v>0</v>
      </c>
      <c r="F946" t="str" cm="1">
        <f t="array" ref="F946">IF(LineærRegression_Valg[[#This Row],[Indenfor range]],INDEX(DataTitel_liste,LineærRegression_Valg[[#This Row],[Afhængig variabel ID]]),INDEX(DataTitel_liste,1))</f>
        <v>Eksempel 1 (interval)</v>
      </c>
      <c r="G946" s="45" t="str" cm="1">
        <f t="array" ref="G946">IF(LineærRegression_Valg[[#This Row],[Indenfor range]],IF(LineærRegression_Valg[[#This Row],[Intet overlap]],INDEX(DataTitel_liste,LineærRegression_Valg[[#This Row],[Uafhængig variabel ID]]),INDEX(DataTitel_liste,IF(LineærRegression_Valg[[#This Row],[Afhængig variabel ID]]=1,2,1))),$B$7)</f>
        <v>Eksempel 2 (interval)</v>
      </c>
      <c r="H946" s="45">
        <f>_xlfn.AGGREGATE(2,5,LineærRegression_Valg[[#This Row],[Tabel ID]])</f>
        <v>1</v>
      </c>
    </row>
    <row r="947" spans="1:8" x14ac:dyDescent="0.2">
      <c r="A947">
        <f>ROW(LineærRegression_Valg[[#This Row],[Tabel ID]])-ROW(LineærRegression_Valg[[#Headers],[Tabel ID]])</f>
        <v>937</v>
      </c>
      <c r="B947" s="45">
        <f>ROUNDDOWN((LineærRegression_Valg[[#This Row],[Tabel ID]]-1)/$B$5,0)+1</f>
        <v>235</v>
      </c>
      <c r="C947" s="45">
        <f t="shared" si="14"/>
        <v>1</v>
      </c>
      <c r="D947" s="45" t="b">
        <f>LineærRegression_Valg[[#This Row],[Afhængig variabel ID]]&lt;&gt;LineærRegression_Valg[[#This Row],[Uafhængig variabel ID]]</f>
        <v>1</v>
      </c>
      <c r="E947" t="b">
        <f>LineærRegression_Valg[[#This Row],[Afhængig variabel ID]]&lt;=$B$5</f>
        <v>0</v>
      </c>
      <c r="F947" t="str" cm="1">
        <f t="array" ref="F947">IF(LineærRegression_Valg[[#This Row],[Indenfor range]],INDEX(DataTitel_liste,LineærRegression_Valg[[#This Row],[Afhængig variabel ID]]),INDEX(DataTitel_liste,1))</f>
        <v>Eksempel 1 (interval)</v>
      </c>
      <c r="G947" s="45" t="str" cm="1">
        <f t="array" ref="G947">IF(LineærRegression_Valg[[#This Row],[Indenfor range]],IF(LineærRegression_Valg[[#This Row],[Intet overlap]],INDEX(DataTitel_liste,LineærRegression_Valg[[#This Row],[Uafhængig variabel ID]]),INDEX(DataTitel_liste,IF(LineærRegression_Valg[[#This Row],[Afhængig variabel ID]]=1,2,1))),$B$7)</f>
        <v>Eksempel 2 (interval)</v>
      </c>
      <c r="H947" s="45">
        <f>_xlfn.AGGREGATE(2,5,LineærRegression_Valg[[#This Row],[Tabel ID]])</f>
        <v>1</v>
      </c>
    </row>
    <row r="948" spans="1:8" x14ac:dyDescent="0.2">
      <c r="A948">
        <f>ROW(LineærRegression_Valg[[#This Row],[Tabel ID]])-ROW(LineærRegression_Valg[[#Headers],[Tabel ID]])</f>
        <v>938</v>
      </c>
      <c r="B948" s="45">
        <f>ROUNDDOWN((LineærRegression_Valg[[#This Row],[Tabel ID]]-1)/$B$5,0)+1</f>
        <v>235</v>
      </c>
      <c r="C948" s="45">
        <f t="shared" si="14"/>
        <v>2</v>
      </c>
      <c r="D948" s="45" t="b">
        <f>LineærRegression_Valg[[#This Row],[Afhængig variabel ID]]&lt;&gt;LineærRegression_Valg[[#This Row],[Uafhængig variabel ID]]</f>
        <v>1</v>
      </c>
      <c r="E948" t="b">
        <f>LineærRegression_Valg[[#This Row],[Afhængig variabel ID]]&lt;=$B$5</f>
        <v>0</v>
      </c>
      <c r="F948" t="str" cm="1">
        <f t="array" ref="F948">IF(LineærRegression_Valg[[#This Row],[Indenfor range]],INDEX(DataTitel_liste,LineærRegression_Valg[[#This Row],[Afhængig variabel ID]]),INDEX(DataTitel_liste,1))</f>
        <v>Eksempel 1 (interval)</v>
      </c>
      <c r="G948" s="45" t="str" cm="1">
        <f t="array" ref="G948">IF(LineærRegression_Valg[[#This Row],[Indenfor range]],IF(LineærRegression_Valg[[#This Row],[Intet overlap]],INDEX(DataTitel_liste,LineærRegression_Valg[[#This Row],[Uafhængig variabel ID]]),INDEX(DataTitel_liste,IF(LineærRegression_Valg[[#This Row],[Afhængig variabel ID]]=1,2,1))),$B$7)</f>
        <v>Eksempel 2 (interval)</v>
      </c>
      <c r="H948" s="45">
        <f>_xlfn.AGGREGATE(2,5,LineærRegression_Valg[[#This Row],[Tabel ID]])</f>
        <v>1</v>
      </c>
    </row>
    <row r="949" spans="1:8" x14ac:dyDescent="0.2">
      <c r="A949">
        <f>ROW(LineærRegression_Valg[[#This Row],[Tabel ID]])-ROW(LineærRegression_Valg[[#Headers],[Tabel ID]])</f>
        <v>939</v>
      </c>
      <c r="B949" s="45">
        <f>ROUNDDOWN((LineærRegression_Valg[[#This Row],[Tabel ID]]-1)/$B$5,0)+1</f>
        <v>235</v>
      </c>
      <c r="C949" s="45">
        <f t="shared" si="14"/>
        <v>3</v>
      </c>
      <c r="D949" s="45" t="b">
        <f>LineærRegression_Valg[[#This Row],[Afhængig variabel ID]]&lt;&gt;LineærRegression_Valg[[#This Row],[Uafhængig variabel ID]]</f>
        <v>1</v>
      </c>
      <c r="E949" t="b">
        <f>LineærRegression_Valg[[#This Row],[Afhængig variabel ID]]&lt;=$B$5</f>
        <v>0</v>
      </c>
      <c r="F949" t="str" cm="1">
        <f t="array" ref="F949">IF(LineærRegression_Valg[[#This Row],[Indenfor range]],INDEX(DataTitel_liste,LineærRegression_Valg[[#This Row],[Afhængig variabel ID]]),INDEX(DataTitel_liste,1))</f>
        <v>Eksempel 1 (interval)</v>
      </c>
      <c r="G949" s="45" t="str" cm="1">
        <f t="array" ref="G949">IF(LineærRegression_Valg[[#This Row],[Indenfor range]],IF(LineærRegression_Valg[[#This Row],[Intet overlap]],INDEX(DataTitel_liste,LineærRegression_Valg[[#This Row],[Uafhængig variabel ID]]),INDEX(DataTitel_liste,IF(LineærRegression_Valg[[#This Row],[Afhængig variabel ID]]=1,2,1))),$B$7)</f>
        <v>Eksempel 2 (interval)</v>
      </c>
      <c r="H949" s="45">
        <f>_xlfn.AGGREGATE(2,5,LineærRegression_Valg[[#This Row],[Tabel ID]])</f>
        <v>1</v>
      </c>
    </row>
    <row r="950" spans="1:8" x14ac:dyDescent="0.2">
      <c r="A950">
        <f>ROW(LineærRegression_Valg[[#This Row],[Tabel ID]])-ROW(LineærRegression_Valg[[#Headers],[Tabel ID]])</f>
        <v>940</v>
      </c>
      <c r="B950" s="45">
        <f>ROUNDDOWN((LineærRegression_Valg[[#This Row],[Tabel ID]]-1)/$B$5,0)+1</f>
        <v>235</v>
      </c>
      <c r="C950" s="45">
        <f t="shared" si="14"/>
        <v>4</v>
      </c>
      <c r="D950" s="45" t="b">
        <f>LineærRegression_Valg[[#This Row],[Afhængig variabel ID]]&lt;&gt;LineærRegression_Valg[[#This Row],[Uafhængig variabel ID]]</f>
        <v>1</v>
      </c>
      <c r="E950" t="b">
        <f>LineærRegression_Valg[[#This Row],[Afhængig variabel ID]]&lt;=$B$5</f>
        <v>0</v>
      </c>
      <c r="F950" t="str" cm="1">
        <f t="array" ref="F950">IF(LineærRegression_Valg[[#This Row],[Indenfor range]],INDEX(DataTitel_liste,LineærRegression_Valg[[#This Row],[Afhængig variabel ID]]),INDEX(DataTitel_liste,1))</f>
        <v>Eksempel 1 (interval)</v>
      </c>
      <c r="G950" s="45" t="str" cm="1">
        <f t="array" ref="G950">IF(LineærRegression_Valg[[#This Row],[Indenfor range]],IF(LineærRegression_Valg[[#This Row],[Intet overlap]],INDEX(DataTitel_liste,LineærRegression_Valg[[#This Row],[Uafhængig variabel ID]]),INDEX(DataTitel_liste,IF(LineærRegression_Valg[[#This Row],[Afhængig variabel ID]]=1,2,1))),$B$7)</f>
        <v>Eksempel 2 (interval)</v>
      </c>
      <c r="H950" s="45">
        <f>_xlfn.AGGREGATE(2,5,LineærRegression_Valg[[#This Row],[Tabel ID]])</f>
        <v>1</v>
      </c>
    </row>
    <row r="951" spans="1:8" x14ac:dyDescent="0.2">
      <c r="A951">
        <f>ROW(LineærRegression_Valg[[#This Row],[Tabel ID]])-ROW(LineærRegression_Valg[[#Headers],[Tabel ID]])</f>
        <v>941</v>
      </c>
      <c r="B951" s="45">
        <f>ROUNDDOWN((LineærRegression_Valg[[#This Row],[Tabel ID]]-1)/$B$5,0)+1</f>
        <v>236</v>
      </c>
      <c r="C951" s="45">
        <f t="shared" si="14"/>
        <v>1</v>
      </c>
      <c r="D951" s="45" t="b">
        <f>LineærRegression_Valg[[#This Row],[Afhængig variabel ID]]&lt;&gt;LineærRegression_Valg[[#This Row],[Uafhængig variabel ID]]</f>
        <v>1</v>
      </c>
      <c r="E951" t="b">
        <f>LineærRegression_Valg[[#This Row],[Afhængig variabel ID]]&lt;=$B$5</f>
        <v>0</v>
      </c>
      <c r="F951" t="str" cm="1">
        <f t="array" ref="F951">IF(LineærRegression_Valg[[#This Row],[Indenfor range]],INDEX(DataTitel_liste,LineærRegression_Valg[[#This Row],[Afhængig variabel ID]]),INDEX(DataTitel_liste,1))</f>
        <v>Eksempel 1 (interval)</v>
      </c>
      <c r="G951" s="45" t="str" cm="1">
        <f t="array" ref="G951">IF(LineærRegression_Valg[[#This Row],[Indenfor range]],IF(LineærRegression_Valg[[#This Row],[Intet overlap]],INDEX(DataTitel_liste,LineærRegression_Valg[[#This Row],[Uafhængig variabel ID]]),INDEX(DataTitel_liste,IF(LineærRegression_Valg[[#This Row],[Afhængig variabel ID]]=1,2,1))),$B$7)</f>
        <v>Eksempel 2 (interval)</v>
      </c>
      <c r="H951" s="45">
        <f>_xlfn.AGGREGATE(2,5,LineærRegression_Valg[[#This Row],[Tabel ID]])</f>
        <v>1</v>
      </c>
    </row>
    <row r="952" spans="1:8" x14ac:dyDescent="0.2">
      <c r="A952">
        <f>ROW(LineærRegression_Valg[[#This Row],[Tabel ID]])-ROW(LineærRegression_Valg[[#Headers],[Tabel ID]])</f>
        <v>942</v>
      </c>
      <c r="B952" s="45">
        <f>ROUNDDOWN((LineærRegression_Valg[[#This Row],[Tabel ID]]-1)/$B$5,0)+1</f>
        <v>236</v>
      </c>
      <c r="C952" s="45">
        <f t="shared" si="14"/>
        <v>2</v>
      </c>
      <c r="D952" s="45" t="b">
        <f>LineærRegression_Valg[[#This Row],[Afhængig variabel ID]]&lt;&gt;LineærRegression_Valg[[#This Row],[Uafhængig variabel ID]]</f>
        <v>1</v>
      </c>
      <c r="E952" t="b">
        <f>LineærRegression_Valg[[#This Row],[Afhængig variabel ID]]&lt;=$B$5</f>
        <v>0</v>
      </c>
      <c r="F952" t="str" cm="1">
        <f t="array" ref="F952">IF(LineærRegression_Valg[[#This Row],[Indenfor range]],INDEX(DataTitel_liste,LineærRegression_Valg[[#This Row],[Afhængig variabel ID]]),INDEX(DataTitel_liste,1))</f>
        <v>Eksempel 1 (interval)</v>
      </c>
      <c r="G952" s="45" t="str" cm="1">
        <f t="array" ref="G952">IF(LineærRegression_Valg[[#This Row],[Indenfor range]],IF(LineærRegression_Valg[[#This Row],[Intet overlap]],INDEX(DataTitel_liste,LineærRegression_Valg[[#This Row],[Uafhængig variabel ID]]),INDEX(DataTitel_liste,IF(LineærRegression_Valg[[#This Row],[Afhængig variabel ID]]=1,2,1))),$B$7)</f>
        <v>Eksempel 2 (interval)</v>
      </c>
      <c r="H952" s="45">
        <f>_xlfn.AGGREGATE(2,5,LineærRegression_Valg[[#This Row],[Tabel ID]])</f>
        <v>1</v>
      </c>
    </row>
    <row r="953" spans="1:8" x14ac:dyDescent="0.2">
      <c r="A953">
        <f>ROW(LineærRegression_Valg[[#This Row],[Tabel ID]])-ROW(LineærRegression_Valg[[#Headers],[Tabel ID]])</f>
        <v>943</v>
      </c>
      <c r="B953" s="45">
        <f>ROUNDDOWN((LineærRegression_Valg[[#This Row],[Tabel ID]]-1)/$B$5,0)+1</f>
        <v>236</v>
      </c>
      <c r="C953" s="45">
        <f t="shared" si="14"/>
        <v>3</v>
      </c>
      <c r="D953" s="45" t="b">
        <f>LineærRegression_Valg[[#This Row],[Afhængig variabel ID]]&lt;&gt;LineærRegression_Valg[[#This Row],[Uafhængig variabel ID]]</f>
        <v>1</v>
      </c>
      <c r="E953" t="b">
        <f>LineærRegression_Valg[[#This Row],[Afhængig variabel ID]]&lt;=$B$5</f>
        <v>0</v>
      </c>
      <c r="F953" t="str" cm="1">
        <f t="array" ref="F953">IF(LineærRegression_Valg[[#This Row],[Indenfor range]],INDEX(DataTitel_liste,LineærRegression_Valg[[#This Row],[Afhængig variabel ID]]),INDEX(DataTitel_liste,1))</f>
        <v>Eksempel 1 (interval)</v>
      </c>
      <c r="G953" s="45" t="str" cm="1">
        <f t="array" ref="G953">IF(LineærRegression_Valg[[#This Row],[Indenfor range]],IF(LineærRegression_Valg[[#This Row],[Intet overlap]],INDEX(DataTitel_liste,LineærRegression_Valg[[#This Row],[Uafhængig variabel ID]]),INDEX(DataTitel_liste,IF(LineærRegression_Valg[[#This Row],[Afhængig variabel ID]]=1,2,1))),$B$7)</f>
        <v>Eksempel 2 (interval)</v>
      </c>
      <c r="H953" s="45">
        <f>_xlfn.AGGREGATE(2,5,LineærRegression_Valg[[#This Row],[Tabel ID]])</f>
        <v>1</v>
      </c>
    </row>
    <row r="954" spans="1:8" x14ac:dyDescent="0.2">
      <c r="A954">
        <f>ROW(LineærRegression_Valg[[#This Row],[Tabel ID]])-ROW(LineærRegression_Valg[[#Headers],[Tabel ID]])</f>
        <v>944</v>
      </c>
      <c r="B954" s="45">
        <f>ROUNDDOWN((LineærRegression_Valg[[#This Row],[Tabel ID]]-1)/$B$5,0)+1</f>
        <v>236</v>
      </c>
      <c r="C954" s="45">
        <f t="shared" si="14"/>
        <v>4</v>
      </c>
      <c r="D954" s="45" t="b">
        <f>LineærRegression_Valg[[#This Row],[Afhængig variabel ID]]&lt;&gt;LineærRegression_Valg[[#This Row],[Uafhængig variabel ID]]</f>
        <v>1</v>
      </c>
      <c r="E954" t="b">
        <f>LineærRegression_Valg[[#This Row],[Afhængig variabel ID]]&lt;=$B$5</f>
        <v>0</v>
      </c>
      <c r="F954" t="str" cm="1">
        <f t="array" ref="F954">IF(LineærRegression_Valg[[#This Row],[Indenfor range]],INDEX(DataTitel_liste,LineærRegression_Valg[[#This Row],[Afhængig variabel ID]]),INDEX(DataTitel_liste,1))</f>
        <v>Eksempel 1 (interval)</v>
      </c>
      <c r="G954" s="45" t="str" cm="1">
        <f t="array" ref="G954">IF(LineærRegression_Valg[[#This Row],[Indenfor range]],IF(LineærRegression_Valg[[#This Row],[Intet overlap]],INDEX(DataTitel_liste,LineærRegression_Valg[[#This Row],[Uafhængig variabel ID]]),INDEX(DataTitel_liste,IF(LineærRegression_Valg[[#This Row],[Afhængig variabel ID]]=1,2,1))),$B$7)</f>
        <v>Eksempel 2 (interval)</v>
      </c>
      <c r="H954" s="45">
        <f>_xlfn.AGGREGATE(2,5,LineærRegression_Valg[[#This Row],[Tabel ID]])</f>
        <v>1</v>
      </c>
    </row>
    <row r="955" spans="1:8" x14ac:dyDescent="0.2">
      <c r="A955">
        <f>ROW(LineærRegression_Valg[[#This Row],[Tabel ID]])-ROW(LineærRegression_Valg[[#Headers],[Tabel ID]])</f>
        <v>945</v>
      </c>
      <c r="B955" s="45">
        <f>ROUNDDOWN((LineærRegression_Valg[[#This Row],[Tabel ID]]-1)/$B$5,0)+1</f>
        <v>237</v>
      </c>
      <c r="C955" s="45">
        <f t="shared" si="14"/>
        <v>1</v>
      </c>
      <c r="D955" s="45" t="b">
        <f>LineærRegression_Valg[[#This Row],[Afhængig variabel ID]]&lt;&gt;LineærRegression_Valg[[#This Row],[Uafhængig variabel ID]]</f>
        <v>1</v>
      </c>
      <c r="E955" t="b">
        <f>LineærRegression_Valg[[#This Row],[Afhængig variabel ID]]&lt;=$B$5</f>
        <v>0</v>
      </c>
      <c r="F955" t="str" cm="1">
        <f t="array" ref="F955">IF(LineærRegression_Valg[[#This Row],[Indenfor range]],INDEX(DataTitel_liste,LineærRegression_Valg[[#This Row],[Afhængig variabel ID]]),INDEX(DataTitel_liste,1))</f>
        <v>Eksempel 1 (interval)</v>
      </c>
      <c r="G955" s="45" t="str" cm="1">
        <f t="array" ref="G955">IF(LineærRegression_Valg[[#This Row],[Indenfor range]],IF(LineærRegression_Valg[[#This Row],[Intet overlap]],INDEX(DataTitel_liste,LineærRegression_Valg[[#This Row],[Uafhængig variabel ID]]),INDEX(DataTitel_liste,IF(LineærRegression_Valg[[#This Row],[Afhængig variabel ID]]=1,2,1))),$B$7)</f>
        <v>Eksempel 2 (interval)</v>
      </c>
      <c r="H955" s="45">
        <f>_xlfn.AGGREGATE(2,5,LineærRegression_Valg[[#This Row],[Tabel ID]])</f>
        <v>1</v>
      </c>
    </row>
    <row r="956" spans="1:8" x14ac:dyDescent="0.2">
      <c r="A956">
        <f>ROW(LineærRegression_Valg[[#This Row],[Tabel ID]])-ROW(LineærRegression_Valg[[#Headers],[Tabel ID]])</f>
        <v>946</v>
      </c>
      <c r="B956" s="45">
        <f>ROUNDDOWN((LineærRegression_Valg[[#This Row],[Tabel ID]]-1)/$B$5,0)+1</f>
        <v>237</v>
      </c>
      <c r="C956" s="45">
        <f t="shared" si="14"/>
        <v>2</v>
      </c>
      <c r="D956" s="45" t="b">
        <f>LineærRegression_Valg[[#This Row],[Afhængig variabel ID]]&lt;&gt;LineærRegression_Valg[[#This Row],[Uafhængig variabel ID]]</f>
        <v>1</v>
      </c>
      <c r="E956" t="b">
        <f>LineærRegression_Valg[[#This Row],[Afhængig variabel ID]]&lt;=$B$5</f>
        <v>0</v>
      </c>
      <c r="F956" t="str" cm="1">
        <f t="array" ref="F956">IF(LineærRegression_Valg[[#This Row],[Indenfor range]],INDEX(DataTitel_liste,LineærRegression_Valg[[#This Row],[Afhængig variabel ID]]),INDEX(DataTitel_liste,1))</f>
        <v>Eksempel 1 (interval)</v>
      </c>
      <c r="G956" s="45" t="str" cm="1">
        <f t="array" ref="G956">IF(LineærRegression_Valg[[#This Row],[Indenfor range]],IF(LineærRegression_Valg[[#This Row],[Intet overlap]],INDEX(DataTitel_liste,LineærRegression_Valg[[#This Row],[Uafhængig variabel ID]]),INDEX(DataTitel_liste,IF(LineærRegression_Valg[[#This Row],[Afhængig variabel ID]]=1,2,1))),$B$7)</f>
        <v>Eksempel 2 (interval)</v>
      </c>
      <c r="H956" s="45">
        <f>_xlfn.AGGREGATE(2,5,LineærRegression_Valg[[#This Row],[Tabel ID]])</f>
        <v>1</v>
      </c>
    </row>
    <row r="957" spans="1:8" x14ac:dyDescent="0.2">
      <c r="A957">
        <f>ROW(LineærRegression_Valg[[#This Row],[Tabel ID]])-ROW(LineærRegression_Valg[[#Headers],[Tabel ID]])</f>
        <v>947</v>
      </c>
      <c r="B957" s="45">
        <f>ROUNDDOWN((LineærRegression_Valg[[#This Row],[Tabel ID]]-1)/$B$5,0)+1</f>
        <v>237</v>
      </c>
      <c r="C957" s="45">
        <f t="shared" si="14"/>
        <v>3</v>
      </c>
      <c r="D957" s="45" t="b">
        <f>LineærRegression_Valg[[#This Row],[Afhængig variabel ID]]&lt;&gt;LineærRegression_Valg[[#This Row],[Uafhængig variabel ID]]</f>
        <v>1</v>
      </c>
      <c r="E957" t="b">
        <f>LineærRegression_Valg[[#This Row],[Afhængig variabel ID]]&lt;=$B$5</f>
        <v>0</v>
      </c>
      <c r="F957" t="str" cm="1">
        <f t="array" ref="F957">IF(LineærRegression_Valg[[#This Row],[Indenfor range]],INDEX(DataTitel_liste,LineærRegression_Valg[[#This Row],[Afhængig variabel ID]]),INDEX(DataTitel_liste,1))</f>
        <v>Eksempel 1 (interval)</v>
      </c>
      <c r="G957" s="45" t="str" cm="1">
        <f t="array" ref="G957">IF(LineærRegression_Valg[[#This Row],[Indenfor range]],IF(LineærRegression_Valg[[#This Row],[Intet overlap]],INDEX(DataTitel_liste,LineærRegression_Valg[[#This Row],[Uafhængig variabel ID]]),INDEX(DataTitel_liste,IF(LineærRegression_Valg[[#This Row],[Afhængig variabel ID]]=1,2,1))),$B$7)</f>
        <v>Eksempel 2 (interval)</v>
      </c>
      <c r="H957" s="45">
        <f>_xlfn.AGGREGATE(2,5,LineærRegression_Valg[[#This Row],[Tabel ID]])</f>
        <v>1</v>
      </c>
    </row>
    <row r="958" spans="1:8" x14ac:dyDescent="0.2">
      <c r="A958">
        <f>ROW(LineærRegression_Valg[[#This Row],[Tabel ID]])-ROW(LineærRegression_Valg[[#Headers],[Tabel ID]])</f>
        <v>948</v>
      </c>
      <c r="B958" s="45">
        <f>ROUNDDOWN((LineærRegression_Valg[[#This Row],[Tabel ID]]-1)/$B$5,0)+1</f>
        <v>237</v>
      </c>
      <c r="C958" s="45">
        <f t="shared" si="14"/>
        <v>4</v>
      </c>
      <c r="D958" s="45" t="b">
        <f>LineærRegression_Valg[[#This Row],[Afhængig variabel ID]]&lt;&gt;LineærRegression_Valg[[#This Row],[Uafhængig variabel ID]]</f>
        <v>1</v>
      </c>
      <c r="E958" t="b">
        <f>LineærRegression_Valg[[#This Row],[Afhængig variabel ID]]&lt;=$B$5</f>
        <v>0</v>
      </c>
      <c r="F958" t="str" cm="1">
        <f t="array" ref="F958">IF(LineærRegression_Valg[[#This Row],[Indenfor range]],INDEX(DataTitel_liste,LineærRegression_Valg[[#This Row],[Afhængig variabel ID]]),INDEX(DataTitel_liste,1))</f>
        <v>Eksempel 1 (interval)</v>
      </c>
      <c r="G958" s="45" t="str" cm="1">
        <f t="array" ref="G958">IF(LineærRegression_Valg[[#This Row],[Indenfor range]],IF(LineærRegression_Valg[[#This Row],[Intet overlap]],INDEX(DataTitel_liste,LineærRegression_Valg[[#This Row],[Uafhængig variabel ID]]),INDEX(DataTitel_liste,IF(LineærRegression_Valg[[#This Row],[Afhængig variabel ID]]=1,2,1))),$B$7)</f>
        <v>Eksempel 2 (interval)</v>
      </c>
      <c r="H958" s="45">
        <f>_xlfn.AGGREGATE(2,5,LineærRegression_Valg[[#This Row],[Tabel ID]])</f>
        <v>1</v>
      </c>
    </row>
    <row r="959" spans="1:8" x14ac:dyDescent="0.2">
      <c r="A959">
        <f>ROW(LineærRegression_Valg[[#This Row],[Tabel ID]])-ROW(LineærRegression_Valg[[#Headers],[Tabel ID]])</f>
        <v>949</v>
      </c>
      <c r="B959" s="45">
        <f>ROUNDDOWN((LineærRegression_Valg[[#This Row],[Tabel ID]]-1)/$B$5,0)+1</f>
        <v>238</v>
      </c>
      <c r="C959" s="45">
        <f t="shared" si="14"/>
        <v>1</v>
      </c>
      <c r="D959" s="45" t="b">
        <f>LineærRegression_Valg[[#This Row],[Afhængig variabel ID]]&lt;&gt;LineærRegression_Valg[[#This Row],[Uafhængig variabel ID]]</f>
        <v>1</v>
      </c>
      <c r="E959" t="b">
        <f>LineærRegression_Valg[[#This Row],[Afhængig variabel ID]]&lt;=$B$5</f>
        <v>0</v>
      </c>
      <c r="F959" t="str" cm="1">
        <f t="array" ref="F959">IF(LineærRegression_Valg[[#This Row],[Indenfor range]],INDEX(DataTitel_liste,LineærRegression_Valg[[#This Row],[Afhængig variabel ID]]),INDEX(DataTitel_liste,1))</f>
        <v>Eksempel 1 (interval)</v>
      </c>
      <c r="G959" s="45" t="str" cm="1">
        <f t="array" ref="G959">IF(LineærRegression_Valg[[#This Row],[Indenfor range]],IF(LineærRegression_Valg[[#This Row],[Intet overlap]],INDEX(DataTitel_liste,LineærRegression_Valg[[#This Row],[Uafhængig variabel ID]]),INDEX(DataTitel_liste,IF(LineærRegression_Valg[[#This Row],[Afhængig variabel ID]]=1,2,1))),$B$7)</f>
        <v>Eksempel 2 (interval)</v>
      </c>
      <c r="H959" s="45">
        <f>_xlfn.AGGREGATE(2,5,LineærRegression_Valg[[#This Row],[Tabel ID]])</f>
        <v>1</v>
      </c>
    </row>
    <row r="960" spans="1:8" x14ac:dyDescent="0.2">
      <c r="A960">
        <f>ROW(LineærRegression_Valg[[#This Row],[Tabel ID]])-ROW(LineærRegression_Valg[[#Headers],[Tabel ID]])</f>
        <v>950</v>
      </c>
      <c r="B960" s="45">
        <f>ROUNDDOWN((LineærRegression_Valg[[#This Row],[Tabel ID]]-1)/$B$5,0)+1</f>
        <v>238</v>
      </c>
      <c r="C960" s="45">
        <f t="shared" si="14"/>
        <v>2</v>
      </c>
      <c r="D960" s="45" t="b">
        <f>LineærRegression_Valg[[#This Row],[Afhængig variabel ID]]&lt;&gt;LineærRegression_Valg[[#This Row],[Uafhængig variabel ID]]</f>
        <v>1</v>
      </c>
      <c r="E960" t="b">
        <f>LineærRegression_Valg[[#This Row],[Afhængig variabel ID]]&lt;=$B$5</f>
        <v>0</v>
      </c>
      <c r="F960" t="str" cm="1">
        <f t="array" ref="F960">IF(LineærRegression_Valg[[#This Row],[Indenfor range]],INDEX(DataTitel_liste,LineærRegression_Valg[[#This Row],[Afhængig variabel ID]]),INDEX(DataTitel_liste,1))</f>
        <v>Eksempel 1 (interval)</v>
      </c>
      <c r="G960" s="45" t="str" cm="1">
        <f t="array" ref="G960">IF(LineærRegression_Valg[[#This Row],[Indenfor range]],IF(LineærRegression_Valg[[#This Row],[Intet overlap]],INDEX(DataTitel_liste,LineærRegression_Valg[[#This Row],[Uafhængig variabel ID]]),INDEX(DataTitel_liste,IF(LineærRegression_Valg[[#This Row],[Afhængig variabel ID]]=1,2,1))),$B$7)</f>
        <v>Eksempel 2 (interval)</v>
      </c>
      <c r="H960" s="45">
        <f>_xlfn.AGGREGATE(2,5,LineærRegression_Valg[[#This Row],[Tabel ID]])</f>
        <v>1</v>
      </c>
    </row>
    <row r="961" spans="1:8" x14ac:dyDescent="0.2">
      <c r="A961">
        <f>ROW(LineærRegression_Valg[[#This Row],[Tabel ID]])-ROW(LineærRegression_Valg[[#Headers],[Tabel ID]])</f>
        <v>951</v>
      </c>
      <c r="B961" s="45">
        <f>ROUNDDOWN((LineærRegression_Valg[[#This Row],[Tabel ID]]-1)/$B$5,0)+1</f>
        <v>238</v>
      </c>
      <c r="C961" s="45">
        <f t="shared" si="14"/>
        <v>3</v>
      </c>
      <c r="D961" s="45" t="b">
        <f>LineærRegression_Valg[[#This Row],[Afhængig variabel ID]]&lt;&gt;LineærRegression_Valg[[#This Row],[Uafhængig variabel ID]]</f>
        <v>1</v>
      </c>
      <c r="E961" t="b">
        <f>LineærRegression_Valg[[#This Row],[Afhængig variabel ID]]&lt;=$B$5</f>
        <v>0</v>
      </c>
      <c r="F961" t="str" cm="1">
        <f t="array" ref="F961">IF(LineærRegression_Valg[[#This Row],[Indenfor range]],INDEX(DataTitel_liste,LineærRegression_Valg[[#This Row],[Afhængig variabel ID]]),INDEX(DataTitel_liste,1))</f>
        <v>Eksempel 1 (interval)</v>
      </c>
      <c r="G961" s="45" t="str" cm="1">
        <f t="array" ref="G961">IF(LineærRegression_Valg[[#This Row],[Indenfor range]],IF(LineærRegression_Valg[[#This Row],[Intet overlap]],INDEX(DataTitel_liste,LineærRegression_Valg[[#This Row],[Uafhængig variabel ID]]),INDEX(DataTitel_liste,IF(LineærRegression_Valg[[#This Row],[Afhængig variabel ID]]=1,2,1))),$B$7)</f>
        <v>Eksempel 2 (interval)</v>
      </c>
      <c r="H961" s="45">
        <f>_xlfn.AGGREGATE(2,5,LineærRegression_Valg[[#This Row],[Tabel ID]])</f>
        <v>1</v>
      </c>
    </row>
    <row r="962" spans="1:8" x14ac:dyDescent="0.2">
      <c r="A962">
        <f>ROW(LineærRegression_Valg[[#This Row],[Tabel ID]])-ROW(LineærRegression_Valg[[#Headers],[Tabel ID]])</f>
        <v>952</v>
      </c>
      <c r="B962" s="45">
        <f>ROUNDDOWN((LineærRegression_Valg[[#This Row],[Tabel ID]]-1)/$B$5,0)+1</f>
        <v>238</v>
      </c>
      <c r="C962" s="45">
        <f t="shared" si="14"/>
        <v>4</v>
      </c>
      <c r="D962" s="45" t="b">
        <f>LineærRegression_Valg[[#This Row],[Afhængig variabel ID]]&lt;&gt;LineærRegression_Valg[[#This Row],[Uafhængig variabel ID]]</f>
        <v>1</v>
      </c>
      <c r="E962" t="b">
        <f>LineærRegression_Valg[[#This Row],[Afhængig variabel ID]]&lt;=$B$5</f>
        <v>0</v>
      </c>
      <c r="F962" t="str" cm="1">
        <f t="array" ref="F962">IF(LineærRegression_Valg[[#This Row],[Indenfor range]],INDEX(DataTitel_liste,LineærRegression_Valg[[#This Row],[Afhængig variabel ID]]),INDEX(DataTitel_liste,1))</f>
        <v>Eksempel 1 (interval)</v>
      </c>
      <c r="G962" s="45" t="str" cm="1">
        <f t="array" ref="G962">IF(LineærRegression_Valg[[#This Row],[Indenfor range]],IF(LineærRegression_Valg[[#This Row],[Intet overlap]],INDEX(DataTitel_liste,LineærRegression_Valg[[#This Row],[Uafhængig variabel ID]]),INDEX(DataTitel_liste,IF(LineærRegression_Valg[[#This Row],[Afhængig variabel ID]]=1,2,1))),$B$7)</f>
        <v>Eksempel 2 (interval)</v>
      </c>
      <c r="H962" s="45">
        <f>_xlfn.AGGREGATE(2,5,LineærRegression_Valg[[#This Row],[Tabel ID]])</f>
        <v>1</v>
      </c>
    </row>
    <row r="963" spans="1:8" x14ac:dyDescent="0.2">
      <c r="A963">
        <f>ROW(LineærRegression_Valg[[#This Row],[Tabel ID]])-ROW(LineærRegression_Valg[[#Headers],[Tabel ID]])</f>
        <v>953</v>
      </c>
      <c r="B963" s="45">
        <f>ROUNDDOWN((LineærRegression_Valg[[#This Row],[Tabel ID]]-1)/$B$5,0)+1</f>
        <v>239</v>
      </c>
      <c r="C963" s="45">
        <f t="shared" si="14"/>
        <v>1</v>
      </c>
      <c r="D963" s="45" t="b">
        <f>LineærRegression_Valg[[#This Row],[Afhængig variabel ID]]&lt;&gt;LineærRegression_Valg[[#This Row],[Uafhængig variabel ID]]</f>
        <v>1</v>
      </c>
      <c r="E963" t="b">
        <f>LineærRegression_Valg[[#This Row],[Afhængig variabel ID]]&lt;=$B$5</f>
        <v>0</v>
      </c>
      <c r="F963" t="str" cm="1">
        <f t="array" ref="F963">IF(LineærRegression_Valg[[#This Row],[Indenfor range]],INDEX(DataTitel_liste,LineærRegression_Valg[[#This Row],[Afhængig variabel ID]]),INDEX(DataTitel_liste,1))</f>
        <v>Eksempel 1 (interval)</v>
      </c>
      <c r="G963" s="45" t="str" cm="1">
        <f t="array" ref="G963">IF(LineærRegression_Valg[[#This Row],[Indenfor range]],IF(LineærRegression_Valg[[#This Row],[Intet overlap]],INDEX(DataTitel_liste,LineærRegression_Valg[[#This Row],[Uafhængig variabel ID]]),INDEX(DataTitel_liste,IF(LineærRegression_Valg[[#This Row],[Afhængig variabel ID]]=1,2,1))),$B$7)</f>
        <v>Eksempel 2 (interval)</v>
      </c>
      <c r="H963" s="45">
        <f>_xlfn.AGGREGATE(2,5,LineærRegression_Valg[[#This Row],[Tabel ID]])</f>
        <v>1</v>
      </c>
    </row>
    <row r="964" spans="1:8" x14ac:dyDescent="0.2">
      <c r="A964">
        <f>ROW(LineærRegression_Valg[[#This Row],[Tabel ID]])-ROW(LineærRegression_Valg[[#Headers],[Tabel ID]])</f>
        <v>954</v>
      </c>
      <c r="B964" s="45">
        <f>ROUNDDOWN((LineærRegression_Valg[[#This Row],[Tabel ID]]-1)/$B$5,0)+1</f>
        <v>239</v>
      </c>
      <c r="C964" s="45">
        <f t="shared" si="14"/>
        <v>2</v>
      </c>
      <c r="D964" s="45" t="b">
        <f>LineærRegression_Valg[[#This Row],[Afhængig variabel ID]]&lt;&gt;LineærRegression_Valg[[#This Row],[Uafhængig variabel ID]]</f>
        <v>1</v>
      </c>
      <c r="E964" t="b">
        <f>LineærRegression_Valg[[#This Row],[Afhængig variabel ID]]&lt;=$B$5</f>
        <v>0</v>
      </c>
      <c r="F964" t="str" cm="1">
        <f t="array" ref="F964">IF(LineærRegression_Valg[[#This Row],[Indenfor range]],INDEX(DataTitel_liste,LineærRegression_Valg[[#This Row],[Afhængig variabel ID]]),INDEX(DataTitel_liste,1))</f>
        <v>Eksempel 1 (interval)</v>
      </c>
      <c r="G964" s="45" t="str" cm="1">
        <f t="array" ref="G964">IF(LineærRegression_Valg[[#This Row],[Indenfor range]],IF(LineærRegression_Valg[[#This Row],[Intet overlap]],INDEX(DataTitel_liste,LineærRegression_Valg[[#This Row],[Uafhængig variabel ID]]),INDEX(DataTitel_liste,IF(LineærRegression_Valg[[#This Row],[Afhængig variabel ID]]=1,2,1))),$B$7)</f>
        <v>Eksempel 2 (interval)</v>
      </c>
      <c r="H964" s="45">
        <f>_xlfn.AGGREGATE(2,5,LineærRegression_Valg[[#This Row],[Tabel ID]])</f>
        <v>1</v>
      </c>
    </row>
    <row r="965" spans="1:8" x14ac:dyDescent="0.2">
      <c r="A965">
        <f>ROW(LineærRegression_Valg[[#This Row],[Tabel ID]])-ROW(LineærRegression_Valg[[#Headers],[Tabel ID]])</f>
        <v>955</v>
      </c>
      <c r="B965" s="45">
        <f>ROUNDDOWN((LineærRegression_Valg[[#This Row],[Tabel ID]]-1)/$B$5,0)+1</f>
        <v>239</v>
      </c>
      <c r="C965" s="45">
        <f t="shared" si="14"/>
        <v>3</v>
      </c>
      <c r="D965" s="45" t="b">
        <f>LineærRegression_Valg[[#This Row],[Afhængig variabel ID]]&lt;&gt;LineærRegression_Valg[[#This Row],[Uafhængig variabel ID]]</f>
        <v>1</v>
      </c>
      <c r="E965" t="b">
        <f>LineærRegression_Valg[[#This Row],[Afhængig variabel ID]]&lt;=$B$5</f>
        <v>0</v>
      </c>
      <c r="F965" t="str" cm="1">
        <f t="array" ref="F965">IF(LineærRegression_Valg[[#This Row],[Indenfor range]],INDEX(DataTitel_liste,LineærRegression_Valg[[#This Row],[Afhængig variabel ID]]),INDEX(DataTitel_liste,1))</f>
        <v>Eksempel 1 (interval)</v>
      </c>
      <c r="G965" s="45" t="str" cm="1">
        <f t="array" ref="G965">IF(LineærRegression_Valg[[#This Row],[Indenfor range]],IF(LineærRegression_Valg[[#This Row],[Intet overlap]],INDEX(DataTitel_liste,LineærRegression_Valg[[#This Row],[Uafhængig variabel ID]]),INDEX(DataTitel_liste,IF(LineærRegression_Valg[[#This Row],[Afhængig variabel ID]]=1,2,1))),$B$7)</f>
        <v>Eksempel 2 (interval)</v>
      </c>
      <c r="H965" s="45">
        <f>_xlfn.AGGREGATE(2,5,LineærRegression_Valg[[#This Row],[Tabel ID]])</f>
        <v>1</v>
      </c>
    </row>
    <row r="966" spans="1:8" x14ac:dyDescent="0.2">
      <c r="A966">
        <f>ROW(LineærRegression_Valg[[#This Row],[Tabel ID]])-ROW(LineærRegression_Valg[[#Headers],[Tabel ID]])</f>
        <v>956</v>
      </c>
      <c r="B966" s="45">
        <f>ROUNDDOWN((LineærRegression_Valg[[#This Row],[Tabel ID]]-1)/$B$5,0)+1</f>
        <v>239</v>
      </c>
      <c r="C966" s="45">
        <f t="shared" si="14"/>
        <v>4</v>
      </c>
      <c r="D966" s="45" t="b">
        <f>LineærRegression_Valg[[#This Row],[Afhængig variabel ID]]&lt;&gt;LineærRegression_Valg[[#This Row],[Uafhængig variabel ID]]</f>
        <v>1</v>
      </c>
      <c r="E966" t="b">
        <f>LineærRegression_Valg[[#This Row],[Afhængig variabel ID]]&lt;=$B$5</f>
        <v>0</v>
      </c>
      <c r="F966" t="str" cm="1">
        <f t="array" ref="F966">IF(LineærRegression_Valg[[#This Row],[Indenfor range]],INDEX(DataTitel_liste,LineærRegression_Valg[[#This Row],[Afhængig variabel ID]]),INDEX(DataTitel_liste,1))</f>
        <v>Eksempel 1 (interval)</v>
      </c>
      <c r="G966" s="45" t="str" cm="1">
        <f t="array" ref="G966">IF(LineærRegression_Valg[[#This Row],[Indenfor range]],IF(LineærRegression_Valg[[#This Row],[Intet overlap]],INDEX(DataTitel_liste,LineærRegression_Valg[[#This Row],[Uafhængig variabel ID]]),INDEX(DataTitel_liste,IF(LineærRegression_Valg[[#This Row],[Afhængig variabel ID]]=1,2,1))),$B$7)</f>
        <v>Eksempel 2 (interval)</v>
      </c>
      <c r="H966" s="45">
        <f>_xlfn.AGGREGATE(2,5,LineærRegression_Valg[[#This Row],[Tabel ID]])</f>
        <v>1</v>
      </c>
    </row>
    <row r="967" spans="1:8" x14ac:dyDescent="0.2">
      <c r="A967">
        <f>ROW(LineærRegression_Valg[[#This Row],[Tabel ID]])-ROW(LineærRegression_Valg[[#Headers],[Tabel ID]])</f>
        <v>957</v>
      </c>
      <c r="B967" s="45">
        <f>ROUNDDOWN((LineærRegression_Valg[[#This Row],[Tabel ID]]-1)/$B$5,0)+1</f>
        <v>240</v>
      </c>
      <c r="C967" s="45">
        <f t="shared" si="14"/>
        <v>1</v>
      </c>
      <c r="D967" s="45" t="b">
        <f>LineærRegression_Valg[[#This Row],[Afhængig variabel ID]]&lt;&gt;LineærRegression_Valg[[#This Row],[Uafhængig variabel ID]]</f>
        <v>1</v>
      </c>
      <c r="E967" t="b">
        <f>LineærRegression_Valg[[#This Row],[Afhængig variabel ID]]&lt;=$B$5</f>
        <v>0</v>
      </c>
      <c r="F967" t="str" cm="1">
        <f t="array" ref="F967">IF(LineærRegression_Valg[[#This Row],[Indenfor range]],INDEX(DataTitel_liste,LineærRegression_Valg[[#This Row],[Afhængig variabel ID]]),INDEX(DataTitel_liste,1))</f>
        <v>Eksempel 1 (interval)</v>
      </c>
      <c r="G967" s="45" t="str" cm="1">
        <f t="array" ref="G967">IF(LineærRegression_Valg[[#This Row],[Indenfor range]],IF(LineærRegression_Valg[[#This Row],[Intet overlap]],INDEX(DataTitel_liste,LineærRegression_Valg[[#This Row],[Uafhængig variabel ID]]),INDEX(DataTitel_liste,IF(LineærRegression_Valg[[#This Row],[Afhængig variabel ID]]=1,2,1))),$B$7)</f>
        <v>Eksempel 2 (interval)</v>
      </c>
      <c r="H967" s="45">
        <f>_xlfn.AGGREGATE(2,5,LineærRegression_Valg[[#This Row],[Tabel ID]])</f>
        <v>1</v>
      </c>
    </row>
    <row r="968" spans="1:8" x14ac:dyDescent="0.2">
      <c r="A968">
        <f>ROW(LineærRegression_Valg[[#This Row],[Tabel ID]])-ROW(LineærRegression_Valg[[#Headers],[Tabel ID]])</f>
        <v>958</v>
      </c>
      <c r="B968" s="45">
        <f>ROUNDDOWN((LineærRegression_Valg[[#This Row],[Tabel ID]]-1)/$B$5,0)+1</f>
        <v>240</v>
      </c>
      <c r="C968" s="45">
        <f t="shared" si="14"/>
        <v>2</v>
      </c>
      <c r="D968" s="45" t="b">
        <f>LineærRegression_Valg[[#This Row],[Afhængig variabel ID]]&lt;&gt;LineærRegression_Valg[[#This Row],[Uafhængig variabel ID]]</f>
        <v>1</v>
      </c>
      <c r="E968" t="b">
        <f>LineærRegression_Valg[[#This Row],[Afhængig variabel ID]]&lt;=$B$5</f>
        <v>0</v>
      </c>
      <c r="F968" t="str" cm="1">
        <f t="array" ref="F968">IF(LineærRegression_Valg[[#This Row],[Indenfor range]],INDEX(DataTitel_liste,LineærRegression_Valg[[#This Row],[Afhængig variabel ID]]),INDEX(DataTitel_liste,1))</f>
        <v>Eksempel 1 (interval)</v>
      </c>
      <c r="G968" s="45" t="str" cm="1">
        <f t="array" ref="G968">IF(LineærRegression_Valg[[#This Row],[Indenfor range]],IF(LineærRegression_Valg[[#This Row],[Intet overlap]],INDEX(DataTitel_liste,LineærRegression_Valg[[#This Row],[Uafhængig variabel ID]]),INDEX(DataTitel_liste,IF(LineærRegression_Valg[[#This Row],[Afhængig variabel ID]]=1,2,1))),$B$7)</f>
        <v>Eksempel 2 (interval)</v>
      </c>
      <c r="H968" s="45">
        <f>_xlfn.AGGREGATE(2,5,LineærRegression_Valg[[#This Row],[Tabel ID]])</f>
        <v>1</v>
      </c>
    </row>
    <row r="969" spans="1:8" x14ac:dyDescent="0.2">
      <c r="A969">
        <f>ROW(LineærRegression_Valg[[#This Row],[Tabel ID]])-ROW(LineærRegression_Valg[[#Headers],[Tabel ID]])</f>
        <v>959</v>
      </c>
      <c r="B969" s="45">
        <f>ROUNDDOWN((LineærRegression_Valg[[#This Row],[Tabel ID]]-1)/$B$5,0)+1</f>
        <v>240</v>
      </c>
      <c r="C969" s="45">
        <f t="shared" si="14"/>
        <v>3</v>
      </c>
      <c r="D969" s="45" t="b">
        <f>LineærRegression_Valg[[#This Row],[Afhængig variabel ID]]&lt;&gt;LineærRegression_Valg[[#This Row],[Uafhængig variabel ID]]</f>
        <v>1</v>
      </c>
      <c r="E969" t="b">
        <f>LineærRegression_Valg[[#This Row],[Afhængig variabel ID]]&lt;=$B$5</f>
        <v>0</v>
      </c>
      <c r="F969" t="str" cm="1">
        <f t="array" ref="F969">IF(LineærRegression_Valg[[#This Row],[Indenfor range]],INDEX(DataTitel_liste,LineærRegression_Valg[[#This Row],[Afhængig variabel ID]]),INDEX(DataTitel_liste,1))</f>
        <v>Eksempel 1 (interval)</v>
      </c>
      <c r="G969" s="45" t="str" cm="1">
        <f t="array" ref="G969">IF(LineærRegression_Valg[[#This Row],[Indenfor range]],IF(LineærRegression_Valg[[#This Row],[Intet overlap]],INDEX(DataTitel_liste,LineærRegression_Valg[[#This Row],[Uafhængig variabel ID]]),INDEX(DataTitel_liste,IF(LineærRegression_Valg[[#This Row],[Afhængig variabel ID]]=1,2,1))),$B$7)</f>
        <v>Eksempel 2 (interval)</v>
      </c>
      <c r="H969" s="45">
        <f>_xlfn.AGGREGATE(2,5,LineærRegression_Valg[[#This Row],[Tabel ID]])</f>
        <v>1</v>
      </c>
    </row>
    <row r="970" spans="1:8" x14ac:dyDescent="0.2">
      <c r="A970">
        <f>ROW(LineærRegression_Valg[[#This Row],[Tabel ID]])-ROW(LineærRegression_Valg[[#Headers],[Tabel ID]])</f>
        <v>960</v>
      </c>
      <c r="B970" s="45">
        <f>ROUNDDOWN((LineærRegression_Valg[[#This Row],[Tabel ID]]-1)/$B$5,0)+1</f>
        <v>240</v>
      </c>
      <c r="C970" s="45">
        <f t="shared" si="14"/>
        <v>4</v>
      </c>
      <c r="D970" s="45" t="b">
        <f>LineærRegression_Valg[[#This Row],[Afhængig variabel ID]]&lt;&gt;LineærRegression_Valg[[#This Row],[Uafhængig variabel ID]]</f>
        <v>1</v>
      </c>
      <c r="E970" t="b">
        <f>LineærRegression_Valg[[#This Row],[Afhængig variabel ID]]&lt;=$B$5</f>
        <v>0</v>
      </c>
      <c r="F970" t="str" cm="1">
        <f t="array" ref="F970">IF(LineærRegression_Valg[[#This Row],[Indenfor range]],INDEX(DataTitel_liste,LineærRegression_Valg[[#This Row],[Afhængig variabel ID]]),INDEX(DataTitel_liste,1))</f>
        <v>Eksempel 1 (interval)</v>
      </c>
      <c r="G970" s="45" t="str" cm="1">
        <f t="array" ref="G970">IF(LineærRegression_Valg[[#This Row],[Indenfor range]],IF(LineærRegression_Valg[[#This Row],[Intet overlap]],INDEX(DataTitel_liste,LineærRegression_Valg[[#This Row],[Uafhængig variabel ID]]),INDEX(DataTitel_liste,IF(LineærRegression_Valg[[#This Row],[Afhængig variabel ID]]=1,2,1))),$B$7)</f>
        <v>Eksempel 2 (interval)</v>
      </c>
      <c r="H970" s="45">
        <f>_xlfn.AGGREGATE(2,5,LineærRegression_Valg[[#This Row],[Tabel ID]])</f>
        <v>1</v>
      </c>
    </row>
    <row r="971" spans="1:8" x14ac:dyDescent="0.2">
      <c r="A971">
        <f>ROW(LineærRegression_Valg[[#This Row],[Tabel ID]])-ROW(LineærRegression_Valg[[#Headers],[Tabel ID]])</f>
        <v>961</v>
      </c>
      <c r="B971" s="45">
        <f>ROUNDDOWN((LineærRegression_Valg[[#This Row],[Tabel ID]]-1)/$B$5,0)+1</f>
        <v>241</v>
      </c>
      <c r="C971" s="45">
        <f t="shared" ref="C971:C1034" si="15">MOD(A971-1,$B$5)+1</f>
        <v>1</v>
      </c>
      <c r="D971" s="45" t="b">
        <f>LineærRegression_Valg[[#This Row],[Afhængig variabel ID]]&lt;&gt;LineærRegression_Valg[[#This Row],[Uafhængig variabel ID]]</f>
        <v>1</v>
      </c>
      <c r="E971" t="b">
        <f>LineærRegression_Valg[[#This Row],[Afhængig variabel ID]]&lt;=$B$5</f>
        <v>0</v>
      </c>
      <c r="F971" t="str" cm="1">
        <f t="array" ref="F971">IF(LineærRegression_Valg[[#This Row],[Indenfor range]],INDEX(DataTitel_liste,LineærRegression_Valg[[#This Row],[Afhængig variabel ID]]),INDEX(DataTitel_liste,1))</f>
        <v>Eksempel 1 (interval)</v>
      </c>
      <c r="G971" s="45" t="str" cm="1">
        <f t="array" ref="G971">IF(LineærRegression_Valg[[#This Row],[Indenfor range]],IF(LineærRegression_Valg[[#This Row],[Intet overlap]],INDEX(DataTitel_liste,LineærRegression_Valg[[#This Row],[Uafhængig variabel ID]]),INDEX(DataTitel_liste,IF(LineærRegression_Valg[[#This Row],[Afhængig variabel ID]]=1,2,1))),$B$7)</f>
        <v>Eksempel 2 (interval)</v>
      </c>
      <c r="H971" s="45">
        <f>_xlfn.AGGREGATE(2,5,LineærRegression_Valg[[#This Row],[Tabel ID]])</f>
        <v>1</v>
      </c>
    </row>
    <row r="972" spans="1:8" x14ac:dyDescent="0.2">
      <c r="A972">
        <f>ROW(LineærRegression_Valg[[#This Row],[Tabel ID]])-ROW(LineærRegression_Valg[[#Headers],[Tabel ID]])</f>
        <v>962</v>
      </c>
      <c r="B972" s="45">
        <f>ROUNDDOWN((LineærRegression_Valg[[#This Row],[Tabel ID]]-1)/$B$5,0)+1</f>
        <v>241</v>
      </c>
      <c r="C972" s="45">
        <f t="shared" si="15"/>
        <v>2</v>
      </c>
      <c r="D972" s="45" t="b">
        <f>LineærRegression_Valg[[#This Row],[Afhængig variabel ID]]&lt;&gt;LineærRegression_Valg[[#This Row],[Uafhængig variabel ID]]</f>
        <v>1</v>
      </c>
      <c r="E972" t="b">
        <f>LineærRegression_Valg[[#This Row],[Afhængig variabel ID]]&lt;=$B$5</f>
        <v>0</v>
      </c>
      <c r="F972" t="str" cm="1">
        <f t="array" ref="F972">IF(LineærRegression_Valg[[#This Row],[Indenfor range]],INDEX(DataTitel_liste,LineærRegression_Valg[[#This Row],[Afhængig variabel ID]]),INDEX(DataTitel_liste,1))</f>
        <v>Eksempel 1 (interval)</v>
      </c>
      <c r="G972" s="45" t="str" cm="1">
        <f t="array" ref="G972">IF(LineærRegression_Valg[[#This Row],[Indenfor range]],IF(LineærRegression_Valg[[#This Row],[Intet overlap]],INDEX(DataTitel_liste,LineærRegression_Valg[[#This Row],[Uafhængig variabel ID]]),INDEX(DataTitel_liste,IF(LineærRegression_Valg[[#This Row],[Afhængig variabel ID]]=1,2,1))),$B$7)</f>
        <v>Eksempel 2 (interval)</v>
      </c>
      <c r="H972" s="45">
        <f>_xlfn.AGGREGATE(2,5,LineærRegression_Valg[[#This Row],[Tabel ID]])</f>
        <v>1</v>
      </c>
    </row>
    <row r="973" spans="1:8" x14ac:dyDescent="0.2">
      <c r="A973">
        <f>ROW(LineærRegression_Valg[[#This Row],[Tabel ID]])-ROW(LineærRegression_Valg[[#Headers],[Tabel ID]])</f>
        <v>963</v>
      </c>
      <c r="B973" s="45">
        <f>ROUNDDOWN((LineærRegression_Valg[[#This Row],[Tabel ID]]-1)/$B$5,0)+1</f>
        <v>241</v>
      </c>
      <c r="C973" s="45">
        <f t="shared" si="15"/>
        <v>3</v>
      </c>
      <c r="D973" s="45" t="b">
        <f>LineærRegression_Valg[[#This Row],[Afhængig variabel ID]]&lt;&gt;LineærRegression_Valg[[#This Row],[Uafhængig variabel ID]]</f>
        <v>1</v>
      </c>
      <c r="E973" t="b">
        <f>LineærRegression_Valg[[#This Row],[Afhængig variabel ID]]&lt;=$B$5</f>
        <v>0</v>
      </c>
      <c r="F973" t="str" cm="1">
        <f t="array" ref="F973">IF(LineærRegression_Valg[[#This Row],[Indenfor range]],INDEX(DataTitel_liste,LineærRegression_Valg[[#This Row],[Afhængig variabel ID]]),INDEX(DataTitel_liste,1))</f>
        <v>Eksempel 1 (interval)</v>
      </c>
      <c r="G973" s="45" t="str" cm="1">
        <f t="array" ref="G973">IF(LineærRegression_Valg[[#This Row],[Indenfor range]],IF(LineærRegression_Valg[[#This Row],[Intet overlap]],INDEX(DataTitel_liste,LineærRegression_Valg[[#This Row],[Uafhængig variabel ID]]),INDEX(DataTitel_liste,IF(LineærRegression_Valg[[#This Row],[Afhængig variabel ID]]=1,2,1))),$B$7)</f>
        <v>Eksempel 2 (interval)</v>
      </c>
      <c r="H973" s="45">
        <f>_xlfn.AGGREGATE(2,5,LineærRegression_Valg[[#This Row],[Tabel ID]])</f>
        <v>1</v>
      </c>
    </row>
    <row r="974" spans="1:8" x14ac:dyDescent="0.2">
      <c r="A974">
        <f>ROW(LineærRegression_Valg[[#This Row],[Tabel ID]])-ROW(LineærRegression_Valg[[#Headers],[Tabel ID]])</f>
        <v>964</v>
      </c>
      <c r="B974" s="45">
        <f>ROUNDDOWN((LineærRegression_Valg[[#This Row],[Tabel ID]]-1)/$B$5,0)+1</f>
        <v>241</v>
      </c>
      <c r="C974" s="45">
        <f t="shared" si="15"/>
        <v>4</v>
      </c>
      <c r="D974" s="45" t="b">
        <f>LineærRegression_Valg[[#This Row],[Afhængig variabel ID]]&lt;&gt;LineærRegression_Valg[[#This Row],[Uafhængig variabel ID]]</f>
        <v>1</v>
      </c>
      <c r="E974" t="b">
        <f>LineærRegression_Valg[[#This Row],[Afhængig variabel ID]]&lt;=$B$5</f>
        <v>0</v>
      </c>
      <c r="F974" t="str" cm="1">
        <f t="array" ref="F974">IF(LineærRegression_Valg[[#This Row],[Indenfor range]],INDEX(DataTitel_liste,LineærRegression_Valg[[#This Row],[Afhængig variabel ID]]),INDEX(DataTitel_liste,1))</f>
        <v>Eksempel 1 (interval)</v>
      </c>
      <c r="G974" s="45" t="str" cm="1">
        <f t="array" ref="G974">IF(LineærRegression_Valg[[#This Row],[Indenfor range]],IF(LineærRegression_Valg[[#This Row],[Intet overlap]],INDEX(DataTitel_liste,LineærRegression_Valg[[#This Row],[Uafhængig variabel ID]]),INDEX(DataTitel_liste,IF(LineærRegression_Valg[[#This Row],[Afhængig variabel ID]]=1,2,1))),$B$7)</f>
        <v>Eksempel 2 (interval)</v>
      </c>
      <c r="H974" s="45">
        <f>_xlfn.AGGREGATE(2,5,LineærRegression_Valg[[#This Row],[Tabel ID]])</f>
        <v>1</v>
      </c>
    </row>
    <row r="975" spans="1:8" x14ac:dyDescent="0.2">
      <c r="A975">
        <f>ROW(LineærRegression_Valg[[#This Row],[Tabel ID]])-ROW(LineærRegression_Valg[[#Headers],[Tabel ID]])</f>
        <v>965</v>
      </c>
      <c r="B975" s="45">
        <f>ROUNDDOWN((LineærRegression_Valg[[#This Row],[Tabel ID]]-1)/$B$5,0)+1</f>
        <v>242</v>
      </c>
      <c r="C975" s="45">
        <f t="shared" si="15"/>
        <v>1</v>
      </c>
      <c r="D975" s="45" t="b">
        <f>LineærRegression_Valg[[#This Row],[Afhængig variabel ID]]&lt;&gt;LineærRegression_Valg[[#This Row],[Uafhængig variabel ID]]</f>
        <v>1</v>
      </c>
      <c r="E975" t="b">
        <f>LineærRegression_Valg[[#This Row],[Afhængig variabel ID]]&lt;=$B$5</f>
        <v>0</v>
      </c>
      <c r="F975" t="str" cm="1">
        <f t="array" ref="F975">IF(LineærRegression_Valg[[#This Row],[Indenfor range]],INDEX(DataTitel_liste,LineærRegression_Valg[[#This Row],[Afhængig variabel ID]]),INDEX(DataTitel_liste,1))</f>
        <v>Eksempel 1 (interval)</v>
      </c>
      <c r="G975" s="45" t="str" cm="1">
        <f t="array" ref="G975">IF(LineærRegression_Valg[[#This Row],[Indenfor range]],IF(LineærRegression_Valg[[#This Row],[Intet overlap]],INDEX(DataTitel_liste,LineærRegression_Valg[[#This Row],[Uafhængig variabel ID]]),INDEX(DataTitel_liste,IF(LineærRegression_Valg[[#This Row],[Afhængig variabel ID]]=1,2,1))),$B$7)</f>
        <v>Eksempel 2 (interval)</v>
      </c>
      <c r="H975" s="45">
        <f>_xlfn.AGGREGATE(2,5,LineærRegression_Valg[[#This Row],[Tabel ID]])</f>
        <v>1</v>
      </c>
    </row>
    <row r="976" spans="1:8" x14ac:dyDescent="0.2">
      <c r="A976">
        <f>ROW(LineærRegression_Valg[[#This Row],[Tabel ID]])-ROW(LineærRegression_Valg[[#Headers],[Tabel ID]])</f>
        <v>966</v>
      </c>
      <c r="B976" s="45">
        <f>ROUNDDOWN((LineærRegression_Valg[[#This Row],[Tabel ID]]-1)/$B$5,0)+1</f>
        <v>242</v>
      </c>
      <c r="C976" s="45">
        <f t="shared" si="15"/>
        <v>2</v>
      </c>
      <c r="D976" s="45" t="b">
        <f>LineærRegression_Valg[[#This Row],[Afhængig variabel ID]]&lt;&gt;LineærRegression_Valg[[#This Row],[Uafhængig variabel ID]]</f>
        <v>1</v>
      </c>
      <c r="E976" t="b">
        <f>LineærRegression_Valg[[#This Row],[Afhængig variabel ID]]&lt;=$B$5</f>
        <v>0</v>
      </c>
      <c r="F976" t="str" cm="1">
        <f t="array" ref="F976">IF(LineærRegression_Valg[[#This Row],[Indenfor range]],INDEX(DataTitel_liste,LineærRegression_Valg[[#This Row],[Afhængig variabel ID]]),INDEX(DataTitel_liste,1))</f>
        <v>Eksempel 1 (interval)</v>
      </c>
      <c r="G976" s="45" t="str" cm="1">
        <f t="array" ref="G976">IF(LineærRegression_Valg[[#This Row],[Indenfor range]],IF(LineærRegression_Valg[[#This Row],[Intet overlap]],INDEX(DataTitel_liste,LineærRegression_Valg[[#This Row],[Uafhængig variabel ID]]),INDEX(DataTitel_liste,IF(LineærRegression_Valg[[#This Row],[Afhængig variabel ID]]=1,2,1))),$B$7)</f>
        <v>Eksempel 2 (interval)</v>
      </c>
      <c r="H976" s="45">
        <f>_xlfn.AGGREGATE(2,5,LineærRegression_Valg[[#This Row],[Tabel ID]])</f>
        <v>1</v>
      </c>
    </row>
    <row r="977" spans="1:8" x14ac:dyDescent="0.2">
      <c r="A977">
        <f>ROW(LineærRegression_Valg[[#This Row],[Tabel ID]])-ROW(LineærRegression_Valg[[#Headers],[Tabel ID]])</f>
        <v>967</v>
      </c>
      <c r="B977" s="45">
        <f>ROUNDDOWN((LineærRegression_Valg[[#This Row],[Tabel ID]]-1)/$B$5,0)+1</f>
        <v>242</v>
      </c>
      <c r="C977" s="45">
        <f t="shared" si="15"/>
        <v>3</v>
      </c>
      <c r="D977" s="45" t="b">
        <f>LineærRegression_Valg[[#This Row],[Afhængig variabel ID]]&lt;&gt;LineærRegression_Valg[[#This Row],[Uafhængig variabel ID]]</f>
        <v>1</v>
      </c>
      <c r="E977" t="b">
        <f>LineærRegression_Valg[[#This Row],[Afhængig variabel ID]]&lt;=$B$5</f>
        <v>0</v>
      </c>
      <c r="F977" t="str" cm="1">
        <f t="array" ref="F977">IF(LineærRegression_Valg[[#This Row],[Indenfor range]],INDEX(DataTitel_liste,LineærRegression_Valg[[#This Row],[Afhængig variabel ID]]),INDEX(DataTitel_liste,1))</f>
        <v>Eksempel 1 (interval)</v>
      </c>
      <c r="G977" s="45" t="str" cm="1">
        <f t="array" ref="G977">IF(LineærRegression_Valg[[#This Row],[Indenfor range]],IF(LineærRegression_Valg[[#This Row],[Intet overlap]],INDEX(DataTitel_liste,LineærRegression_Valg[[#This Row],[Uafhængig variabel ID]]),INDEX(DataTitel_liste,IF(LineærRegression_Valg[[#This Row],[Afhængig variabel ID]]=1,2,1))),$B$7)</f>
        <v>Eksempel 2 (interval)</v>
      </c>
      <c r="H977" s="45">
        <f>_xlfn.AGGREGATE(2,5,LineærRegression_Valg[[#This Row],[Tabel ID]])</f>
        <v>1</v>
      </c>
    </row>
    <row r="978" spans="1:8" x14ac:dyDescent="0.2">
      <c r="A978">
        <f>ROW(LineærRegression_Valg[[#This Row],[Tabel ID]])-ROW(LineærRegression_Valg[[#Headers],[Tabel ID]])</f>
        <v>968</v>
      </c>
      <c r="B978" s="45">
        <f>ROUNDDOWN((LineærRegression_Valg[[#This Row],[Tabel ID]]-1)/$B$5,0)+1</f>
        <v>242</v>
      </c>
      <c r="C978" s="45">
        <f t="shared" si="15"/>
        <v>4</v>
      </c>
      <c r="D978" s="45" t="b">
        <f>LineærRegression_Valg[[#This Row],[Afhængig variabel ID]]&lt;&gt;LineærRegression_Valg[[#This Row],[Uafhængig variabel ID]]</f>
        <v>1</v>
      </c>
      <c r="E978" t="b">
        <f>LineærRegression_Valg[[#This Row],[Afhængig variabel ID]]&lt;=$B$5</f>
        <v>0</v>
      </c>
      <c r="F978" t="str" cm="1">
        <f t="array" ref="F978">IF(LineærRegression_Valg[[#This Row],[Indenfor range]],INDEX(DataTitel_liste,LineærRegression_Valg[[#This Row],[Afhængig variabel ID]]),INDEX(DataTitel_liste,1))</f>
        <v>Eksempel 1 (interval)</v>
      </c>
      <c r="G978" s="45" t="str" cm="1">
        <f t="array" ref="G978">IF(LineærRegression_Valg[[#This Row],[Indenfor range]],IF(LineærRegression_Valg[[#This Row],[Intet overlap]],INDEX(DataTitel_liste,LineærRegression_Valg[[#This Row],[Uafhængig variabel ID]]),INDEX(DataTitel_liste,IF(LineærRegression_Valg[[#This Row],[Afhængig variabel ID]]=1,2,1))),$B$7)</f>
        <v>Eksempel 2 (interval)</v>
      </c>
      <c r="H978" s="45">
        <f>_xlfn.AGGREGATE(2,5,LineærRegression_Valg[[#This Row],[Tabel ID]])</f>
        <v>1</v>
      </c>
    </row>
    <row r="979" spans="1:8" x14ac:dyDescent="0.2">
      <c r="A979">
        <f>ROW(LineærRegression_Valg[[#This Row],[Tabel ID]])-ROW(LineærRegression_Valg[[#Headers],[Tabel ID]])</f>
        <v>969</v>
      </c>
      <c r="B979" s="45">
        <f>ROUNDDOWN((LineærRegression_Valg[[#This Row],[Tabel ID]]-1)/$B$5,0)+1</f>
        <v>243</v>
      </c>
      <c r="C979" s="45">
        <f t="shared" si="15"/>
        <v>1</v>
      </c>
      <c r="D979" s="45" t="b">
        <f>LineærRegression_Valg[[#This Row],[Afhængig variabel ID]]&lt;&gt;LineærRegression_Valg[[#This Row],[Uafhængig variabel ID]]</f>
        <v>1</v>
      </c>
      <c r="E979" t="b">
        <f>LineærRegression_Valg[[#This Row],[Afhængig variabel ID]]&lt;=$B$5</f>
        <v>0</v>
      </c>
      <c r="F979" t="str" cm="1">
        <f t="array" ref="F979">IF(LineærRegression_Valg[[#This Row],[Indenfor range]],INDEX(DataTitel_liste,LineærRegression_Valg[[#This Row],[Afhængig variabel ID]]),INDEX(DataTitel_liste,1))</f>
        <v>Eksempel 1 (interval)</v>
      </c>
      <c r="G979" s="45" t="str" cm="1">
        <f t="array" ref="G979">IF(LineærRegression_Valg[[#This Row],[Indenfor range]],IF(LineærRegression_Valg[[#This Row],[Intet overlap]],INDEX(DataTitel_liste,LineærRegression_Valg[[#This Row],[Uafhængig variabel ID]]),INDEX(DataTitel_liste,IF(LineærRegression_Valg[[#This Row],[Afhængig variabel ID]]=1,2,1))),$B$7)</f>
        <v>Eksempel 2 (interval)</v>
      </c>
      <c r="H979" s="45">
        <f>_xlfn.AGGREGATE(2,5,LineærRegression_Valg[[#This Row],[Tabel ID]])</f>
        <v>1</v>
      </c>
    </row>
    <row r="980" spans="1:8" x14ac:dyDescent="0.2">
      <c r="A980">
        <f>ROW(LineærRegression_Valg[[#This Row],[Tabel ID]])-ROW(LineærRegression_Valg[[#Headers],[Tabel ID]])</f>
        <v>970</v>
      </c>
      <c r="B980" s="45">
        <f>ROUNDDOWN((LineærRegression_Valg[[#This Row],[Tabel ID]]-1)/$B$5,0)+1</f>
        <v>243</v>
      </c>
      <c r="C980" s="45">
        <f t="shared" si="15"/>
        <v>2</v>
      </c>
      <c r="D980" s="45" t="b">
        <f>LineærRegression_Valg[[#This Row],[Afhængig variabel ID]]&lt;&gt;LineærRegression_Valg[[#This Row],[Uafhængig variabel ID]]</f>
        <v>1</v>
      </c>
      <c r="E980" t="b">
        <f>LineærRegression_Valg[[#This Row],[Afhængig variabel ID]]&lt;=$B$5</f>
        <v>0</v>
      </c>
      <c r="F980" t="str" cm="1">
        <f t="array" ref="F980">IF(LineærRegression_Valg[[#This Row],[Indenfor range]],INDEX(DataTitel_liste,LineærRegression_Valg[[#This Row],[Afhængig variabel ID]]),INDEX(DataTitel_liste,1))</f>
        <v>Eksempel 1 (interval)</v>
      </c>
      <c r="G980" s="45" t="str" cm="1">
        <f t="array" ref="G980">IF(LineærRegression_Valg[[#This Row],[Indenfor range]],IF(LineærRegression_Valg[[#This Row],[Intet overlap]],INDEX(DataTitel_liste,LineærRegression_Valg[[#This Row],[Uafhængig variabel ID]]),INDEX(DataTitel_liste,IF(LineærRegression_Valg[[#This Row],[Afhængig variabel ID]]=1,2,1))),$B$7)</f>
        <v>Eksempel 2 (interval)</v>
      </c>
      <c r="H980" s="45">
        <f>_xlfn.AGGREGATE(2,5,LineærRegression_Valg[[#This Row],[Tabel ID]])</f>
        <v>1</v>
      </c>
    </row>
    <row r="981" spans="1:8" x14ac:dyDescent="0.2">
      <c r="A981">
        <f>ROW(LineærRegression_Valg[[#This Row],[Tabel ID]])-ROW(LineærRegression_Valg[[#Headers],[Tabel ID]])</f>
        <v>971</v>
      </c>
      <c r="B981" s="45">
        <f>ROUNDDOWN((LineærRegression_Valg[[#This Row],[Tabel ID]]-1)/$B$5,0)+1</f>
        <v>243</v>
      </c>
      <c r="C981" s="45">
        <f t="shared" si="15"/>
        <v>3</v>
      </c>
      <c r="D981" s="45" t="b">
        <f>LineærRegression_Valg[[#This Row],[Afhængig variabel ID]]&lt;&gt;LineærRegression_Valg[[#This Row],[Uafhængig variabel ID]]</f>
        <v>1</v>
      </c>
      <c r="E981" t="b">
        <f>LineærRegression_Valg[[#This Row],[Afhængig variabel ID]]&lt;=$B$5</f>
        <v>0</v>
      </c>
      <c r="F981" t="str" cm="1">
        <f t="array" ref="F981">IF(LineærRegression_Valg[[#This Row],[Indenfor range]],INDEX(DataTitel_liste,LineærRegression_Valg[[#This Row],[Afhængig variabel ID]]),INDEX(DataTitel_liste,1))</f>
        <v>Eksempel 1 (interval)</v>
      </c>
      <c r="G981" s="45" t="str" cm="1">
        <f t="array" ref="G981">IF(LineærRegression_Valg[[#This Row],[Indenfor range]],IF(LineærRegression_Valg[[#This Row],[Intet overlap]],INDEX(DataTitel_liste,LineærRegression_Valg[[#This Row],[Uafhængig variabel ID]]),INDEX(DataTitel_liste,IF(LineærRegression_Valg[[#This Row],[Afhængig variabel ID]]=1,2,1))),$B$7)</f>
        <v>Eksempel 2 (interval)</v>
      </c>
      <c r="H981" s="45">
        <f>_xlfn.AGGREGATE(2,5,LineærRegression_Valg[[#This Row],[Tabel ID]])</f>
        <v>1</v>
      </c>
    </row>
    <row r="982" spans="1:8" x14ac:dyDescent="0.2">
      <c r="A982">
        <f>ROW(LineærRegression_Valg[[#This Row],[Tabel ID]])-ROW(LineærRegression_Valg[[#Headers],[Tabel ID]])</f>
        <v>972</v>
      </c>
      <c r="B982" s="45">
        <f>ROUNDDOWN((LineærRegression_Valg[[#This Row],[Tabel ID]]-1)/$B$5,0)+1</f>
        <v>243</v>
      </c>
      <c r="C982" s="45">
        <f t="shared" si="15"/>
        <v>4</v>
      </c>
      <c r="D982" s="45" t="b">
        <f>LineærRegression_Valg[[#This Row],[Afhængig variabel ID]]&lt;&gt;LineærRegression_Valg[[#This Row],[Uafhængig variabel ID]]</f>
        <v>1</v>
      </c>
      <c r="E982" t="b">
        <f>LineærRegression_Valg[[#This Row],[Afhængig variabel ID]]&lt;=$B$5</f>
        <v>0</v>
      </c>
      <c r="F982" t="str" cm="1">
        <f t="array" ref="F982">IF(LineærRegression_Valg[[#This Row],[Indenfor range]],INDEX(DataTitel_liste,LineærRegression_Valg[[#This Row],[Afhængig variabel ID]]),INDEX(DataTitel_liste,1))</f>
        <v>Eksempel 1 (interval)</v>
      </c>
      <c r="G982" s="45" t="str" cm="1">
        <f t="array" ref="G982">IF(LineærRegression_Valg[[#This Row],[Indenfor range]],IF(LineærRegression_Valg[[#This Row],[Intet overlap]],INDEX(DataTitel_liste,LineærRegression_Valg[[#This Row],[Uafhængig variabel ID]]),INDEX(DataTitel_liste,IF(LineærRegression_Valg[[#This Row],[Afhængig variabel ID]]=1,2,1))),$B$7)</f>
        <v>Eksempel 2 (interval)</v>
      </c>
      <c r="H982" s="45">
        <f>_xlfn.AGGREGATE(2,5,LineærRegression_Valg[[#This Row],[Tabel ID]])</f>
        <v>1</v>
      </c>
    </row>
    <row r="983" spans="1:8" x14ac:dyDescent="0.2">
      <c r="A983">
        <f>ROW(LineærRegression_Valg[[#This Row],[Tabel ID]])-ROW(LineærRegression_Valg[[#Headers],[Tabel ID]])</f>
        <v>973</v>
      </c>
      <c r="B983" s="45">
        <f>ROUNDDOWN((LineærRegression_Valg[[#This Row],[Tabel ID]]-1)/$B$5,0)+1</f>
        <v>244</v>
      </c>
      <c r="C983" s="45">
        <f t="shared" si="15"/>
        <v>1</v>
      </c>
      <c r="D983" s="45" t="b">
        <f>LineærRegression_Valg[[#This Row],[Afhængig variabel ID]]&lt;&gt;LineærRegression_Valg[[#This Row],[Uafhængig variabel ID]]</f>
        <v>1</v>
      </c>
      <c r="E983" t="b">
        <f>LineærRegression_Valg[[#This Row],[Afhængig variabel ID]]&lt;=$B$5</f>
        <v>0</v>
      </c>
      <c r="F983" t="str" cm="1">
        <f t="array" ref="F983">IF(LineærRegression_Valg[[#This Row],[Indenfor range]],INDEX(DataTitel_liste,LineærRegression_Valg[[#This Row],[Afhængig variabel ID]]),INDEX(DataTitel_liste,1))</f>
        <v>Eksempel 1 (interval)</v>
      </c>
      <c r="G983" s="45" t="str" cm="1">
        <f t="array" ref="G983">IF(LineærRegression_Valg[[#This Row],[Indenfor range]],IF(LineærRegression_Valg[[#This Row],[Intet overlap]],INDEX(DataTitel_liste,LineærRegression_Valg[[#This Row],[Uafhængig variabel ID]]),INDEX(DataTitel_liste,IF(LineærRegression_Valg[[#This Row],[Afhængig variabel ID]]=1,2,1))),$B$7)</f>
        <v>Eksempel 2 (interval)</v>
      </c>
      <c r="H983" s="45">
        <f>_xlfn.AGGREGATE(2,5,LineærRegression_Valg[[#This Row],[Tabel ID]])</f>
        <v>1</v>
      </c>
    </row>
    <row r="984" spans="1:8" x14ac:dyDescent="0.2">
      <c r="A984">
        <f>ROW(LineærRegression_Valg[[#This Row],[Tabel ID]])-ROW(LineærRegression_Valg[[#Headers],[Tabel ID]])</f>
        <v>974</v>
      </c>
      <c r="B984" s="45">
        <f>ROUNDDOWN((LineærRegression_Valg[[#This Row],[Tabel ID]]-1)/$B$5,0)+1</f>
        <v>244</v>
      </c>
      <c r="C984" s="45">
        <f t="shared" si="15"/>
        <v>2</v>
      </c>
      <c r="D984" s="45" t="b">
        <f>LineærRegression_Valg[[#This Row],[Afhængig variabel ID]]&lt;&gt;LineærRegression_Valg[[#This Row],[Uafhængig variabel ID]]</f>
        <v>1</v>
      </c>
      <c r="E984" t="b">
        <f>LineærRegression_Valg[[#This Row],[Afhængig variabel ID]]&lt;=$B$5</f>
        <v>0</v>
      </c>
      <c r="F984" t="str" cm="1">
        <f t="array" ref="F984">IF(LineærRegression_Valg[[#This Row],[Indenfor range]],INDEX(DataTitel_liste,LineærRegression_Valg[[#This Row],[Afhængig variabel ID]]),INDEX(DataTitel_liste,1))</f>
        <v>Eksempel 1 (interval)</v>
      </c>
      <c r="G984" s="45" t="str" cm="1">
        <f t="array" ref="G984">IF(LineærRegression_Valg[[#This Row],[Indenfor range]],IF(LineærRegression_Valg[[#This Row],[Intet overlap]],INDEX(DataTitel_liste,LineærRegression_Valg[[#This Row],[Uafhængig variabel ID]]),INDEX(DataTitel_liste,IF(LineærRegression_Valg[[#This Row],[Afhængig variabel ID]]=1,2,1))),$B$7)</f>
        <v>Eksempel 2 (interval)</v>
      </c>
      <c r="H984" s="45">
        <f>_xlfn.AGGREGATE(2,5,LineærRegression_Valg[[#This Row],[Tabel ID]])</f>
        <v>1</v>
      </c>
    </row>
    <row r="985" spans="1:8" x14ac:dyDescent="0.2">
      <c r="A985">
        <f>ROW(LineærRegression_Valg[[#This Row],[Tabel ID]])-ROW(LineærRegression_Valg[[#Headers],[Tabel ID]])</f>
        <v>975</v>
      </c>
      <c r="B985" s="45">
        <f>ROUNDDOWN((LineærRegression_Valg[[#This Row],[Tabel ID]]-1)/$B$5,0)+1</f>
        <v>244</v>
      </c>
      <c r="C985" s="45">
        <f t="shared" si="15"/>
        <v>3</v>
      </c>
      <c r="D985" s="45" t="b">
        <f>LineærRegression_Valg[[#This Row],[Afhængig variabel ID]]&lt;&gt;LineærRegression_Valg[[#This Row],[Uafhængig variabel ID]]</f>
        <v>1</v>
      </c>
      <c r="E985" t="b">
        <f>LineærRegression_Valg[[#This Row],[Afhængig variabel ID]]&lt;=$B$5</f>
        <v>0</v>
      </c>
      <c r="F985" t="str" cm="1">
        <f t="array" ref="F985">IF(LineærRegression_Valg[[#This Row],[Indenfor range]],INDEX(DataTitel_liste,LineærRegression_Valg[[#This Row],[Afhængig variabel ID]]),INDEX(DataTitel_liste,1))</f>
        <v>Eksempel 1 (interval)</v>
      </c>
      <c r="G985" s="45" t="str" cm="1">
        <f t="array" ref="G985">IF(LineærRegression_Valg[[#This Row],[Indenfor range]],IF(LineærRegression_Valg[[#This Row],[Intet overlap]],INDEX(DataTitel_liste,LineærRegression_Valg[[#This Row],[Uafhængig variabel ID]]),INDEX(DataTitel_liste,IF(LineærRegression_Valg[[#This Row],[Afhængig variabel ID]]=1,2,1))),$B$7)</f>
        <v>Eksempel 2 (interval)</v>
      </c>
      <c r="H985" s="45">
        <f>_xlfn.AGGREGATE(2,5,LineærRegression_Valg[[#This Row],[Tabel ID]])</f>
        <v>1</v>
      </c>
    </row>
    <row r="986" spans="1:8" x14ac:dyDescent="0.2">
      <c r="A986">
        <f>ROW(LineærRegression_Valg[[#This Row],[Tabel ID]])-ROW(LineærRegression_Valg[[#Headers],[Tabel ID]])</f>
        <v>976</v>
      </c>
      <c r="B986" s="45">
        <f>ROUNDDOWN((LineærRegression_Valg[[#This Row],[Tabel ID]]-1)/$B$5,0)+1</f>
        <v>244</v>
      </c>
      <c r="C986" s="45">
        <f t="shared" si="15"/>
        <v>4</v>
      </c>
      <c r="D986" s="45" t="b">
        <f>LineærRegression_Valg[[#This Row],[Afhængig variabel ID]]&lt;&gt;LineærRegression_Valg[[#This Row],[Uafhængig variabel ID]]</f>
        <v>1</v>
      </c>
      <c r="E986" t="b">
        <f>LineærRegression_Valg[[#This Row],[Afhængig variabel ID]]&lt;=$B$5</f>
        <v>0</v>
      </c>
      <c r="F986" t="str" cm="1">
        <f t="array" ref="F986">IF(LineærRegression_Valg[[#This Row],[Indenfor range]],INDEX(DataTitel_liste,LineærRegression_Valg[[#This Row],[Afhængig variabel ID]]),INDEX(DataTitel_liste,1))</f>
        <v>Eksempel 1 (interval)</v>
      </c>
      <c r="G986" s="45" t="str" cm="1">
        <f t="array" ref="G986">IF(LineærRegression_Valg[[#This Row],[Indenfor range]],IF(LineærRegression_Valg[[#This Row],[Intet overlap]],INDEX(DataTitel_liste,LineærRegression_Valg[[#This Row],[Uafhængig variabel ID]]),INDEX(DataTitel_liste,IF(LineærRegression_Valg[[#This Row],[Afhængig variabel ID]]=1,2,1))),$B$7)</f>
        <v>Eksempel 2 (interval)</v>
      </c>
      <c r="H986" s="45">
        <f>_xlfn.AGGREGATE(2,5,LineærRegression_Valg[[#This Row],[Tabel ID]])</f>
        <v>1</v>
      </c>
    </row>
    <row r="987" spans="1:8" x14ac:dyDescent="0.2">
      <c r="A987">
        <f>ROW(LineærRegression_Valg[[#This Row],[Tabel ID]])-ROW(LineærRegression_Valg[[#Headers],[Tabel ID]])</f>
        <v>977</v>
      </c>
      <c r="B987" s="45">
        <f>ROUNDDOWN((LineærRegression_Valg[[#This Row],[Tabel ID]]-1)/$B$5,0)+1</f>
        <v>245</v>
      </c>
      <c r="C987" s="45">
        <f t="shared" si="15"/>
        <v>1</v>
      </c>
      <c r="D987" s="45" t="b">
        <f>LineærRegression_Valg[[#This Row],[Afhængig variabel ID]]&lt;&gt;LineærRegression_Valg[[#This Row],[Uafhængig variabel ID]]</f>
        <v>1</v>
      </c>
      <c r="E987" t="b">
        <f>LineærRegression_Valg[[#This Row],[Afhængig variabel ID]]&lt;=$B$5</f>
        <v>0</v>
      </c>
      <c r="F987" t="str" cm="1">
        <f t="array" ref="F987">IF(LineærRegression_Valg[[#This Row],[Indenfor range]],INDEX(DataTitel_liste,LineærRegression_Valg[[#This Row],[Afhængig variabel ID]]),INDEX(DataTitel_liste,1))</f>
        <v>Eksempel 1 (interval)</v>
      </c>
      <c r="G987" s="45" t="str" cm="1">
        <f t="array" ref="G987">IF(LineærRegression_Valg[[#This Row],[Indenfor range]],IF(LineærRegression_Valg[[#This Row],[Intet overlap]],INDEX(DataTitel_liste,LineærRegression_Valg[[#This Row],[Uafhængig variabel ID]]),INDEX(DataTitel_liste,IF(LineærRegression_Valg[[#This Row],[Afhængig variabel ID]]=1,2,1))),$B$7)</f>
        <v>Eksempel 2 (interval)</v>
      </c>
      <c r="H987" s="45">
        <f>_xlfn.AGGREGATE(2,5,LineærRegression_Valg[[#This Row],[Tabel ID]])</f>
        <v>1</v>
      </c>
    </row>
    <row r="988" spans="1:8" x14ac:dyDescent="0.2">
      <c r="A988">
        <f>ROW(LineærRegression_Valg[[#This Row],[Tabel ID]])-ROW(LineærRegression_Valg[[#Headers],[Tabel ID]])</f>
        <v>978</v>
      </c>
      <c r="B988" s="45">
        <f>ROUNDDOWN((LineærRegression_Valg[[#This Row],[Tabel ID]]-1)/$B$5,0)+1</f>
        <v>245</v>
      </c>
      <c r="C988" s="45">
        <f t="shared" si="15"/>
        <v>2</v>
      </c>
      <c r="D988" s="45" t="b">
        <f>LineærRegression_Valg[[#This Row],[Afhængig variabel ID]]&lt;&gt;LineærRegression_Valg[[#This Row],[Uafhængig variabel ID]]</f>
        <v>1</v>
      </c>
      <c r="E988" t="b">
        <f>LineærRegression_Valg[[#This Row],[Afhængig variabel ID]]&lt;=$B$5</f>
        <v>0</v>
      </c>
      <c r="F988" t="str" cm="1">
        <f t="array" ref="F988">IF(LineærRegression_Valg[[#This Row],[Indenfor range]],INDEX(DataTitel_liste,LineærRegression_Valg[[#This Row],[Afhængig variabel ID]]),INDEX(DataTitel_liste,1))</f>
        <v>Eksempel 1 (interval)</v>
      </c>
      <c r="G988" s="45" t="str" cm="1">
        <f t="array" ref="G988">IF(LineærRegression_Valg[[#This Row],[Indenfor range]],IF(LineærRegression_Valg[[#This Row],[Intet overlap]],INDEX(DataTitel_liste,LineærRegression_Valg[[#This Row],[Uafhængig variabel ID]]),INDEX(DataTitel_liste,IF(LineærRegression_Valg[[#This Row],[Afhængig variabel ID]]=1,2,1))),$B$7)</f>
        <v>Eksempel 2 (interval)</v>
      </c>
      <c r="H988" s="45">
        <f>_xlfn.AGGREGATE(2,5,LineærRegression_Valg[[#This Row],[Tabel ID]])</f>
        <v>1</v>
      </c>
    </row>
    <row r="989" spans="1:8" x14ac:dyDescent="0.2">
      <c r="A989">
        <f>ROW(LineærRegression_Valg[[#This Row],[Tabel ID]])-ROW(LineærRegression_Valg[[#Headers],[Tabel ID]])</f>
        <v>979</v>
      </c>
      <c r="B989" s="45">
        <f>ROUNDDOWN((LineærRegression_Valg[[#This Row],[Tabel ID]]-1)/$B$5,0)+1</f>
        <v>245</v>
      </c>
      <c r="C989" s="45">
        <f t="shared" si="15"/>
        <v>3</v>
      </c>
      <c r="D989" s="45" t="b">
        <f>LineærRegression_Valg[[#This Row],[Afhængig variabel ID]]&lt;&gt;LineærRegression_Valg[[#This Row],[Uafhængig variabel ID]]</f>
        <v>1</v>
      </c>
      <c r="E989" t="b">
        <f>LineærRegression_Valg[[#This Row],[Afhængig variabel ID]]&lt;=$B$5</f>
        <v>0</v>
      </c>
      <c r="F989" t="str" cm="1">
        <f t="array" ref="F989">IF(LineærRegression_Valg[[#This Row],[Indenfor range]],INDEX(DataTitel_liste,LineærRegression_Valg[[#This Row],[Afhængig variabel ID]]),INDEX(DataTitel_liste,1))</f>
        <v>Eksempel 1 (interval)</v>
      </c>
      <c r="G989" s="45" t="str" cm="1">
        <f t="array" ref="G989">IF(LineærRegression_Valg[[#This Row],[Indenfor range]],IF(LineærRegression_Valg[[#This Row],[Intet overlap]],INDEX(DataTitel_liste,LineærRegression_Valg[[#This Row],[Uafhængig variabel ID]]),INDEX(DataTitel_liste,IF(LineærRegression_Valg[[#This Row],[Afhængig variabel ID]]=1,2,1))),$B$7)</f>
        <v>Eksempel 2 (interval)</v>
      </c>
      <c r="H989" s="45">
        <f>_xlfn.AGGREGATE(2,5,LineærRegression_Valg[[#This Row],[Tabel ID]])</f>
        <v>1</v>
      </c>
    </row>
    <row r="990" spans="1:8" x14ac:dyDescent="0.2">
      <c r="A990">
        <f>ROW(LineærRegression_Valg[[#This Row],[Tabel ID]])-ROW(LineærRegression_Valg[[#Headers],[Tabel ID]])</f>
        <v>980</v>
      </c>
      <c r="B990" s="45">
        <f>ROUNDDOWN((LineærRegression_Valg[[#This Row],[Tabel ID]]-1)/$B$5,0)+1</f>
        <v>245</v>
      </c>
      <c r="C990" s="45">
        <f t="shared" si="15"/>
        <v>4</v>
      </c>
      <c r="D990" s="45" t="b">
        <f>LineærRegression_Valg[[#This Row],[Afhængig variabel ID]]&lt;&gt;LineærRegression_Valg[[#This Row],[Uafhængig variabel ID]]</f>
        <v>1</v>
      </c>
      <c r="E990" t="b">
        <f>LineærRegression_Valg[[#This Row],[Afhængig variabel ID]]&lt;=$B$5</f>
        <v>0</v>
      </c>
      <c r="F990" t="str" cm="1">
        <f t="array" ref="F990">IF(LineærRegression_Valg[[#This Row],[Indenfor range]],INDEX(DataTitel_liste,LineærRegression_Valg[[#This Row],[Afhængig variabel ID]]),INDEX(DataTitel_liste,1))</f>
        <v>Eksempel 1 (interval)</v>
      </c>
      <c r="G990" s="45" t="str" cm="1">
        <f t="array" ref="G990">IF(LineærRegression_Valg[[#This Row],[Indenfor range]],IF(LineærRegression_Valg[[#This Row],[Intet overlap]],INDEX(DataTitel_liste,LineærRegression_Valg[[#This Row],[Uafhængig variabel ID]]),INDEX(DataTitel_liste,IF(LineærRegression_Valg[[#This Row],[Afhængig variabel ID]]=1,2,1))),$B$7)</f>
        <v>Eksempel 2 (interval)</v>
      </c>
      <c r="H990" s="45">
        <f>_xlfn.AGGREGATE(2,5,LineærRegression_Valg[[#This Row],[Tabel ID]])</f>
        <v>1</v>
      </c>
    </row>
    <row r="991" spans="1:8" x14ac:dyDescent="0.2">
      <c r="A991">
        <f>ROW(LineærRegression_Valg[[#This Row],[Tabel ID]])-ROW(LineærRegression_Valg[[#Headers],[Tabel ID]])</f>
        <v>981</v>
      </c>
      <c r="B991" s="45">
        <f>ROUNDDOWN((LineærRegression_Valg[[#This Row],[Tabel ID]]-1)/$B$5,0)+1</f>
        <v>246</v>
      </c>
      <c r="C991" s="45">
        <f t="shared" si="15"/>
        <v>1</v>
      </c>
      <c r="D991" s="45" t="b">
        <f>LineærRegression_Valg[[#This Row],[Afhængig variabel ID]]&lt;&gt;LineærRegression_Valg[[#This Row],[Uafhængig variabel ID]]</f>
        <v>1</v>
      </c>
      <c r="E991" t="b">
        <f>LineærRegression_Valg[[#This Row],[Afhængig variabel ID]]&lt;=$B$5</f>
        <v>0</v>
      </c>
      <c r="F991" t="str" cm="1">
        <f t="array" ref="F991">IF(LineærRegression_Valg[[#This Row],[Indenfor range]],INDEX(DataTitel_liste,LineærRegression_Valg[[#This Row],[Afhængig variabel ID]]),INDEX(DataTitel_liste,1))</f>
        <v>Eksempel 1 (interval)</v>
      </c>
      <c r="G991" s="45" t="str" cm="1">
        <f t="array" ref="G991">IF(LineærRegression_Valg[[#This Row],[Indenfor range]],IF(LineærRegression_Valg[[#This Row],[Intet overlap]],INDEX(DataTitel_liste,LineærRegression_Valg[[#This Row],[Uafhængig variabel ID]]),INDEX(DataTitel_liste,IF(LineærRegression_Valg[[#This Row],[Afhængig variabel ID]]=1,2,1))),$B$7)</f>
        <v>Eksempel 2 (interval)</v>
      </c>
      <c r="H991" s="45">
        <f>_xlfn.AGGREGATE(2,5,LineærRegression_Valg[[#This Row],[Tabel ID]])</f>
        <v>1</v>
      </c>
    </row>
    <row r="992" spans="1:8" x14ac:dyDescent="0.2">
      <c r="A992">
        <f>ROW(LineærRegression_Valg[[#This Row],[Tabel ID]])-ROW(LineærRegression_Valg[[#Headers],[Tabel ID]])</f>
        <v>982</v>
      </c>
      <c r="B992" s="45">
        <f>ROUNDDOWN((LineærRegression_Valg[[#This Row],[Tabel ID]]-1)/$B$5,0)+1</f>
        <v>246</v>
      </c>
      <c r="C992" s="45">
        <f t="shared" si="15"/>
        <v>2</v>
      </c>
      <c r="D992" s="45" t="b">
        <f>LineærRegression_Valg[[#This Row],[Afhængig variabel ID]]&lt;&gt;LineærRegression_Valg[[#This Row],[Uafhængig variabel ID]]</f>
        <v>1</v>
      </c>
      <c r="E992" t="b">
        <f>LineærRegression_Valg[[#This Row],[Afhængig variabel ID]]&lt;=$B$5</f>
        <v>0</v>
      </c>
      <c r="F992" t="str" cm="1">
        <f t="array" ref="F992">IF(LineærRegression_Valg[[#This Row],[Indenfor range]],INDEX(DataTitel_liste,LineærRegression_Valg[[#This Row],[Afhængig variabel ID]]),INDEX(DataTitel_liste,1))</f>
        <v>Eksempel 1 (interval)</v>
      </c>
      <c r="G992" s="45" t="str" cm="1">
        <f t="array" ref="G992">IF(LineærRegression_Valg[[#This Row],[Indenfor range]],IF(LineærRegression_Valg[[#This Row],[Intet overlap]],INDEX(DataTitel_liste,LineærRegression_Valg[[#This Row],[Uafhængig variabel ID]]),INDEX(DataTitel_liste,IF(LineærRegression_Valg[[#This Row],[Afhængig variabel ID]]=1,2,1))),$B$7)</f>
        <v>Eksempel 2 (interval)</v>
      </c>
      <c r="H992" s="45">
        <f>_xlfn.AGGREGATE(2,5,LineærRegression_Valg[[#This Row],[Tabel ID]])</f>
        <v>1</v>
      </c>
    </row>
    <row r="993" spans="1:8" x14ac:dyDescent="0.2">
      <c r="A993">
        <f>ROW(LineærRegression_Valg[[#This Row],[Tabel ID]])-ROW(LineærRegression_Valg[[#Headers],[Tabel ID]])</f>
        <v>983</v>
      </c>
      <c r="B993" s="45">
        <f>ROUNDDOWN((LineærRegression_Valg[[#This Row],[Tabel ID]]-1)/$B$5,0)+1</f>
        <v>246</v>
      </c>
      <c r="C993" s="45">
        <f t="shared" si="15"/>
        <v>3</v>
      </c>
      <c r="D993" s="45" t="b">
        <f>LineærRegression_Valg[[#This Row],[Afhængig variabel ID]]&lt;&gt;LineærRegression_Valg[[#This Row],[Uafhængig variabel ID]]</f>
        <v>1</v>
      </c>
      <c r="E993" t="b">
        <f>LineærRegression_Valg[[#This Row],[Afhængig variabel ID]]&lt;=$B$5</f>
        <v>0</v>
      </c>
      <c r="F993" t="str" cm="1">
        <f t="array" ref="F993">IF(LineærRegression_Valg[[#This Row],[Indenfor range]],INDEX(DataTitel_liste,LineærRegression_Valg[[#This Row],[Afhængig variabel ID]]),INDEX(DataTitel_liste,1))</f>
        <v>Eksempel 1 (interval)</v>
      </c>
      <c r="G993" s="45" t="str" cm="1">
        <f t="array" ref="G993">IF(LineærRegression_Valg[[#This Row],[Indenfor range]],IF(LineærRegression_Valg[[#This Row],[Intet overlap]],INDEX(DataTitel_liste,LineærRegression_Valg[[#This Row],[Uafhængig variabel ID]]),INDEX(DataTitel_liste,IF(LineærRegression_Valg[[#This Row],[Afhængig variabel ID]]=1,2,1))),$B$7)</f>
        <v>Eksempel 2 (interval)</v>
      </c>
      <c r="H993" s="45">
        <f>_xlfn.AGGREGATE(2,5,LineærRegression_Valg[[#This Row],[Tabel ID]])</f>
        <v>1</v>
      </c>
    </row>
    <row r="994" spans="1:8" x14ac:dyDescent="0.2">
      <c r="A994">
        <f>ROW(LineærRegression_Valg[[#This Row],[Tabel ID]])-ROW(LineærRegression_Valg[[#Headers],[Tabel ID]])</f>
        <v>984</v>
      </c>
      <c r="B994" s="45">
        <f>ROUNDDOWN((LineærRegression_Valg[[#This Row],[Tabel ID]]-1)/$B$5,0)+1</f>
        <v>246</v>
      </c>
      <c r="C994" s="45">
        <f t="shared" si="15"/>
        <v>4</v>
      </c>
      <c r="D994" s="45" t="b">
        <f>LineærRegression_Valg[[#This Row],[Afhængig variabel ID]]&lt;&gt;LineærRegression_Valg[[#This Row],[Uafhængig variabel ID]]</f>
        <v>1</v>
      </c>
      <c r="E994" t="b">
        <f>LineærRegression_Valg[[#This Row],[Afhængig variabel ID]]&lt;=$B$5</f>
        <v>0</v>
      </c>
      <c r="F994" t="str" cm="1">
        <f t="array" ref="F994">IF(LineærRegression_Valg[[#This Row],[Indenfor range]],INDEX(DataTitel_liste,LineærRegression_Valg[[#This Row],[Afhængig variabel ID]]),INDEX(DataTitel_liste,1))</f>
        <v>Eksempel 1 (interval)</v>
      </c>
      <c r="G994" s="45" t="str" cm="1">
        <f t="array" ref="G994">IF(LineærRegression_Valg[[#This Row],[Indenfor range]],IF(LineærRegression_Valg[[#This Row],[Intet overlap]],INDEX(DataTitel_liste,LineærRegression_Valg[[#This Row],[Uafhængig variabel ID]]),INDEX(DataTitel_liste,IF(LineærRegression_Valg[[#This Row],[Afhængig variabel ID]]=1,2,1))),$B$7)</f>
        <v>Eksempel 2 (interval)</v>
      </c>
      <c r="H994" s="45">
        <f>_xlfn.AGGREGATE(2,5,LineærRegression_Valg[[#This Row],[Tabel ID]])</f>
        <v>1</v>
      </c>
    </row>
    <row r="995" spans="1:8" x14ac:dyDescent="0.2">
      <c r="A995">
        <f>ROW(LineærRegression_Valg[[#This Row],[Tabel ID]])-ROW(LineærRegression_Valg[[#Headers],[Tabel ID]])</f>
        <v>985</v>
      </c>
      <c r="B995" s="45">
        <f>ROUNDDOWN((LineærRegression_Valg[[#This Row],[Tabel ID]]-1)/$B$5,0)+1</f>
        <v>247</v>
      </c>
      <c r="C995" s="45">
        <f t="shared" si="15"/>
        <v>1</v>
      </c>
      <c r="D995" s="45" t="b">
        <f>LineærRegression_Valg[[#This Row],[Afhængig variabel ID]]&lt;&gt;LineærRegression_Valg[[#This Row],[Uafhængig variabel ID]]</f>
        <v>1</v>
      </c>
      <c r="E995" t="b">
        <f>LineærRegression_Valg[[#This Row],[Afhængig variabel ID]]&lt;=$B$5</f>
        <v>0</v>
      </c>
      <c r="F995" t="str" cm="1">
        <f t="array" ref="F995">IF(LineærRegression_Valg[[#This Row],[Indenfor range]],INDEX(DataTitel_liste,LineærRegression_Valg[[#This Row],[Afhængig variabel ID]]),INDEX(DataTitel_liste,1))</f>
        <v>Eksempel 1 (interval)</v>
      </c>
      <c r="G995" s="45" t="str" cm="1">
        <f t="array" ref="G995">IF(LineærRegression_Valg[[#This Row],[Indenfor range]],IF(LineærRegression_Valg[[#This Row],[Intet overlap]],INDEX(DataTitel_liste,LineærRegression_Valg[[#This Row],[Uafhængig variabel ID]]),INDEX(DataTitel_liste,IF(LineærRegression_Valg[[#This Row],[Afhængig variabel ID]]=1,2,1))),$B$7)</f>
        <v>Eksempel 2 (interval)</v>
      </c>
      <c r="H995" s="45">
        <f>_xlfn.AGGREGATE(2,5,LineærRegression_Valg[[#This Row],[Tabel ID]])</f>
        <v>1</v>
      </c>
    </row>
    <row r="996" spans="1:8" x14ac:dyDescent="0.2">
      <c r="A996">
        <f>ROW(LineærRegression_Valg[[#This Row],[Tabel ID]])-ROW(LineærRegression_Valg[[#Headers],[Tabel ID]])</f>
        <v>986</v>
      </c>
      <c r="B996" s="45">
        <f>ROUNDDOWN((LineærRegression_Valg[[#This Row],[Tabel ID]]-1)/$B$5,0)+1</f>
        <v>247</v>
      </c>
      <c r="C996" s="45">
        <f t="shared" si="15"/>
        <v>2</v>
      </c>
      <c r="D996" s="45" t="b">
        <f>LineærRegression_Valg[[#This Row],[Afhængig variabel ID]]&lt;&gt;LineærRegression_Valg[[#This Row],[Uafhængig variabel ID]]</f>
        <v>1</v>
      </c>
      <c r="E996" t="b">
        <f>LineærRegression_Valg[[#This Row],[Afhængig variabel ID]]&lt;=$B$5</f>
        <v>0</v>
      </c>
      <c r="F996" t="str" cm="1">
        <f t="array" ref="F996">IF(LineærRegression_Valg[[#This Row],[Indenfor range]],INDEX(DataTitel_liste,LineærRegression_Valg[[#This Row],[Afhængig variabel ID]]),INDEX(DataTitel_liste,1))</f>
        <v>Eksempel 1 (interval)</v>
      </c>
      <c r="G996" s="45" t="str" cm="1">
        <f t="array" ref="G996">IF(LineærRegression_Valg[[#This Row],[Indenfor range]],IF(LineærRegression_Valg[[#This Row],[Intet overlap]],INDEX(DataTitel_liste,LineærRegression_Valg[[#This Row],[Uafhængig variabel ID]]),INDEX(DataTitel_liste,IF(LineærRegression_Valg[[#This Row],[Afhængig variabel ID]]=1,2,1))),$B$7)</f>
        <v>Eksempel 2 (interval)</v>
      </c>
      <c r="H996" s="45">
        <f>_xlfn.AGGREGATE(2,5,LineærRegression_Valg[[#This Row],[Tabel ID]])</f>
        <v>1</v>
      </c>
    </row>
    <row r="997" spans="1:8" x14ac:dyDescent="0.2">
      <c r="A997">
        <f>ROW(LineærRegression_Valg[[#This Row],[Tabel ID]])-ROW(LineærRegression_Valg[[#Headers],[Tabel ID]])</f>
        <v>987</v>
      </c>
      <c r="B997" s="45">
        <f>ROUNDDOWN((LineærRegression_Valg[[#This Row],[Tabel ID]]-1)/$B$5,0)+1</f>
        <v>247</v>
      </c>
      <c r="C997" s="45">
        <f t="shared" si="15"/>
        <v>3</v>
      </c>
      <c r="D997" s="45" t="b">
        <f>LineærRegression_Valg[[#This Row],[Afhængig variabel ID]]&lt;&gt;LineærRegression_Valg[[#This Row],[Uafhængig variabel ID]]</f>
        <v>1</v>
      </c>
      <c r="E997" t="b">
        <f>LineærRegression_Valg[[#This Row],[Afhængig variabel ID]]&lt;=$B$5</f>
        <v>0</v>
      </c>
      <c r="F997" t="str" cm="1">
        <f t="array" ref="F997">IF(LineærRegression_Valg[[#This Row],[Indenfor range]],INDEX(DataTitel_liste,LineærRegression_Valg[[#This Row],[Afhængig variabel ID]]),INDEX(DataTitel_liste,1))</f>
        <v>Eksempel 1 (interval)</v>
      </c>
      <c r="G997" s="45" t="str" cm="1">
        <f t="array" ref="G997">IF(LineærRegression_Valg[[#This Row],[Indenfor range]],IF(LineærRegression_Valg[[#This Row],[Intet overlap]],INDEX(DataTitel_liste,LineærRegression_Valg[[#This Row],[Uafhængig variabel ID]]),INDEX(DataTitel_liste,IF(LineærRegression_Valg[[#This Row],[Afhængig variabel ID]]=1,2,1))),$B$7)</f>
        <v>Eksempel 2 (interval)</v>
      </c>
      <c r="H997" s="45">
        <f>_xlfn.AGGREGATE(2,5,LineærRegression_Valg[[#This Row],[Tabel ID]])</f>
        <v>1</v>
      </c>
    </row>
    <row r="998" spans="1:8" x14ac:dyDescent="0.2">
      <c r="A998">
        <f>ROW(LineærRegression_Valg[[#This Row],[Tabel ID]])-ROW(LineærRegression_Valg[[#Headers],[Tabel ID]])</f>
        <v>988</v>
      </c>
      <c r="B998" s="45">
        <f>ROUNDDOWN((LineærRegression_Valg[[#This Row],[Tabel ID]]-1)/$B$5,0)+1</f>
        <v>247</v>
      </c>
      <c r="C998" s="45">
        <f t="shared" si="15"/>
        <v>4</v>
      </c>
      <c r="D998" s="45" t="b">
        <f>LineærRegression_Valg[[#This Row],[Afhængig variabel ID]]&lt;&gt;LineærRegression_Valg[[#This Row],[Uafhængig variabel ID]]</f>
        <v>1</v>
      </c>
      <c r="E998" t="b">
        <f>LineærRegression_Valg[[#This Row],[Afhængig variabel ID]]&lt;=$B$5</f>
        <v>0</v>
      </c>
      <c r="F998" t="str" cm="1">
        <f t="array" ref="F998">IF(LineærRegression_Valg[[#This Row],[Indenfor range]],INDEX(DataTitel_liste,LineærRegression_Valg[[#This Row],[Afhængig variabel ID]]),INDEX(DataTitel_liste,1))</f>
        <v>Eksempel 1 (interval)</v>
      </c>
      <c r="G998" s="45" t="str" cm="1">
        <f t="array" ref="G998">IF(LineærRegression_Valg[[#This Row],[Indenfor range]],IF(LineærRegression_Valg[[#This Row],[Intet overlap]],INDEX(DataTitel_liste,LineærRegression_Valg[[#This Row],[Uafhængig variabel ID]]),INDEX(DataTitel_liste,IF(LineærRegression_Valg[[#This Row],[Afhængig variabel ID]]=1,2,1))),$B$7)</f>
        <v>Eksempel 2 (interval)</v>
      </c>
      <c r="H998" s="45">
        <f>_xlfn.AGGREGATE(2,5,LineærRegression_Valg[[#This Row],[Tabel ID]])</f>
        <v>1</v>
      </c>
    </row>
    <row r="999" spans="1:8" x14ac:dyDescent="0.2">
      <c r="A999">
        <f>ROW(LineærRegression_Valg[[#This Row],[Tabel ID]])-ROW(LineærRegression_Valg[[#Headers],[Tabel ID]])</f>
        <v>989</v>
      </c>
      <c r="B999" s="45">
        <f>ROUNDDOWN((LineærRegression_Valg[[#This Row],[Tabel ID]]-1)/$B$5,0)+1</f>
        <v>248</v>
      </c>
      <c r="C999" s="45">
        <f t="shared" si="15"/>
        <v>1</v>
      </c>
      <c r="D999" s="45" t="b">
        <f>LineærRegression_Valg[[#This Row],[Afhængig variabel ID]]&lt;&gt;LineærRegression_Valg[[#This Row],[Uafhængig variabel ID]]</f>
        <v>1</v>
      </c>
      <c r="E999" t="b">
        <f>LineærRegression_Valg[[#This Row],[Afhængig variabel ID]]&lt;=$B$5</f>
        <v>0</v>
      </c>
      <c r="F999" t="str" cm="1">
        <f t="array" ref="F999">IF(LineærRegression_Valg[[#This Row],[Indenfor range]],INDEX(DataTitel_liste,LineærRegression_Valg[[#This Row],[Afhængig variabel ID]]),INDEX(DataTitel_liste,1))</f>
        <v>Eksempel 1 (interval)</v>
      </c>
      <c r="G999" s="45" t="str" cm="1">
        <f t="array" ref="G999">IF(LineærRegression_Valg[[#This Row],[Indenfor range]],IF(LineærRegression_Valg[[#This Row],[Intet overlap]],INDEX(DataTitel_liste,LineærRegression_Valg[[#This Row],[Uafhængig variabel ID]]),INDEX(DataTitel_liste,IF(LineærRegression_Valg[[#This Row],[Afhængig variabel ID]]=1,2,1))),$B$7)</f>
        <v>Eksempel 2 (interval)</v>
      </c>
      <c r="H999" s="45">
        <f>_xlfn.AGGREGATE(2,5,LineærRegression_Valg[[#This Row],[Tabel ID]])</f>
        <v>1</v>
      </c>
    </row>
    <row r="1000" spans="1:8" x14ac:dyDescent="0.2">
      <c r="A1000">
        <f>ROW(LineærRegression_Valg[[#This Row],[Tabel ID]])-ROW(LineærRegression_Valg[[#Headers],[Tabel ID]])</f>
        <v>990</v>
      </c>
      <c r="B1000" s="45">
        <f>ROUNDDOWN((LineærRegression_Valg[[#This Row],[Tabel ID]]-1)/$B$5,0)+1</f>
        <v>248</v>
      </c>
      <c r="C1000" s="45">
        <f t="shared" si="15"/>
        <v>2</v>
      </c>
      <c r="D1000" s="45" t="b">
        <f>LineærRegression_Valg[[#This Row],[Afhængig variabel ID]]&lt;&gt;LineærRegression_Valg[[#This Row],[Uafhængig variabel ID]]</f>
        <v>1</v>
      </c>
      <c r="E1000" t="b">
        <f>LineærRegression_Valg[[#This Row],[Afhængig variabel ID]]&lt;=$B$5</f>
        <v>0</v>
      </c>
      <c r="F1000" t="str" cm="1">
        <f t="array" ref="F1000">IF(LineærRegression_Valg[[#This Row],[Indenfor range]],INDEX(DataTitel_liste,LineærRegression_Valg[[#This Row],[Afhængig variabel ID]]),INDEX(DataTitel_liste,1))</f>
        <v>Eksempel 1 (interval)</v>
      </c>
      <c r="G1000" s="45" t="str" cm="1">
        <f t="array" ref="G1000">IF(LineærRegression_Valg[[#This Row],[Indenfor range]],IF(LineærRegression_Valg[[#This Row],[Intet overlap]],INDEX(DataTitel_liste,LineærRegression_Valg[[#This Row],[Uafhængig variabel ID]]),INDEX(DataTitel_liste,IF(LineærRegression_Valg[[#This Row],[Afhængig variabel ID]]=1,2,1))),$B$7)</f>
        <v>Eksempel 2 (interval)</v>
      </c>
      <c r="H1000" s="45">
        <f>_xlfn.AGGREGATE(2,5,LineærRegression_Valg[[#This Row],[Tabel ID]])</f>
        <v>1</v>
      </c>
    </row>
    <row r="1001" spans="1:8" x14ac:dyDescent="0.2">
      <c r="A1001">
        <f>ROW(LineærRegression_Valg[[#This Row],[Tabel ID]])-ROW(LineærRegression_Valg[[#Headers],[Tabel ID]])</f>
        <v>991</v>
      </c>
      <c r="B1001" s="45">
        <f>ROUNDDOWN((LineærRegression_Valg[[#This Row],[Tabel ID]]-1)/$B$5,0)+1</f>
        <v>248</v>
      </c>
      <c r="C1001" s="45">
        <f t="shared" si="15"/>
        <v>3</v>
      </c>
      <c r="D1001" s="45" t="b">
        <f>LineærRegression_Valg[[#This Row],[Afhængig variabel ID]]&lt;&gt;LineærRegression_Valg[[#This Row],[Uafhængig variabel ID]]</f>
        <v>1</v>
      </c>
      <c r="E1001" t="b">
        <f>LineærRegression_Valg[[#This Row],[Afhængig variabel ID]]&lt;=$B$5</f>
        <v>0</v>
      </c>
      <c r="F1001" t="str" cm="1">
        <f t="array" ref="F1001">IF(LineærRegression_Valg[[#This Row],[Indenfor range]],INDEX(DataTitel_liste,LineærRegression_Valg[[#This Row],[Afhængig variabel ID]]),INDEX(DataTitel_liste,1))</f>
        <v>Eksempel 1 (interval)</v>
      </c>
      <c r="G1001" s="45" t="str" cm="1">
        <f t="array" ref="G1001">IF(LineærRegression_Valg[[#This Row],[Indenfor range]],IF(LineærRegression_Valg[[#This Row],[Intet overlap]],INDEX(DataTitel_liste,LineærRegression_Valg[[#This Row],[Uafhængig variabel ID]]),INDEX(DataTitel_liste,IF(LineærRegression_Valg[[#This Row],[Afhængig variabel ID]]=1,2,1))),$B$7)</f>
        <v>Eksempel 2 (interval)</v>
      </c>
      <c r="H1001" s="45">
        <f>_xlfn.AGGREGATE(2,5,LineærRegression_Valg[[#This Row],[Tabel ID]])</f>
        <v>1</v>
      </c>
    </row>
    <row r="1002" spans="1:8" x14ac:dyDescent="0.2">
      <c r="A1002">
        <f>ROW(LineærRegression_Valg[[#This Row],[Tabel ID]])-ROW(LineærRegression_Valg[[#Headers],[Tabel ID]])</f>
        <v>992</v>
      </c>
      <c r="B1002" s="45">
        <f>ROUNDDOWN((LineærRegression_Valg[[#This Row],[Tabel ID]]-1)/$B$5,0)+1</f>
        <v>248</v>
      </c>
      <c r="C1002" s="45">
        <f t="shared" si="15"/>
        <v>4</v>
      </c>
      <c r="D1002" s="45" t="b">
        <f>LineærRegression_Valg[[#This Row],[Afhængig variabel ID]]&lt;&gt;LineærRegression_Valg[[#This Row],[Uafhængig variabel ID]]</f>
        <v>1</v>
      </c>
      <c r="E1002" t="b">
        <f>LineærRegression_Valg[[#This Row],[Afhængig variabel ID]]&lt;=$B$5</f>
        <v>0</v>
      </c>
      <c r="F1002" t="str" cm="1">
        <f t="array" ref="F1002">IF(LineærRegression_Valg[[#This Row],[Indenfor range]],INDEX(DataTitel_liste,LineærRegression_Valg[[#This Row],[Afhængig variabel ID]]),INDEX(DataTitel_liste,1))</f>
        <v>Eksempel 1 (interval)</v>
      </c>
      <c r="G1002" s="45" t="str" cm="1">
        <f t="array" ref="G1002">IF(LineærRegression_Valg[[#This Row],[Indenfor range]],IF(LineærRegression_Valg[[#This Row],[Intet overlap]],INDEX(DataTitel_liste,LineærRegression_Valg[[#This Row],[Uafhængig variabel ID]]),INDEX(DataTitel_liste,IF(LineærRegression_Valg[[#This Row],[Afhængig variabel ID]]=1,2,1))),$B$7)</f>
        <v>Eksempel 2 (interval)</v>
      </c>
      <c r="H1002" s="45">
        <f>_xlfn.AGGREGATE(2,5,LineærRegression_Valg[[#This Row],[Tabel ID]])</f>
        <v>1</v>
      </c>
    </row>
    <row r="1003" spans="1:8" x14ac:dyDescent="0.2">
      <c r="A1003">
        <f>ROW(LineærRegression_Valg[[#This Row],[Tabel ID]])-ROW(LineærRegression_Valg[[#Headers],[Tabel ID]])</f>
        <v>993</v>
      </c>
      <c r="B1003" s="45">
        <f>ROUNDDOWN((LineærRegression_Valg[[#This Row],[Tabel ID]]-1)/$B$5,0)+1</f>
        <v>249</v>
      </c>
      <c r="C1003" s="45">
        <f t="shared" si="15"/>
        <v>1</v>
      </c>
      <c r="D1003" s="45" t="b">
        <f>LineærRegression_Valg[[#This Row],[Afhængig variabel ID]]&lt;&gt;LineærRegression_Valg[[#This Row],[Uafhængig variabel ID]]</f>
        <v>1</v>
      </c>
      <c r="E1003" t="b">
        <f>LineærRegression_Valg[[#This Row],[Afhængig variabel ID]]&lt;=$B$5</f>
        <v>0</v>
      </c>
      <c r="F1003" t="str" cm="1">
        <f t="array" ref="F1003">IF(LineærRegression_Valg[[#This Row],[Indenfor range]],INDEX(DataTitel_liste,LineærRegression_Valg[[#This Row],[Afhængig variabel ID]]),INDEX(DataTitel_liste,1))</f>
        <v>Eksempel 1 (interval)</v>
      </c>
      <c r="G1003" s="45" t="str" cm="1">
        <f t="array" ref="G1003">IF(LineærRegression_Valg[[#This Row],[Indenfor range]],IF(LineærRegression_Valg[[#This Row],[Intet overlap]],INDEX(DataTitel_liste,LineærRegression_Valg[[#This Row],[Uafhængig variabel ID]]),INDEX(DataTitel_liste,IF(LineærRegression_Valg[[#This Row],[Afhængig variabel ID]]=1,2,1))),$B$7)</f>
        <v>Eksempel 2 (interval)</v>
      </c>
      <c r="H1003" s="45">
        <f>_xlfn.AGGREGATE(2,5,LineærRegression_Valg[[#This Row],[Tabel ID]])</f>
        <v>1</v>
      </c>
    </row>
    <row r="1004" spans="1:8" x14ac:dyDescent="0.2">
      <c r="A1004">
        <f>ROW(LineærRegression_Valg[[#This Row],[Tabel ID]])-ROW(LineærRegression_Valg[[#Headers],[Tabel ID]])</f>
        <v>994</v>
      </c>
      <c r="B1004" s="45">
        <f>ROUNDDOWN((LineærRegression_Valg[[#This Row],[Tabel ID]]-1)/$B$5,0)+1</f>
        <v>249</v>
      </c>
      <c r="C1004" s="45">
        <f t="shared" si="15"/>
        <v>2</v>
      </c>
      <c r="D1004" s="45" t="b">
        <f>LineærRegression_Valg[[#This Row],[Afhængig variabel ID]]&lt;&gt;LineærRegression_Valg[[#This Row],[Uafhængig variabel ID]]</f>
        <v>1</v>
      </c>
      <c r="E1004" t="b">
        <f>LineærRegression_Valg[[#This Row],[Afhængig variabel ID]]&lt;=$B$5</f>
        <v>0</v>
      </c>
      <c r="F1004" t="str" cm="1">
        <f t="array" ref="F1004">IF(LineærRegression_Valg[[#This Row],[Indenfor range]],INDEX(DataTitel_liste,LineærRegression_Valg[[#This Row],[Afhængig variabel ID]]),INDEX(DataTitel_liste,1))</f>
        <v>Eksempel 1 (interval)</v>
      </c>
      <c r="G1004" s="45" t="str" cm="1">
        <f t="array" ref="G1004">IF(LineærRegression_Valg[[#This Row],[Indenfor range]],IF(LineærRegression_Valg[[#This Row],[Intet overlap]],INDEX(DataTitel_liste,LineærRegression_Valg[[#This Row],[Uafhængig variabel ID]]),INDEX(DataTitel_liste,IF(LineærRegression_Valg[[#This Row],[Afhængig variabel ID]]=1,2,1))),$B$7)</f>
        <v>Eksempel 2 (interval)</v>
      </c>
      <c r="H1004" s="45">
        <f>_xlfn.AGGREGATE(2,5,LineærRegression_Valg[[#This Row],[Tabel ID]])</f>
        <v>1</v>
      </c>
    </row>
    <row r="1005" spans="1:8" x14ac:dyDescent="0.2">
      <c r="A1005">
        <f>ROW(LineærRegression_Valg[[#This Row],[Tabel ID]])-ROW(LineærRegression_Valg[[#Headers],[Tabel ID]])</f>
        <v>995</v>
      </c>
      <c r="B1005" s="45">
        <f>ROUNDDOWN((LineærRegression_Valg[[#This Row],[Tabel ID]]-1)/$B$5,0)+1</f>
        <v>249</v>
      </c>
      <c r="C1005" s="45">
        <f t="shared" si="15"/>
        <v>3</v>
      </c>
      <c r="D1005" s="45" t="b">
        <f>LineærRegression_Valg[[#This Row],[Afhængig variabel ID]]&lt;&gt;LineærRegression_Valg[[#This Row],[Uafhængig variabel ID]]</f>
        <v>1</v>
      </c>
      <c r="E1005" t="b">
        <f>LineærRegression_Valg[[#This Row],[Afhængig variabel ID]]&lt;=$B$5</f>
        <v>0</v>
      </c>
      <c r="F1005" t="str" cm="1">
        <f t="array" ref="F1005">IF(LineærRegression_Valg[[#This Row],[Indenfor range]],INDEX(DataTitel_liste,LineærRegression_Valg[[#This Row],[Afhængig variabel ID]]),INDEX(DataTitel_liste,1))</f>
        <v>Eksempel 1 (interval)</v>
      </c>
      <c r="G1005" s="45" t="str" cm="1">
        <f t="array" ref="G1005">IF(LineærRegression_Valg[[#This Row],[Indenfor range]],IF(LineærRegression_Valg[[#This Row],[Intet overlap]],INDEX(DataTitel_liste,LineærRegression_Valg[[#This Row],[Uafhængig variabel ID]]),INDEX(DataTitel_liste,IF(LineærRegression_Valg[[#This Row],[Afhængig variabel ID]]=1,2,1))),$B$7)</f>
        <v>Eksempel 2 (interval)</v>
      </c>
      <c r="H1005" s="45">
        <f>_xlfn.AGGREGATE(2,5,LineærRegression_Valg[[#This Row],[Tabel ID]])</f>
        <v>1</v>
      </c>
    </row>
    <row r="1006" spans="1:8" x14ac:dyDescent="0.2">
      <c r="A1006">
        <f>ROW(LineærRegression_Valg[[#This Row],[Tabel ID]])-ROW(LineærRegression_Valg[[#Headers],[Tabel ID]])</f>
        <v>996</v>
      </c>
      <c r="B1006" s="45">
        <f>ROUNDDOWN((LineærRegression_Valg[[#This Row],[Tabel ID]]-1)/$B$5,0)+1</f>
        <v>249</v>
      </c>
      <c r="C1006" s="45">
        <f t="shared" si="15"/>
        <v>4</v>
      </c>
      <c r="D1006" s="45" t="b">
        <f>LineærRegression_Valg[[#This Row],[Afhængig variabel ID]]&lt;&gt;LineærRegression_Valg[[#This Row],[Uafhængig variabel ID]]</f>
        <v>1</v>
      </c>
      <c r="E1006" t="b">
        <f>LineærRegression_Valg[[#This Row],[Afhængig variabel ID]]&lt;=$B$5</f>
        <v>0</v>
      </c>
      <c r="F1006" t="str" cm="1">
        <f t="array" ref="F1006">IF(LineærRegression_Valg[[#This Row],[Indenfor range]],INDEX(DataTitel_liste,LineærRegression_Valg[[#This Row],[Afhængig variabel ID]]),INDEX(DataTitel_liste,1))</f>
        <v>Eksempel 1 (interval)</v>
      </c>
      <c r="G1006" s="45" t="str" cm="1">
        <f t="array" ref="G1006">IF(LineærRegression_Valg[[#This Row],[Indenfor range]],IF(LineærRegression_Valg[[#This Row],[Intet overlap]],INDEX(DataTitel_liste,LineærRegression_Valg[[#This Row],[Uafhængig variabel ID]]),INDEX(DataTitel_liste,IF(LineærRegression_Valg[[#This Row],[Afhængig variabel ID]]=1,2,1))),$B$7)</f>
        <v>Eksempel 2 (interval)</v>
      </c>
      <c r="H1006" s="45">
        <f>_xlfn.AGGREGATE(2,5,LineærRegression_Valg[[#This Row],[Tabel ID]])</f>
        <v>1</v>
      </c>
    </row>
    <row r="1007" spans="1:8" x14ac:dyDescent="0.2">
      <c r="A1007">
        <f>ROW(LineærRegression_Valg[[#This Row],[Tabel ID]])-ROW(LineærRegression_Valg[[#Headers],[Tabel ID]])</f>
        <v>997</v>
      </c>
      <c r="B1007" s="45">
        <f>ROUNDDOWN((LineærRegression_Valg[[#This Row],[Tabel ID]]-1)/$B$5,0)+1</f>
        <v>250</v>
      </c>
      <c r="C1007" s="45">
        <f t="shared" si="15"/>
        <v>1</v>
      </c>
      <c r="D1007" s="45" t="b">
        <f>LineærRegression_Valg[[#This Row],[Afhængig variabel ID]]&lt;&gt;LineærRegression_Valg[[#This Row],[Uafhængig variabel ID]]</f>
        <v>1</v>
      </c>
      <c r="E1007" t="b">
        <f>LineærRegression_Valg[[#This Row],[Afhængig variabel ID]]&lt;=$B$5</f>
        <v>0</v>
      </c>
      <c r="F1007" t="str" cm="1">
        <f t="array" ref="F1007">IF(LineærRegression_Valg[[#This Row],[Indenfor range]],INDEX(DataTitel_liste,LineærRegression_Valg[[#This Row],[Afhængig variabel ID]]),INDEX(DataTitel_liste,1))</f>
        <v>Eksempel 1 (interval)</v>
      </c>
      <c r="G1007" s="45" t="str" cm="1">
        <f t="array" ref="G1007">IF(LineærRegression_Valg[[#This Row],[Indenfor range]],IF(LineærRegression_Valg[[#This Row],[Intet overlap]],INDEX(DataTitel_liste,LineærRegression_Valg[[#This Row],[Uafhængig variabel ID]]),INDEX(DataTitel_liste,IF(LineærRegression_Valg[[#This Row],[Afhængig variabel ID]]=1,2,1))),$B$7)</f>
        <v>Eksempel 2 (interval)</v>
      </c>
      <c r="H1007" s="45">
        <f>_xlfn.AGGREGATE(2,5,LineærRegression_Valg[[#This Row],[Tabel ID]])</f>
        <v>1</v>
      </c>
    </row>
    <row r="1008" spans="1:8" x14ac:dyDescent="0.2">
      <c r="A1008">
        <f>ROW(LineærRegression_Valg[[#This Row],[Tabel ID]])-ROW(LineærRegression_Valg[[#Headers],[Tabel ID]])</f>
        <v>998</v>
      </c>
      <c r="B1008" s="45">
        <f>ROUNDDOWN((LineærRegression_Valg[[#This Row],[Tabel ID]]-1)/$B$5,0)+1</f>
        <v>250</v>
      </c>
      <c r="C1008" s="45">
        <f t="shared" si="15"/>
        <v>2</v>
      </c>
      <c r="D1008" s="45" t="b">
        <f>LineærRegression_Valg[[#This Row],[Afhængig variabel ID]]&lt;&gt;LineærRegression_Valg[[#This Row],[Uafhængig variabel ID]]</f>
        <v>1</v>
      </c>
      <c r="E1008" t="b">
        <f>LineærRegression_Valg[[#This Row],[Afhængig variabel ID]]&lt;=$B$5</f>
        <v>0</v>
      </c>
      <c r="F1008" t="str" cm="1">
        <f t="array" ref="F1008">IF(LineærRegression_Valg[[#This Row],[Indenfor range]],INDEX(DataTitel_liste,LineærRegression_Valg[[#This Row],[Afhængig variabel ID]]),INDEX(DataTitel_liste,1))</f>
        <v>Eksempel 1 (interval)</v>
      </c>
      <c r="G1008" s="45" t="str" cm="1">
        <f t="array" ref="G1008">IF(LineærRegression_Valg[[#This Row],[Indenfor range]],IF(LineærRegression_Valg[[#This Row],[Intet overlap]],INDEX(DataTitel_liste,LineærRegression_Valg[[#This Row],[Uafhængig variabel ID]]),INDEX(DataTitel_liste,IF(LineærRegression_Valg[[#This Row],[Afhængig variabel ID]]=1,2,1))),$B$7)</f>
        <v>Eksempel 2 (interval)</v>
      </c>
      <c r="H1008" s="45">
        <f>_xlfn.AGGREGATE(2,5,LineærRegression_Valg[[#This Row],[Tabel ID]])</f>
        <v>1</v>
      </c>
    </row>
    <row r="1009" spans="1:8" x14ac:dyDescent="0.2">
      <c r="A1009">
        <f>ROW(LineærRegression_Valg[[#This Row],[Tabel ID]])-ROW(LineærRegression_Valg[[#Headers],[Tabel ID]])</f>
        <v>999</v>
      </c>
      <c r="B1009" s="45">
        <f>ROUNDDOWN((LineærRegression_Valg[[#This Row],[Tabel ID]]-1)/$B$5,0)+1</f>
        <v>250</v>
      </c>
      <c r="C1009" s="45">
        <f t="shared" si="15"/>
        <v>3</v>
      </c>
      <c r="D1009" s="45" t="b">
        <f>LineærRegression_Valg[[#This Row],[Afhængig variabel ID]]&lt;&gt;LineærRegression_Valg[[#This Row],[Uafhængig variabel ID]]</f>
        <v>1</v>
      </c>
      <c r="E1009" t="b">
        <f>LineærRegression_Valg[[#This Row],[Afhængig variabel ID]]&lt;=$B$5</f>
        <v>0</v>
      </c>
      <c r="F1009" t="str" cm="1">
        <f t="array" ref="F1009">IF(LineærRegression_Valg[[#This Row],[Indenfor range]],INDEX(DataTitel_liste,LineærRegression_Valg[[#This Row],[Afhængig variabel ID]]),INDEX(DataTitel_liste,1))</f>
        <v>Eksempel 1 (interval)</v>
      </c>
      <c r="G1009" s="45" t="str" cm="1">
        <f t="array" ref="G1009">IF(LineærRegression_Valg[[#This Row],[Indenfor range]],IF(LineærRegression_Valg[[#This Row],[Intet overlap]],INDEX(DataTitel_liste,LineærRegression_Valg[[#This Row],[Uafhængig variabel ID]]),INDEX(DataTitel_liste,IF(LineærRegression_Valg[[#This Row],[Afhængig variabel ID]]=1,2,1))),$B$7)</f>
        <v>Eksempel 2 (interval)</v>
      </c>
      <c r="H1009" s="45">
        <f>_xlfn.AGGREGATE(2,5,LineærRegression_Valg[[#This Row],[Tabel ID]])</f>
        <v>1</v>
      </c>
    </row>
    <row r="1010" spans="1:8" x14ac:dyDescent="0.2">
      <c r="A1010">
        <f>ROW(LineærRegression_Valg[[#This Row],[Tabel ID]])-ROW(LineærRegression_Valg[[#Headers],[Tabel ID]])</f>
        <v>1000</v>
      </c>
      <c r="B1010" s="45">
        <f>ROUNDDOWN((LineærRegression_Valg[[#This Row],[Tabel ID]]-1)/$B$5,0)+1</f>
        <v>250</v>
      </c>
      <c r="C1010" s="45">
        <f t="shared" si="15"/>
        <v>4</v>
      </c>
      <c r="D1010" s="45" t="b">
        <f>LineærRegression_Valg[[#This Row],[Afhængig variabel ID]]&lt;&gt;LineærRegression_Valg[[#This Row],[Uafhængig variabel ID]]</f>
        <v>1</v>
      </c>
      <c r="E1010" t="b">
        <f>LineærRegression_Valg[[#This Row],[Afhængig variabel ID]]&lt;=$B$5</f>
        <v>0</v>
      </c>
      <c r="F1010" t="str" cm="1">
        <f t="array" ref="F1010">IF(LineærRegression_Valg[[#This Row],[Indenfor range]],INDEX(DataTitel_liste,LineærRegression_Valg[[#This Row],[Afhængig variabel ID]]),INDEX(DataTitel_liste,1))</f>
        <v>Eksempel 1 (interval)</v>
      </c>
      <c r="G1010" s="45" t="str" cm="1">
        <f t="array" ref="G1010">IF(LineærRegression_Valg[[#This Row],[Indenfor range]],IF(LineærRegression_Valg[[#This Row],[Intet overlap]],INDEX(DataTitel_liste,LineærRegression_Valg[[#This Row],[Uafhængig variabel ID]]),INDEX(DataTitel_liste,IF(LineærRegression_Valg[[#This Row],[Afhængig variabel ID]]=1,2,1))),$B$7)</f>
        <v>Eksempel 2 (interval)</v>
      </c>
      <c r="H1010" s="45">
        <f>_xlfn.AGGREGATE(2,5,LineærRegression_Valg[[#This Row],[Tabel ID]])</f>
        <v>1</v>
      </c>
    </row>
    <row r="1011" spans="1:8" x14ac:dyDescent="0.2">
      <c r="A1011">
        <f>ROW(LineærRegression_Valg[[#This Row],[Tabel ID]])-ROW(LineærRegression_Valg[[#Headers],[Tabel ID]])</f>
        <v>1001</v>
      </c>
      <c r="B1011" s="45">
        <f>ROUNDDOWN((LineærRegression_Valg[[#This Row],[Tabel ID]]-1)/$B$5,0)+1</f>
        <v>251</v>
      </c>
      <c r="C1011" s="45">
        <f t="shared" si="15"/>
        <v>1</v>
      </c>
      <c r="D1011" s="45" t="b">
        <f>LineærRegression_Valg[[#This Row],[Afhængig variabel ID]]&lt;&gt;LineærRegression_Valg[[#This Row],[Uafhængig variabel ID]]</f>
        <v>1</v>
      </c>
      <c r="E1011" t="b">
        <f>LineærRegression_Valg[[#This Row],[Afhængig variabel ID]]&lt;=$B$5</f>
        <v>0</v>
      </c>
      <c r="F1011" t="str" cm="1">
        <f t="array" ref="F1011">IF(LineærRegression_Valg[[#This Row],[Indenfor range]],INDEX(DataTitel_liste,LineærRegression_Valg[[#This Row],[Afhængig variabel ID]]),INDEX(DataTitel_liste,1))</f>
        <v>Eksempel 1 (interval)</v>
      </c>
      <c r="G1011" s="45" t="str" cm="1">
        <f t="array" ref="G1011">IF(LineærRegression_Valg[[#This Row],[Indenfor range]],IF(LineærRegression_Valg[[#This Row],[Intet overlap]],INDEX(DataTitel_liste,LineærRegression_Valg[[#This Row],[Uafhængig variabel ID]]),INDEX(DataTitel_liste,IF(LineærRegression_Valg[[#This Row],[Afhængig variabel ID]]=1,2,1))),$B$7)</f>
        <v>Eksempel 2 (interval)</v>
      </c>
      <c r="H1011" s="45">
        <f>_xlfn.AGGREGATE(2,5,LineærRegression_Valg[[#This Row],[Tabel ID]])</f>
        <v>1</v>
      </c>
    </row>
    <row r="1012" spans="1:8" x14ac:dyDescent="0.2">
      <c r="A1012">
        <f>ROW(LineærRegression_Valg[[#This Row],[Tabel ID]])-ROW(LineærRegression_Valg[[#Headers],[Tabel ID]])</f>
        <v>1002</v>
      </c>
      <c r="B1012" s="45">
        <f>ROUNDDOWN((LineærRegression_Valg[[#This Row],[Tabel ID]]-1)/$B$5,0)+1</f>
        <v>251</v>
      </c>
      <c r="C1012" s="45">
        <f t="shared" si="15"/>
        <v>2</v>
      </c>
      <c r="D1012" s="45" t="b">
        <f>LineærRegression_Valg[[#This Row],[Afhængig variabel ID]]&lt;&gt;LineærRegression_Valg[[#This Row],[Uafhængig variabel ID]]</f>
        <v>1</v>
      </c>
      <c r="E1012" t="b">
        <f>LineærRegression_Valg[[#This Row],[Afhængig variabel ID]]&lt;=$B$5</f>
        <v>0</v>
      </c>
      <c r="F1012" t="str" cm="1">
        <f t="array" ref="F1012">IF(LineærRegression_Valg[[#This Row],[Indenfor range]],INDEX(DataTitel_liste,LineærRegression_Valg[[#This Row],[Afhængig variabel ID]]),INDEX(DataTitel_liste,1))</f>
        <v>Eksempel 1 (interval)</v>
      </c>
      <c r="G1012" s="45" t="str" cm="1">
        <f t="array" ref="G1012">IF(LineærRegression_Valg[[#This Row],[Indenfor range]],IF(LineærRegression_Valg[[#This Row],[Intet overlap]],INDEX(DataTitel_liste,LineærRegression_Valg[[#This Row],[Uafhængig variabel ID]]),INDEX(DataTitel_liste,IF(LineærRegression_Valg[[#This Row],[Afhængig variabel ID]]=1,2,1))),$B$7)</f>
        <v>Eksempel 2 (interval)</v>
      </c>
      <c r="H1012" s="45">
        <f>_xlfn.AGGREGATE(2,5,LineærRegression_Valg[[#This Row],[Tabel ID]])</f>
        <v>1</v>
      </c>
    </row>
    <row r="1013" spans="1:8" x14ac:dyDescent="0.2">
      <c r="A1013">
        <f>ROW(LineærRegression_Valg[[#This Row],[Tabel ID]])-ROW(LineærRegression_Valg[[#Headers],[Tabel ID]])</f>
        <v>1003</v>
      </c>
      <c r="B1013" s="45">
        <f>ROUNDDOWN((LineærRegression_Valg[[#This Row],[Tabel ID]]-1)/$B$5,0)+1</f>
        <v>251</v>
      </c>
      <c r="C1013" s="45">
        <f t="shared" si="15"/>
        <v>3</v>
      </c>
      <c r="D1013" s="45" t="b">
        <f>LineærRegression_Valg[[#This Row],[Afhængig variabel ID]]&lt;&gt;LineærRegression_Valg[[#This Row],[Uafhængig variabel ID]]</f>
        <v>1</v>
      </c>
      <c r="E1013" t="b">
        <f>LineærRegression_Valg[[#This Row],[Afhængig variabel ID]]&lt;=$B$5</f>
        <v>0</v>
      </c>
      <c r="F1013" t="str" cm="1">
        <f t="array" ref="F1013">IF(LineærRegression_Valg[[#This Row],[Indenfor range]],INDEX(DataTitel_liste,LineærRegression_Valg[[#This Row],[Afhængig variabel ID]]),INDEX(DataTitel_liste,1))</f>
        <v>Eksempel 1 (interval)</v>
      </c>
      <c r="G1013" s="45" t="str" cm="1">
        <f t="array" ref="G1013">IF(LineærRegression_Valg[[#This Row],[Indenfor range]],IF(LineærRegression_Valg[[#This Row],[Intet overlap]],INDEX(DataTitel_liste,LineærRegression_Valg[[#This Row],[Uafhængig variabel ID]]),INDEX(DataTitel_liste,IF(LineærRegression_Valg[[#This Row],[Afhængig variabel ID]]=1,2,1))),$B$7)</f>
        <v>Eksempel 2 (interval)</v>
      </c>
      <c r="H1013" s="45">
        <f>_xlfn.AGGREGATE(2,5,LineærRegression_Valg[[#This Row],[Tabel ID]])</f>
        <v>1</v>
      </c>
    </row>
    <row r="1014" spans="1:8" x14ac:dyDescent="0.2">
      <c r="A1014">
        <f>ROW(LineærRegression_Valg[[#This Row],[Tabel ID]])-ROW(LineærRegression_Valg[[#Headers],[Tabel ID]])</f>
        <v>1004</v>
      </c>
      <c r="B1014" s="45">
        <f>ROUNDDOWN((LineærRegression_Valg[[#This Row],[Tabel ID]]-1)/$B$5,0)+1</f>
        <v>251</v>
      </c>
      <c r="C1014" s="45">
        <f t="shared" si="15"/>
        <v>4</v>
      </c>
      <c r="D1014" s="45" t="b">
        <f>LineærRegression_Valg[[#This Row],[Afhængig variabel ID]]&lt;&gt;LineærRegression_Valg[[#This Row],[Uafhængig variabel ID]]</f>
        <v>1</v>
      </c>
      <c r="E1014" t="b">
        <f>LineærRegression_Valg[[#This Row],[Afhængig variabel ID]]&lt;=$B$5</f>
        <v>0</v>
      </c>
      <c r="F1014" t="str" cm="1">
        <f t="array" ref="F1014">IF(LineærRegression_Valg[[#This Row],[Indenfor range]],INDEX(DataTitel_liste,LineærRegression_Valg[[#This Row],[Afhængig variabel ID]]),INDEX(DataTitel_liste,1))</f>
        <v>Eksempel 1 (interval)</v>
      </c>
      <c r="G1014" s="45" t="str" cm="1">
        <f t="array" ref="G1014">IF(LineærRegression_Valg[[#This Row],[Indenfor range]],IF(LineærRegression_Valg[[#This Row],[Intet overlap]],INDEX(DataTitel_liste,LineærRegression_Valg[[#This Row],[Uafhængig variabel ID]]),INDEX(DataTitel_liste,IF(LineærRegression_Valg[[#This Row],[Afhængig variabel ID]]=1,2,1))),$B$7)</f>
        <v>Eksempel 2 (interval)</v>
      </c>
      <c r="H1014" s="45">
        <f>_xlfn.AGGREGATE(2,5,LineærRegression_Valg[[#This Row],[Tabel ID]])</f>
        <v>1</v>
      </c>
    </row>
    <row r="1015" spans="1:8" x14ac:dyDescent="0.2">
      <c r="A1015">
        <f>ROW(LineærRegression_Valg[[#This Row],[Tabel ID]])-ROW(LineærRegression_Valg[[#Headers],[Tabel ID]])</f>
        <v>1005</v>
      </c>
      <c r="B1015" s="45">
        <f>ROUNDDOWN((LineærRegression_Valg[[#This Row],[Tabel ID]]-1)/$B$5,0)+1</f>
        <v>252</v>
      </c>
      <c r="C1015" s="45">
        <f t="shared" si="15"/>
        <v>1</v>
      </c>
      <c r="D1015" s="45" t="b">
        <f>LineærRegression_Valg[[#This Row],[Afhængig variabel ID]]&lt;&gt;LineærRegression_Valg[[#This Row],[Uafhængig variabel ID]]</f>
        <v>1</v>
      </c>
      <c r="E1015" t="b">
        <f>LineærRegression_Valg[[#This Row],[Afhængig variabel ID]]&lt;=$B$5</f>
        <v>0</v>
      </c>
      <c r="F1015" t="str" cm="1">
        <f t="array" ref="F1015">IF(LineærRegression_Valg[[#This Row],[Indenfor range]],INDEX(DataTitel_liste,LineærRegression_Valg[[#This Row],[Afhængig variabel ID]]),INDEX(DataTitel_liste,1))</f>
        <v>Eksempel 1 (interval)</v>
      </c>
      <c r="G1015" s="45" t="str" cm="1">
        <f t="array" ref="G1015">IF(LineærRegression_Valg[[#This Row],[Indenfor range]],IF(LineærRegression_Valg[[#This Row],[Intet overlap]],INDEX(DataTitel_liste,LineærRegression_Valg[[#This Row],[Uafhængig variabel ID]]),INDEX(DataTitel_liste,IF(LineærRegression_Valg[[#This Row],[Afhængig variabel ID]]=1,2,1))),$B$7)</f>
        <v>Eksempel 2 (interval)</v>
      </c>
      <c r="H1015" s="45">
        <f>_xlfn.AGGREGATE(2,5,LineærRegression_Valg[[#This Row],[Tabel ID]])</f>
        <v>1</v>
      </c>
    </row>
    <row r="1016" spans="1:8" x14ac:dyDescent="0.2">
      <c r="A1016">
        <f>ROW(LineærRegression_Valg[[#This Row],[Tabel ID]])-ROW(LineærRegression_Valg[[#Headers],[Tabel ID]])</f>
        <v>1006</v>
      </c>
      <c r="B1016" s="45">
        <f>ROUNDDOWN((LineærRegression_Valg[[#This Row],[Tabel ID]]-1)/$B$5,0)+1</f>
        <v>252</v>
      </c>
      <c r="C1016" s="45">
        <f t="shared" si="15"/>
        <v>2</v>
      </c>
      <c r="D1016" s="45" t="b">
        <f>LineærRegression_Valg[[#This Row],[Afhængig variabel ID]]&lt;&gt;LineærRegression_Valg[[#This Row],[Uafhængig variabel ID]]</f>
        <v>1</v>
      </c>
      <c r="E1016" t="b">
        <f>LineærRegression_Valg[[#This Row],[Afhængig variabel ID]]&lt;=$B$5</f>
        <v>0</v>
      </c>
      <c r="F1016" t="str" cm="1">
        <f t="array" ref="F1016">IF(LineærRegression_Valg[[#This Row],[Indenfor range]],INDEX(DataTitel_liste,LineærRegression_Valg[[#This Row],[Afhængig variabel ID]]),INDEX(DataTitel_liste,1))</f>
        <v>Eksempel 1 (interval)</v>
      </c>
      <c r="G1016" s="45" t="str" cm="1">
        <f t="array" ref="G1016">IF(LineærRegression_Valg[[#This Row],[Indenfor range]],IF(LineærRegression_Valg[[#This Row],[Intet overlap]],INDEX(DataTitel_liste,LineærRegression_Valg[[#This Row],[Uafhængig variabel ID]]),INDEX(DataTitel_liste,IF(LineærRegression_Valg[[#This Row],[Afhængig variabel ID]]=1,2,1))),$B$7)</f>
        <v>Eksempel 2 (interval)</v>
      </c>
      <c r="H1016" s="45">
        <f>_xlfn.AGGREGATE(2,5,LineærRegression_Valg[[#This Row],[Tabel ID]])</f>
        <v>1</v>
      </c>
    </row>
    <row r="1017" spans="1:8" x14ac:dyDescent="0.2">
      <c r="A1017">
        <f>ROW(LineærRegression_Valg[[#This Row],[Tabel ID]])-ROW(LineærRegression_Valg[[#Headers],[Tabel ID]])</f>
        <v>1007</v>
      </c>
      <c r="B1017" s="45">
        <f>ROUNDDOWN((LineærRegression_Valg[[#This Row],[Tabel ID]]-1)/$B$5,0)+1</f>
        <v>252</v>
      </c>
      <c r="C1017" s="45">
        <f t="shared" si="15"/>
        <v>3</v>
      </c>
      <c r="D1017" s="45" t="b">
        <f>LineærRegression_Valg[[#This Row],[Afhængig variabel ID]]&lt;&gt;LineærRegression_Valg[[#This Row],[Uafhængig variabel ID]]</f>
        <v>1</v>
      </c>
      <c r="E1017" t="b">
        <f>LineærRegression_Valg[[#This Row],[Afhængig variabel ID]]&lt;=$B$5</f>
        <v>0</v>
      </c>
      <c r="F1017" t="str" cm="1">
        <f t="array" ref="F1017">IF(LineærRegression_Valg[[#This Row],[Indenfor range]],INDEX(DataTitel_liste,LineærRegression_Valg[[#This Row],[Afhængig variabel ID]]),INDEX(DataTitel_liste,1))</f>
        <v>Eksempel 1 (interval)</v>
      </c>
      <c r="G1017" s="45" t="str" cm="1">
        <f t="array" ref="G1017">IF(LineærRegression_Valg[[#This Row],[Indenfor range]],IF(LineærRegression_Valg[[#This Row],[Intet overlap]],INDEX(DataTitel_liste,LineærRegression_Valg[[#This Row],[Uafhængig variabel ID]]),INDEX(DataTitel_liste,IF(LineærRegression_Valg[[#This Row],[Afhængig variabel ID]]=1,2,1))),$B$7)</f>
        <v>Eksempel 2 (interval)</v>
      </c>
      <c r="H1017" s="45">
        <f>_xlfn.AGGREGATE(2,5,LineærRegression_Valg[[#This Row],[Tabel ID]])</f>
        <v>1</v>
      </c>
    </row>
    <row r="1018" spans="1:8" x14ac:dyDescent="0.2">
      <c r="A1018">
        <f>ROW(LineærRegression_Valg[[#This Row],[Tabel ID]])-ROW(LineærRegression_Valg[[#Headers],[Tabel ID]])</f>
        <v>1008</v>
      </c>
      <c r="B1018" s="45">
        <f>ROUNDDOWN((LineærRegression_Valg[[#This Row],[Tabel ID]]-1)/$B$5,0)+1</f>
        <v>252</v>
      </c>
      <c r="C1018" s="45">
        <f t="shared" si="15"/>
        <v>4</v>
      </c>
      <c r="D1018" s="45" t="b">
        <f>LineærRegression_Valg[[#This Row],[Afhængig variabel ID]]&lt;&gt;LineærRegression_Valg[[#This Row],[Uafhængig variabel ID]]</f>
        <v>1</v>
      </c>
      <c r="E1018" t="b">
        <f>LineærRegression_Valg[[#This Row],[Afhængig variabel ID]]&lt;=$B$5</f>
        <v>0</v>
      </c>
      <c r="F1018" t="str" cm="1">
        <f t="array" ref="F1018">IF(LineærRegression_Valg[[#This Row],[Indenfor range]],INDEX(DataTitel_liste,LineærRegression_Valg[[#This Row],[Afhængig variabel ID]]),INDEX(DataTitel_liste,1))</f>
        <v>Eksempel 1 (interval)</v>
      </c>
      <c r="G1018" s="45" t="str" cm="1">
        <f t="array" ref="G1018">IF(LineærRegression_Valg[[#This Row],[Indenfor range]],IF(LineærRegression_Valg[[#This Row],[Intet overlap]],INDEX(DataTitel_liste,LineærRegression_Valg[[#This Row],[Uafhængig variabel ID]]),INDEX(DataTitel_liste,IF(LineærRegression_Valg[[#This Row],[Afhængig variabel ID]]=1,2,1))),$B$7)</f>
        <v>Eksempel 2 (interval)</v>
      </c>
      <c r="H1018" s="45">
        <f>_xlfn.AGGREGATE(2,5,LineærRegression_Valg[[#This Row],[Tabel ID]])</f>
        <v>1</v>
      </c>
    </row>
    <row r="1019" spans="1:8" x14ac:dyDescent="0.2">
      <c r="A1019">
        <f>ROW(LineærRegression_Valg[[#This Row],[Tabel ID]])-ROW(LineærRegression_Valg[[#Headers],[Tabel ID]])</f>
        <v>1009</v>
      </c>
      <c r="B1019" s="45">
        <f>ROUNDDOWN((LineærRegression_Valg[[#This Row],[Tabel ID]]-1)/$B$5,0)+1</f>
        <v>253</v>
      </c>
      <c r="C1019" s="45">
        <f t="shared" si="15"/>
        <v>1</v>
      </c>
      <c r="D1019" s="45" t="b">
        <f>LineærRegression_Valg[[#This Row],[Afhængig variabel ID]]&lt;&gt;LineærRegression_Valg[[#This Row],[Uafhængig variabel ID]]</f>
        <v>1</v>
      </c>
      <c r="E1019" t="b">
        <f>LineærRegression_Valg[[#This Row],[Afhængig variabel ID]]&lt;=$B$5</f>
        <v>0</v>
      </c>
      <c r="F1019" t="str" cm="1">
        <f t="array" ref="F1019">IF(LineærRegression_Valg[[#This Row],[Indenfor range]],INDEX(DataTitel_liste,LineærRegression_Valg[[#This Row],[Afhængig variabel ID]]),INDEX(DataTitel_liste,1))</f>
        <v>Eksempel 1 (interval)</v>
      </c>
      <c r="G1019" s="45" t="str" cm="1">
        <f t="array" ref="G1019">IF(LineærRegression_Valg[[#This Row],[Indenfor range]],IF(LineærRegression_Valg[[#This Row],[Intet overlap]],INDEX(DataTitel_liste,LineærRegression_Valg[[#This Row],[Uafhængig variabel ID]]),INDEX(DataTitel_liste,IF(LineærRegression_Valg[[#This Row],[Afhængig variabel ID]]=1,2,1))),$B$7)</f>
        <v>Eksempel 2 (interval)</v>
      </c>
      <c r="H1019" s="45">
        <f>_xlfn.AGGREGATE(2,5,LineærRegression_Valg[[#This Row],[Tabel ID]])</f>
        <v>1</v>
      </c>
    </row>
    <row r="1020" spans="1:8" x14ac:dyDescent="0.2">
      <c r="A1020">
        <f>ROW(LineærRegression_Valg[[#This Row],[Tabel ID]])-ROW(LineærRegression_Valg[[#Headers],[Tabel ID]])</f>
        <v>1010</v>
      </c>
      <c r="B1020" s="45">
        <f>ROUNDDOWN((LineærRegression_Valg[[#This Row],[Tabel ID]]-1)/$B$5,0)+1</f>
        <v>253</v>
      </c>
      <c r="C1020" s="45">
        <f t="shared" si="15"/>
        <v>2</v>
      </c>
      <c r="D1020" s="45" t="b">
        <f>LineærRegression_Valg[[#This Row],[Afhængig variabel ID]]&lt;&gt;LineærRegression_Valg[[#This Row],[Uafhængig variabel ID]]</f>
        <v>1</v>
      </c>
      <c r="E1020" t="b">
        <f>LineærRegression_Valg[[#This Row],[Afhængig variabel ID]]&lt;=$B$5</f>
        <v>0</v>
      </c>
      <c r="F1020" t="str" cm="1">
        <f t="array" ref="F1020">IF(LineærRegression_Valg[[#This Row],[Indenfor range]],INDEX(DataTitel_liste,LineærRegression_Valg[[#This Row],[Afhængig variabel ID]]),INDEX(DataTitel_liste,1))</f>
        <v>Eksempel 1 (interval)</v>
      </c>
      <c r="G1020" s="45" t="str" cm="1">
        <f t="array" ref="G1020">IF(LineærRegression_Valg[[#This Row],[Indenfor range]],IF(LineærRegression_Valg[[#This Row],[Intet overlap]],INDEX(DataTitel_liste,LineærRegression_Valg[[#This Row],[Uafhængig variabel ID]]),INDEX(DataTitel_liste,IF(LineærRegression_Valg[[#This Row],[Afhængig variabel ID]]=1,2,1))),$B$7)</f>
        <v>Eksempel 2 (interval)</v>
      </c>
      <c r="H1020" s="45">
        <f>_xlfn.AGGREGATE(2,5,LineærRegression_Valg[[#This Row],[Tabel ID]])</f>
        <v>1</v>
      </c>
    </row>
    <row r="1021" spans="1:8" x14ac:dyDescent="0.2">
      <c r="A1021">
        <f>ROW(LineærRegression_Valg[[#This Row],[Tabel ID]])-ROW(LineærRegression_Valg[[#Headers],[Tabel ID]])</f>
        <v>1011</v>
      </c>
      <c r="B1021" s="45">
        <f>ROUNDDOWN((LineærRegression_Valg[[#This Row],[Tabel ID]]-1)/$B$5,0)+1</f>
        <v>253</v>
      </c>
      <c r="C1021" s="45">
        <f t="shared" si="15"/>
        <v>3</v>
      </c>
      <c r="D1021" s="45" t="b">
        <f>LineærRegression_Valg[[#This Row],[Afhængig variabel ID]]&lt;&gt;LineærRegression_Valg[[#This Row],[Uafhængig variabel ID]]</f>
        <v>1</v>
      </c>
      <c r="E1021" t="b">
        <f>LineærRegression_Valg[[#This Row],[Afhængig variabel ID]]&lt;=$B$5</f>
        <v>0</v>
      </c>
      <c r="F1021" t="str" cm="1">
        <f t="array" ref="F1021">IF(LineærRegression_Valg[[#This Row],[Indenfor range]],INDEX(DataTitel_liste,LineærRegression_Valg[[#This Row],[Afhængig variabel ID]]),INDEX(DataTitel_liste,1))</f>
        <v>Eksempel 1 (interval)</v>
      </c>
      <c r="G1021" s="45" t="str" cm="1">
        <f t="array" ref="G1021">IF(LineærRegression_Valg[[#This Row],[Indenfor range]],IF(LineærRegression_Valg[[#This Row],[Intet overlap]],INDEX(DataTitel_liste,LineærRegression_Valg[[#This Row],[Uafhængig variabel ID]]),INDEX(DataTitel_liste,IF(LineærRegression_Valg[[#This Row],[Afhængig variabel ID]]=1,2,1))),$B$7)</f>
        <v>Eksempel 2 (interval)</v>
      </c>
      <c r="H1021" s="45">
        <f>_xlfn.AGGREGATE(2,5,LineærRegression_Valg[[#This Row],[Tabel ID]])</f>
        <v>1</v>
      </c>
    </row>
    <row r="1022" spans="1:8" x14ac:dyDescent="0.2">
      <c r="A1022">
        <f>ROW(LineærRegression_Valg[[#This Row],[Tabel ID]])-ROW(LineærRegression_Valg[[#Headers],[Tabel ID]])</f>
        <v>1012</v>
      </c>
      <c r="B1022" s="45">
        <f>ROUNDDOWN((LineærRegression_Valg[[#This Row],[Tabel ID]]-1)/$B$5,0)+1</f>
        <v>253</v>
      </c>
      <c r="C1022" s="45">
        <f t="shared" si="15"/>
        <v>4</v>
      </c>
      <c r="D1022" s="45" t="b">
        <f>LineærRegression_Valg[[#This Row],[Afhængig variabel ID]]&lt;&gt;LineærRegression_Valg[[#This Row],[Uafhængig variabel ID]]</f>
        <v>1</v>
      </c>
      <c r="E1022" t="b">
        <f>LineærRegression_Valg[[#This Row],[Afhængig variabel ID]]&lt;=$B$5</f>
        <v>0</v>
      </c>
      <c r="F1022" t="str" cm="1">
        <f t="array" ref="F1022">IF(LineærRegression_Valg[[#This Row],[Indenfor range]],INDEX(DataTitel_liste,LineærRegression_Valg[[#This Row],[Afhængig variabel ID]]),INDEX(DataTitel_liste,1))</f>
        <v>Eksempel 1 (interval)</v>
      </c>
      <c r="G1022" s="45" t="str" cm="1">
        <f t="array" ref="G1022">IF(LineærRegression_Valg[[#This Row],[Indenfor range]],IF(LineærRegression_Valg[[#This Row],[Intet overlap]],INDEX(DataTitel_liste,LineærRegression_Valg[[#This Row],[Uafhængig variabel ID]]),INDEX(DataTitel_liste,IF(LineærRegression_Valg[[#This Row],[Afhængig variabel ID]]=1,2,1))),$B$7)</f>
        <v>Eksempel 2 (interval)</v>
      </c>
      <c r="H1022" s="45">
        <f>_xlfn.AGGREGATE(2,5,LineærRegression_Valg[[#This Row],[Tabel ID]])</f>
        <v>1</v>
      </c>
    </row>
    <row r="1023" spans="1:8" x14ac:dyDescent="0.2">
      <c r="A1023">
        <f>ROW(LineærRegression_Valg[[#This Row],[Tabel ID]])-ROW(LineærRegression_Valg[[#Headers],[Tabel ID]])</f>
        <v>1013</v>
      </c>
      <c r="B1023" s="45">
        <f>ROUNDDOWN((LineærRegression_Valg[[#This Row],[Tabel ID]]-1)/$B$5,0)+1</f>
        <v>254</v>
      </c>
      <c r="C1023" s="45">
        <f t="shared" si="15"/>
        <v>1</v>
      </c>
      <c r="D1023" s="45" t="b">
        <f>LineærRegression_Valg[[#This Row],[Afhængig variabel ID]]&lt;&gt;LineærRegression_Valg[[#This Row],[Uafhængig variabel ID]]</f>
        <v>1</v>
      </c>
      <c r="E1023" t="b">
        <f>LineærRegression_Valg[[#This Row],[Afhængig variabel ID]]&lt;=$B$5</f>
        <v>0</v>
      </c>
      <c r="F1023" t="str" cm="1">
        <f t="array" ref="F1023">IF(LineærRegression_Valg[[#This Row],[Indenfor range]],INDEX(DataTitel_liste,LineærRegression_Valg[[#This Row],[Afhængig variabel ID]]),INDEX(DataTitel_liste,1))</f>
        <v>Eksempel 1 (interval)</v>
      </c>
      <c r="G1023" s="45" t="str" cm="1">
        <f t="array" ref="G1023">IF(LineærRegression_Valg[[#This Row],[Indenfor range]],IF(LineærRegression_Valg[[#This Row],[Intet overlap]],INDEX(DataTitel_liste,LineærRegression_Valg[[#This Row],[Uafhængig variabel ID]]),INDEX(DataTitel_liste,IF(LineærRegression_Valg[[#This Row],[Afhængig variabel ID]]=1,2,1))),$B$7)</f>
        <v>Eksempel 2 (interval)</v>
      </c>
      <c r="H1023" s="45">
        <f>_xlfn.AGGREGATE(2,5,LineærRegression_Valg[[#This Row],[Tabel ID]])</f>
        <v>1</v>
      </c>
    </row>
    <row r="1024" spans="1:8" x14ac:dyDescent="0.2">
      <c r="A1024">
        <f>ROW(LineærRegression_Valg[[#This Row],[Tabel ID]])-ROW(LineærRegression_Valg[[#Headers],[Tabel ID]])</f>
        <v>1014</v>
      </c>
      <c r="B1024" s="45">
        <f>ROUNDDOWN((LineærRegression_Valg[[#This Row],[Tabel ID]]-1)/$B$5,0)+1</f>
        <v>254</v>
      </c>
      <c r="C1024" s="45">
        <f t="shared" si="15"/>
        <v>2</v>
      </c>
      <c r="D1024" s="45" t="b">
        <f>LineærRegression_Valg[[#This Row],[Afhængig variabel ID]]&lt;&gt;LineærRegression_Valg[[#This Row],[Uafhængig variabel ID]]</f>
        <v>1</v>
      </c>
      <c r="E1024" t="b">
        <f>LineærRegression_Valg[[#This Row],[Afhængig variabel ID]]&lt;=$B$5</f>
        <v>0</v>
      </c>
      <c r="F1024" t="str" cm="1">
        <f t="array" ref="F1024">IF(LineærRegression_Valg[[#This Row],[Indenfor range]],INDEX(DataTitel_liste,LineærRegression_Valg[[#This Row],[Afhængig variabel ID]]),INDEX(DataTitel_liste,1))</f>
        <v>Eksempel 1 (interval)</v>
      </c>
      <c r="G1024" s="45" t="str" cm="1">
        <f t="array" ref="G1024">IF(LineærRegression_Valg[[#This Row],[Indenfor range]],IF(LineærRegression_Valg[[#This Row],[Intet overlap]],INDEX(DataTitel_liste,LineærRegression_Valg[[#This Row],[Uafhængig variabel ID]]),INDEX(DataTitel_liste,IF(LineærRegression_Valg[[#This Row],[Afhængig variabel ID]]=1,2,1))),$B$7)</f>
        <v>Eksempel 2 (interval)</v>
      </c>
      <c r="H1024" s="45">
        <f>_xlfn.AGGREGATE(2,5,LineærRegression_Valg[[#This Row],[Tabel ID]])</f>
        <v>1</v>
      </c>
    </row>
    <row r="1025" spans="1:8" x14ac:dyDescent="0.2">
      <c r="A1025">
        <f>ROW(LineærRegression_Valg[[#This Row],[Tabel ID]])-ROW(LineærRegression_Valg[[#Headers],[Tabel ID]])</f>
        <v>1015</v>
      </c>
      <c r="B1025" s="45">
        <f>ROUNDDOWN((LineærRegression_Valg[[#This Row],[Tabel ID]]-1)/$B$5,0)+1</f>
        <v>254</v>
      </c>
      <c r="C1025" s="45">
        <f t="shared" si="15"/>
        <v>3</v>
      </c>
      <c r="D1025" s="45" t="b">
        <f>LineærRegression_Valg[[#This Row],[Afhængig variabel ID]]&lt;&gt;LineærRegression_Valg[[#This Row],[Uafhængig variabel ID]]</f>
        <v>1</v>
      </c>
      <c r="E1025" t="b">
        <f>LineærRegression_Valg[[#This Row],[Afhængig variabel ID]]&lt;=$B$5</f>
        <v>0</v>
      </c>
      <c r="F1025" t="str" cm="1">
        <f t="array" ref="F1025">IF(LineærRegression_Valg[[#This Row],[Indenfor range]],INDEX(DataTitel_liste,LineærRegression_Valg[[#This Row],[Afhængig variabel ID]]),INDEX(DataTitel_liste,1))</f>
        <v>Eksempel 1 (interval)</v>
      </c>
      <c r="G1025" s="45" t="str" cm="1">
        <f t="array" ref="G1025">IF(LineærRegression_Valg[[#This Row],[Indenfor range]],IF(LineærRegression_Valg[[#This Row],[Intet overlap]],INDEX(DataTitel_liste,LineærRegression_Valg[[#This Row],[Uafhængig variabel ID]]),INDEX(DataTitel_liste,IF(LineærRegression_Valg[[#This Row],[Afhængig variabel ID]]=1,2,1))),$B$7)</f>
        <v>Eksempel 2 (interval)</v>
      </c>
      <c r="H1025" s="45">
        <f>_xlfn.AGGREGATE(2,5,LineærRegression_Valg[[#This Row],[Tabel ID]])</f>
        <v>1</v>
      </c>
    </row>
    <row r="1026" spans="1:8" x14ac:dyDescent="0.2">
      <c r="A1026">
        <f>ROW(LineærRegression_Valg[[#This Row],[Tabel ID]])-ROW(LineærRegression_Valg[[#Headers],[Tabel ID]])</f>
        <v>1016</v>
      </c>
      <c r="B1026" s="45">
        <f>ROUNDDOWN((LineærRegression_Valg[[#This Row],[Tabel ID]]-1)/$B$5,0)+1</f>
        <v>254</v>
      </c>
      <c r="C1026" s="45">
        <f t="shared" si="15"/>
        <v>4</v>
      </c>
      <c r="D1026" s="45" t="b">
        <f>LineærRegression_Valg[[#This Row],[Afhængig variabel ID]]&lt;&gt;LineærRegression_Valg[[#This Row],[Uafhængig variabel ID]]</f>
        <v>1</v>
      </c>
      <c r="E1026" t="b">
        <f>LineærRegression_Valg[[#This Row],[Afhængig variabel ID]]&lt;=$B$5</f>
        <v>0</v>
      </c>
      <c r="F1026" t="str" cm="1">
        <f t="array" ref="F1026">IF(LineærRegression_Valg[[#This Row],[Indenfor range]],INDEX(DataTitel_liste,LineærRegression_Valg[[#This Row],[Afhængig variabel ID]]),INDEX(DataTitel_liste,1))</f>
        <v>Eksempel 1 (interval)</v>
      </c>
      <c r="G1026" s="45" t="str" cm="1">
        <f t="array" ref="G1026">IF(LineærRegression_Valg[[#This Row],[Indenfor range]],IF(LineærRegression_Valg[[#This Row],[Intet overlap]],INDEX(DataTitel_liste,LineærRegression_Valg[[#This Row],[Uafhængig variabel ID]]),INDEX(DataTitel_liste,IF(LineærRegression_Valg[[#This Row],[Afhængig variabel ID]]=1,2,1))),$B$7)</f>
        <v>Eksempel 2 (interval)</v>
      </c>
      <c r="H1026" s="45">
        <f>_xlfn.AGGREGATE(2,5,LineærRegression_Valg[[#This Row],[Tabel ID]])</f>
        <v>1</v>
      </c>
    </row>
    <row r="1027" spans="1:8" x14ac:dyDescent="0.2">
      <c r="A1027">
        <f>ROW(LineærRegression_Valg[[#This Row],[Tabel ID]])-ROW(LineærRegression_Valg[[#Headers],[Tabel ID]])</f>
        <v>1017</v>
      </c>
      <c r="B1027" s="45">
        <f>ROUNDDOWN((LineærRegression_Valg[[#This Row],[Tabel ID]]-1)/$B$5,0)+1</f>
        <v>255</v>
      </c>
      <c r="C1027" s="45">
        <f t="shared" si="15"/>
        <v>1</v>
      </c>
      <c r="D1027" s="45" t="b">
        <f>LineærRegression_Valg[[#This Row],[Afhængig variabel ID]]&lt;&gt;LineærRegression_Valg[[#This Row],[Uafhængig variabel ID]]</f>
        <v>1</v>
      </c>
      <c r="E1027" t="b">
        <f>LineærRegression_Valg[[#This Row],[Afhængig variabel ID]]&lt;=$B$5</f>
        <v>0</v>
      </c>
      <c r="F1027" t="str" cm="1">
        <f t="array" ref="F1027">IF(LineærRegression_Valg[[#This Row],[Indenfor range]],INDEX(DataTitel_liste,LineærRegression_Valg[[#This Row],[Afhængig variabel ID]]),INDEX(DataTitel_liste,1))</f>
        <v>Eksempel 1 (interval)</v>
      </c>
      <c r="G1027" s="45" t="str" cm="1">
        <f t="array" ref="G1027">IF(LineærRegression_Valg[[#This Row],[Indenfor range]],IF(LineærRegression_Valg[[#This Row],[Intet overlap]],INDEX(DataTitel_liste,LineærRegression_Valg[[#This Row],[Uafhængig variabel ID]]),INDEX(DataTitel_liste,IF(LineærRegression_Valg[[#This Row],[Afhængig variabel ID]]=1,2,1))),$B$7)</f>
        <v>Eksempel 2 (interval)</v>
      </c>
      <c r="H1027" s="45">
        <f>_xlfn.AGGREGATE(2,5,LineærRegression_Valg[[#This Row],[Tabel ID]])</f>
        <v>1</v>
      </c>
    </row>
    <row r="1028" spans="1:8" x14ac:dyDescent="0.2">
      <c r="A1028">
        <f>ROW(LineærRegression_Valg[[#This Row],[Tabel ID]])-ROW(LineærRegression_Valg[[#Headers],[Tabel ID]])</f>
        <v>1018</v>
      </c>
      <c r="B1028" s="45">
        <f>ROUNDDOWN((LineærRegression_Valg[[#This Row],[Tabel ID]]-1)/$B$5,0)+1</f>
        <v>255</v>
      </c>
      <c r="C1028" s="45">
        <f t="shared" si="15"/>
        <v>2</v>
      </c>
      <c r="D1028" s="45" t="b">
        <f>LineærRegression_Valg[[#This Row],[Afhængig variabel ID]]&lt;&gt;LineærRegression_Valg[[#This Row],[Uafhængig variabel ID]]</f>
        <v>1</v>
      </c>
      <c r="E1028" t="b">
        <f>LineærRegression_Valg[[#This Row],[Afhængig variabel ID]]&lt;=$B$5</f>
        <v>0</v>
      </c>
      <c r="F1028" t="str" cm="1">
        <f t="array" ref="F1028">IF(LineærRegression_Valg[[#This Row],[Indenfor range]],INDEX(DataTitel_liste,LineærRegression_Valg[[#This Row],[Afhængig variabel ID]]),INDEX(DataTitel_liste,1))</f>
        <v>Eksempel 1 (interval)</v>
      </c>
      <c r="G1028" s="45" t="str" cm="1">
        <f t="array" ref="G1028">IF(LineærRegression_Valg[[#This Row],[Indenfor range]],IF(LineærRegression_Valg[[#This Row],[Intet overlap]],INDEX(DataTitel_liste,LineærRegression_Valg[[#This Row],[Uafhængig variabel ID]]),INDEX(DataTitel_liste,IF(LineærRegression_Valg[[#This Row],[Afhængig variabel ID]]=1,2,1))),$B$7)</f>
        <v>Eksempel 2 (interval)</v>
      </c>
      <c r="H1028" s="45">
        <f>_xlfn.AGGREGATE(2,5,LineærRegression_Valg[[#This Row],[Tabel ID]])</f>
        <v>1</v>
      </c>
    </row>
    <row r="1029" spans="1:8" x14ac:dyDescent="0.2">
      <c r="A1029">
        <f>ROW(LineærRegression_Valg[[#This Row],[Tabel ID]])-ROW(LineærRegression_Valg[[#Headers],[Tabel ID]])</f>
        <v>1019</v>
      </c>
      <c r="B1029" s="45">
        <f>ROUNDDOWN((LineærRegression_Valg[[#This Row],[Tabel ID]]-1)/$B$5,0)+1</f>
        <v>255</v>
      </c>
      <c r="C1029" s="45">
        <f t="shared" si="15"/>
        <v>3</v>
      </c>
      <c r="D1029" s="45" t="b">
        <f>LineærRegression_Valg[[#This Row],[Afhængig variabel ID]]&lt;&gt;LineærRegression_Valg[[#This Row],[Uafhængig variabel ID]]</f>
        <v>1</v>
      </c>
      <c r="E1029" t="b">
        <f>LineærRegression_Valg[[#This Row],[Afhængig variabel ID]]&lt;=$B$5</f>
        <v>0</v>
      </c>
      <c r="F1029" t="str" cm="1">
        <f t="array" ref="F1029">IF(LineærRegression_Valg[[#This Row],[Indenfor range]],INDEX(DataTitel_liste,LineærRegression_Valg[[#This Row],[Afhængig variabel ID]]),INDEX(DataTitel_liste,1))</f>
        <v>Eksempel 1 (interval)</v>
      </c>
      <c r="G1029" s="45" t="str" cm="1">
        <f t="array" ref="G1029">IF(LineærRegression_Valg[[#This Row],[Indenfor range]],IF(LineærRegression_Valg[[#This Row],[Intet overlap]],INDEX(DataTitel_liste,LineærRegression_Valg[[#This Row],[Uafhængig variabel ID]]),INDEX(DataTitel_liste,IF(LineærRegression_Valg[[#This Row],[Afhængig variabel ID]]=1,2,1))),$B$7)</f>
        <v>Eksempel 2 (interval)</v>
      </c>
      <c r="H1029" s="45">
        <f>_xlfn.AGGREGATE(2,5,LineærRegression_Valg[[#This Row],[Tabel ID]])</f>
        <v>1</v>
      </c>
    </row>
    <row r="1030" spans="1:8" x14ac:dyDescent="0.2">
      <c r="A1030">
        <f>ROW(LineærRegression_Valg[[#This Row],[Tabel ID]])-ROW(LineærRegression_Valg[[#Headers],[Tabel ID]])</f>
        <v>1020</v>
      </c>
      <c r="B1030" s="45">
        <f>ROUNDDOWN((LineærRegression_Valg[[#This Row],[Tabel ID]]-1)/$B$5,0)+1</f>
        <v>255</v>
      </c>
      <c r="C1030" s="45">
        <f t="shared" si="15"/>
        <v>4</v>
      </c>
      <c r="D1030" s="45" t="b">
        <f>LineærRegression_Valg[[#This Row],[Afhængig variabel ID]]&lt;&gt;LineærRegression_Valg[[#This Row],[Uafhængig variabel ID]]</f>
        <v>1</v>
      </c>
      <c r="E1030" t="b">
        <f>LineærRegression_Valg[[#This Row],[Afhængig variabel ID]]&lt;=$B$5</f>
        <v>0</v>
      </c>
      <c r="F1030" t="str" cm="1">
        <f t="array" ref="F1030">IF(LineærRegression_Valg[[#This Row],[Indenfor range]],INDEX(DataTitel_liste,LineærRegression_Valg[[#This Row],[Afhængig variabel ID]]),INDEX(DataTitel_liste,1))</f>
        <v>Eksempel 1 (interval)</v>
      </c>
      <c r="G1030" s="45" t="str" cm="1">
        <f t="array" ref="G1030">IF(LineærRegression_Valg[[#This Row],[Indenfor range]],IF(LineærRegression_Valg[[#This Row],[Intet overlap]],INDEX(DataTitel_liste,LineærRegression_Valg[[#This Row],[Uafhængig variabel ID]]),INDEX(DataTitel_liste,IF(LineærRegression_Valg[[#This Row],[Afhængig variabel ID]]=1,2,1))),$B$7)</f>
        <v>Eksempel 2 (interval)</v>
      </c>
      <c r="H1030" s="45">
        <f>_xlfn.AGGREGATE(2,5,LineærRegression_Valg[[#This Row],[Tabel ID]])</f>
        <v>1</v>
      </c>
    </row>
    <row r="1031" spans="1:8" x14ac:dyDescent="0.2">
      <c r="A1031">
        <f>ROW(LineærRegression_Valg[[#This Row],[Tabel ID]])-ROW(LineærRegression_Valg[[#Headers],[Tabel ID]])</f>
        <v>1021</v>
      </c>
      <c r="B1031" s="45">
        <f>ROUNDDOWN((LineærRegression_Valg[[#This Row],[Tabel ID]]-1)/$B$5,0)+1</f>
        <v>256</v>
      </c>
      <c r="C1031" s="45">
        <f t="shared" si="15"/>
        <v>1</v>
      </c>
      <c r="D1031" s="45" t="b">
        <f>LineærRegression_Valg[[#This Row],[Afhængig variabel ID]]&lt;&gt;LineærRegression_Valg[[#This Row],[Uafhængig variabel ID]]</f>
        <v>1</v>
      </c>
      <c r="E1031" t="b">
        <f>LineærRegression_Valg[[#This Row],[Afhængig variabel ID]]&lt;=$B$5</f>
        <v>0</v>
      </c>
      <c r="F1031" t="str" cm="1">
        <f t="array" ref="F1031">IF(LineærRegression_Valg[[#This Row],[Indenfor range]],INDEX(DataTitel_liste,LineærRegression_Valg[[#This Row],[Afhængig variabel ID]]),INDEX(DataTitel_liste,1))</f>
        <v>Eksempel 1 (interval)</v>
      </c>
      <c r="G1031" s="45" t="str" cm="1">
        <f t="array" ref="G1031">IF(LineærRegression_Valg[[#This Row],[Indenfor range]],IF(LineærRegression_Valg[[#This Row],[Intet overlap]],INDEX(DataTitel_liste,LineærRegression_Valg[[#This Row],[Uafhængig variabel ID]]),INDEX(DataTitel_liste,IF(LineærRegression_Valg[[#This Row],[Afhængig variabel ID]]=1,2,1))),$B$7)</f>
        <v>Eksempel 2 (interval)</v>
      </c>
      <c r="H1031" s="45">
        <f>_xlfn.AGGREGATE(2,5,LineærRegression_Valg[[#This Row],[Tabel ID]])</f>
        <v>1</v>
      </c>
    </row>
    <row r="1032" spans="1:8" x14ac:dyDescent="0.2">
      <c r="A1032">
        <f>ROW(LineærRegression_Valg[[#This Row],[Tabel ID]])-ROW(LineærRegression_Valg[[#Headers],[Tabel ID]])</f>
        <v>1022</v>
      </c>
      <c r="B1032" s="45">
        <f>ROUNDDOWN((LineærRegression_Valg[[#This Row],[Tabel ID]]-1)/$B$5,0)+1</f>
        <v>256</v>
      </c>
      <c r="C1032" s="45">
        <f t="shared" si="15"/>
        <v>2</v>
      </c>
      <c r="D1032" s="45" t="b">
        <f>LineærRegression_Valg[[#This Row],[Afhængig variabel ID]]&lt;&gt;LineærRegression_Valg[[#This Row],[Uafhængig variabel ID]]</f>
        <v>1</v>
      </c>
      <c r="E1032" t="b">
        <f>LineærRegression_Valg[[#This Row],[Afhængig variabel ID]]&lt;=$B$5</f>
        <v>0</v>
      </c>
      <c r="F1032" t="str" cm="1">
        <f t="array" ref="F1032">IF(LineærRegression_Valg[[#This Row],[Indenfor range]],INDEX(DataTitel_liste,LineærRegression_Valg[[#This Row],[Afhængig variabel ID]]),INDEX(DataTitel_liste,1))</f>
        <v>Eksempel 1 (interval)</v>
      </c>
      <c r="G1032" s="45" t="str" cm="1">
        <f t="array" ref="G1032">IF(LineærRegression_Valg[[#This Row],[Indenfor range]],IF(LineærRegression_Valg[[#This Row],[Intet overlap]],INDEX(DataTitel_liste,LineærRegression_Valg[[#This Row],[Uafhængig variabel ID]]),INDEX(DataTitel_liste,IF(LineærRegression_Valg[[#This Row],[Afhængig variabel ID]]=1,2,1))),$B$7)</f>
        <v>Eksempel 2 (interval)</v>
      </c>
      <c r="H1032" s="45">
        <f>_xlfn.AGGREGATE(2,5,LineærRegression_Valg[[#This Row],[Tabel ID]])</f>
        <v>1</v>
      </c>
    </row>
    <row r="1033" spans="1:8" x14ac:dyDescent="0.2">
      <c r="A1033">
        <f>ROW(LineærRegression_Valg[[#This Row],[Tabel ID]])-ROW(LineærRegression_Valg[[#Headers],[Tabel ID]])</f>
        <v>1023</v>
      </c>
      <c r="B1033" s="45">
        <f>ROUNDDOWN((LineærRegression_Valg[[#This Row],[Tabel ID]]-1)/$B$5,0)+1</f>
        <v>256</v>
      </c>
      <c r="C1033" s="45">
        <f t="shared" si="15"/>
        <v>3</v>
      </c>
      <c r="D1033" s="45" t="b">
        <f>LineærRegression_Valg[[#This Row],[Afhængig variabel ID]]&lt;&gt;LineærRegression_Valg[[#This Row],[Uafhængig variabel ID]]</f>
        <v>1</v>
      </c>
      <c r="E1033" t="b">
        <f>LineærRegression_Valg[[#This Row],[Afhængig variabel ID]]&lt;=$B$5</f>
        <v>0</v>
      </c>
      <c r="F1033" t="str" cm="1">
        <f t="array" ref="F1033">IF(LineærRegression_Valg[[#This Row],[Indenfor range]],INDEX(DataTitel_liste,LineærRegression_Valg[[#This Row],[Afhængig variabel ID]]),INDEX(DataTitel_liste,1))</f>
        <v>Eksempel 1 (interval)</v>
      </c>
      <c r="G1033" s="45" t="str" cm="1">
        <f t="array" ref="G1033">IF(LineærRegression_Valg[[#This Row],[Indenfor range]],IF(LineærRegression_Valg[[#This Row],[Intet overlap]],INDEX(DataTitel_liste,LineærRegression_Valg[[#This Row],[Uafhængig variabel ID]]),INDEX(DataTitel_liste,IF(LineærRegression_Valg[[#This Row],[Afhængig variabel ID]]=1,2,1))),$B$7)</f>
        <v>Eksempel 2 (interval)</v>
      </c>
      <c r="H1033" s="45">
        <f>_xlfn.AGGREGATE(2,5,LineærRegression_Valg[[#This Row],[Tabel ID]])</f>
        <v>1</v>
      </c>
    </row>
    <row r="1034" spans="1:8" x14ac:dyDescent="0.2">
      <c r="A1034">
        <f>ROW(LineærRegression_Valg[[#This Row],[Tabel ID]])-ROW(LineærRegression_Valg[[#Headers],[Tabel ID]])</f>
        <v>1024</v>
      </c>
      <c r="B1034" s="45">
        <f>ROUNDDOWN((LineærRegression_Valg[[#This Row],[Tabel ID]]-1)/$B$5,0)+1</f>
        <v>256</v>
      </c>
      <c r="C1034" s="45">
        <f t="shared" si="15"/>
        <v>4</v>
      </c>
      <c r="D1034" s="45" t="b">
        <f>LineærRegression_Valg[[#This Row],[Afhængig variabel ID]]&lt;&gt;LineærRegression_Valg[[#This Row],[Uafhængig variabel ID]]</f>
        <v>1</v>
      </c>
      <c r="E1034" t="b">
        <f>LineærRegression_Valg[[#This Row],[Afhængig variabel ID]]&lt;=$B$5</f>
        <v>0</v>
      </c>
      <c r="F1034" t="str" cm="1">
        <f t="array" ref="F1034">IF(LineærRegression_Valg[[#This Row],[Indenfor range]],INDEX(DataTitel_liste,LineærRegression_Valg[[#This Row],[Afhængig variabel ID]]),INDEX(DataTitel_liste,1))</f>
        <v>Eksempel 1 (interval)</v>
      </c>
      <c r="G1034" s="45" t="str" cm="1">
        <f t="array" ref="G1034">IF(LineærRegression_Valg[[#This Row],[Indenfor range]],IF(LineærRegression_Valg[[#This Row],[Intet overlap]],INDEX(DataTitel_liste,LineærRegression_Valg[[#This Row],[Uafhængig variabel ID]]),INDEX(DataTitel_liste,IF(LineærRegression_Valg[[#This Row],[Afhængig variabel ID]]=1,2,1))),$B$7)</f>
        <v>Eksempel 2 (interval)</v>
      </c>
      <c r="H1034" s="45">
        <f>_xlfn.AGGREGATE(2,5,LineærRegression_Valg[[#This Row],[Tabel ID]])</f>
        <v>1</v>
      </c>
    </row>
    <row r="1035" spans="1:8" x14ac:dyDescent="0.2">
      <c r="A1035">
        <f>ROW(LineærRegression_Valg[[#This Row],[Tabel ID]])-ROW(LineærRegression_Valg[[#Headers],[Tabel ID]])</f>
        <v>1025</v>
      </c>
      <c r="B1035" s="45">
        <f>ROUNDDOWN((LineærRegression_Valg[[#This Row],[Tabel ID]]-1)/$B$5,0)+1</f>
        <v>257</v>
      </c>
      <c r="C1035" s="45">
        <f t="shared" ref="C1035:C1098" si="16">MOD(A1035-1,$B$5)+1</f>
        <v>1</v>
      </c>
      <c r="D1035" s="45" t="b">
        <f>LineærRegression_Valg[[#This Row],[Afhængig variabel ID]]&lt;&gt;LineærRegression_Valg[[#This Row],[Uafhængig variabel ID]]</f>
        <v>1</v>
      </c>
      <c r="E1035" t="b">
        <f>LineærRegression_Valg[[#This Row],[Afhængig variabel ID]]&lt;=$B$5</f>
        <v>0</v>
      </c>
      <c r="F1035" t="str" cm="1">
        <f t="array" ref="F1035">IF(LineærRegression_Valg[[#This Row],[Indenfor range]],INDEX(DataTitel_liste,LineærRegression_Valg[[#This Row],[Afhængig variabel ID]]),INDEX(DataTitel_liste,1))</f>
        <v>Eksempel 1 (interval)</v>
      </c>
      <c r="G1035" s="45" t="str" cm="1">
        <f t="array" ref="G1035">IF(LineærRegression_Valg[[#This Row],[Indenfor range]],IF(LineærRegression_Valg[[#This Row],[Intet overlap]],INDEX(DataTitel_liste,LineærRegression_Valg[[#This Row],[Uafhængig variabel ID]]),INDEX(DataTitel_liste,IF(LineærRegression_Valg[[#This Row],[Afhængig variabel ID]]=1,2,1))),$B$7)</f>
        <v>Eksempel 2 (interval)</v>
      </c>
      <c r="H1035" s="45">
        <f>_xlfn.AGGREGATE(2,5,LineærRegression_Valg[[#This Row],[Tabel ID]])</f>
        <v>1</v>
      </c>
    </row>
    <row r="1036" spans="1:8" x14ac:dyDescent="0.2">
      <c r="A1036">
        <f>ROW(LineærRegression_Valg[[#This Row],[Tabel ID]])-ROW(LineærRegression_Valg[[#Headers],[Tabel ID]])</f>
        <v>1026</v>
      </c>
      <c r="B1036" s="45">
        <f>ROUNDDOWN((LineærRegression_Valg[[#This Row],[Tabel ID]]-1)/$B$5,0)+1</f>
        <v>257</v>
      </c>
      <c r="C1036" s="45">
        <f t="shared" si="16"/>
        <v>2</v>
      </c>
      <c r="D1036" s="45" t="b">
        <f>LineærRegression_Valg[[#This Row],[Afhængig variabel ID]]&lt;&gt;LineærRegression_Valg[[#This Row],[Uafhængig variabel ID]]</f>
        <v>1</v>
      </c>
      <c r="E1036" t="b">
        <f>LineærRegression_Valg[[#This Row],[Afhængig variabel ID]]&lt;=$B$5</f>
        <v>0</v>
      </c>
      <c r="F1036" t="str" cm="1">
        <f t="array" ref="F1036">IF(LineærRegression_Valg[[#This Row],[Indenfor range]],INDEX(DataTitel_liste,LineærRegression_Valg[[#This Row],[Afhængig variabel ID]]),INDEX(DataTitel_liste,1))</f>
        <v>Eksempel 1 (interval)</v>
      </c>
      <c r="G1036" s="45" t="str" cm="1">
        <f t="array" ref="G1036">IF(LineærRegression_Valg[[#This Row],[Indenfor range]],IF(LineærRegression_Valg[[#This Row],[Intet overlap]],INDEX(DataTitel_liste,LineærRegression_Valg[[#This Row],[Uafhængig variabel ID]]),INDEX(DataTitel_liste,IF(LineærRegression_Valg[[#This Row],[Afhængig variabel ID]]=1,2,1))),$B$7)</f>
        <v>Eksempel 2 (interval)</v>
      </c>
      <c r="H1036" s="45">
        <f>_xlfn.AGGREGATE(2,5,LineærRegression_Valg[[#This Row],[Tabel ID]])</f>
        <v>1</v>
      </c>
    </row>
    <row r="1037" spans="1:8" x14ac:dyDescent="0.2">
      <c r="A1037">
        <f>ROW(LineærRegression_Valg[[#This Row],[Tabel ID]])-ROW(LineærRegression_Valg[[#Headers],[Tabel ID]])</f>
        <v>1027</v>
      </c>
      <c r="B1037" s="45">
        <f>ROUNDDOWN((LineærRegression_Valg[[#This Row],[Tabel ID]]-1)/$B$5,0)+1</f>
        <v>257</v>
      </c>
      <c r="C1037" s="45">
        <f t="shared" si="16"/>
        <v>3</v>
      </c>
      <c r="D1037" s="45" t="b">
        <f>LineærRegression_Valg[[#This Row],[Afhængig variabel ID]]&lt;&gt;LineærRegression_Valg[[#This Row],[Uafhængig variabel ID]]</f>
        <v>1</v>
      </c>
      <c r="E1037" t="b">
        <f>LineærRegression_Valg[[#This Row],[Afhængig variabel ID]]&lt;=$B$5</f>
        <v>0</v>
      </c>
      <c r="F1037" t="str" cm="1">
        <f t="array" ref="F1037">IF(LineærRegression_Valg[[#This Row],[Indenfor range]],INDEX(DataTitel_liste,LineærRegression_Valg[[#This Row],[Afhængig variabel ID]]),INDEX(DataTitel_liste,1))</f>
        <v>Eksempel 1 (interval)</v>
      </c>
      <c r="G1037" s="45" t="str" cm="1">
        <f t="array" ref="G1037">IF(LineærRegression_Valg[[#This Row],[Indenfor range]],IF(LineærRegression_Valg[[#This Row],[Intet overlap]],INDEX(DataTitel_liste,LineærRegression_Valg[[#This Row],[Uafhængig variabel ID]]),INDEX(DataTitel_liste,IF(LineærRegression_Valg[[#This Row],[Afhængig variabel ID]]=1,2,1))),$B$7)</f>
        <v>Eksempel 2 (interval)</v>
      </c>
      <c r="H1037" s="45">
        <f>_xlfn.AGGREGATE(2,5,LineærRegression_Valg[[#This Row],[Tabel ID]])</f>
        <v>1</v>
      </c>
    </row>
    <row r="1038" spans="1:8" x14ac:dyDescent="0.2">
      <c r="A1038">
        <f>ROW(LineærRegression_Valg[[#This Row],[Tabel ID]])-ROW(LineærRegression_Valg[[#Headers],[Tabel ID]])</f>
        <v>1028</v>
      </c>
      <c r="B1038" s="45">
        <f>ROUNDDOWN((LineærRegression_Valg[[#This Row],[Tabel ID]]-1)/$B$5,0)+1</f>
        <v>257</v>
      </c>
      <c r="C1038" s="45">
        <f t="shared" si="16"/>
        <v>4</v>
      </c>
      <c r="D1038" s="45" t="b">
        <f>LineærRegression_Valg[[#This Row],[Afhængig variabel ID]]&lt;&gt;LineærRegression_Valg[[#This Row],[Uafhængig variabel ID]]</f>
        <v>1</v>
      </c>
      <c r="E1038" t="b">
        <f>LineærRegression_Valg[[#This Row],[Afhængig variabel ID]]&lt;=$B$5</f>
        <v>0</v>
      </c>
      <c r="F1038" t="str" cm="1">
        <f t="array" ref="F1038">IF(LineærRegression_Valg[[#This Row],[Indenfor range]],INDEX(DataTitel_liste,LineærRegression_Valg[[#This Row],[Afhængig variabel ID]]),INDEX(DataTitel_liste,1))</f>
        <v>Eksempel 1 (interval)</v>
      </c>
      <c r="G1038" s="45" t="str" cm="1">
        <f t="array" ref="G1038">IF(LineærRegression_Valg[[#This Row],[Indenfor range]],IF(LineærRegression_Valg[[#This Row],[Intet overlap]],INDEX(DataTitel_liste,LineærRegression_Valg[[#This Row],[Uafhængig variabel ID]]),INDEX(DataTitel_liste,IF(LineærRegression_Valg[[#This Row],[Afhængig variabel ID]]=1,2,1))),$B$7)</f>
        <v>Eksempel 2 (interval)</v>
      </c>
      <c r="H1038" s="45">
        <f>_xlfn.AGGREGATE(2,5,LineærRegression_Valg[[#This Row],[Tabel ID]])</f>
        <v>1</v>
      </c>
    </row>
    <row r="1039" spans="1:8" x14ac:dyDescent="0.2">
      <c r="A1039">
        <f>ROW(LineærRegression_Valg[[#This Row],[Tabel ID]])-ROW(LineærRegression_Valg[[#Headers],[Tabel ID]])</f>
        <v>1029</v>
      </c>
      <c r="B1039" s="45">
        <f>ROUNDDOWN((LineærRegression_Valg[[#This Row],[Tabel ID]]-1)/$B$5,0)+1</f>
        <v>258</v>
      </c>
      <c r="C1039" s="45">
        <f t="shared" si="16"/>
        <v>1</v>
      </c>
      <c r="D1039" s="45" t="b">
        <f>LineærRegression_Valg[[#This Row],[Afhængig variabel ID]]&lt;&gt;LineærRegression_Valg[[#This Row],[Uafhængig variabel ID]]</f>
        <v>1</v>
      </c>
      <c r="E1039" t="b">
        <f>LineærRegression_Valg[[#This Row],[Afhængig variabel ID]]&lt;=$B$5</f>
        <v>0</v>
      </c>
      <c r="F1039" t="str" cm="1">
        <f t="array" ref="F1039">IF(LineærRegression_Valg[[#This Row],[Indenfor range]],INDEX(DataTitel_liste,LineærRegression_Valg[[#This Row],[Afhængig variabel ID]]),INDEX(DataTitel_liste,1))</f>
        <v>Eksempel 1 (interval)</v>
      </c>
      <c r="G1039" s="45" t="str" cm="1">
        <f t="array" ref="G1039">IF(LineærRegression_Valg[[#This Row],[Indenfor range]],IF(LineærRegression_Valg[[#This Row],[Intet overlap]],INDEX(DataTitel_liste,LineærRegression_Valg[[#This Row],[Uafhængig variabel ID]]),INDEX(DataTitel_liste,IF(LineærRegression_Valg[[#This Row],[Afhængig variabel ID]]=1,2,1))),$B$7)</f>
        <v>Eksempel 2 (interval)</v>
      </c>
      <c r="H1039" s="45">
        <f>_xlfn.AGGREGATE(2,5,LineærRegression_Valg[[#This Row],[Tabel ID]])</f>
        <v>1</v>
      </c>
    </row>
    <row r="1040" spans="1:8" x14ac:dyDescent="0.2">
      <c r="A1040">
        <f>ROW(LineærRegression_Valg[[#This Row],[Tabel ID]])-ROW(LineærRegression_Valg[[#Headers],[Tabel ID]])</f>
        <v>1030</v>
      </c>
      <c r="B1040" s="45">
        <f>ROUNDDOWN((LineærRegression_Valg[[#This Row],[Tabel ID]]-1)/$B$5,0)+1</f>
        <v>258</v>
      </c>
      <c r="C1040" s="45">
        <f t="shared" si="16"/>
        <v>2</v>
      </c>
      <c r="D1040" s="45" t="b">
        <f>LineærRegression_Valg[[#This Row],[Afhængig variabel ID]]&lt;&gt;LineærRegression_Valg[[#This Row],[Uafhængig variabel ID]]</f>
        <v>1</v>
      </c>
      <c r="E1040" t="b">
        <f>LineærRegression_Valg[[#This Row],[Afhængig variabel ID]]&lt;=$B$5</f>
        <v>0</v>
      </c>
      <c r="F1040" t="str" cm="1">
        <f t="array" ref="F1040">IF(LineærRegression_Valg[[#This Row],[Indenfor range]],INDEX(DataTitel_liste,LineærRegression_Valg[[#This Row],[Afhængig variabel ID]]),INDEX(DataTitel_liste,1))</f>
        <v>Eksempel 1 (interval)</v>
      </c>
      <c r="G1040" s="45" t="str" cm="1">
        <f t="array" ref="G1040">IF(LineærRegression_Valg[[#This Row],[Indenfor range]],IF(LineærRegression_Valg[[#This Row],[Intet overlap]],INDEX(DataTitel_liste,LineærRegression_Valg[[#This Row],[Uafhængig variabel ID]]),INDEX(DataTitel_liste,IF(LineærRegression_Valg[[#This Row],[Afhængig variabel ID]]=1,2,1))),$B$7)</f>
        <v>Eksempel 2 (interval)</v>
      </c>
      <c r="H1040" s="45">
        <f>_xlfn.AGGREGATE(2,5,LineærRegression_Valg[[#This Row],[Tabel ID]])</f>
        <v>1</v>
      </c>
    </row>
    <row r="1041" spans="1:8" x14ac:dyDescent="0.2">
      <c r="A1041">
        <f>ROW(LineærRegression_Valg[[#This Row],[Tabel ID]])-ROW(LineærRegression_Valg[[#Headers],[Tabel ID]])</f>
        <v>1031</v>
      </c>
      <c r="B1041" s="45">
        <f>ROUNDDOWN((LineærRegression_Valg[[#This Row],[Tabel ID]]-1)/$B$5,0)+1</f>
        <v>258</v>
      </c>
      <c r="C1041" s="45">
        <f t="shared" si="16"/>
        <v>3</v>
      </c>
      <c r="D1041" s="45" t="b">
        <f>LineærRegression_Valg[[#This Row],[Afhængig variabel ID]]&lt;&gt;LineærRegression_Valg[[#This Row],[Uafhængig variabel ID]]</f>
        <v>1</v>
      </c>
      <c r="E1041" t="b">
        <f>LineærRegression_Valg[[#This Row],[Afhængig variabel ID]]&lt;=$B$5</f>
        <v>0</v>
      </c>
      <c r="F1041" t="str" cm="1">
        <f t="array" ref="F1041">IF(LineærRegression_Valg[[#This Row],[Indenfor range]],INDEX(DataTitel_liste,LineærRegression_Valg[[#This Row],[Afhængig variabel ID]]),INDEX(DataTitel_liste,1))</f>
        <v>Eksempel 1 (interval)</v>
      </c>
      <c r="G1041" s="45" t="str" cm="1">
        <f t="array" ref="G1041">IF(LineærRegression_Valg[[#This Row],[Indenfor range]],IF(LineærRegression_Valg[[#This Row],[Intet overlap]],INDEX(DataTitel_liste,LineærRegression_Valg[[#This Row],[Uafhængig variabel ID]]),INDEX(DataTitel_liste,IF(LineærRegression_Valg[[#This Row],[Afhængig variabel ID]]=1,2,1))),$B$7)</f>
        <v>Eksempel 2 (interval)</v>
      </c>
      <c r="H1041" s="45">
        <f>_xlfn.AGGREGATE(2,5,LineærRegression_Valg[[#This Row],[Tabel ID]])</f>
        <v>1</v>
      </c>
    </row>
    <row r="1042" spans="1:8" x14ac:dyDescent="0.2">
      <c r="A1042">
        <f>ROW(LineærRegression_Valg[[#This Row],[Tabel ID]])-ROW(LineærRegression_Valg[[#Headers],[Tabel ID]])</f>
        <v>1032</v>
      </c>
      <c r="B1042" s="45">
        <f>ROUNDDOWN((LineærRegression_Valg[[#This Row],[Tabel ID]]-1)/$B$5,0)+1</f>
        <v>258</v>
      </c>
      <c r="C1042" s="45">
        <f t="shared" si="16"/>
        <v>4</v>
      </c>
      <c r="D1042" s="45" t="b">
        <f>LineærRegression_Valg[[#This Row],[Afhængig variabel ID]]&lt;&gt;LineærRegression_Valg[[#This Row],[Uafhængig variabel ID]]</f>
        <v>1</v>
      </c>
      <c r="E1042" t="b">
        <f>LineærRegression_Valg[[#This Row],[Afhængig variabel ID]]&lt;=$B$5</f>
        <v>0</v>
      </c>
      <c r="F1042" t="str" cm="1">
        <f t="array" ref="F1042">IF(LineærRegression_Valg[[#This Row],[Indenfor range]],INDEX(DataTitel_liste,LineærRegression_Valg[[#This Row],[Afhængig variabel ID]]),INDEX(DataTitel_liste,1))</f>
        <v>Eksempel 1 (interval)</v>
      </c>
      <c r="G1042" s="45" t="str" cm="1">
        <f t="array" ref="G1042">IF(LineærRegression_Valg[[#This Row],[Indenfor range]],IF(LineærRegression_Valg[[#This Row],[Intet overlap]],INDEX(DataTitel_liste,LineærRegression_Valg[[#This Row],[Uafhængig variabel ID]]),INDEX(DataTitel_liste,IF(LineærRegression_Valg[[#This Row],[Afhængig variabel ID]]=1,2,1))),$B$7)</f>
        <v>Eksempel 2 (interval)</v>
      </c>
      <c r="H1042" s="45">
        <f>_xlfn.AGGREGATE(2,5,LineærRegression_Valg[[#This Row],[Tabel ID]])</f>
        <v>1</v>
      </c>
    </row>
    <row r="1043" spans="1:8" x14ac:dyDescent="0.2">
      <c r="A1043">
        <f>ROW(LineærRegression_Valg[[#This Row],[Tabel ID]])-ROW(LineærRegression_Valg[[#Headers],[Tabel ID]])</f>
        <v>1033</v>
      </c>
      <c r="B1043" s="45">
        <f>ROUNDDOWN((LineærRegression_Valg[[#This Row],[Tabel ID]]-1)/$B$5,0)+1</f>
        <v>259</v>
      </c>
      <c r="C1043" s="45">
        <f t="shared" si="16"/>
        <v>1</v>
      </c>
      <c r="D1043" s="45" t="b">
        <f>LineærRegression_Valg[[#This Row],[Afhængig variabel ID]]&lt;&gt;LineærRegression_Valg[[#This Row],[Uafhængig variabel ID]]</f>
        <v>1</v>
      </c>
      <c r="E1043" t="b">
        <f>LineærRegression_Valg[[#This Row],[Afhængig variabel ID]]&lt;=$B$5</f>
        <v>0</v>
      </c>
      <c r="F1043" t="str" cm="1">
        <f t="array" ref="F1043">IF(LineærRegression_Valg[[#This Row],[Indenfor range]],INDEX(DataTitel_liste,LineærRegression_Valg[[#This Row],[Afhængig variabel ID]]),INDEX(DataTitel_liste,1))</f>
        <v>Eksempel 1 (interval)</v>
      </c>
      <c r="G1043" s="45" t="str" cm="1">
        <f t="array" ref="G1043">IF(LineærRegression_Valg[[#This Row],[Indenfor range]],IF(LineærRegression_Valg[[#This Row],[Intet overlap]],INDEX(DataTitel_liste,LineærRegression_Valg[[#This Row],[Uafhængig variabel ID]]),INDEX(DataTitel_liste,IF(LineærRegression_Valg[[#This Row],[Afhængig variabel ID]]=1,2,1))),$B$7)</f>
        <v>Eksempel 2 (interval)</v>
      </c>
      <c r="H1043" s="45">
        <f>_xlfn.AGGREGATE(2,5,LineærRegression_Valg[[#This Row],[Tabel ID]])</f>
        <v>1</v>
      </c>
    </row>
    <row r="1044" spans="1:8" x14ac:dyDescent="0.2">
      <c r="A1044">
        <f>ROW(LineærRegression_Valg[[#This Row],[Tabel ID]])-ROW(LineærRegression_Valg[[#Headers],[Tabel ID]])</f>
        <v>1034</v>
      </c>
      <c r="B1044" s="45">
        <f>ROUNDDOWN((LineærRegression_Valg[[#This Row],[Tabel ID]]-1)/$B$5,0)+1</f>
        <v>259</v>
      </c>
      <c r="C1044" s="45">
        <f t="shared" si="16"/>
        <v>2</v>
      </c>
      <c r="D1044" s="45" t="b">
        <f>LineærRegression_Valg[[#This Row],[Afhængig variabel ID]]&lt;&gt;LineærRegression_Valg[[#This Row],[Uafhængig variabel ID]]</f>
        <v>1</v>
      </c>
      <c r="E1044" t="b">
        <f>LineærRegression_Valg[[#This Row],[Afhængig variabel ID]]&lt;=$B$5</f>
        <v>0</v>
      </c>
      <c r="F1044" t="str" cm="1">
        <f t="array" ref="F1044">IF(LineærRegression_Valg[[#This Row],[Indenfor range]],INDEX(DataTitel_liste,LineærRegression_Valg[[#This Row],[Afhængig variabel ID]]),INDEX(DataTitel_liste,1))</f>
        <v>Eksempel 1 (interval)</v>
      </c>
      <c r="G1044" s="45" t="str" cm="1">
        <f t="array" ref="G1044">IF(LineærRegression_Valg[[#This Row],[Indenfor range]],IF(LineærRegression_Valg[[#This Row],[Intet overlap]],INDEX(DataTitel_liste,LineærRegression_Valg[[#This Row],[Uafhængig variabel ID]]),INDEX(DataTitel_liste,IF(LineærRegression_Valg[[#This Row],[Afhængig variabel ID]]=1,2,1))),$B$7)</f>
        <v>Eksempel 2 (interval)</v>
      </c>
      <c r="H1044" s="45">
        <f>_xlfn.AGGREGATE(2,5,LineærRegression_Valg[[#This Row],[Tabel ID]])</f>
        <v>1</v>
      </c>
    </row>
    <row r="1045" spans="1:8" x14ac:dyDescent="0.2">
      <c r="A1045">
        <f>ROW(LineærRegression_Valg[[#This Row],[Tabel ID]])-ROW(LineærRegression_Valg[[#Headers],[Tabel ID]])</f>
        <v>1035</v>
      </c>
      <c r="B1045" s="45">
        <f>ROUNDDOWN((LineærRegression_Valg[[#This Row],[Tabel ID]]-1)/$B$5,0)+1</f>
        <v>259</v>
      </c>
      <c r="C1045" s="45">
        <f t="shared" si="16"/>
        <v>3</v>
      </c>
      <c r="D1045" s="45" t="b">
        <f>LineærRegression_Valg[[#This Row],[Afhængig variabel ID]]&lt;&gt;LineærRegression_Valg[[#This Row],[Uafhængig variabel ID]]</f>
        <v>1</v>
      </c>
      <c r="E1045" t="b">
        <f>LineærRegression_Valg[[#This Row],[Afhængig variabel ID]]&lt;=$B$5</f>
        <v>0</v>
      </c>
      <c r="F1045" t="str" cm="1">
        <f t="array" ref="F1045">IF(LineærRegression_Valg[[#This Row],[Indenfor range]],INDEX(DataTitel_liste,LineærRegression_Valg[[#This Row],[Afhængig variabel ID]]),INDEX(DataTitel_liste,1))</f>
        <v>Eksempel 1 (interval)</v>
      </c>
      <c r="G1045" s="45" t="str" cm="1">
        <f t="array" ref="G1045">IF(LineærRegression_Valg[[#This Row],[Indenfor range]],IF(LineærRegression_Valg[[#This Row],[Intet overlap]],INDEX(DataTitel_liste,LineærRegression_Valg[[#This Row],[Uafhængig variabel ID]]),INDEX(DataTitel_liste,IF(LineærRegression_Valg[[#This Row],[Afhængig variabel ID]]=1,2,1))),$B$7)</f>
        <v>Eksempel 2 (interval)</v>
      </c>
      <c r="H1045" s="45">
        <f>_xlfn.AGGREGATE(2,5,LineærRegression_Valg[[#This Row],[Tabel ID]])</f>
        <v>1</v>
      </c>
    </row>
    <row r="1046" spans="1:8" x14ac:dyDescent="0.2">
      <c r="A1046">
        <f>ROW(LineærRegression_Valg[[#This Row],[Tabel ID]])-ROW(LineærRegression_Valg[[#Headers],[Tabel ID]])</f>
        <v>1036</v>
      </c>
      <c r="B1046" s="45">
        <f>ROUNDDOWN((LineærRegression_Valg[[#This Row],[Tabel ID]]-1)/$B$5,0)+1</f>
        <v>259</v>
      </c>
      <c r="C1046" s="45">
        <f t="shared" si="16"/>
        <v>4</v>
      </c>
      <c r="D1046" s="45" t="b">
        <f>LineærRegression_Valg[[#This Row],[Afhængig variabel ID]]&lt;&gt;LineærRegression_Valg[[#This Row],[Uafhængig variabel ID]]</f>
        <v>1</v>
      </c>
      <c r="E1046" t="b">
        <f>LineærRegression_Valg[[#This Row],[Afhængig variabel ID]]&lt;=$B$5</f>
        <v>0</v>
      </c>
      <c r="F1046" t="str" cm="1">
        <f t="array" ref="F1046">IF(LineærRegression_Valg[[#This Row],[Indenfor range]],INDEX(DataTitel_liste,LineærRegression_Valg[[#This Row],[Afhængig variabel ID]]),INDEX(DataTitel_liste,1))</f>
        <v>Eksempel 1 (interval)</v>
      </c>
      <c r="G1046" s="45" t="str" cm="1">
        <f t="array" ref="G1046">IF(LineærRegression_Valg[[#This Row],[Indenfor range]],IF(LineærRegression_Valg[[#This Row],[Intet overlap]],INDEX(DataTitel_liste,LineærRegression_Valg[[#This Row],[Uafhængig variabel ID]]),INDEX(DataTitel_liste,IF(LineærRegression_Valg[[#This Row],[Afhængig variabel ID]]=1,2,1))),$B$7)</f>
        <v>Eksempel 2 (interval)</v>
      </c>
      <c r="H1046" s="45">
        <f>_xlfn.AGGREGATE(2,5,LineærRegression_Valg[[#This Row],[Tabel ID]])</f>
        <v>1</v>
      </c>
    </row>
    <row r="1047" spans="1:8" x14ac:dyDescent="0.2">
      <c r="A1047">
        <f>ROW(LineærRegression_Valg[[#This Row],[Tabel ID]])-ROW(LineærRegression_Valg[[#Headers],[Tabel ID]])</f>
        <v>1037</v>
      </c>
      <c r="B1047" s="45">
        <f>ROUNDDOWN((LineærRegression_Valg[[#This Row],[Tabel ID]]-1)/$B$5,0)+1</f>
        <v>260</v>
      </c>
      <c r="C1047" s="45">
        <f t="shared" si="16"/>
        <v>1</v>
      </c>
      <c r="D1047" s="45" t="b">
        <f>LineærRegression_Valg[[#This Row],[Afhængig variabel ID]]&lt;&gt;LineærRegression_Valg[[#This Row],[Uafhængig variabel ID]]</f>
        <v>1</v>
      </c>
      <c r="E1047" t="b">
        <f>LineærRegression_Valg[[#This Row],[Afhængig variabel ID]]&lt;=$B$5</f>
        <v>0</v>
      </c>
      <c r="F1047" t="str" cm="1">
        <f t="array" ref="F1047">IF(LineærRegression_Valg[[#This Row],[Indenfor range]],INDEX(DataTitel_liste,LineærRegression_Valg[[#This Row],[Afhængig variabel ID]]),INDEX(DataTitel_liste,1))</f>
        <v>Eksempel 1 (interval)</v>
      </c>
      <c r="G1047" s="45" t="str" cm="1">
        <f t="array" ref="G1047">IF(LineærRegression_Valg[[#This Row],[Indenfor range]],IF(LineærRegression_Valg[[#This Row],[Intet overlap]],INDEX(DataTitel_liste,LineærRegression_Valg[[#This Row],[Uafhængig variabel ID]]),INDEX(DataTitel_liste,IF(LineærRegression_Valg[[#This Row],[Afhængig variabel ID]]=1,2,1))),$B$7)</f>
        <v>Eksempel 2 (interval)</v>
      </c>
      <c r="H1047" s="45">
        <f>_xlfn.AGGREGATE(2,5,LineærRegression_Valg[[#This Row],[Tabel ID]])</f>
        <v>1</v>
      </c>
    </row>
    <row r="1048" spans="1:8" x14ac:dyDescent="0.2">
      <c r="A1048">
        <f>ROW(LineærRegression_Valg[[#This Row],[Tabel ID]])-ROW(LineærRegression_Valg[[#Headers],[Tabel ID]])</f>
        <v>1038</v>
      </c>
      <c r="B1048" s="45">
        <f>ROUNDDOWN((LineærRegression_Valg[[#This Row],[Tabel ID]]-1)/$B$5,0)+1</f>
        <v>260</v>
      </c>
      <c r="C1048" s="45">
        <f t="shared" si="16"/>
        <v>2</v>
      </c>
      <c r="D1048" s="45" t="b">
        <f>LineærRegression_Valg[[#This Row],[Afhængig variabel ID]]&lt;&gt;LineærRegression_Valg[[#This Row],[Uafhængig variabel ID]]</f>
        <v>1</v>
      </c>
      <c r="E1048" t="b">
        <f>LineærRegression_Valg[[#This Row],[Afhængig variabel ID]]&lt;=$B$5</f>
        <v>0</v>
      </c>
      <c r="F1048" t="str" cm="1">
        <f t="array" ref="F1048">IF(LineærRegression_Valg[[#This Row],[Indenfor range]],INDEX(DataTitel_liste,LineærRegression_Valg[[#This Row],[Afhængig variabel ID]]),INDEX(DataTitel_liste,1))</f>
        <v>Eksempel 1 (interval)</v>
      </c>
      <c r="G1048" s="45" t="str" cm="1">
        <f t="array" ref="G1048">IF(LineærRegression_Valg[[#This Row],[Indenfor range]],IF(LineærRegression_Valg[[#This Row],[Intet overlap]],INDEX(DataTitel_liste,LineærRegression_Valg[[#This Row],[Uafhængig variabel ID]]),INDEX(DataTitel_liste,IF(LineærRegression_Valg[[#This Row],[Afhængig variabel ID]]=1,2,1))),$B$7)</f>
        <v>Eksempel 2 (interval)</v>
      </c>
      <c r="H1048" s="45">
        <f>_xlfn.AGGREGATE(2,5,LineærRegression_Valg[[#This Row],[Tabel ID]])</f>
        <v>1</v>
      </c>
    </row>
    <row r="1049" spans="1:8" x14ac:dyDescent="0.2">
      <c r="A1049">
        <f>ROW(LineærRegression_Valg[[#This Row],[Tabel ID]])-ROW(LineærRegression_Valg[[#Headers],[Tabel ID]])</f>
        <v>1039</v>
      </c>
      <c r="B1049" s="45">
        <f>ROUNDDOWN((LineærRegression_Valg[[#This Row],[Tabel ID]]-1)/$B$5,0)+1</f>
        <v>260</v>
      </c>
      <c r="C1049" s="45">
        <f t="shared" si="16"/>
        <v>3</v>
      </c>
      <c r="D1049" s="45" t="b">
        <f>LineærRegression_Valg[[#This Row],[Afhængig variabel ID]]&lt;&gt;LineærRegression_Valg[[#This Row],[Uafhængig variabel ID]]</f>
        <v>1</v>
      </c>
      <c r="E1049" t="b">
        <f>LineærRegression_Valg[[#This Row],[Afhængig variabel ID]]&lt;=$B$5</f>
        <v>0</v>
      </c>
      <c r="F1049" t="str" cm="1">
        <f t="array" ref="F1049">IF(LineærRegression_Valg[[#This Row],[Indenfor range]],INDEX(DataTitel_liste,LineærRegression_Valg[[#This Row],[Afhængig variabel ID]]),INDEX(DataTitel_liste,1))</f>
        <v>Eksempel 1 (interval)</v>
      </c>
      <c r="G1049" s="45" t="str" cm="1">
        <f t="array" ref="G1049">IF(LineærRegression_Valg[[#This Row],[Indenfor range]],IF(LineærRegression_Valg[[#This Row],[Intet overlap]],INDEX(DataTitel_liste,LineærRegression_Valg[[#This Row],[Uafhængig variabel ID]]),INDEX(DataTitel_liste,IF(LineærRegression_Valg[[#This Row],[Afhængig variabel ID]]=1,2,1))),$B$7)</f>
        <v>Eksempel 2 (interval)</v>
      </c>
      <c r="H1049" s="45">
        <f>_xlfn.AGGREGATE(2,5,LineærRegression_Valg[[#This Row],[Tabel ID]])</f>
        <v>1</v>
      </c>
    </row>
    <row r="1050" spans="1:8" x14ac:dyDescent="0.2">
      <c r="A1050">
        <f>ROW(LineærRegression_Valg[[#This Row],[Tabel ID]])-ROW(LineærRegression_Valg[[#Headers],[Tabel ID]])</f>
        <v>1040</v>
      </c>
      <c r="B1050" s="45">
        <f>ROUNDDOWN((LineærRegression_Valg[[#This Row],[Tabel ID]]-1)/$B$5,0)+1</f>
        <v>260</v>
      </c>
      <c r="C1050" s="45">
        <f t="shared" si="16"/>
        <v>4</v>
      </c>
      <c r="D1050" s="45" t="b">
        <f>LineærRegression_Valg[[#This Row],[Afhængig variabel ID]]&lt;&gt;LineærRegression_Valg[[#This Row],[Uafhængig variabel ID]]</f>
        <v>1</v>
      </c>
      <c r="E1050" t="b">
        <f>LineærRegression_Valg[[#This Row],[Afhængig variabel ID]]&lt;=$B$5</f>
        <v>0</v>
      </c>
      <c r="F1050" t="str" cm="1">
        <f t="array" ref="F1050">IF(LineærRegression_Valg[[#This Row],[Indenfor range]],INDEX(DataTitel_liste,LineærRegression_Valg[[#This Row],[Afhængig variabel ID]]),INDEX(DataTitel_liste,1))</f>
        <v>Eksempel 1 (interval)</v>
      </c>
      <c r="G1050" s="45" t="str" cm="1">
        <f t="array" ref="G1050">IF(LineærRegression_Valg[[#This Row],[Indenfor range]],IF(LineærRegression_Valg[[#This Row],[Intet overlap]],INDEX(DataTitel_liste,LineærRegression_Valg[[#This Row],[Uafhængig variabel ID]]),INDEX(DataTitel_liste,IF(LineærRegression_Valg[[#This Row],[Afhængig variabel ID]]=1,2,1))),$B$7)</f>
        <v>Eksempel 2 (interval)</v>
      </c>
      <c r="H1050" s="45">
        <f>_xlfn.AGGREGATE(2,5,LineærRegression_Valg[[#This Row],[Tabel ID]])</f>
        <v>1</v>
      </c>
    </row>
    <row r="1051" spans="1:8" x14ac:dyDescent="0.2">
      <c r="A1051">
        <f>ROW(LineærRegression_Valg[[#This Row],[Tabel ID]])-ROW(LineærRegression_Valg[[#Headers],[Tabel ID]])</f>
        <v>1041</v>
      </c>
      <c r="B1051" s="45">
        <f>ROUNDDOWN((LineærRegression_Valg[[#This Row],[Tabel ID]]-1)/$B$5,0)+1</f>
        <v>261</v>
      </c>
      <c r="C1051" s="45">
        <f t="shared" si="16"/>
        <v>1</v>
      </c>
      <c r="D1051" s="45" t="b">
        <f>LineærRegression_Valg[[#This Row],[Afhængig variabel ID]]&lt;&gt;LineærRegression_Valg[[#This Row],[Uafhængig variabel ID]]</f>
        <v>1</v>
      </c>
      <c r="E1051" t="b">
        <f>LineærRegression_Valg[[#This Row],[Afhængig variabel ID]]&lt;=$B$5</f>
        <v>0</v>
      </c>
      <c r="F1051" t="str" cm="1">
        <f t="array" ref="F1051">IF(LineærRegression_Valg[[#This Row],[Indenfor range]],INDEX(DataTitel_liste,LineærRegression_Valg[[#This Row],[Afhængig variabel ID]]),INDEX(DataTitel_liste,1))</f>
        <v>Eksempel 1 (interval)</v>
      </c>
      <c r="G1051" s="45" t="str" cm="1">
        <f t="array" ref="G1051">IF(LineærRegression_Valg[[#This Row],[Indenfor range]],IF(LineærRegression_Valg[[#This Row],[Intet overlap]],INDEX(DataTitel_liste,LineærRegression_Valg[[#This Row],[Uafhængig variabel ID]]),INDEX(DataTitel_liste,IF(LineærRegression_Valg[[#This Row],[Afhængig variabel ID]]=1,2,1))),$B$7)</f>
        <v>Eksempel 2 (interval)</v>
      </c>
      <c r="H1051" s="45">
        <f>_xlfn.AGGREGATE(2,5,LineærRegression_Valg[[#This Row],[Tabel ID]])</f>
        <v>1</v>
      </c>
    </row>
    <row r="1052" spans="1:8" x14ac:dyDescent="0.2">
      <c r="A1052">
        <f>ROW(LineærRegression_Valg[[#This Row],[Tabel ID]])-ROW(LineærRegression_Valg[[#Headers],[Tabel ID]])</f>
        <v>1042</v>
      </c>
      <c r="B1052" s="45">
        <f>ROUNDDOWN((LineærRegression_Valg[[#This Row],[Tabel ID]]-1)/$B$5,0)+1</f>
        <v>261</v>
      </c>
      <c r="C1052" s="45">
        <f t="shared" si="16"/>
        <v>2</v>
      </c>
      <c r="D1052" s="45" t="b">
        <f>LineærRegression_Valg[[#This Row],[Afhængig variabel ID]]&lt;&gt;LineærRegression_Valg[[#This Row],[Uafhængig variabel ID]]</f>
        <v>1</v>
      </c>
      <c r="E1052" t="b">
        <f>LineærRegression_Valg[[#This Row],[Afhængig variabel ID]]&lt;=$B$5</f>
        <v>0</v>
      </c>
      <c r="F1052" t="str" cm="1">
        <f t="array" ref="F1052">IF(LineærRegression_Valg[[#This Row],[Indenfor range]],INDEX(DataTitel_liste,LineærRegression_Valg[[#This Row],[Afhængig variabel ID]]),INDEX(DataTitel_liste,1))</f>
        <v>Eksempel 1 (interval)</v>
      </c>
      <c r="G1052" s="45" t="str" cm="1">
        <f t="array" ref="G1052">IF(LineærRegression_Valg[[#This Row],[Indenfor range]],IF(LineærRegression_Valg[[#This Row],[Intet overlap]],INDEX(DataTitel_liste,LineærRegression_Valg[[#This Row],[Uafhængig variabel ID]]),INDEX(DataTitel_liste,IF(LineærRegression_Valg[[#This Row],[Afhængig variabel ID]]=1,2,1))),$B$7)</f>
        <v>Eksempel 2 (interval)</v>
      </c>
      <c r="H1052" s="45">
        <f>_xlfn.AGGREGATE(2,5,LineærRegression_Valg[[#This Row],[Tabel ID]])</f>
        <v>1</v>
      </c>
    </row>
    <row r="1053" spans="1:8" x14ac:dyDescent="0.2">
      <c r="A1053">
        <f>ROW(LineærRegression_Valg[[#This Row],[Tabel ID]])-ROW(LineærRegression_Valg[[#Headers],[Tabel ID]])</f>
        <v>1043</v>
      </c>
      <c r="B1053" s="45">
        <f>ROUNDDOWN((LineærRegression_Valg[[#This Row],[Tabel ID]]-1)/$B$5,0)+1</f>
        <v>261</v>
      </c>
      <c r="C1053" s="45">
        <f t="shared" si="16"/>
        <v>3</v>
      </c>
      <c r="D1053" s="45" t="b">
        <f>LineærRegression_Valg[[#This Row],[Afhængig variabel ID]]&lt;&gt;LineærRegression_Valg[[#This Row],[Uafhængig variabel ID]]</f>
        <v>1</v>
      </c>
      <c r="E1053" t="b">
        <f>LineærRegression_Valg[[#This Row],[Afhængig variabel ID]]&lt;=$B$5</f>
        <v>0</v>
      </c>
      <c r="F1053" t="str" cm="1">
        <f t="array" ref="F1053">IF(LineærRegression_Valg[[#This Row],[Indenfor range]],INDEX(DataTitel_liste,LineærRegression_Valg[[#This Row],[Afhængig variabel ID]]),INDEX(DataTitel_liste,1))</f>
        <v>Eksempel 1 (interval)</v>
      </c>
      <c r="G1053" s="45" t="str" cm="1">
        <f t="array" ref="G1053">IF(LineærRegression_Valg[[#This Row],[Indenfor range]],IF(LineærRegression_Valg[[#This Row],[Intet overlap]],INDEX(DataTitel_liste,LineærRegression_Valg[[#This Row],[Uafhængig variabel ID]]),INDEX(DataTitel_liste,IF(LineærRegression_Valg[[#This Row],[Afhængig variabel ID]]=1,2,1))),$B$7)</f>
        <v>Eksempel 2 (interval)</v>
      </c>
      <c r="H1053" s="45">
        <f>_xlfn.AGGREGATE(2,5,LineærRegression_Valg[[#This Row],[Tabel ID]])</f>
        <v>1</v>
      </c>
    </row>
    <row r="1054" spans="1:8" x14ac:dyDescent="0.2">
      <c r="A1054">
        <f>ROW(LineærRegression_Valg[[#This Row],[Tabel ID]])-ROW(LineærRegression_Valg[[#Headers],[Tabel ID]])</f>
        <v>1044</v>
      </c>
      <c r="B1054" s="45">
        <f>ROUNDDOWN((LineærRegression_Valg[[#This Row],[Tabel ID]]-1)/$B$5,0)+1</f>
        <v>261</v>
      </c>
      <c r="C1054" s="45">
        <f t="shared" si="16"/>
        <v>4</v>
      </c>
      <c r="D1054" s="45" t="b">
        <f>LineærRegression_Valg[[#This Row],[Afhængig variabel ID]]&lt;&gt;LineærRegression_Valg[[#This Row],[Uafhængig variabel ID]]</f>
        <v>1</v>
      </c>
      <c r="E1054" t="b">
        <f>LineærRegression_Valg[[#This Row],[Afhængig variabel ID]]&lt;=$B$5</f>
        <v>0</v>
      </c>
      <c r="F1054" t="str" cm="1">
        <f t="array" ref="F1054">IF(LineærRegression_Valg[[#This Row],[Indenfor range]],INDEX(DataTitel_liste,LineærRegression_Valg[[#This Row],[Afhængig variabel ID]]),INDEX(DataTitel_liste,1))</f>
        <v>Eksempel 1 (interval)</v>
      </c>
      <c r="G1054" s="45" t="str" cm="1">
        <f t="array" ref="G1054">IF(LineærRegression_Valg[[#This Row],[Indenfor range]],IF(LineærRegression_Valg[[#This Row],[Intet overlap]],INDEX(DataTitel_liste,LineærRegression_Valg[[#This Row],[Uafhængig variabel ID]]),INDEX(DataTitel_liste,IF(LineærRegression_Valg[[#This Row],[Afhængig variabel ID]]=1,2,1))),$B$7)</f>
        <v>Eksempel 2 (interval)</v>
      </c>
      <c r="H1054" s="45">
        <f>_xlfn.AGGREGATE(2,5,LineærRegression_Valg[[#This Row],[Tabel ID]])</f>
        <v>1</v>
      </c>
    </row>
    <row r="1055" spans="1:8" x14ac:dyDescent="0.2">
      <c r="A1055">
        <f>ROW(LineærRegression_Valg[[#This Row],[Tabel ID]])-ROW(LineærRegression_Valg[[#Headers],[Tabel ID]])</f>
        <v>1045</v>
      </c>
      <c r="B1055" s="45">
        <f>ROUNDDOWN((LineærRegression_Valg[[#This Row],[Tabel ID]]-1)/$B$5,0)+1</f>
        <v>262</v>
      </c>
      <c r="C1055" s="45">
        <f t="shared" si="16"/>
        <v>1</v>
      </c>
      <c r="D1055" s="45" t="b">
        <f>LineærRegression_Valg[[#This Row],[Afhængig variabel ID]]&lt;&gt;LineærRegression_Valg[[#This Row],[Uafhængig variabel ID]]</f>
        <v>1</v>
      </c>
      <c r="E1055" t="b">
        <f>LineærRegression_Valg[[#This Row],[Afhængig variabel ID]]&lt;=$B$5</f>
        <v>0</v>
      </c>
      <c r="F1055" t="str" cm="1">
        <f t="array" ref="F1055">IF(LineærRegression_Valg[[#This Row],[Indenfor range]],INDEX(DataTitel_liste,LineærRegression_Valg[[#This Row],[Afhængig variabel ID]]),INDEX(DataTitel_liste,1))</f>
        <v>Eksempel 1 (interval)</v>
      </c>
      <c r="G1055" s="45" t="str" cm="1">
        <f t="array" ref="G1055">IF(LineærRegression_Valg[[#This Row],[Indenfor range]],IF(LineærRegression_Valg[[#This Row],[Intet overlap]],INDEX(DataTitel_liste,LineærRegression_Valg[[#This Row],[Uafhængig variabel ID]]),INDEX(DataTitel_liste,IF(LineærRegression_Valg[[#This Row],[Afhængig variabel ID]]=1,2,1))),$B$7)</f>
        <v>Eksempel 2 (interval)</v>
      </c>
      <c r="H1055" s="45">
        <f>_xlfn.AGGREGATE(2,5,LineærRegression_Valg[[#This Row],[Tabel ID]])</f>
        <v>1</v>
      </c>
    </row>
    <row r="1056" spans="1:8" x14ac:dyDescent="0.2">
      <c r="A1056">
        <f>ROW(LineærRegression_Valg[[#This Row],[Tabel ID]])-ROW(LineærRegression_Valg[[#Headers],[Tabel ID]])</f>
        <v>1046</v>
      </c>
      <c r="B1056" s="45">
        <f>ROUNDDOWN((LineærRegression_Valg[[#This Row],[Tabel ID]]-1)/$B$5,0)+1</f>
        <v>262</v>
      </c>
      <c r="C1056" s="45">
        <f t="shared" si="16"/>
        <v>2</v>
      </c>
      <c r="D1056" s="45" t="b">
        <f>LineærRegression_Valg[[#This Row],[Afhængig variabel ID]]&lt;&gt;LineærRegression_Valg[[#This Row],[Uafhængig variabel ID]]</f>
        <v>1</v>
      </c>
      <c r="E1056" t="b">
        <f>LineærRegression_Valg[[#This Row],[Afhængig variabel ID]]&lt;=$B$5</f>
        <v>0</v>
      </c>
      <c r="F1056" t="str" cm="1">
        <f t="array" ref="F1056">IF(LineærRegression_Valg[[#This Row],[Indenfor range]],INDEX(DataTitel_liste,LineærRegression_Valg[[#This Row],[Afhængig variabel ID]]),INDEX(DataTitel_liste,1))</f>
        <v>Eksempel 1 (interval)</v>
      </c>
      <c r="G1056" s="45" t="str" cm="1">
        <f t="array" ref="G1056">IF(LineærRegression_Valg[[#This Row],[Indenfor range]],IF(LineærRegression_Valg[[#This Row],[Intet overlap]],INDEX(DataTitel_liste,LineærRegression_Valg[[#This Row],[Uafhængig variabel ID]]),INDEX(DataTitel_liste,IF(LineærRegression_Valg[[#This Row],[Afhængig variabel ID]]=1,2,1))),$B$7)</f>
        <v>Eksempel 2 (interval)</v>
      </c>
      <c r="H1056" s="45">
        <f>_xlfn.AGGREGATE(2,5,LineærRegression_Valg[[#This Row],[Tabel ID]])</f>
        <v>1</v>
      </c>
    </row>
    <row r="1057" spans="1:8" x14ac:dyDescent="0.2">
      <c r="A1057">
        <f>ROW(LineærRegression_Valg[[#This Row],[Tabel ID]])-ROW(LineærRegression_Valg[[#Headers],[Tabel ID]])</f>
        <v>1047</v>
      </c>
      <c r="B1057" s="45">
        <f>ROUNDDOWN((LineærRegression_Valg[[#This Row],[Tabel ID]]-1)/$B$5,0)+1</f>
        <v>262</v>
      </c>
      <c r="C1057" s="45">
        <f t="shared" si="16"/>
        <v>3</v>
      </c>
      <c r="D1057" s="45" t="b">
        <f>LineærRegression_Valg[[#This Row],[Afhængig variabel ID]]&lt;&gt;LineærRegression_Valg[[#This Row],[Uafhængig variabel ID]]</f>
        <v>1</v>
      </c>
      <c r="E1057" t="b">
        <f>LineærRegression_Valg[[#This Row],[Afhængig variabel ID]]&lt;=$B$5</f>
        <v>0</v>
      </c>
      <c r="F1057" t="str" cm="1">
        <f t="array" ref="F1057">IF(LineærRegression_Valg[[#This Row],[Indenfor range]],INDEX(DataTitel_liste,LineærRegression_Valg[[#This Row],[Afhængig variabel ID]]),INDEX(DataTitel_liste,1))</f>
        <v>Eksempel 1 (interval)</v>
      </c>
      <c r="G1057" s="45" t="str" cm="1">
        <f t="array" ref="G1057">IF(LineærRegression_Valg[[#This Row],[Indenfor range]],IF(LineærRegression_Valg[[#This Row],[Intet overlap]],INDEX(DataTitel_liste,LineærRegression_Valg[[#This Row],[Uafhængig variabel ID]]),INDEX(DataTitel_liste,IF(LineærRegression_Valg[[#This Row],[Afhængig variabel ID]]=1,2,1))),$B$7)</f>
        <v>Eksempel 2 (interval)</v>
      </c>
      <c r="H1057" s="45">
        <f>_xlfn.AGGREGATE(2,5,LineærRegression_Valg[[#This Row],[Tabel ID]])</f>
        <v>1</v>
      </c>
    </row>
    <row r="1058" spans="1:8" x14ac:dyDescent="0.2">
      <c r="A1058">
        <f>ROW(LineærRegression_Valg[[#This Row],[Tabel ID]])-ROW(LineærRegression_Valg[[#Headers],[Tabel ID]])</f>
        <v>1048</v>
      </c>
      <c r="B1058" s="45">
        <f>ROUNDDOWN((LineærRegression_Valg[[#This Row],[Tabel ID]]-1)/$B$5,0)+1</f>
        <v>262</v>
      </c>
      <c r="C1058" s="45">
        <f t="shared" si="16"/>
        <v>4</v>
      </c>
      <c r="D1058" s="45" t="b">
        <f>LineærRegression_Valg[[#This Row],[Afhængig variabel ID]]&lt;&gt;LineærRegression_Valg[[#This Row],[Uafhængig variabel ID]]</f>
        <v>1</v>
      </c>
      <c r="E1058" t="b">
        <f>LineærRegression_Valg[[#This Row],[Afhængig variabel ID]]&lt;=$B$5</f>
        <v>0</v>
      </c>
      <c r="F1058" t="str" cm="1">
        <f t="array" ref="F1058">IF(LineærRegression_Valg[[#This Row],[Indenfor range]],INDEX(DataTitel_liste,LineærRegression_Valg[[#This Row],[Afhængig variabel ID]]),INDEX(DataTitel_liste,1))</f>
        <v>Eksempel 1 (interval)</v>
      </c>
      <c r="G1058" s="45" t="str" cm="1">
        <f t="array" ref="G1058">IF(LineærRegression_Valg[[#This Row],[Indenfor range]],IF(LineærRegression_Valg[[#This Row],[Intet overlap]],INDEX(DataTitel_liste,LineærRegression_Valg[[#This Row],[Uafhængig variabel ID]]),INDEX(DataTitel_liste,IF(LineærRegression_Valg[[#This Row],[Afhængig variabel ID]]=1,2,1))),$B$7)</f>
        <v>Eksempel 2 (interval)</v>
      </c>
      <c r="H1058" s="45">
        <f>_xlfn.AGGREGATE(2,5,LineærRegression_Valg[[#This Row],[Tabel ID]])</f>
        <v>1</v>
      </c>
    </row>
    <row r="1059" spans="1:8" x14ac:dyDescent="0.2">
      <c r="A1059">
        <f>ROW(LineærRegression_Valg[[#This Row],[Tabel ID]])-ROW(LineærRegression_Valg[[#Headers],[Tabel ID]])</f>
        <v>1049</v>
      </c>
      <c r="B1059" s="45">
        <f>ROUNDDOWN((LineærRegression_Valg[[#This Row],[Tabel ID]]-1)/$B$5,0)+1</f>
        <v>263</v>
      </c>
      <c r="C1059" s="45">
        <f t="shared" si="16"/>
        <v>1</v>
      </c>
      <c r="D1059" s="45" t="b">
        <f>LineærRegression_Valg[[#This Row],[Afhængig variabel ID]]&lt;&gt;LineærRegression_Valg[[#This Row],[Uafhængig variabel ID]]</f>
        <v>1</v>
      </c>
      <c r="E1059" t="b">
        <f>LineærRegression_Valg[[#This Row],[Afhængig variabel ID]]&lt;=$B$5</f>
        <v>0</v>
      </c>
      <c r="F1059" t="str" cm="1">
        <f t="array" ref="F1059">IF(LineærRegression_Valg[[#This Row],[Indenfor range]],INDEX(DataTitel_liste,LineærRegression_Valg[[#This Row],[Afhængig variabel ID]]),INDEX(DataTitel_liste,1))</f>
        <v>Eksempel 1 (interval)</v>
      </c>
      <c r="G1059" s="45" t="str" cm="1">
        <f t="array" ref="G1059">IF(LineærRegression_Valg[[#This Row],[Indenfor range]],IF(LineærRegression_Valg[[#This Row],[Intet overlap]],INDEX(DataTitel_liste,LineærRegression_Valg[[#This Row],[Uafhængig variabel ID]]),INDEX(DataTitel_liste,IF(LineærRegression_Valg[[#This Row],[Afhængig variabel ID]]=1,2,1))),$B$7)</f>
        <v>Eksempel 2 (interval)</v>
      </c>
      <c r="H1059" s="45">
        <f>_xlfn.AGGREGATE(2,5,LineærRegression_Valg[[#This Row],[Tabel ID]])</f>
        <v>1</v>
      </c>
    </row>
    <row r="1060" spans="1:8" x14ac:dyDescent="0.2">
      <c r="A1060">
        <f>ROW(LineærRegression_Valg[[#This Row],[Tabel ID]])-ROW(LineærRegression_Valg[[#Headers],[Tabel ID]])</f>
        <v>1050</v>
      </c>
      <c r="B1060" s="45">
        <f>ROUNDDOWN((LineærRegression_Valg[[#This Row],[Tabel ID]]-1)/$B$5,0)+1</f>
        <v>263</v>
      </c>
      <c r="C1060" s="45">
        <f t="shared" si="16"/>
        <v>2</v>
      </c>
      <c r="D1060" s="45" t="b">
        <f>LineærRegression_Valg[[#This Row],[Afhængig variabel ID]]&lt;&gt;LineærRegression_Valg[[#This Row],[Uafhængig variabel ID]]</f>
        <v>1</v>
      </c>
      <c r="E1060" t="b">
        <f>LineærRegression_Valg[[#This Row],[Afhængig variabel ID]]&lt;=$B$5</f>
        <v>0</v>
      </c>
      <c r="F1060" t="str" cm="1">
        <f t="array" ref="F1060">IF(LineærRegression_Valg[[#This Row],[Indenfor range]],INDEX(DataTitel_liste,LineærRegression_Valg[[#This Row],[Afhængig variabel ID]]),INDEX(DataTitel_liste,1))</f>
        <v>Eksempel 1 (interval)</v>
      </c>
      <c r="G1060" s="45" t="str" cm="1">
        <f t="array" ref="G1060">IF(LineærRegression_Valg[[#This Row],[Indenfor range]],IF(LineærRegression_Valg[[#This Row],[Intet overlap]],INDEX(DataTitel_liste,LineærRegression_Valg[[#This Row],[Uafhængig variabel ID]]),INDEX(DataTitel_liste,IF(LineærRegression_Valg[[#This Row],[Afhængig variabel ID]]=1,2,1))),$B$7)</f>
        <v>Eksempel 2 (interval)</v>
      </c>
      <c r="H1060" s="45">
        <f>_xlfn.AGGREGATE(2,5,LineærRegression_Valg[[#This Row],[Tabel ID]])</f>
        <v>1</v>
      </c>
    </row>
    <row r="1061" spans="1:8" x14ac:dyDescent="0.2">
      <c r="A1061">
        <f>ROW(LineærRegression_Valg[[#This Row],[Tabel ID]])-ROW(LineærRegression_Valg[[#Headers],[Tabel ID]])</f>
        <v>1051</v>
      </c>
      <c r="B1061" s="45">
        <f>ROUNDDOWN((LineærRegression_Valg[[#This Row],[Tabel ID]]-1)/$B$5,0)+1</f>
        <v>263</v>
      </c>
      <c r="C1061" s="45">
        <f t="shared" si="16"/>
        <v>3</v>
      </c>
      <c r="D1061" s="45" t="b">
        <f>LineærRegression_Valg[[#This Row],[Afhængig variabel ID]]&lt;&gt;LineærRegression_Valg[[#This Row],[Uafhængig variabel ID]]</f>
        <v>1</v>
      </c>
      <c r="E1061" t="b">
        <f>LineærRegression_Valg[[#This Row],[Afhængig variabel ID]]&lt;=$B$5</f>
        <v>0</v>
      </c>
      <c r="F1061" t="str" cm="1">
        <f t="array" ref="F1061">IF(LineærRegression_Valg[[#This Row],[Indenfor range]],INDEX(DataTitel_liste,LineærRegression_Valg[[#This Row],[Afhængig variabel ID]]),INDEX(DataTitel_liste,1))</f>
        <v>Eksempel 1 (interval)</v>
      </c>
      <c r="G1061" s="45" t="str" cm="1">
        <f t="array" ref="G1061">IF(LineærRegression_Valg[[#This Row],[Indenfor range]],IF(LineærRegression_Valg[[#This Row],[Intet overlap]],INDEX(DataTitel_liste,LineærRegression_Valg[[#This Row],[Uafhængig variabel ID]]),INDEX(DataTitel_liste,IF(LineærRegression_Valg[[#This Row],[Afhængig variabel ID]]=1,2,1))),$B$7)</f>
        <v>Eksempel 2 (interval)</v>
      </c>
      <c r="H1061" s="45">
        <f>_xlfn.AGGREGATE(2,5,LineærRegression_Valg[[#This Row],[Tabel ID]])</f>
        <v>1</v>
      </c>
    </row>
    <row r="1062" spans="1:8" x14ac:dyDescent="0.2">
      <c r="A1062">
        <f>ROW(LineærRegression_Valg[[#This Row],[Tabel ID]])-ROW(LineærRegression_Valg[[#Headers],[Tabel ID]])</f>
        <v>1052</v>
      </c>
      <c r="B1062" s="45">
        <f>ROUNDDOWN((LineærRegression_Valg[[#This Row],[Tabel ID]]-1)/$B$5,0)+1</f>
        <v>263</v>
      </c>
      <c r="C1062" s="45">
        <f t="shared" si="16"/>
        <v>4</v>
      </c>
      <c r="D1062" s="45" t="b">
        <f>LineærRegression_Valg[[#This Row],[Afhængig variabel ID]]&lt;&gt;LineærRegression_Valg[[#This Row],[Uafhængig variabel ID]]</f>
        <v>1</v>
      </c>
      <c r="E1062" t="b">
        <f>LineærRegression_Valg[[#This Row],[Afhængig variabel ID]]&lt;=$B$5</f>
        <v>0</v>
      </c>
      <c r="F1062" t="str" cm="1">
        <f t="array" ref="F1062">IF(LineærRegression_Valg[[#This Row],[Indenfor range]],INDEX(DataTitel_liste,LineærRegression_Valg[[#This Row],[Afhængig variabel ID]]),INDEX(DataTitel_liste,1))</f>
        <v>Eksempel 1 (interval)</v>
      </c>
      <c r="G1062" s="45" t="str" cm="1">
        <f t="array" ref="G1062">IF(LineærRegression_Valg[[#This Row],[Indenfor range]],IF(LineærRegression_Valg[[#This Row],[Intet overlap]],INDEX(DataTitel_liste,LineærRegression_Valg[[#This Row],[Uafhængig variabel ID]]),INDEX(DataTitel_liste,IF(LineærRegression_Valg[[#This Row],[Afhængig variabel ID]]=1,2,1))),$B$7)</f>
        <v>Eksempel 2 (interval)</v>
      </c>
      <c r="H1062" s="45">
        <f>_xlfn.AGGREGATE(2,5,LineærRegression_Valg[[#This Row],[Tabel ID]])</f>
        <v>1</v>
      </c>
    </row>
    <row r="1063" spans="1:8" x14ac:dyDescent="0.2">
      <c r="A1063">
        <f>ROW(LineærRegression_Valg[[#This Row],[Tabel ID]])-ROW(LineærRegression_Valg[[#Headers],[Tabel ID]])</f>
        <v>1053</v>
      </c>
      <c r="B1063" s="45">
        <f>ROUNDDOWN((LineærRegression_Valg[[#This Row],[Tabel ID]]-1)/$B$5,0)+1</f>
        <v>264</v>
      </c>
      <c r="C1063" s="45">
        <f t="shared" si="16"/>
        <v>1</v>
      </c>
      <c r="D1063" s="45" t="b">
        <f>LineærRegression_Valg[[#This Row],[Afhængig variabel ID]]&lt;&gt;LineærRegression_Valg[[#This Row],[Uafhængig variabel ID]]</f>
        <v>1</v>
      </c>
      <c r="E1063" t="b">
        <f>LineærRegression_Valg[[#This Row],[Afhængig variabel ID]]&lt;=$B$5</f>
        <v>0</v>
      </c>
      <c r="F1063" t="str" cm="1">
        <f t="array" ref="F1063">IF(LineærRegression_Valg[[#This Row],[Indenfor range]],INDEX(DataTitel_liste,LineærRegression_Valg[[#This Row],[Afhængig variabel ID]]),INDEX(DataTitel_liste,1))</f>
        <v>Eksempel 1 (interval)</v>
      </c>
      <c r="G1063" s="45" t="str" cm="1">
        <f t="array" ref="G1063">IF(LineærRegression_Valg[[#This Row],[Indenfor range]],IF(LineærRegression_Valg[[#This Row],[Intet overlap]],INDEX(DataTitel_liste,LineærRegression_Valg[[#This Row],[Uafhængig variabel ID]]),INDEX(DataTitel_liste,IF(LineærRegression_Valg[[#This Row],[Afhængig variabel ID]]=1,2,1))),$B$7)</f>
        <v>Eksempel 2 (interval)</v>
      </c>
      <c r="H1063" s="45">
        <f>_xlfn.AGGREGATE(2,5,LineærRegression_Valg[[#This Row],[Tabel ID]])</f>
        <v>1</v>
      </c>
    </row>
    <row r="1064" spans="1:8" x14ac:dyDescent="0.2">
      <c r="A1064">
        <f>ROW(LineærRegression_Valg[[#This Row],[Tabel ID]])-ROW(LineærRegression_Valg[[#Headers],[Tabel ID]])</f>
        <v>1054</v>
      </c>
      <c r="B1064" s="45">
        <f>ROUNDDOWN((LineærRegression_Valg[[#This Row],[Tabel ID]]-1)/$B$5,0)+1</f>
        <v>264</v>
      </c>
      <c r="C1064" s="45">
        <f t="shared" si="16"/>
        <v>2</v>
      </c>
      <c r="D1064" s="45" t="b">
        <f>LineærRegression_Valg[[#This Row],[Afhængig variabel ID]]&lt;&gt;LineærRegression_Valg[[#This Row],[Uafhængig variabel ID]]</f>
        <v>1</v>
      </c>
      <c r="E1064" t="b">
        <f>LineærRegression_Valg[[#This Row],[Afhængig variabel ID]]&lt;=$B$5</f>
        <v>0</v>
      </c>
      <c r="F1064" t="str" cm="1">
        <f t="array" ref="F1064">IF(LineærRegression_Valg[[#This Row],[Indenfor range]],INDEX(DataTitel_liste,LineærRegression_Valg[[#This Row],[Afhængig variabel ID]]),INDEX(DataTitel_liste,1))</f>
        <v>Eksempel 1 (interval)</v>
      </c>
      <c r="G1064" s="45" t="str" cm="1">
        <f t="array" ref="G1064">IF(LineærRegression_Valg[[#This Row],[Indenfor range]],IF(LineærRegression_Valg[[#This Row],[Intet overlap]],INDEX(DataTitel_liste,LineærRegression_Valg[[#This Row],[Uafhængig variabel ID]]),INDEX(DataTitel_liste,IF(LineærRegression_Valg[[#This Row],[Afhængig variabel ID]]=1,2,1))),$B$7)</f>
        <v>Eksempel 2 (interval)</v>
      </c>
      <c r="H1064" s="45">
        <f>_xlfn.AGGREGATE(2,5,LineærRegression_Valg[[#This Row],[Tabel ID]])</f>
        <v>1</v>
      </c>
    </row>
    <row r="1065" spans="1:8" x14ac:dyDescent="0.2">
      <c r="A1065">
        <f>ROW(LineærRegression_Valg[[#This Row],[Tabel ID]])-ROW(LineærRegression_Valg[[#Headers],[Tabel ID]])</f>
        <v>1055</v>
      </c>
      <c r="B1065" s="45">
        <f>ROUNDDOWN((LineærRegression_Valg[[#This Row],[Tabel ID]]-1)/$B$5,0)+1</f>
        <v>264</v>
      </c>
      <c r="C1065" s="45">
        <f t="shared" si="16"/>
        <v>3</v>
      </c>
      <c r="D1065" s="45" t="b">
        <f>LineærRegression_Valg[[#This Row],[Afhængig variabel ID]]&lt;&gt;LineærRegression_Valg[[#This Row],[Uafhængig variabel ID]]</f>
        <v>1</v>
      </c>
      <c r="E1065" t="b">
        <f>LineærRegression_Valg[[#This Row],[Afhængig variabel ID]]&lt;=$B$5</f>
        <v>0</v>
      </c>
      <c r="F1065" t="str" cm="1">
        <f t="array" ref="F1065">IF(LineærRegression_Valg[[#This Row],[Indenfor range]],INDEX(DataTitel_liste,LineærRegression_Valg[[#This Row],[Afhængig variabel ID]]),INDEX(DataTitel_liste,1))</f>
        <v>Eksempel 1 (interval)</v>
      </c>
      <c r="G1065" s="45" t="str" cm="1">
        <f t="array" ref="G1065">IF(LineærRegression_Valg[[#This Row],[Indenfor range]],IF(LineærRegression_Valg[[#This Row],[Intet overlap]],INDEX(DataTitel_liste,LineærRegression_Valg[[#This Row],[Uafhængig variabel ID]]),INDEX(DataTitel_liste,IF(LineærRegression_Valg[[#This Row],[Afhængig variabel ID]]=1,2,1))),$B$7)</f>
        <v>Eksempel 2 (interval)</v>
      </c>
      <c r="H1065" s="45">
        <f>_xlfn.AGGREGATE(2,5,LineærRegression_Valg[[#This Row],[Tabel ID]])</f>
        <v>1</v>
      </c>
    </row>
    <row r="1066" spans="1:8" x14ac:dyDescent="0.2">
      <c r="A1066">
        <f>ROW(LineærRegression_Valg[[#This Row],[Tabel ID]])-ROW(LineærRegression_Valg[[#Headers],[Tabel ID]])</f>
        <v>1056</v>
      </c>
      <c r="B1066" s="45">
        <f>ROUNDDOWN((LineærRegression_Valg[[#This Row],[Tabel ID]]-1)/$B$5,0)+1</f>
        <v>264</v>
      </c>
      <c r="C1066" s="45">
        <f t="shared" si="16"/>
        <v>4</v>
      </c>
      <c r="D1066" s="45" t="b">
        <f>LineærRegression_Valg[[#This Row],[Afhængig variabel ID]]&lt;&gt;LineærRegression_Valg[[#This Row],[Uafhængig variabel ID]]</f>
        <v>1</v>
      </c>
      <c r="E1066" t="b">
        <f>LineærRegression_Valg[[#This Row],[Afhængig variabel ID]]&lt;=$B$5</f>
        <v>0</v>
      </c>
      <c r="F1066" t="str" cm="1">
        <f t="array" ref="F1066">IF(LineærRegression_Valg[[#This Row],[Indenfor range]],INDEX(DataTitel_liste,LineærRegression_Valg[[#This Row],[Afhængig variabel ID]]),INDEX(DataTitel_liste,1))</f>
        <v>Eksempel 1 (interval)</v>
      </c>
      <c r="G1066" s="45" t="str" cm="1">
        <f t="array" ref="G1066">IF(LineærRegression_Valg[[#This Row],[Indenfor range]],IF(LineærRegression_Valg[[#This Row],[Intet overlap]],INDEX(DataTitel_liste,LineærRegression_Valg[[#This Row],[Uafhængig variabel ID]]),INDEX(DataTitel_liste,IF(LineærRegression_Valg[[#This Row],[Afhængig variabel ID]]=1,2,1))),$B$7)</f>
        <v>Eksempel 2 (interval)</v>
      </c>
      <c r="H1066" s="45">
        <f>_xlfn.AGGREGATE(2,5,LineærRegression_Valg[[#This Row],[Tabel ID]])</f>
        <v>1</v>
      </c>
    </row>
    <row r="1067" spans="1:8" x14ac:dyDescent="0.2">
      <c r="A1067">
        <f>ROW(LineærRegression_Valg[[#This Row],[Tabel ID]])-ROW(LineærRegression_Valg[[#Headers],[Tabel ID]])</f>
        <v>1057</v>
      </c>
      <c r="B1067" s="45">
        <f>ROUNDDOWN((LineærRegression_Valg[[#This Row],[Tabel ID]]-1)/$B$5,0)+1</f>
        <v>265</v>
      </c>
      <c r="C1067" s="45">
        <f t="shared" si="16"/>
        <v>1</v>
      </c>
      <c r="D1067" s="45" t="b">
        <f>LineærRegression_Valg[[#This Row],[Afhængig variabel ID]]&lt;&gt;LineærRegression_Valg[[#This Row],[Uafhængig variabel ID]]</f>
        <v>1</v>
      </c>
      <c r="E1067" t="b">
        <f>LineærRegression_Valg[[#This Row],[Afhængig variabel ID]]&lt;=$B$5</f>
        <v>0</v>
      </c>
      <c r="F1067" t="str" cm="1">
        <f t="array" ref="F1067">IF(LineærRegression_Valg[[#This Row],[Indenfor range]],INDEX(DataTitel_liste,LineærRegression_Valg[[#This Row],[Afhængig variabel ID]]),INDEX(DataTitel_liste,1))</f>
        <v>Eksempel 1 (interval)</v>
      </c>
      <c r="G1067" s="45" t="str" cm="1">
        <f t="array" ref="G1067">IF(LineærRegression_Valg[[#This Row],[Indenfor range]],IF(LineærRegression_Valg[[#This Row],[Intet overlap]],INDEX(DataTitel_liste,LineærRegression_Valg[[#This Row],[Uafhængig variabel ID]]),INDEX(DataTitel_liste,IF(LineærRegression_Valg[[#This Row],[Afhængig variabel ID]]=1,2,1))),$B$7)</f>
        <v>Eksempel 2 (interval)</v>
      </c>
      <c r="H1067" s="45">
        <f>_xlfn.AGGREGATE(2,5,LineærRegression_Valg[[#This Row],[Tabel ID]])</f>
        <v>1</v>
      </c>
    </row>
    <row r="1068" spans="1:8" x14ac:dyDescent="0.2">
      <c r="A1068">
        <f>ROW(LineærRegression_Valg[[#This Row],[Tabel ID]])-ROW(LineærRegression_Valg[[#Headers],[Tabel ID]])</f>
        <v>1058</v>
      </c>
      <c r="B1068" s="45">
        <f>ROUNDDOWN((LineærRegression_Valg[[#This Row],[Tabel ID]]-1)/$B$5,0)+1</f>
        <v>265</v>
      </c>
      <c r="C1068" s="45">
        <f t="shared" si="16"/>
        <v>2</v>
      </c>
      <c r="D1068" s="45" t="b">
        <f>LineærRegression_Valg[[#This Row],[Afhængig variabel ID]]&lt;&gt;LineærRegression_Valg[[#This Row],[Uafhængig variabel ID]]</f>
        <v>1</v>
      </c>
      <c r="E1068" t="b">
        <f>LineærRegression_Valg[[#This Row],[Afhængig variabel ID]]&lt;=$B$5</f>
        <v>0</v>
      </c>
      <c r="F1068" t="str" cm="1">
        <f t="array" ref="F1068">IF(LineærRegression_Valg[[#This Row],[Indenfor range]],INDEX(DataTitel_liste,LineærRegression_Valg[[#This Row],[Afhængig variabel ID]]),INDEX(DataTitel_liste,1))</f>
        <v>Eksempel 1 (interval)</v>
      </c>
      <c r="G1068" s="45" t="str" cm="1">
        <f t="array" ref="G1068">IF(LineærRegression_Valg[[#This Row],[Indenfor range]],IF(LineærRegression_Valg[[#This Row],[Intet overlap]],INDEX(DataTitel_liste,LineærRegression_Valg[[#This Row],[Uafhængig variabel ID]]),INDEX(DataTitel_liste,IF(LineærRegression_Valg[[#This Row],[Afhængig variabel ID]]=1,2,1))),$B$7)</f>
        <v>Eksempel 2 (interval)</v>
      </c>
      <c r="H1068" s="45">
        <f>_xlfn.AGGREGATE(2,5,LineærRegression_Valg[[#This Row],[Tabel ID]])</f>
        <v>1</v>
      </c>
    </row>
    <row r="1069" spans="1:8" x14ac:dyDescent="0.2">
      <c r="A1069">
        <f>ROW(LineærRegression_Valg[[#This Row],[Tabel ID]])-ROW(LineærRegression_Valg[[#Headers],[Tabel ID]])</f>
        <v>1059</v>
      </c>
      <c r="B1069" s="45">
        <f>ROUNDDOWN((LineærRegression_Valg[[#This Row],[Tabel ID]]-1)/$B$5,0)+1</f>
        <v>265</v>
      </c>
      <c r="C1069" s="45">
        <f t="shared" si="16"/>
        <v>3</v>
      </c>
      <c r="D1069" s="45" t="b">
        <f>LineærRegression_Valg[[#This Row],[Afhængig variabel ID]]&lt;&gt;LineærRegression_Valg[[#This Row],[Uafhængig variabel ID]]</f>
        <v>1</v>
      </c>
      <c r="E1069" t="b">
        <f>LineærRegression_Valg[[#This Row],[Afhængig variabel ID]]&lt;=$B$5</f>
        <v>0</v>
      </c>
      <c r="F1069" t="str" cm="1">
        <f t="array" ref="F1069">IF(LineærRegression_Valg[[#This Row],[Indenfor range]],INDEX(DataTitel_liste,LineærRegression_Valg[[#This Row],[Afhængig variabel ID]]),INDEX(DataTitel_liste,1))</f>
        <v>Eksempel 1 (interval)</v>
      </c>
      <c r="G1069" s="45" t="str" cm="1">
        <f t="array" ref="G1069">IF(LineærRegression_Valg[[#This Row],[Indenfor range]],IF(LineærRegression_Valg[[#This Row],[Intet overlap]],INDEX(DataTitel_liste,LineærRegression_Valg[[#This Row],[Uafhængig variabel ID]]),INDEX(DataTitel_liste,IF(LineærRegression_Valg[[#This Row],[Afhængig variabel ID]]=1,2,1))),$B$7)</f>
        <v>Eksempel 2 (interval)</v>
      </c>
      <c r="H1069" s="45">
        <f>_xlfn.AGGREGATE(2,5,LineærRegression_Valg[[#This Row],[Tabel ID]])</f>
        <v>1</v>
      </c>
    </row>
    <row r="1070" spans="1:8" x14ac:dyDescent="0.2">
      <c r="A1070">
        <f>ROW(LineærRegression_Valg[[#This Row],[Tabel ID]])-ROW(LineærRegression_Valg[[#Headers],[Tabel ID]])</f>
        <v>1060</v>
      </c>
      <c r="B1070" s="45">
        <f>ROUNDDOWN((LineærRegression_Valg[[#This Row],[Tabel ID]]-1)/$B$5,0)+1</f>
        <v>265</v>
      </c>
      <c r="C1070" s="45">
        <f t="shared" si="16"/>
        <v>4</v>
      </c>
      <c r="D1070" s="45" t="b">
        <f>LineærRegression_Valg[[#This Row],[Afhængig variabel ID]]&lt;&gt;LineærRegression_Valg[[#This Row],[Uafhængig variabel ID]]</f>
        <v>1</v>
      </c>
      <c r="E1070" t="b">
        <f>LineærRegression_Valg[[#This Row],[Afhængig variabel ID]]&lt;=$B$5</f>
        <v>0</v>
      </c>
      <c r="F1070" t="str" cm="1">
        <f t="array" ref="F1070">IF(LineærRegression_Valg[[#This Row],[Indenfor range]],INDEX(DataTitel_liste,LineærRegression_Valg[[#This Row],[Afhængig variabel ID]]),INDEX(DataTitel_liste,1))</f>
        <v>Eksempel 1 (interval)</v>
      </c>
      <c r="G1070" s="45" t="str" cm="1">
        <f t="array" ref="G1070">IF(LineærRegression_Valg[[#This Row],[Indenfor range]],IF(LineærRegression_Valg[[#This Row],[Intet overlap]],INDEX(DataTitel_liste,LineærRegression_Valg[[#This Row],[Uafhængig variabel ID]]),INDEX(DataTitel_liste,IF(LineærRegression_Valg[[#This Row],[Afhængig variabel ID]]=1,2,1))),$B$7)</f>
        <v>Eksempel 2 (interval)</v>
      </c>
      <c r="H1070" s="45">
        <f>_xlfn.AGGREGATE(2,5,LineærRegression_Valg[[#This Row],[Tabel ID]])</f>
        <v>1</v>
      </c>
    </row>
    <row r="1071" spans="1:8" x14ac:dyDescent="0.2">
      <c r="A1071">
        <f>ROW(LineærRegression_Valg[[#This Row],[Tabel ID]])-ROW(LineærRegression_Valg[[#Headers],[Tabel ID]])</f>
        <v>1061</v>
      </c>
      <c r="B1071" s="45">
        <f>ROUNDDOWN((LineærRegression_Valg[[#This Row],[Tabel ID]]-1)/$B$5,0)+1</f>
        <v>266</v>
      </c>
      <c r="C1071" s="45">
        <f t="shared" si="16"/>
        <v>1</v>
      </c>
      <c r="D1071" s="45" t="b">
        <f>LineærRegression_Valg[[#This Row],[Afhængig variabel ID]]&lt;&gt;LineærRegression_Valg[[#This Row],[Uafhængig variabel ID]]</f>
        <v>1</v>
      </c>
      <c r="E1071" t="b">
        <f>LineærRegression_Valg[[#This Row],[Afhængig variabel ID]]&lt;=$B$5</f>
        <v>0</v>
      </c>
      <c r="F1071" t="str" cm="1">
        <f t="array" ref="F1071">IF(LineærRegression_Valg[[#This Row],[Indenfor range]],INDEX(DataTitel_liste,LineærRegression_Valg[[#This Row],[Afhængig variabel ID]]),INDEX(DataTitel_liste,1))</f>
        <v>Eksempel 1 (interval)</v>
      </c>
      <c r="G1071" s="45" t="str" cm="1">
        <f t="array" ref="G1071">IF(LineærRegression_Valg[[#This Row],[Indenfor range]],IF(LineærRegression_Valg[[#This Row],[Intet overlap]],INDEX(DataTitel_liste,LineærRegression_Valg[[#This Row],[Uafhængig variabel ID]]),INDEX(DataTitel_liste,IF(LineærRegression_Valg[[#This Row],[Afhængig variabel ID]]=1,2,1))),$B$7)</f>
        <v>Eksempel 2 (interval)</v>
      </c>
      <c r="H1071" s="45">
        <f>_xlfn.AGGREGATE(2,5,LineærRegression_Valg[[#This Row],[Tabel ID]])</f>
        <v>1</v>
      </c>
    </row>
    <row r="1072" spans="1:8" x14ac:dyDescent="0.2">
      <c r="A1072">
        <f>ROW(LineærRegression_Valg[[#This Row],[Tabel ID]])-ROW(LineærRegression_Valg[[#Headers],[Tabel ID]])</f>
        <v>1062</v>
      </c>
      <c r="B1072" s="45">
        <f>ROUNDDOWN((LineærRegression_Valg[[#This Row],[Tabel ID]]-1)/$B$5,0)+1</f>
        <v>266</v>
      </c>
      <c r="C1072" s="45">
        <f t="shared" si="16"/>
        <v>2</v>
      </c>
      <c r="D1072" s="45" t="b">
        <f>LineærRegression_Valg[[#This Row],[Afhængig variabel ID]]&lt;&gt;LineærRegression_Valg[[#This Row],[Uafhængig variabel ID]]</f>
        <v>1</v>
      </c>
      <c r="E1072" t="b">
        <f>LineærRegression_Valg[[#This Row],[Afhængig variabel ID]]&lt;=$B$5</f>
        <v>0</v>
      </c>
      <c r="F1072" t="str" cm="1">
        <f t="array" ref="F1072">IF(LineærRegression_Valg[[#This Row],[Indenfor range]],INDEX(DataTitel_liste,LineærRegression_Valg[[#This Row],[Afhængig variabel ID]]),INDEX(DataTitel_liste,1))</f>
        <v>Eksempel 1 (interval)</v>
      </c>
      <c r="G1072" s="45" t="str" cm="1">
        <f t="array" ref="G1072">IF(LineærRegression_Valg[[#This Row],[Indenfor range]],IF(LineærRegression_Valg[[#This Row],[Intet overlap]],INDEX(DataTitel_liste,LineærRegression_Valg[[#This Row],[Uafhængig variabel ID]]),INDEX(DataTitel_liste,IF(LineærRegression_Valg[[#This Row],[Afhængig variabel ID]]=1,2,1))),$B$7)</f>
        <v>Eksempel 2 (interval)</v>
      </c>
      <c r="H1072" s="45">
        <f>_xlfn.AGGREGATE(2,5,LineærRegression_Valg[[#This Row],[Tabel ID]])</f>
        <v>1</v>
      </c>
    </row>
    <row r="1073" spans="1:8" x14ac:dyDescent="0.2">
      <c r="A1073">
        <f>ROW(LineærRegression_Valg[[#This Row],[Tabel ID]])-ROW(LineærRegression_Valg[[#Headers],[Tabel ID]])</f>
        <v>1063</v>
      </c>
      <c r="B1073" s="45">
        <f>ROUNDDOWN((LineærRegression_Valg[[#This Row],[Tabel ID]]-1)/$B$5,0)+1</f>
        <v>266</v>
      </c>
      <c r="C1073" s="45">
        <f t="shared" si="16"/>
        <v>3</v>
      </c>
      <c r="D1073" s="45" t="b">
        <f>LineærRegression_Valg[[#This Row],[Afhængig variabel ID]]&lt;&gt;LineærRegression_Valg[[#This Row],[Uafhængig variabel ID]]</f>
        <v>1</v>
      </c>
      <c r="E1073" t="b">
        <f>LineærRegression_Valg[[#This Row],[Afhængig variabel ID]]&lt;=$B$5</f>
        <v>0</v>
      </c>
      <c r="F1073" t="str" cm="1">
        <f t="array" ref="F1073">IF(LineærRegression_Valg[[#This Row],[Indenfor range]],INDEX(DataTitel_liste,LineærRegression_Valg[[#This Row],[Afhængig variabel ID]]),INDEX(DataTitel_liste,1))</f>
        <v>Eksempel 1 (interval)</v>
      </c>
      <c r="G1073" s="45" t="str" cm="1">
        <f t="array" ref="G1073">IF(LineærRegression_Valg[[#This Row],[Indenfor range]],IF(LineærRegression_Valg[[#This Row],[Intet overlap]],INDEX(DataTitel_liste,LineærRegression_Valg[[#This Row],[Uafhængig variabel ID]]),INDEX(DataTitel_liste,IF(LineærRegression_Valg[[#This Row],[Afhængig variabel ID]]=1,2,1))),$B$7)</f>
        <v>Eksempel 2 (interval)</v>
      </c>
      <c r="H1073" s="45">
        <f>_xlfn.AGGREGATE(2,5,LineærRegression_Valg[[#This Row],[Tabel ID]])</f>
        <v>1</v>
      </c>
    </row>
    <row r="1074" spans="1:8" x14ac:dyDescent="0.2">
      <c r="A1074">
        <f>ROW(LineærRegression_Valg[[#This Row],[Tabel ID]])-ROW(LineærRegression_Valg[[#Headers],[Tabel ID]])</f>
        <v>1064</v>
      </c>
      <c r="B1074" s="45">
        <f>ROUNDDOWN((LineærRegression_Valg[[#This Row],[Tabel ID]]-1)/$B$5,0)+1</f>
        <v>266</v>
      </c>
      <c r="C1074" s="45">
        <f t="shared" si="16"/>
        <v>4</v>
      </c>
      <c r="D1074" s="45" t="b">
        <f>LineærRegression_Valg[[#This Row],[Afhængig variabel ID]]&lt;&gt;LineærRegression_Valg[[#This Row],[Uafhængig variabel ID]]</f>
        <v>1</v>
      </c>
      <c r="E1074" t="b">
        <f>LineærRegression_Valg[[#This Row],[Afhængig variabel ID]]&lt;=$B$5</f>
        <v>0</v>
      </c>
      <c r="F1074" t="str" cm="1">
        <f t="array" ref="F1074">IF(LineærRegression_Valg[[#This Row],[Indenfor range]],INDEX(DataTitel_liste,LineærRegression_Valg[[#This Row],[Afhængig variabel ID]]),INDEX(DataTitel_liste,1))</f>
        <v>Eksempel 1 (interval)</v>
      </c>
      <c r="G1074" s="45" t="str" cm="1">
        <f t="array" ref="G1074">IF(LineærRegression_Valg[[#This Row],[Indenfor range]],IF(LineærRegression_Valg[[#This Row],[Intet overlap]],INDEX(DataTitel_liste,LineærRegression_Valg[[#This Row],[Uafhængig variabel ID]]),INDEX(DataTitel_liste,IF(LineærRegression_Valg[[#This Row],[Afhængig variabel ID]]=1,2,1))),$B$7)</f>
        <v>Eksempel 2 (interval)</v>
      </c>
      <c r="H1074" s="45">
        <f>_xlfn.AGGREGATE(2,5,LineærRegression_Valg[[#This Row],[Tabel ID]])</f>
        <v>1</v>
      </c>
    </row>
    <row r="1075" spans="1:8" x14ac:dyDescent="0.2">
      <c r="A1075">
        <f>ROW(LineærRegression_Valg[[#This Row],[Tabel ID]])-ROW(LineærRegression_Valg[[#Headers],[Tabel ID]])</f>
        <v>1065</v>
      </c>
      <c r="B1075" s="45">
        <f>ROUNDDOWN((LineærRegression_Valg[[#This Row],[Tabel ID]]-1)/$B$5,0)+1</f>
        <v>267</v>
      </c>
      <c r="C1075" s="45">
        <f t="shared" si="16"/>
        <v>1</v>
      </c>
      <c r="D1075" s="45" t="b">
        <f>LineærRegression_Valg[[#This Row],[Afhængig variabel ID]]&lt;&gt;LineærRegression_Valg[[#This Row],[Uafhængig variabel ID]]</f>
        <v>1</v>
      </c>
      <c r="E1075" t="b">
        <f>LineærRegression_Valg[[#This Row],[Afhængig variabel ID]]&lt;=$B$5</f>
        <v>0</v>
      </c>
      <c r="F1075" t="str" cm="1">
        <f t="array" ref="F1075">IF(LineærRegression_Valg[[#This Row],[Indenfor range]],INDEX(DataTitel_liste,LineærRegression_Valg[[#This Row],[Afhængig variabel ID]]),INDEX(DataTitel_liste,1))</f>
        <v>Eksempel 1 (interval)</v>
      </c>
      <c r="G1075" s="45" t="str" cm="1">
        <f t="array" ref="G1075">IF(LineærRegression_Valg[[#This Row],[Indenfor range]],IF(LineærRegression_Valg[[#This Row],[Intet overlap]],INDEX(DataTitel_liste,LineærRegression_Valg[[#This Row],[Uafhængig variabel ID]]),INDEX(DataTitel_liste,IF(LineærRegression_Valg[[#This Row],[Afhængig variabel ID]]=1,2,1))),$B$7)</f>
        <v>Eksempel 2 (interval)</v>
      </c>
      <c r="H1075" s="45">
        <f>_xlfn.AGGREGATE(2,5,LineærRegression_Valg[[#This Row],[Tabel ID]])</f>
        <v>1</v>
      </c>
    </row>
    <row r="1076" spans="1:8" x14ac:dyDescent="0.2">
      <c r="A1076">
        <f>ROW(LineærRegression_Valg[[#This Row],[Tabel ID]])-ROW(LineærRegression_Valg[[#Headers],[Tabel ID]])</f>
        <v>1066</v>
      </c>
      <c r="B1076" s="45">
        <f>ROUNDDOWN((LineærRegression_Valg[[#This Row],[Tabel ID]]-1)/$B$5,0)+1</f>
        <v>267</v>
      </c>
      <c r="C1076" s="45">
        <f t="shared" si="16"/>
        <v>2</v>
      </c>
      <c r="D1076" s="45" t="b">
        <f>LineærRegression_Valg[[#This Row],[Afhængig variabel ID]]&lt;&gt;LineærRegression_Valg[[#This Row],[Uafhængig variabel ID]]</f>
        <v>1</v>
      </c>
      <c r="E1076" t="b">
        <f>LineærRegression_Valg[[#This Row],[Afhængig variabel ID]]&lt;=$B$5</f>
        <v>0</v>
      </c>
      <c r="F1076" t="str" cm="1">
        <f t="array" ref="F1076">IF(LineærRegression_Valg[[#This Row],[Indenfor range]],INDEX(DataTitel_liste,LineærRegression_Valg[[#This Row],[Afhængig variabel ID]]),INDEX(DataTitel_liste,1))</f>
        <v>Eksempel 1 (interval)</v>
      </c>
      <c r="G1076" s="45" t="str" cm="1">
        <f t="array" ref="G1076">IF(LineærRegression_Valg[[#This Row],[Indenfor range]],IF(LineærRegression_Valg[[#This Row],[Intet overlap]],INDEX(DataTitel_liste,LineærRegression_Valg[[#This Row],[Uafhængig variabel ID]]),INDEX(DataTitel_liste,IF(LineærRegression_Valg[[#This Row],[Afhængig variabel ID]]=1,2,1))),$B$7)</f>
        <v>Eksempel 2 (interval)</v>
      </c>
      <c r="H1076" s="45">
        <f>_xlfn.AGGREGATE(2,5,LineærRegression_Valg[[#This Row],[Tabel ID]])</f>
        <v>1</v>
      </c>
    </row>
    <row r="1077" spans="1:8" x14ac:dyDescent="0.2">
      <c r="A1077">
        <f>ROW(LineærRegression_Valg[[#This Row],[Tabel ID]])-ROW(LineærRegression_Valg[[#Headers],[Tabel ID]])</f>
        <v>1067</v>
      </c>
      <c r="B1077" s="45">
        <f>ROUNDDOWN((LineærRegression_Valg[[#This Row],[Tabel ID]]-1)/$B$5,0)+1</f>
        <v>267</v>
      </c>
      <c r="C1077" s="45">
        <f t="shared" si="16"/>
        <v>3</v>
      </c>
      <c r="D1077" s="45" t="b">
        <f>LineærRegression_Valg[[#This Row],[Afhængig variabel ID]]&lt;&gt;LineærRegression_Valg[[#This Row],[Uafhængig variabel ID]]</f>
        <v>1</v>
      </c>
      <c r="E1077" t="b">
        <f>LineærRegression_Valg[[#This Row],[Afhængig variabel ID]]&lt;=$B$5</f>
        <v>0</v>
      </c>
      <c r="F1077" t="str" cm="1">
        <f t="array" ref="F1077">IF(LineærRegression_Valg[[#This Row],[Indenfor range]],INDEX(DataTitel_liste,LineærRegression_Valg[[#This Row],[Afhængig variabel ID]]),INDEX(DataTitel_liste,1))</f>
        <v>Eksempel 1 (interval)</v>
      </c>
      <c r="G1077" s="45" t="str" cm="1">
        <f t="array" ref="G1077">IF(LineærRegression_Valg[[#This Row],[Indenfor range]],IF(LineærRegression_Valg[[#This Row],[Intet overlap]],INDEX(DataTitel_liste,LineærRegression_Valg[[#This Row],[Uafhængig variabel ID]]),INDEX(DataTitel_liste,IF(LineærRegression_Valg[[#This Row],[Afhængig variabel ID]]=1,2,1))),$B$7)</f>
        <v>Eksempel 2 (interval)</v>
      </c>
      <c r="H1077" s="45">
        <f>_xlfn.AGGREGATE(2,5,LineærRegression_Valg[[#This Row],[Tabel ID]])</f>
        <v>1</v>
      </c>
    </row>
    <row r="1078" spans="1:8" x14ac:dyDescent="0.2">
      <c r="A1078">
        <f>ROW(LineærRegression_Valg[[#This Row],[Tabel ID]])-ROW(LineærRegression_Valg[[#Headers],[Tabel ID]])</f>
        <v>1068</v>
      </c>
      <c r="B1078" s="45">
        <f>ROUNDDOWN((LineærRegression_Valg[[#This Row],[Tabel ID]]-1)/$B$5,0)+1</f>
        <v>267</v>
      </c>
      <c r="C1078" s="45">
        <f t="shared" si="16"/>
        <v>4</v>
      </c>
      <c r="D1078" s="45" t="b">
        <f>LineærRegression_Valg[[#This Row],[Afhængig variabel ID]]&lt;&gt;LineærRegression_Valg[[#This Row],[Uafhængig variabel ID]]</f>
        <v>1</v>
      </c>
      <c r="E1078" t="b">
        <f>LineærRegression_Valg[[#This Row],[Afhængig variabel ID]]&lt;=$B$5</f>
        <v>0</v>
      </c>
      <c r="F1078" t="str" cm="1">
        <f t="array" ref="F1078">IF(LineærRegression_Valg[[#This Row],[Indenfor range]],INDEX(DataTitel_liste,LineærRegression_Valg[[#This Row],[Afhængig variabel ID]]),INDEX(DataTitel_liste,1))</f>
        <v>Eksempel 1 (interval)</v>
      </c>
      <c r="G1078" s="45" t="str" cm="1">
        <f t="array" ref="G1078">IF(LineærRegression_Valg[[#This Row],[Indenfor range]],IF(LineærRegression_Valg[[#This Row],[Intet overlap]],INDEX(DataTitel_liste,LineærRegression_Valg[[#This Row],[Uafhængig variabel ID]]),INDEX(DataTitel_liste,IF(LineærRegression_Valg[[#This Row],[Afhængig variabel ID]]=1,2,1))),$B$7)</f>
        <v>Eksempel 2 (interval)</v>
      </c>
      <c r="H1078" s="45">
        <f>_xlfn.AGGREGATE(2,5,LineærRegression_Valg[[#This Row],[Tabel ID]])</f>
        <v>1</v>
      </c>
    </row>
    <row r="1079" spans="1:8" x14ac:dyDescent="0.2">
      <c r="A1079">
        <f>ROW(LineærRegression_Valg[[#This Row],[Tabel ID]])-ROW(LineærRegression_Valg[[#Headers],[Tabel ID]])</f>
        <v>1069</v>
      </c>
      <c r="B1079" s="45">
        <f>ROUNDDOWN((LineærRegression_Valg[[#This Row],[Tabel ID]]-1)/$B$5,0)+1</f>
        <v>268</v>
      </c>
      <c r="C1079" s="45">
        <f t="shared" si="16"/>
        <v>1</v>
      </c>
      <c r="D1079" s="45" t="b">
        <f>LineærRegression_Valg[[#This Row],[Afhængig variabel ID]]&lt;&gt;LineærRegression_Valg[[#This Row],[Uafhængig variabel ID]]</f>
        <v>1</v>
      </c>
      <c r="E1079" t="b">
        <f>LineærRegression_Valg[[#This Row],[Afhængig variabel ID]]&lt;=$B$5</f>
        <v>0</v>
      </c>
      <c r="F1079" t="str" cm="1">
        <f t="array" ref="F1079">IF(LineærRegression_Valg[[#This Row],[Indenfor range]],INDEX(DataTitel_liste,LineærRegression_Valg[[#This Row],[Afhængig variabel ID]]),INDEX(DataTitel_liste,1))</f>
        <v>Eksempel 1 (interval)</v>
      </c>
      <c r="G1079" s="45" t="str" cm="1">
        <f t="array" ref="G1079">IF(LineærRegression_Valg[[#This Row],[Indenfor range]],IF(LineærRegression_Valg[[#This Row],[Intet overlap]],INDEX(DataTitel_liste,LineærRegression_Valg[[#This Row],[Uafhængig variabel ID]]),INDEX(DataTitel_liste,IF(LineærRegression_Valg[[#This Row],[Afhængig variabel ID]]=1,2,1))),$B$7)</f>
        <v>Eksempel 2 (interval)</v>
      </c>
      <c r="H1079" s="45">
        <f>_xlfn.AGGREGATE(2,5,LineærRegression_Valg[[#This Row],[Tabel ID]])</f>
        <v>1</v>
      </c>
    </row>
    <row r="1080" spans="1:8" x14ac:dyDescent="0.2">
      <c r="A1080">
        <f>ROW(LineærRegression_Valg[[#This Row],[Tabel ID]])-ROW(LineærRegression_Valg[[#Headers],[Tabel ID]])</f>
        <v>1070</v>
      </c>
      <c r="B1080" s="45">
        <f>ROUNDDOWN((LineærRegression_Valg[[#This Row],[Tabel ID]]-1)/$B$5,0)+1</f>
        <v>268</v>
      </c>
      <c r="C1080" s="45">
        <f t="shared" si="16"/>
        <v>2</v>
      </c>
      <c r="D1080" s="45" t="b">
        <f>LineærRegression_Valg[[#This Row],[Afhængig variabel ID]]&lt;&gt;LineærRegression_Valg[[#This Row],[Uafhængig variabel ID]]</f>
        <v>1</v>
      </c>
      <c r="E1080" t="b">
        <f>LineærRegression_Valg[[#This Row],[Afhængig variabel ID]]&lt;=$B$5</f>
        <v>0</v>
      </c>
      <c r="F1080" t="str" cm="1">
        <f t="array" ref="F1080">IF(LineærRegression_Valg[[#This Row],[Indenfor range]],INDEX(DataTitel_liste,LineærRegression_Valg[[#This Row],[Afhængig variabel ID]]),INDEX(DataTitel_liste,1))</f>
        <v>Eksempel 1 (interval)</v>
      </c>
      <c r="G1080" s="45" t="str" cm="1">
        <f t="array" ref="G1080">IF(LineærRegression_Valg[[#This Row],[Indenfor range]],IF(LineærRegression_Valg[[#This Row],[Intet overlap]],INDEX(DataTitel_liste,LineærRegression_Valg[[#This Row],[Uafhængig variabel ID]]),INDEX(DataTitel_liste,IF(LineærRegression_Valg[[#This Row],[Afhængig variabel ID]]=1,2,1))),$B$7)</f>
        <v>Eksempel 2 (interval)</v>
      </c>
      <c r="H1080" s="45">
        <f>_xlfn.AGGREGATE(2,5,LineærRegression_Valg[[#This Row],[Tabel ID]])</f>
        <v>1</v>
      </c>
    </row>
    <row r="1081" spans="1:8" x14ac:dyDescent="0.2">
      <c r="A1081">
        <f>ROW(LineærRegression_Valg[[#This Row],[Tabel ID]])-ROW(LineærRegression_Valg[[#Headers],[Tabel ID]])</f>
        <v>1071</v>
      </c>
      <c r="B1081" s="45">
        <f>ROUNDDOWN((LineærRegression_Valg[[#This Row],[Tabel ID]]-1)/$B$5,0)+1</f>
        <v>268</v>
      </c>
      <c r="C1081" s="45">
        <f t="shared" si="16"/>
        <v>3</v>
      </c>
      <c r="D1081" s="45" t="b">
        <f>LineærRegression_Valg[[#This Row],[Afhængig variabel ID]]&lt;&gt;LineærRegression_Valg[[#This Row],[Uafhængig variabel ID]]</f>
        <v>1</v>
      </c>
      <c r="E1081" t="b">
        <f>LineærRegression_Valg[[#This Row],[Afhængig variabel ID]]&lt;=$B$5</f>
        <v>0</v>
      </c>
      <c r="F1081" t="str" cm="1">
        <f t="array" ref="F1081">IF(LineærRegression_Valg[[#This Row],[Indenfor range]],INDEX(DataTitel_liste,LineærRegression_Valg[[#This Row],[Afhængig variabel ID]]),INDEX(DataTitel_liste,1))</f>
        <v>Eksempel 1 (interval)</v>
      </c>
      <c r="G1081" s="45" t="str" cm="1">
        <f t="array" ref="G1081">IF(LineærRegression_Valg[[#This Row],[Indenfor range]],IF(LineærRegression_Valg[[#This Row],[Intet overlap]],INDEX(DataTitel_liste,LineærRegression_Valg[[#This Row],[Uafhængig variabel ID]]),INDEX(DataTitel_liste,IF(LineærRegression_Valg[[#This Row],[Afhængig variabel ID]]=1,2,1))),$B$7)</f>
        <v>Eksempel 2 (interval)</v>
      </c>
      <c r="H1081" s="45">
        <f>_xlfn.AGGREGATE(2,5,LineærRegression_Valg[[#This Row],[Tabel ID]])</f>
        <v>1</v>
      </c>
    </row>
    <row r="1082" spans="1:8" x14ac:dyDescent="0.2">
      <c r="A1082">
        <f>ROW(LineærRegression_Valg[[#This Row],[Tabel ID]])-ROW(LineærRegression_Valg[[#Headers],[Tabel ID]])</f>
        <v>1072</v>
      </c>
      <c r="B1082" s="45">
        <f>ROUNDDOWN((LineærRegression_Valg[[#This Row],[Tabel ID]]-1)/$B$5,0)+1</f>
        <v>268</v>
      </c>
      <c r="C1082" s="45">
        <f t="shared" si="16"/>
        <v>4</v>
      </c>
      <c r="D1082" s="45" t="b">
        <f>LineærRegression_Valg[[#This Row],[Afhængig variabel ID]]&lt;&gt;LineærRegression_Valg[[#This Row],[Uafhængig variabel ID]]</f>
        <v>1</v>
      </c>
      <c r="E1082" t="b">
        <f>LineærRegression_Valg[[#This Row],[Afhængig variabel ID]]&lt;=$B$5</f>
        <v>0</v>
      </c>
      <c r="F1082" t="str" cm="1">
        <f t="array" ref="F1082">IF(LineærRegression_Valg[[#This Row],[Indenfor range]],INDEX(DataTitel_liste,LineærRegression_Valg[[#This Row],[Afhængig variabel ID]]),INDEX(DataTitel_liste,1))</f>
        <v>Eksempel 1 (interval)</v>
      </c>
      <c r="G1082" s="45" t="str" cm="1">
        <f t="array" ref="G1082">IF(LineærRegression_Valg[[#This Row],[Indenfor range]],IF(LineærRegression_Valg[[#This Row],[Intet overlap]],INDEX(DataTitel_liste,LineærRegression_Valg[[#This Row],[Uafhængig variabel ID]]),INDEX(DataTitel_liste,IF(LineærRegression_Valg[[#This Row],[Afhængig variabel ID]]=1,2,1))),$B$7)</f>
        <v>Eksempel 2 (interval)</v>
      </c>
      <c r="H1082" s="45">
        <f>_xlfn.AGGREGATE(2,5,LineærRegression_Valg[[#This Row],[Tabel ID]])</f>
        <v>1</v>
      </c>
    </row>
    <row r="1083" spans="1:8" x14ac:dyDescent="0.2">
      <c r="A1083">
        <f>ROW(LineærRegression_Valg[[#This Row],[Tabel ID]])-ROW(LineærRegression_Valg[[#Headers],[Tabel ID]])</f>
        <v>1073</v>
      </c>
      <c r="B1083" s="45">
        <f>ROUNDDOWN((LineærRegression_Valg[[#This Row],[Tabel ID]]-1)/$B$5,0)+1</f>
        <v>269</v>
      </c>
      <c r="C1083" s="45">
        <f t="shared" si="16"/>
        <v>1</v>
      </c>
      <c r="D1083" s="45" t="b">
        <f>LineærRegression_Valg[[#This Row],[Afhængig variabel ID]]&lt;&gt;LineærRegression_Valg[[#This Row],[Uafhængig variabel ID]]</f>
        <v>1</v>
      </c>
      <c r="E1083" t="b">
        <f>LineærRegression_Valg[[#This Row],[Afhængig variabel ID]]&lt;=$B$5</f>
        <v>0</v>
      </c>
      <c r="F1083" t="str" cm="1">
        <f t="array" ref="F1083">IF(LineærRegression_Valg[[#This Row],[Indenfor range]],INDEX(DataTitel_liste,LineærRegression_Valg[[#This Row],[Afhængig variabel ID]]),INDEX(DataTitel_liste,1))</f>
        <v>Eksempel 1 (interval)</v>
      </c>
      <c r="G1083" s="45" t="str" cm="1">
        <f t="array" ref="G1083">IF(LineærRegression_Valg[[#This Row],[Indenfor range]],IF(LineærRegression_Valg[[#This Row],[Intet overlap]],INDEX(DataTitel_liste,LineærRegression_Valg[[#This Row],[Uafhængig variabel ID]]),INDEX(DataTitel_liste,IF(LineærRegression_Valg[[#This Row],[Afhængig variabel ID]]=1,2,1))),$B$7)</f>
        <v>Eksempel 2 (interval)</v>
      </c>
      <c r="H1083" s="45">
        <f>_xlfn.AGGREGATE(2,5,LineærRegression_Valg[[#This Row],[Tabel ID]])</f>
        <v>1</v>
      </c>
    </row>
    <row r="1084" spans="1:8" x14ac:dyDescent="0.2">
      <c r="A1084">
        <f>ROW(LineærRegression_Valg[[#This Row],[Tabel ID]])-ROW(LineærRegression_Valg[[#Headers],[Tabel ID]])</f>
        <v>1074</v>
      </c>
      <c r="B1084" s="45">
        <f>ROUNDDOWN((LineærRegression_Valg[[#This Row],[Tabel ID]]-1)/$B$5,0)+1</f>
        <v>269</v>
      </c>
      <c r="C1084" s="45">
        <f t="shared" si="16"/>
        <v>2</v>
      </c>
      <c r="D1084" s="45" t="b">
        <f>LineærRegression_Valg[[#This Row],[Afhængig variabel ID]]&lt;&gt;LineærRegression_Valg[[#This Row],[Uafhængig variabel ID]]</f>
        <v>1</v>
      </c>
      <c r="E1084" t="b">
        <f>LineærRegression_Valg[[#This Row],[Afhængig variabel ID]]&lt;=$B$5</f>
        <v>0</v>
      </c>
      <c r="F1084" t="str" cm="1">
        <f t="array" ref="F1084">IF(LineærRegression_Valg[[#This Row],[Indenfor range]],INDEX(DataTitel_liste,LineærRegression_Valg[[#This Row],[Afhængig variabel ID]]),INDEX(DataTitel_liste,1))</f>
        <v>Eksempel 1 (interval)</v>
      </c>
      <c r="G1084" s="45" t="str" cm="1">
        <f t="array" ref="G1084">IF(LineærRegression_Valg[[#This Row],[Indenfor range]],IF(LineærRegression_Valg[[#This Row],[Intet overlap]],INDEX(DataTitel_liste,LineærRegression_Valg[[#This Row],[Uafhængig variabel ID]]),INDEX(DataTitel_liste,IF(LineærRegression_Valg[[#This Row],[Afhængig variabel ID]]=1,2,1))),$B$7)</f>
        <v>Eksempel 2 (interval)</v>
      </c>
      <c r="H1084" s="45">
        <f>_xlfn.AGGREGATE(2,5,LineærRegression_Valg[[#This Row],[Tabel ID]])</f>
        <v>1</v>
      </c>
    </row>
    <row r="1085" spans="1:8" x14ac:dyDescent="0.2">
      <c r="A1085">
        <f>ROW(LineærRegression_Valg[[#This Row],[Tabel ID]])-ROW(LineærRegression_Valg[[#Headers],[Tabel ID]])</f>
        <v>1075</v>
      </c>
      <c r="B1085" s="45">
        <f>ROUNDDOWN((LineærRegression_Valg[[#This Row],[Tabel ID]]-1)/$B$5,0)+1</f>
        <v>269</v>
      </c>
      <c r="C1085" s="45">
        <f t="shared" si="16"/>
        <v>3</v>
      </c>
      <c r="D1085" s="45" t="b">
        <f>LineærRegression_Valg[[#This Row],[Afhængig variabel ID]]&lt;&gt;LineærRegression_Valg[[#This Row],[Uafhængig variabel ID]]</f>
        <v>1</v>
      </c>
      <c r="E1085" t="b">
        <f>LineærRegression_Valg[[#This Row],[Afhængig variabel ID]]&lt;=$B$5</f>
        <v>0</v>
      </c>
      <c r="F1085" t="str" cm="1">
        <f t="array" ref="F1085">IF(LineærRegression_Valg[[#This Row],[Indenfor range]],INDEX(DataTitel_liste,LineærRegression_Valg[[#This Row],[Afhængig variabel ID]]),INDEX(DataTitel_liste,1))</f>
        <v>Eksempel 1 (interval)</v>
      </c>
      <c r="G1085" s="45" t="str" cm="1">
        <f t="array" ref="G1085">IF(LineærRegression_Valg[[#This Row],[Indenfor range]],IF(LineærRegression_Valg[[#This Row],[Intet overlap]],INDEX(DataTitel_liste,LineærRegression_Valg[[#This Row],[Uafhængig variabel ID]]),INDEX(DataTitel_liste,IF(LineærRegression_Valg[[#This Row],[Afhængig variabel ID]]=1,2,1))),$B$7)</f>
        <v>Eksempel 2 (interval)</v>
      </c>
      <c r="H1085" s="45">
        <f>_xlfn.AGGREGATE(2,5,LineærRegression_Valg[[#This Row],[Tabel ID]])</f>
        <v>1</v>
      </c>
    </row>
    <row r="1086" spans="1:8" x14ac:dyDescent="0.2">
      <c r="A1086">
        <f>ROW(LineærRegression_Valg[[#This Row],[Tabel ID]])-ROW(LineærRegression_Valg[[#Headers],[Tabel ID]])</f>
        <v>1076</v>
      </c>
      <c r="B1086" s="45">
        <f>ROUNDDOWN((LineærRegression_Valg[[#This Row],[Tabel ID]]-1)/$B$5,0)+1</f>
        <v>269</v>
      </c>
      <c r="C1086" s="45">
        <f t="shared" si="16"/>
        <v>4</v>
      </c>
      <c r="D1086" s="45" t="b">
        <f>LineærRegression_Valg[[#This Row],[Afhængig variabel ID]]&lt;&gt;LineærRegression_Valg[[#This Row],[Uafhængig variabel ID]]</f>
        <v>1</v>
      </c>
      <c r="E1086" t="b">
        <f>LineærRegression_Valg[[#This Row],[Afhængig variabel ID]]&lt;=$B$5</f>
        <v>0</v>
      </c>
      <c r="F1086" t="str" cm="1">
        <f t="array" ref="F1086">IF(LineærRegression_Valg[[#This Row],[Indenfor range]],INDEX(DataTitel_liste,LineærRegression_Valg[[#This Row],[Afhængig variabel ID]]),INDEX(DataTitel_liste,1))</f>
        <v>Eksempel 1 (interval)</v>
      </c>
      <c r="G1086" s="45" t="str" cm="1">
        <f t="array" ref="G1086">IF(LineærRegression_Valg[[#This Row],[Indenfor range]],IF(LineærRegression_Valg[[#This Row],[Intet overlap]],INDEX(DataTitel_liste,LineærRegression_Valg[[#This Row],[Uafhængig variabel ID]]),INDEX(DataTitel_liste,IF(LineærRegression_Valg[[#This Row],[Afhængig variabel ID]]=1,2,1))),$B$7)</f>
        <v>Eksempel 2 (interval)</v>
      </c>
      <c r="H1086" s="45">
        <f>_xlfn.AGGREGATE(2,5,LineærRegression_Valg[[#This Row],[Tabel ID]])</f>
        <v>1</v>
      </c>
    </row>
    <row r="1087" spans="1:8" x14ac:dyDescent="0.2">
      <c r="A1087">
        <f>ROW(LineærRegression_Valg[[#This Row],[Tabel ID]])-ROW(LineærRegression_Valg[[#Headers],[Tabel ID]])</f>
        <v>1077</v>
      </c>
      <c r="B1087" s="45">
        <f>ROUNDDOWN((LineærRegression_Valg[[#This Row],[Tabel ID]]-1)/$B$5,0)+1</f>
        <v>270</v>
      </c>
      <c r="C1087" s="45">
        <f t="shared" si="16"/>
        <v>1</v>
      </c>
      <c r="D1087" s="45" t="b">
        <f>LineærRegression_Valg[[#This Row],[Afhængig variabel ID]]&lt;&gt;LineærRegression_Valg[[#This Row],[Uafhængig variabel ID]]</f>
        <v>1</v>
      </c>
      <c r="E1087" t="b">
        <f>LineærRegression_Valg[[#This Row],[Afhængig variabel ID]]&lt;=$B$5</f>
        <v>0</v>
      </c>
      <c r="F1087" t="str" cm="1">
        <f t="array" ref="F1087">IF(LineærRegression_Valg[[#This Row],[Indenfor range]],INDEX(DataTitel_liste,LineærRegression_Valg[[#This Row],[Afhængig variabel ID]]),INDEX(DataTitel_liste,1))</f>
        <v>Eksempel 1 (interval)</v>
      </c>
      <c r="G1087" s="45" t="str" cm="1">
        <f t="array" ref="G1087">IF(LineærRegression_Valg[[#This Row],[Indenfor range]],IF(LineærRegression_Valg[[#This Row],[Intet overlap]],INDEX(DataTitel_liste,LineærRegression_Valg[[#This Row],[Uafhængig variabel ID]]),INDEX(DataTitel_liste,IF(LineærRegression_Valg[[#This Row],[Afhængig variabel ID]]=1,2,1))),$B$7)</f>
        <v>Eksempel 2 (interval)</v>
      </c>
      <c r="H1087" s="45">
        <f>_xlfn.AGGREGATE(2,5,LineærRegression_Valg[[#This Row],[Tabel ID]])</f>
        <v>1</v>
      </c>
    </row>
    <row r="1088" spans="1:8" x14ac:dyDescent="0.2">
      <c r="A1088">
        <f>ROW(LineærRegression_Valg[[#This Row],[Tabel ID]])-ROW(LineærRegression_Valg[[#Headers],[Tabel ID]])</f>
        <v>1078</v>
      </c>
      <c r="B1088" s="45">
        <f>ROUNDDOWN((LineærRegression_Valg[[#This Row],[Tabel ID]]-1)/$B$5,0)+1</f>
        <v>270</v>
      </c>
      <c r="C1088" s="45">
        <f t="shared" si="16"/>
        <v>2</v>
      </c>
      <c r="D1088" s="45" t="b">
        <f>LineærRegression_Valg[[#This Row],[Afhængig variabel ID]]&lt;&gt;LineærRegression_Valg[[#This Row],[Uafhængig variabel ID]]</f>
        <v>1</v>
      </c>
      <c r="E1088" t="b">
        <f>LineærRegression_Valg[[#This Row],[Afhængig variabel ID]]&lt;=$B$5</f>
        <v>0</v>
      </c>
      <c r="F1088" t="str" cm="1">
        <f t="array" ref="F1088">IF(LineærRegression_Valg[[#This Row],[Indenfor range]],INDEX(DataTitel_liste,LineærRegression_Valg[[#This Row],[Afhængig variabel ID]]),INDEX(DataTitel_liste,1))</f>
        <v>Eksempel 1 (interval)</v>
      </c>
      <c r="G1088" s="45" t="str" cm="1">
        <f t="array" ref="G1088">IF(LineærRegression_Valg[[#This Row],[Indenfor range]],IF(LineærRegression_Valg[[#This Row],[Intet overlap]],INDEX(DataTitel_liste,LineærRegression_Valg[[#This Row],[Uafhængig variabel ID]]),INDEX(DataTitel_liste,IF(LineærRegression_Valg[[#This Row],[Afhængig variabel ID]]=1,2,1))),$B$7)</f>
        <v>Eksempel 2 (interval)</v>
      </c>
      <c r="H1088" s="45">
        <f>_xlfn.AGGREGATE(2,5,LineærRegression_Valg[[#This Row],[Tabel ID]])</f>
        <v>1</v>
      </c>
    </row>
    <row r="1089" spans="1:8" x14ac:dyDescent="0.2">
      <c r="A1089">
        <f>ROW(LineærRegression_Valg[[#This Row],[Tabel ID]])-ROW(LineærRegression_Valg[[#Headers],[Tabel ID]])</f>
        <v>1079</v>
      </c>
      <c r="B1089" s="45">
        <f>ROUNDDOWN((LineærRegression_Valg[[#This Row],[Tabel ID]]-1)/$B$5,0)+1</f>
        <v>270</v>
      </c>
      <c r="C1089" s="45">
        <f t="shared" si="16"/>
        <v>3</v>
      </c>
      <c r="D1089" s="45" t="b">
        <f>LineærRegression_Valg[[#This Row],[Afhængig variabel ID]]&lt;&gt;LineærRegression_Valg[[#This Row],[Uafhængig variabel ID]]</f>
        <v>1</v>
      </c>
      <c r="E1089" t="b">
        <f>LineærRegression_Valg[[#This Row],[Afhængig variabel ID]]&lt;=$B$5</f>
        <v>0</v>
      </c>
      <c r="F1089" t="str" cm="1">
        <f t="array" ref="F1089">IF(LineærRegression_Valg[[#This Row],[Indenfor range]],INDEX(DataTitel_liste,LineærRegression_Valg[[#This Row],[Afhængig variabel ID]]),INDEX(DataTitel_liste,1))</f>
        <v>Eksempel 1 (interval)</v>
      </c>
      <c r="G1089" s="45" t="str" cm="1">
        <f t="array" ref="G1089">IF(LineærRegression_Valg[[#This Row],[Indenfor range]],IF(LineærRegression_Valg[[#This Row],[Intet overlap]],INDEX(DataTitel_liste,LineærRegression_Valg[[#This Row],[Uafhængig variabel ID]]),INDEX(DataTitel_liste,IF(LineærRegression_Valg[[#This Row],[Afhængig variabel ID]]=1,2,1))),$B$7)</f>
        <v>Eksempel 2 (interval)</v>
      </c>
      <c r="H1089" s="45">
        <f>_xlfn.AGGREGATE(2,5,LineærRegression_Valg[[#This Row],[Tabel ID]])</f>
        <v>1</v>
      </c>
    </row>
    <row r="1090" spans="1:8" x14ac:dyDescent="0.2">
      <c r="A1090">
        <f>ROW(LineærRegression_Valg[[#This Row],[Tabel ID]])-ROW(LineærRegression_Valg[[#Headers],[Tabel ID]])</f>
        <v>1080</v>
      </c>
      <c r="B1090" s="45">
        <f>ROUNDDOWN((LineærRegression_Valg[[#This Row],[Tabel ID]]-1)/$B$5,0)+1</f>
        <v>270</v>
      </c>
      <c r="C1090" s="45">
        <f t="shared" si="16"/>
        <v>4</v>
      </c>
      <c r="D1090" s="45" t="b">
        <f>LineærRegression_Valg[[#This Row],[Afhængig variabel ID]]&lt;&gt;LineærRegression_Valg[[#This Row],[Uafhængig variabel ID]]</f>
        <v>1</v>
      </c>
      <c r="E1090" t="b">
        <f>LineærRegression_Valg[[#This Row],[Afhængig variabel ID]]&lt;=$B$5</f>
        <v>0</v>
      </c>
      <c r="F1090" t="str" cm="1">
        <f t="array" ref="F1090">IF(LineærRegression_Valg[[#This Row],[Indenfor range]],INDEX(DataTitel_liste,LineærRegression_Valg[[#This Row],[Afhængig variabel ID]]),INDEX(DataTitel_liste,1))</f>
        <v>Eksempel 1 (interval)</v>
      </c>
      <c r="G1090" s="45" t="str" cm="1">
        <f t="array" ref="G1090">IF(LineærRegression_Valg[[#This Row],[Indenfor range]],IF(LineærRegression_Valg[[#This Row],[Intet overlap]],INDEX(DataTitel_liste,LineærRegression_Valg[[#This Row],[Uafhængig variabel ID]]),INDEX(DataTitel_liste,IF(LineærRegression_Valg[[#This Row],[Afhængig variabel ID]]=1,2,1))),$B$7)</f>
        <v>Eksempel 2 (interval)</v>
      </c>
      <c r="H1090" s="45">
        <f>_xlfn.AGGREGATE(2,5,LineærRegression_Valg[[#This Row],[Tabel ID]])</f>
        <v>1</v>
      </c>
    </row>
    <row r="1091" spans="1:8" x14ac:dyDescent="0.2">
      <c r="A1091">
        <f>ROW(LineærRegression_Valg[[#This Row],[Tabel ID]])-ROW(LineærRegression_Valg[[#Headers],[Tabel ID]])</f>
        <v>1081</v>
      </c>
      <c r="B1091" s="45">
        <f>ROUNDDOWN((LineærRegression_Valg[[#This Row],[Tabel ID]]-1)/$B$5,0)+1</f>
        <v>271</v>
      </c>
      <c r="C1091" s="45">
        <f t="shared" si="16"/>
        <v>1</v>
      </c>
      <c r="D1091" s="45" t="b">
        <f>LineærRegression_Valg[[#This Row],[Afhængig variabel ID]]&lt;&gt;LineærRegression_Valg[[#This Row],[Uafhængig variabel ID]]</f>
        <v>1</v>
      </c>
      <c r="E1091" t="b">
        <f>LineærRegression_Valg[[#This Row],[Afhængig variabel ID]]&lt;=$B$5</f>
        <v>0</v>
      </c>
      <c r="F1091" t="str" cm="1">
        <f t="array" ref="F1091">IF(LineærRegression_Valg[[#This Row],[Indenfor range]],INDEX(DataTitel_liste,LineærRegression_Valg[[#This Row],[Afhængig variabel ID]]),INDEX(DataTitel_liste,1))</f>
        <v>Eksempel 1 (interval)</v>
      </c>
      <c r="G1091" s="45" t="str" cm="1">
        <f t="array" ref="G1091">IF(LineærRegression_Valg[[#This Row],[Indenfor range]],IF(LineærRegression_Valg[[#This Row],[Intet overlap]],INDEX(DataTitel_liste,LineærRegression_Valg[[#This Row],[Uafhængig variabel ID]]),INDEX(DataTitel_liste,IF(LineærRegression_Valg[[#This Row],[Afhængig variabel ID]]=1,2,1))),$B$7)</f>
        <v>Eksempel 2 (interval)</v>
      </c>
      <c r="H1091" s="45">
        <f>_xlfn.AGGREGATE(2,5,LineærRegression_Valg[[#This Row],[Tabel ID]])</f>
        <v>1</v>
      </c>
    </row>
    <row r="1092" spans="1:8" x14ac:dyDescent="0.2">
      <c r="A1092">
        <f>ROW(LineærRegression_Valg[[#This Row],[Tabel ID]])-ROW(LineærRegression_Valg[[#Headers],[Tabel ID]])</f>
        <v>1082</v>
      </c>
      <c r="B1092" s="45">
        <f>ROUNDDOWN((LineærRegression_Valg[[#This Row],[Tabel ID]]-1)/$B$5,0)+1</f>
        <v>271</v>
      </c>
      <c r="C1092" s="45">
        <f t="shared" si="16"/>
        <v>2</v>
      </c>
      <c r="D1092" s="45" t="b">
        <f>LineærRegression_Valg[[#This Row],[Afhængig variabel ID]]&lt;&gt;LineærRegression_Valg[[#This Row],[Uafhængig variabel ID]]</f>
        <v>1</v>
      </c>
      <c r="E1092" t="b">
        <f>LineærRegression_Valg[[#This Row],[Afhængig variabel ID]]&lt;=$B$5</f>
        <v>0</v>
      </c>
      <c r="F1092" t="str" cm="1">
        <f t="array" ref="F1092">IF(LineærRegression_Valg[[#This Row],[Indenfor range]],INDEX(DataTitel_liste,LineærRegression_Valg[[#This Row],[Afhængig variabel ID]]),INDEX(DataTitel_liste,1))</f>
        <v>Eksempel 1 (interval)</v>
      </c>
      <c r="G1092" s="45" t="str" cm="1">
        <f t="array" ref="G1092">IF(LineærRegression_Valg[[#This Row],[Indenfor range]],IF(LineærRegression_Valg[[#This Row],[Intet overlap]],INDEX(DataTitel_liste,LineærRegression_Valg[[#This Row],[Uafhængig variabel ID]]),INDEX(DataTitel_liste,IF(LineærRegression_Valg[[#This Row],[Afhængig variabel ID]]=1,2,1))),$B$7)</f>
        <v>Eksempel 2 (interval)</v>
      </c>
      <c r="H1092" s="45">
        <f>_xlfn.AGGREGATE(2,5,LineærRegression_Valg[[#This Row],[Tabel ID]])</f>
        <v>1</v>
      </c>
    </row>
    <row r="1093" spans="1:8" x14ac:dyDescent="0.2">
      <c r="A1093">
        <f>ROW(LineærRegression_Valg[[#This Row],[Tabel ID]])-ROW(LineærRegression_Valg[[#Headers],[Tabel ID]])</f>
        <v>1083</v>
      </c>
      <c r="B1093" s="45">
        <f>ROUNDDOWN((LineærRegression_Valg[[#This Row],[Tabel ID]]-1)/$B$5,0)+1</f>
        <v>271</v>
      </c>
      <c r="C1093" s="45">
        <f t="shared" si="16"/>
        <v>3</v>
      </c>
      <c r="D1093" s="45" t="b">
        <f>LineærRegression_Valg[[#This Row],[Afhængig variabel ID]]&lt;&gt;LineærRegression_Valg[[#This Row],[Uafhængig variabel ID]]</f>
        <v>1</v>
      </c>
      <c r="E1093" t="b">
        <f>LineærRegression_Valg[[#This Row],[Afhængig variabel ID]]&lt;=$B$5</f>
        <v>0</v>
      </c>
      <c r="F1093" t="str" cm="1">
        <f t="array" ref="F1093">IF(LineærRegression_Valg[[#This Row],[Indenfor range]],INDEX(DataTitel_liste,LineærRegression_Valg[[#This Row],[Afhængig variabel ID]]),INDEX(DataTitel_liste,1))</f>
        <v>Eksempel 1 (interval)</v>
      </c>
      <c r="G1093" s="45" t="str" cm="1">
        <f t="array" ref="G1093">IF(LineærRegression_Valg[[#This Row],[Indenfor range]],IF(LineærRegression_Valg[[#This Row],[Intet overlap]],INDEX(DataTitel_liste,LineærRegression_Valg[[#This Row],[Uafhængig variabel ID]]),INDEX(DataTitel_liste,IF(LineærRegression_Valg[[#This Row],[Afhængig variabel ID]]=1,2,1))),$B$7)</f>
        <v>Eksempel 2 (interval)</v>
      </c>
      <c r="H1093" s="45">
        <f>_xlfn.AGGREGATE(2,5,LineærRegression_Valg[[#This Row],[Tabel ID]])</f>
        <v>1</v>
      </c>
    </row>
    <row r="1094" spans="1:8" x14ac:dyDescent="0.2">
      <c r="A1094">
        <f>ROW(LineærRegression_Valg[[#This Row],[Tabel ID]])-ROW(LineærRegression_Valg[[#Headers],[Tabel ID]])</f>
        <v>1084</v>
      </c>
      <c r="B1094" s="45">
        <f>ROUNDDOWN((LineærRegression_Valg[[#This Row],[Tabel ID]]-1)/$B$5,0)+1</f>
        <v>271</v>
      </c>
      <c r="C1094" s="45">
        <f t="shared" si="16"/>
        <v>4</v>
      </c>
      <c r="D1094" s="45" t="b">
        <f>LineærRegression_Valg[[#This Row],[Afhængig variabel ID]]&lt;&gt;LineærRegression_Valg[[#This Row],[Uafhængig variabel ID]]</f>
        <v>1</v>
      </c>
      <c r="E1094" t="b">
        <f>LineærRegression_Valg[[#This Row],[Afhængig variabel ID]]&lt;=$B$5</f>
        <v>0</v>
      </c>
      <c r="F1094" t="str" cm="1">
        <f t="array" ref="F1094">IF(LineærRegression_Valg[[#This Row],[Indenfor range]],INDEX(DataTitel_liste,LineærRegression_Valg[[#This Row],[Afhængig variabel ID]]),INDEX(DataTitel_liste,1))</f>
        <v>Eksempel 1 (interval)</v>
      </c>
      <c r="G1094" s="45" t="str" cm="1">
        <f t="array" ref="G1094">IF(LineærRegression_Valg[[#This Row],[Indenfor range]],IF(LineærRegression_Valg[[#This Row],[Intet overlap]],INDEX(DataTitel_liste,LineærRegression_Valg[[#This Row],[Uafhængig variabel ID]]),INDEX(DataTitel_liste,IF(LineærRegression_Valg[[#This Row],[Afhængig variabel ID]]=1,2,1))),$B$7)</f>
        <v>Eksempel 2 (interval)</v>
      </c>
      <c r="H1094" s="45">
        <f>_xlfn.AGGREGATE(2,5,LineærRegression_Valg[[#This Row],[Tabel ID]])</f>
        <v>1</v>
      </c>
    </row>
    <row r="1095" spans="1:8" x14ac:dyDescent="0.2">
      <c r="A1095">
        <f>ROW(LineærRegression_Valg[[#This Row],[Tabel ID]])-ROW(LineærRegression_Valg[[#Headers],[Tabel ID]])</f>
        <v>1085</v>
      </c>
      <c r="B1095" s="45">
        <f>ROUNDDOWN((LineærRegression_Valg[[#This Row],[Tabel ID]]-1)/$B$5,0)+1</f>
        <v>272</v>
      </c>
      <c r="C1095" s="45">
        <f t="shared" si="16"/>
        <v>1</v>
      </c>
      <c r="D1095" s="45" t="b">
        <f>LineærRegression_Valg[[#This Row],[Afhængig variabel ID]]&lt;&gt;LineærRegression_Valg[[#This Row],[Uafhængig variabel ID]]</f>
        <v>1</v>
      </c>
      <c r="E1095" t="b">
        <f>LineærRegression_Valg[[#This Row],[Afhængig variabel ID]]&lt;=$B$5</f>
        <v>0</v>
      </c>
      <c r="F1095" t="str" cm="1">
        <f t="array" ref="F1095">IF(LineærRegression_Valg[[#This Row],[Indenfor range]],INDEX(DataTitel_liste,LineærRegression_Valg[[#This Row],[Afhængig variabel ID]]),INDEX(DataTitel_liste,1))</f>
        <v>Eksempel 1 (interval)</v>
      </c>
      <c r="G1095" s="45" t="str" cm="1">
        <f t="array" ref="G1095">IF(LineærRegression_Valg[[#This Row],[Indenfor range]],IF(LineærRegression_Valg[[#This Row],[Intet overlap]],INDEX(DataTitel_liste,LineærRegression_Valg[[#This Row],[Uafhængig variabel ID]]),INDEX(DataTitel_liste,IF(LineærRegression_Valg[[#This Row],[Afhængig variabel ID]]=1,2,1))),$B$7)</f>
        <v>Eksempel 2 (interval)</v>
      </c>
      <c r="H1095" s="45">
        <f>_xlfn.AGGREGATE(2,5,LineærRegression_Valg[[#This Row],[Tabel ID]])</f>
        <v>1</v>
      </c>
    </row>
    <row r="1096" spans="1:8" x14ac:dyDescent="0.2">
      <c r="A1096">
        <f>ROW(LineærRegression_Valg[[#This Row],[Tabel ID]])-ROW(LineærRegression_Valg[[#Headers],[Tabel ID]])</f>
        <v>1086</v>
      </c>
      <c r="B1096" s="45">
        <f>ROUNDDOWN((LineærRegression_Valg[[#This Row],[Tabel ID]]-1)/$B$5,0)+1</f>
        <v>272</v>
      </c>
      <c r="C1096" s="45">
        <f t="shared" si="16"/>
        <v>2</v>
      </c>
      <c r="D1096" s="45" t="b">
        <f>LineærRegression_Valg[[#This Row],[Afhængig variabel ID]]&lt;&gt;LineærRegression_Valg[[#This Row],[Uafhængig variabel ID]]</f>
        <v>1</v>
      </c>
      <c r="E1096" t="b">
        <f>LineærRegression_Valg[[#This Row],[Afhængig variabel ID]]&lt;=$B$5</f>
        <v>0</v>
      </c>
      <c r="F1096" t="str" cm="1">
        <f t="array" ref="F1096">IF(LineærRegression_Valg[[#This Row],[Indenfor range]],INDEX(DataTitel_liste,LineærRegression_Valg[[#This Row],[Afhængig variabel ID]]),INDEX(DataTitel_liste,1))</f>
        <v>Eksempel 1 (interval)</v>
      </c>
      <c r="G1096" s="45" t="str" cm="1">
        <f t="array" ref="G1096">IF(LineærRegression_Valg[[#This Row],[Indenfor range]],IF(LineærRegression_Valg[[#This Row],[Intet overlap]],INDEX(DataTitel_liste,LineærRegression_Valg[[#This Row],[Uafhængig variabel ID]]),INDEX(DataTitel_liste,IF(LineærRegression_Valg[[#This Row],[Afhængig variabel ID]]=1,2,1))),$B$7)</f>
        <v>Eksempel 2 (interval)</v>
      </c>
      <c r="H1096" s="45">
        <f>_xlfn.AGGREGATE(2,5,LineærRegression_Valg[[#This Row],[Tabel ID]])</f>
        <v>1</v>
      </c>
    </row>
    <row r="1097" spans="1:8" x14ac:dyDescent="0.2">
      <c r="A1097">
        <f>ROW(LineærRegression_Valg[[#This Row],[Tabel ID]])-ROW(LineærRegression_Valg[[#Headers],[Tabel ID]])</f>
        <v>1087</v>
      </c>
      <c r="B1097" s="45">
        <f>ROUNDDOWN((LineærRegression_Valg[[#This Row],[Tabel ID]]-1)/$B$5,0)+1</f>
        <v>272</v>
      </c>
      <c r="C1097" s="45">
        <f t="shared" si="16"/>
        <v>3</v>
      </c>
      <c r="D1097" s="45" t="b">
        <f>LineærRegression_Valg[[#This Row],[Afhængig variabel ID]]&lt;&gt;LineærRegression_Valg[[#This Row],[Uafhængig variabel ID]]</f>
        <v>1</v>
      </c>
      <c r="E1097" t="b">
        <f>LineærRegression_Valg[[#This Row],[Afhængig variabel ID]]&lt;=$B$5</f>
        <v>0</v>
      </c>
      <c r="F1097" t="str" cm="1">
        <f t="array" ref="F1097">IF(LineærRegression_Valg[[#This Row],[Indenfor range]],INDEX(DataTitel_liste,LineærRegression_Valg[[#This Row],[Afhængig variabel ID]]),INDEX(DataTitel_liste,1))</f>
        <v>Eksempel 1 (interval)</v>
      </c>
      <c r="G1097" s="45" t="str" cm="1">
        <f t="array" ref="G1097">IF(LineærRegression_Valg[[#This Row],[Indenfor range]],IF(LineærRegression_Valg[[#This Row],[Intet overlap]],INDEX(DataTitel_liste,LineærRegression_Valg[[#This Row],[Uafhængig variabel ID]]),INDEX(DataTitel_liste,IF(LineærRegression_Valg[[#This Row],[Afhængig variabel ID]]=1,2,1))),$B$7)</f>
        <v>Eksempel 2 (interval)</v>
      </c>
      <c r="H1097" s="45">
        <f>_xlfn.AGGREGATE(2,5,LineærRegression_Valg[[#This Row],[Tabel ID]])</f>
        <v>1</v>
      </c>
    </row>
    <row r="1098" spans="1:8" x14ac:dyDescent="0.2">
      <c r="A1098">
        <f>ROW(LineærRegression_Valg[[#This Row],[Tabel ID]])-ROW(LineærRegression_Valg[[#Headers],[Tabel ID]])</f>
        <v>1088</v>
      </c>
      <c r="B1098" s="45">
        <f>ROUNDDOWN((LineærRegression_Valg[[#This Row],[Tabel ID]]-1)/$B$5,0)+1</f>
        <v>272</v>
      </c>
      <c r="C1098" s="45">
        <f t="shared" si="16"/>
        <v>4</v>
      </c>
      <c r="D1098" s="45" t="b">
        <f>LineærRegression_Valg[[#This Row],[Afhængig variabel ID]]&lt;&gt;LineærRegression_Valg[[#This Row],[Uafhængig variabel ID]]</f>
        <v>1</v>
      </c>
      <c r="E1098" t="b">
        <f>LineærRegression_Valg[[#This Row],[Afhængig variabel ID]]&lt;=$B$5</f>
        <v>0</v>
      </c>
      <c r="F1098" t="str" cm="1">
        <f t="array" ref="F1098">IF(LineærRegression_Valg[[#This Row],[Indenfor range]],INDEX(DataTitel_liste,LineærRegression_Valg[[#This Row],[Afhængig variabel ID]]),INDEX(DataTitel_liste,1))</f>
        <v>Eksempel 1 (interval)</v>
      </c>
      <c r="G1098" s="45" t="str" cm="1">
        <f t="array" ref="G1098">IF(LineærRegression_Valg[[#This Row],[Indenfor range]],IF(LineærRegression_Valg[[#This Row],[Intet overlap]],INDEX(DataTitel_liste,LineærRegression_Valg[[#This Row],[Uafhængig variabel ID]]),INDEX(DataTitel_liste,IF(LineærRegression_Valg[[#This Row],[Afhængig variabel ID]]=1,2,1))),$B$7)</f>
        <v>Eksempel 2 (interval)</v>
      </c>
      <c r="H1098" s="45">
        <f>_xlfn.AGGREGATE(2,5,LineærRegression_Valg[[#This Row],[Tabel ID]])</f>
        <v>1</v>
      </c>
    </row>
    <row r="1099" spans="1:8" x14ac:dyDescent="0.2">
      <c r="A1099">
        <f>ROW(LineærRegression_Valg[[#This Row],[Tabel ID]])-ROW(LineærRegression_Valg[[#Headers],[Tabel ID]])</f>
        <v>1089</v>
      </c>
      <c r="B1099" s="45">
        <f>ROUNDDOWN((LineærRegression_Valg[[#This Row],[Tabel ID]]-1)/$B$5,0)+1</f>
        <v>273</v>
      </c>
      <c r="C1099" s="45">
        <f t="shared" ref="C1099:C1162" si="17">MOD(A1099-1,$B$5)+1</f>
        <v>1</v>
      </c>
      <c r="D1099" s="45" t="b">
        <f>LineærRegression_Valg[[#This Row],[Afhængig variabel ID]]&lt;&gt;LineærRegression_Valg[[#This Row],[Uafhængig variabel ID]]</f>
        <v>1</v>
      </c>
      <c r="E1099" t="b">
        <f>LineærRegression_Valg[[#This Row],[Afhængig variabel ID]]&lt;=$B$5</f>
        <v>0</v>
      </c>
      <c r="F1099" t="str" cm="1">
        <f t="array" ref="F1099">IF(LineærRegression_Valg[[#This Row],[Indenfor range]],INDEX(DataTitel_liste,LineærRegression_Valg[[#This Row],[Afhængig variabel ID]]),INDEX(DataTitel_liste,1))</f>
        <v>Eksempel 1 (interval)</v>
      </c>
      <c r="G1099" s="45" t="str" cm="1">
        <f t="array" ref="G1099">IF(LineærRegression_Valg[[#This Row],[Indenfor range]],IF(LineærRegression_Valg[[#This Row],[Intet overlap]],INDEX(DataTitel_liste,LineærRegression_Valg[[#This Row],[Uafhængig variabel ID]]),INDEX(DataTitel_liste,IF(LineærRegression_Valg[[#This Row],[Afhængig variabel ID]]=1,2,1))),$B$7)</f>
        <v>Eksempel 2 (interval)</v>
      </c>
      <c r="H1099" s="45">
        <f>_xlfn.AGGREGATE(2,5,LineærRegression_Valg[[#This Row],[Tabel ID]])</f>
        <v>1</v>
      </c>
    </row>
    <row r="1100" spans="1:8" x14ac:dyDescent="0.2">
      <c r="A1100">
        <f>ROW(LineærRegression_Valg[[#This Row],[Tabel ID]])-ROW(LineærRegression_Valg[[#Headers],[Tabel ID]])</f>
        <v>1090</v>
      </c>
      <c r="B1100" s="45">
        <f>ROUNDDOWN((LineærRegression_Valg[[#This Row],[Tabel ID]]-1)/$B$5,0)+1</f>
        <v>273</v>
      </c>
      <c r="C1100" s="45">
        <f t="shared" si="17"/>
        <v>2</v>
      </c>
      <c r="D1100" s="45" t="b">
        <f>LineærRegression_Valg[[#This Row],[Afhængig variabel ID]]&lt;&gt;LineærRegression_Valg[[#This Row],[Uafhængig variabel ID]]</f>
        <v>1</v>
      </c>
      <c r="E1100" t="b">
        <f>LineærRegression_Valg[[#This Row],[Afhængig variabel ID]]&lt;=$B$5</f>
        <v>0</v>
      </c>
      <c r="F1100" t="str" cm="1">
        <f t="array" ref="F1100">IF(LineærRegression_Valg[[#This Row],[Indenfor range]],INDEX(DataTitel_liste,LineærRegression_Valg[[#This Row],[Afhængig variabel ID]]),INDEX(DataTitel_liste,1))</f>
        <v>Eksempel 1 (interval)</v>
      </c>
      <c r="G1100" s="45" t="str" cm="1">
        <f t="array" ref="G1100">IF(LineærRegression_Valg[[#This Row],[Indenfor range]],IF(LineærRegression_Valg[[#This Row],[Intet overlap]],INDEX(DataTitel_liste,LineærRegression_Valg[[#This Row],[Uafhængig variabel ID]]),INDEX(DataTitel_liste,IF(LineærRegression_Valg[[#This Row],[Afhængig variabel ID]]=1,2,1))),$B$7)</f>
        <v>Eksempel 2 (interval)</v>
      </c>
      <c r="H1100" s="45">
        <f>_xlfn.AGGREGATE(2,5,LineærRegression_Valg[[#This Row],[Tabel ID]])</f>
        <v>1</v>
      </c>
    </row>
    <row r="1101" spans="1:8" x14ac:dyDescent="0.2">
      <c r="A1101">
        <f>ROW(LineærRegression_Valg[[#This Row],[Tabel ID]])-ROW(LineærRegression_Valg[[#Headers],[Tabel ID]])</f>
        <v>1091</v>
      </c>
      <c r="B1101" s="45">
        <f>ROUNDDOWN((LineærRegression_Valg[[#This Row],[Tabel ID]]-1)/$B$5,0)+1</f>
        <v>273</v>
      </c>
      <c r="C1101" s="45">
        <f t="shared" si="17"/>
        <v>3</v>
      </c>
      <c r="D1101" s="45" t="b">
        <f>LineærRegression_Valg[[#This Row],[Afhængig variabel ID]]&lt;&gt;LineærRegression_Valg[[#This Row],[Uafhængig variabel ID]]</f>
        <v>1</v>
      </c>
      <c r="E1101" t="b">
        <f>LineærRegression_Valg[[#This Row],[Afhængig variabel ID]]&lt;=$B$5</f>
        <v>0</v>
      </c>
      <c r="F1101" t="str" cm="1">
        <f t="array" ref="F1101">IF(LineærRegression_Valg[[#This Row],[Indenfor range]],INDEX(DataTitel_liste,LineærRegression_Valg[[#This Row],[Afhængig variabel ID]]),INDEX(DataTitel_liste,1))</f>
        <v>Eksempel 1 (interval)</v>
      </c>
      <c r="G1101" s="45" t="str" cm="1">
        <f t="array" ref="G1101">IF(LineærRegression_Valg[[#This Row],[Indenfor range]],IF(LineærRegression_Valg[[#This Row],[Intet overlap]],INDEX(DataTitel_liste,LineærRegression_Valg[[#This Row],[Uafhængig variabel ID]]),INDEX(DataTitel_liste,IF(LineærRegression_Valg[[#This Row],[Afhængig variabel ID]]=1,2,1))),$B$7)</f>
        <v>Eksempel 2 (interval)</v>
      </c>
      <c r="H1101" s="45">
        <f>_xlfn.AGGREGATE(2,5,LineærRegression_Valg[[#This Row],[Tabel ID]])</f>
        <v>1</v>
      </c>
    </row>
    <row r="1102" spans="1:8" x14ac:dyDescent="0.2">
      <c r="A1102">
        <f>ROW(LineærRegression_Valg[[#This Row],[Tabel ID]])-ROW(LineærRegression_Valg[[#Headers],[Tabel ID]])</f>
        <v>1092</v>
      </c>
      <c r="B1102" s="45">
        <f>ROUNDDOWN((LineærRegression_Valg[[#This Row],[Tabel ID]]-1)/$B$5,0)+1</f>
        <v>273</v>
      </c>
      <c r="C1102" s="45">
        <f t="shared" si="17"/>
        <v>4</v>
      </c>
      <c r="D1102" s="45" t="b">
        <f>LineærRegression_Valg[[#This Row],[Afhængig variabel ID]]&lt;&gt;LineærRegression_Valg[[#This Row],[Uafhængig variabel ID]]</f>
        <v>1</v>
      </c>
      <c r="E1102" t="b">
        <f>LineærRegression_Valg[[#This Row],[Afhængig variabel ID]]&lt;=$B$5</f>
        <v>0</v>
      </c>
      <c r="F1102" t="str" cm="1">
        <f t="array" ref="F1102">IF(LineærRegression_Valg[[#This Row],[Indenfor range]],INDEX(DataTitel_liste,LineærRegression_Valg[[#This Row],[Afhængig variabel ID]]),INDEX(DataTitel_liste,1))</f>
        <v>Eksempel 1 (interval)</v>
      </c>
      <c r="G1102" s="45" t="str" cm="1">
        <f t="array" ref="G1102">IF(LineærRegression_Valg[[#This Row],[Indenfor range]],IF(LineærRegression_Valg[[#This Row],[Intet overlap]],INDEX(DataTitel_liste,LineærRegression_Valg[[#This Row],[Uafhængig variabel ID]]),INDEX(DataTitel_liste,IF(LineærRegression_Valg[[#This Row],[Afhængig variabel ID]]=1,2,1))),$B$7)</f>
        <v>Eksempel 2 (interval)</v>
      </c>
      <c r="H1102" s="45">
        <f>_xlfn.AGGREGATE(2,5,LineærRegression_Valg[[#This Row],[Tabel ID]])</f>
        <v>1</v>
      </c>
    </row>
    <row r="1103" spans="1:8" x14ac:dyDescent="0.2">
      <c r="A1103">
        <f>ROW(LineærRegression_Valg[[#This Row],[Tabel ID]])-ROW(LineærRegression_Valg[[#Headers],[Tabel ID]])</f>
        <v>1093</v>
      </c>
      <c r="B1103" s="45">
        <f>ROUNDDOWN((LineærRegression_Valg[[#This Row],[Tabel ID]]-1)/$B$5,0)+1</f>
        <v>274</v>
      </c>
      <c r="C1103" s="45">
        <f t="shared" si="17"/>
        <v>1</v>
      </c>
      <c r="D1103" s="45" t="b">
        <f>LineærRegression_Valg[[#This Row],[Afhængig variabel ID]]&lt;&gt;LineærRegression_Valg[[#This Row],[Uafhængig variabel ID]]</f>
        <v>1</v>
      </c>
      <c r="E1103" t="b">
        <f>LineærRegression_Valg[[#This Row],[Afhængig variabel ID]]&lt;=$B$5</f>
        <v>0</v>
      </c>
      <c r="F1103" t="str" cm="1">
        <f t="array" ref="F1103">IF(LineærRegression_Valg[[#This Row],[Indenfor range]],INDEX(DataTitel_liste,LineærRegression_Valg[[#This Row],[Afhængig variabel ID]]),INDEX(DataTitel_liste,1))</f>
        <v>Eksempel 1 (interval)</v>
      </c>
      <c r="G1103" s="45" t="str" cm="1">
        <f t="array" ref="G1103">IF(LineærRegression_Valg[[#This Row],[Indenfor range]],IF(LineærRegression_Valg[[#This Row],[Intet overlap]],INDEX(DataTitel_liste,LineærRegression_Valg[[#This Row],[Uafhængig variabel ID]]),INDEX(DataTitel_liste,IF(LineærRegression_Valg[[#This Row],[Afhængig variabel ID]]=1,2,1))),$B$7)</f>
        <v>Eksempel 2 (interval)</v>
      </c>
      <c r="H1103" s="45">
        <f>_xlfn.AGGREGATE(2,5,LineærRegression_Valg[[#This Row],[Tabel ID]])</f>
        <v>1</v>
      </c>
    </row>
    <row r="1104" spans="1:8" x14ac:dyDescent="0.2">
      <c r="A1104">
        <f>ROW(LineærRegression_Valg[[#This Row],[Tabel ID]])-ROW(LineærRegression_Valg[[#Headers],[Tabel ID]])</f>
        <v>1094</v>
      </c>
      <c r="B1104" s="45">
        <f>ROUNDDOWN((LineærRegression_Valg[[#This Row],[Tabel ID]]-1)/$B$5,0)+1</f>
        <v>274</v>
      </c>
      <c r="C1104" s="45">
        <f t="shared" si="17"/>
        <v>2</v>
      </c>
      <c r="D1104" s="45" t="b">
        <f>LineærRegression_Valg[[#This Row],[Afhængig variabel ID]]&lt;&gt;LineærRegression_Valg[[#This Row],[Uafhængig variabel ID]]</f>
        <v>1</v>
      </c>
      <c r="E1104" t="b">
        <f>LineærRegression_Valg[[#This Row],[Afhængig variabel ID]]&lt;=$B$5</f>
        <v>0</v>
      </c>
      <c r="F1104" t="str" cm="1">
        <f t="array" ref="F1104">IF(LineærRegression_Valg[[#This Row],[Indenfor range]],INDEX(DataTitel_liste,LineærRegression_Valg[[#This Row],[Afhængig variabel ID]]),INDEX(DataTitel_liste,1))</f>
        <v>Eksempel 1 (interval)</v>
      </c>
      <c r="G1104" s="45" t="str" cm="1">
        <f t="array" ref="G1104">IF(LineærRegression_Valg[[#This Row],[Indenfor range]],IF(LineærRegression_Valg[[#This Row],[Intet overlap]],INDEX(DataTitel_liste,LineærRegression_Valg[[#This Row],[Uafhængig variabel ID]]),INDEX(DataTitel_liste,IF(LineærRegression_Valg[[#This Row],[Afhængig variabel ID]]=1,2,1))),$B$7)</f>
        <v>Eksempel 2 (interval)</v>
      </c>
      <c r="H1104" s="45">
        <f>_xlfn.AGGREGATE(2,5,LineærRegression_Valg[[#This Row],[Tabel ID]])</f>
        <v>1</v>
      </c>
    </row>
    <row r="1105" spans="1:8" x14ac:dyDescent="0.2">
      <c r="A1105">
        <f>ROW(LineærRegression_Valg[[#This Row],[Tabel ID]])-ROW(LineærRegression_Valg[[#Headers],[Tabel ID]])</f>
        <v>1095</v>
      </c>
      <c r="B1105" s="45">
        <f>ROUNDDOWN((LineærRegression_Valg[[#This Row],[Tabel ID]]-1)/$B$5,0)+1</f>
        <v>274</v>
      </c>
      <c r="C1105" s="45">
        <f t="shared" si="17"/>
        <v>3</v>
      </c>
      <c r="D1105" s="45" t="b">
        <f>LineærRegression_Valg[[#This Row],[Afhængig variabel ID]]&lt;&gt;LineærRegression_Valg[[#This Row],[Uafhængig variabel ID]]</f>
        <v>1</v>
      </c>
      <c r="E1105" t="b">
        <f>LineærRegression_Valg[[#This Row],[Afhængig variabel ID]]&lt;=$B$5</f>
        <v>0</v>
      </c>
      <c r="F1105" t="str" cm="1">
        <f t="array" ref="F1105">IF(LineærRegression_Valg[[#This Row],[Indenfor range]],INDEX(DataTitel_liste,LineærRegression_Valg[[#This Row],[Afhængig variabel ID]]),INDEX(DataTitel_liste,1))</f>
        <v>Eksempel 1 (interval)</v>
      </c>
      <c r="G1105" s="45" t="str" cm="1">
        <f t="array" ref="G1105">IF(LineærRegression_Valg[[#This Row],[Indenfor range]],IF(LineærRegression_Valg[[#This Row],[Intet overlap]],INDEX(DataTitel_liste,LineærRegression_Valg[[#This Row],[Uafhængig variabel ID]]),INDEX(DataTitel_liste,IF(LineærRegression_Valg[[#This Row],[Afhængig variabel ID]]=1,2,1))),$B$7)</f>
        <v>Eksempel 2 (interval)</v>
      </c>
      <c r="H1105" s="45">
        <f>_xlfn.AGGREGATE(2,5,LineærRegression_Valg[[#This Row],[Tabel ID]])</f>
        <v>1</v>
      </c>
    </row>
    <row r="1106" spans="1:8" x14ac:dyDescent="0.2">
      <c r="A1106">
        <f>ROW(LineærRegression_Valg[[#This Row],[Tabel ID]])-ROW(LineærRegression_Valg[[#Headers],[Tabel ID]])</f>
        <v>1096</v>
      </c>
      <c r="B1106" s="45">
        <f>ROUNDDOWN((LineærRegression_Valg[[#This Row],[Tabel ID]]-1)/$B$5,0)+1</f>
        <v>274</v>
      </c>
      <c r="C1106" s="45">
        <f t="shared" si="17"/>
        <v>4</v>
      </c>
      <c r="D1106" s="45" t="b">
        <f>LineærRegression_Valg[[#This Row],[Afhængig variabel ID]]&lt;&gt;LineærRegression_Valg[[#This Row],[Uafhængig variabel ID]]</f>
        <v>1</v>
      </c>
      <c r="E1106" t="b">
        <f>LineærRegression_Valg[[#This Row],[Afhængig variabel ID]]&lt;=$B$5</f>
        <v>0</v>
      </c>
      <c r="F1106" t="str" cm="1">
        <f t="array" ref="F1106">IF(LineærRegression_Valg[[#This Row],[Indenfor range]],INDEX(DataTitel_liste,LineærRegression_Valg[[#This Row],[Afhængig variabel ID]]),INDEX(DataTitel_liste,1))</f>
        <v>Eksempel 1 (interval)</v>
      </c>
      <c r="G1106" s="45" t="str" cm="1">
        <f t="array" ref="G1106">IF(LineærRegression_Valg[[#This Row],[Indenfor range]],IF(LineærRegression_Valg[[#This Row],[Intet overlap]],INDEX(DataTitel_liste,LineærRegression_Valg[[#This Row],[Uafhængig variabel ID]]),INDEX(DataTitel_liste,IF(LineærRegression_Valg[[#This Row],[Afhængig variabel ID]]=1,2,1))),$B$7)</f>
        <v>Eksempel 2 (interval)</v>
      </c>
      <c r="H1106" s="45">
        <f>_xlfn.AGGREGATE(2,5,LineærRegression_Valg[[#This Row],[Tabel ID]])</f>
        <v>1</v>
      </c>
    </row>
    <row r="1107" spans="1:8" x14ac:dyDescent="0.2">
      <c r="A1107">
        <f>ROW(LineærRegression_Valg[[#This Row],[Tabel ID]])-ROW(LineærRegression_Valg[[#Headers],[Tabel ID]])</f>
        <v>1097</v>
      </c>
      <c r="B1107" s="45">
        <f>ROUNDDOWN((LineærRegression_Valg[[#This Row],[Tabel ID]]-1)/$B$5,0)+1</f>
        <v>275</v>
      </c>
      <c r="C1107" s="45">
        <f t="shared" si="17"/>
        <v>1</v>
      </c>
      <c r="D1107" s="45" t="b">
        <f>LineærRegression_Valg[[#This Row],[Afhængig variabel ID]]&lt;&gt;LineærRegression_Valg[[#This Row],[Uafhængig variabel ID]]</f>
        <v>1</v>
      </c>
      <c r="E1107" t="b">
        <f>LineærRegression_Valg[[#This Row],[Afhængig variabel ID]]&lt;=$B$5</f>
        <v>0</v>
      </c>
      <c r="F1107" t="str" cm="1">
        <f t="array" ref="F1107">IF(LineærRegression_Valg[[#This Row],[Indenfor range]],INDEX(DataTitel_liste,LineærRegression_Valg[[#This Row],[Afhængig variabel ID]]),INDEX(DataTitel_liste,1))</f>
        <v>Eksempel 1 (interval)</v>
      </c>
      <c r="G1107" s="45" t="str" cm="1">
        <f t="array" ref="G1107">IF(LineærRegression_Valg[[#This Row],[Indenfor range]],IF(LineærRegression_Valg[[#This Row],[Intet overlap]],INDEX(DataTitel_liste,LineærRegression_Valg[[#This Row],[Uafhængig variabel ID]]),INDEX(DataTitel_liste,IF(LineærRegression_Valg[[#This Row],[Afhængig variabel ID]]=1,2,1))),$B$7)</f>
        <v>Eksempel 2 (interval)</v>
      </c>
      <c r="H1107" s="45">
        <f>_xlfn.AGGREGATE(2,5,LineærRegression_Valg[[#This Row],[Tabel ID]])</f>
        <v>1</v>
      </c>
    </row>
    <row r="1108" spans="1:8" x14ac:dyDescent="0.2">
      <c r="A1108">
        <f>ROW(LineærRegression_Valg[[#This Row],[Tabel ID]])-ROW(LineærRegression_Valg[[#Headers],[Tabel ID]])</f>
        <v>1098</v>
      </c>
      <c r="B1108" s="45">
        <f>ROUNDDOWN((LineærRegression_Valg[[#This Row],[Tabel ID]]-1)/$B$5,0)+1</f>
        <v>275</v>
      </c>
      <c r="C1108" s="45">
        <f t="shared" si="17"/>
        <v>2</v>
      </c>
      <c r="D1108" s="45" t="b">
        <f>LineærRegression_Valg[[#This Row],[Afhængig variabel ID]]&lt;&gt;LineærRegression_Valg[[#This Row],[Uafhængig variabel ID]]</f>
        <v>1</v>
      </c>
      <c r="E1108" t="b">
        <f>LineærRegression_Valg[[#This Row],[Afhængig variabel ID]]&lt;=$B$5</f>
        <v>0</v>
      </c>
      <c r="F1108" t="str" cm="1">
        <f t="array" ref="F1108">IF(LineærRegression_Valg[[#This Row],[Indenfor range]],INDEX(DataTitel_liste,LineærRegression_Valg[[#This Row],[Afhængig variabel ID]]),INDEX(DataTitel_liste,1))</f>
        <v>Eksempel 1 (interval)</v>
      </c>
      <c r="G1108" s="45" t="str" cm="1">
        <f t="array" ref="G1108">IF(LineærRegression_Valg[[#This Row],[Indenfor range]],IF(LineærRegression_Valg[[#This Row],[Intet overlap]],INDEX(DataTitel_liste,LineærRegression_Valg[[#This Row],[Uafhængig variabel ID]]),INDEX(DataTitel_liste,IF(LineærRegression_Valg[[#This Row],[Afhængig variabel ID]]=1,2,1))),$B$7)</f>
        <v>Eksempel 2 (interval)</v>
      </c>
      <c r="H1108" s="45">
        <f>_xlfn.AGGREGATE(2,5,LineærRegression_Valg[[#This Row],[Tabel ID]])</f>
        <v>1</v>
      </c>
    </row>
    <row r="1109" spans="1:8" x14ac:dyDescent="0.2">
      <c r="A1109">
        <f>ROW(LineærRegression_Valg[[#This Row],[Tabel ID]])-ROW(LineærRegression_Valg[[#Headers],[Tabel ID]])</f>
        <v>1099</v>
      </c>
      <c r="B1109" s="45">
        <f>ROUNDDOWN((LineærRegression_Valg[[#This Row],[Tabel ID]]-1)/$B$5,0)+1</f>
        <v>275</v>
      </c>
      <c r="C1109" s="45">
        <f t="shared" si="17"/>
        <v>3</v>
      </c>
      <c r="D1109" s="45" t="b">
        <f>LineærRegression_Valg[[#This Row],[Afhængig variabel ID]]&lt;&gt;LineærRegression_Valg[[#This Row],[Uafhængig variabel ID]]</f>
        <v>1</v>
      </c>
      <c r="E1109" t="b">
        <f>LineærRegression_Valg[[#This Row],[Afhængig variabel ID]]&lt;=$B$5</f>
        <v>0</v>
      </c>
      <c r="F1109" t="str" cm="1">
        <f t="array" ref="F1109">IF(LineærRegression_Valg[[#This Row],[Indenfor range]],INDEX(DataTitel_liste,LineærRegression_Valg[[#This Row],[Afhængig variabel ID]]),INDEX(DataTitel_liste,1))</f>
        <v>Eksempel 1 (interval)</v>
      </c>
      <c r="G1109" s="45" t="str" cm="1">
        <f t="array" ref="G1109">IF(LineærRegression_Valg[[#This Row],[Indenfor range]],IF(LineærRegression_Valg[[#This Row],[Intet overlap]],INDEX(DataTitel_liste,LineærRegression_Valg[[#This Row],[Uafhængig variabel ID]]),INDEX(DataTitel_liste,IF(LineærRegression_Valg[[#This Row],[Afhængig variabel ID]]=1,2,1))),$B$7)</f>
        <v>Eksempel 2 (interval)</v>
      </c>
      <c r="H1109" s="45">
        <f>_xlfn.AGGREGATE(2,5,LineærRegression_Valg[[#This Row],[Tabel ID]])</f>
        <v>1</v>
      </c>
    </row>
    <row r="1110" spans="1:8" x14ac:dyDescent="0.2">
      <c r="A1110">
        <f>ROW(LineærRegression_Valg[[#This Row],[Tabel ID]])-ROW(LineærRegression_Valg[[#Headers],[Tabel ID]])</f>
        <v>1100</v>
      </c>
      <c r="B1110" s="45">
        <f>ROUNDDOWN((LineærRegression_Valg[[#This Row],[Tabel ID]]-1)/$B$5,0)+1</f>
        <v>275</v>
      </c>
      <c r="C1110" s="45">
        <f t="shared" si="17"/>
        <v>4</v>
      </c>
      <c r="D1110" s="45" t="b">
        <f>LineærRegression_Valg[[#This Row],[Afhængig variabel ID]]&lt;&gt;LineærRegression_Valg[[#This Row],[Uafhængig variabel ID]]</f>
        <v>1</v>
      </c>
      <c r="E1110" t="b">
        <f>LineærRegression_Valg[[#This Row],[Afhængig variabel ID]]&lt;=$B$5</f>
        <v>0</v>
      </c>
      <c r="F1110" t="str" cm="1">
        <f t="array" ref="F1110">IF(LineærRegression_Valg[[#This Row],[Indenfor range]],INDEX(DataTitel_liste,LineærRegression_Valg[[#This Row],[Afhængig variabel ID]]),INDEX(DataTitel_liste,1))</f>
        <v>Eksempel 1 (interval)</v>
      </c>
      <c r="G1110" s="45" t="str" cm="1">
        <f t="array" ref="G1110">IF(LineærRegression_Valg[[#This Row],[Indenfor range]],IF(LineærRegression_Valg[[#This Row],[Intet overlap]],INDEX(DataTitel_liste,LineærRegression_Valg[[#This Row],[Uafhængig variabel ID]]),INDEX(DataTitel_liste,IF(LineærRegression_Valg[[#This Row],[Afhængig variabel ID]]=1,2,1))),$B$7)</f>
        <v>Eksempel 2 (interval)</v>
      </c>
      <c r="H1110" s="45">
        <f>_xlfn.AGGREGATE(2,5,LineærRegression_Valg[[#This Row],[Tabel ID]])</f>
        <v>1</v>
      </c>
    </row>
    <row r="1111" spans="1:8" x14ac:dyDescent="0.2">
      <c r="A1111">
        <f>ROW(LineærRegression_Valg[[#This Row],[Tabel ID]])-ROW(LineærRegression_Valg[[#Headers],[Tabel ID]])</f>
        <v>1101</v>
      </c>
      <c r="B1111" s="45">
        <f>ROUNDDOWN((LineærRegression_Valg[[#This Row],[Tabel ID]]-1)/$B$5,0)+1</f>
        <v>276</v>
      </c>
      <c r="C1111" s="45">
        <f t="shared" si="17"/>
        <v>1</v>
      </c>
      <c r="D1111" s="45" t="b">
        <f>LineærRegression_Valg[[#This Row],[Afhængig variabel ID]]&lt;&gt;LineærRegression_Valg[[#This Row],[Uafhængig variabel ID]]</f>
        <v>1</v>
      </c>
      <c r="E1111" t="b">
        <f>LineærRegression_Valg[[#This Row],[Afhængig variabel ID]]&lt;=$B$5</f>
        <v>0</v>
      </c>
      <c r="F1111" t="str" cm="1">
        <f t="array" ref="F1111">IF(LineærRegression_Valg[[#This Row],[Indenfor range]],INDEX(DataTitel_liste,LineærRegression_Valg[[#This Row],[Afhængig variabel ID]]),INDEX(DataTitel_liste,1))</f>
        <v>Eksempel 1 (interval)</v>
      </c>
      <c r="G1111" s="45" t="str" cm="1">
        <f t="array" ref="G1111">IF(LineærRegression_Valg[[#This Row],[Indenfor range]],IF(LineærRegression_Valg[[#This Row],[Intet overlap]],INDEX(DataTitel_liste,LineærRegression_Valg[[#This Row],[Uafhængig variabel ID]]),INDEX(DataTitel_liste,IF(LineærRegression_Valg[[#This Row],[Afhængig variabel ID]]=1,2,1))),$B$7)</f>
        <v>Eksempel 2 (interval)</v>
      </c>
      <c r="H1111" s="45">
        <f>_xlfn.AGGREGATE(2,5,LineærRegression_Valg[[#This Row],[Tabel ID]])</f>
        <v>1</v>
      </c>
    </row>
    <row r="1112" spans="1:8" x14ac:dyDescent="0.2">
      <c r="A1112">
        <f>ROW(LineærRegression_Valg[[#This Row],[Tabel ID]])-ROW(LineærRegression_Valg[[#Headers],[Tabel ID]])</f>
        <v>1102</v>
      </c>
      <c r="B1112" s="45">
        <f>ROUNDDOWN((LineærRegression_Valg[[#This Row],[Tabel ID]]-1)/$B$5,0)+1</f>
        <v>276</v>
      </c>
      <c r="C1112" s="45">
        <f t="shared" si="17"/>
        <v>2</v>
      </c>
      <c r="D1112" s="45" t="b">
        <f>LineærRegression_Valg[[#This Row],[Afhængig variabel ID]]&lt;&gt;LineærRegression_Valg[[#This Row],[Uafhængig variabel ID]]</f>
        <v>1</v>
      </c>
      <c r="E1112" t="b">
        <f>LineærRegression_Valg[[#This Row],[Afhængig variabel ID]]&lt;=$B$5</f>
        <v>0</v>
      </c>
      <c r="F1112" t="str" cm="1">
        <f t="array" ref="F1112">IF(LineærRegression_Valg[[#This Row],[Indenfor range]],INDEX(DataTitel_liste,LineærRegression_Valg[[#This Row],[Afhængig variabel ID]]),INDEX(DataTitel_liste,1))</f>
        <v>Eksempel 1 (interval)</v>
      </c>
      <c r="G1112" s="45" t="str" cm="1">
        <f t="array" ref="G1112">IF(LineærRegression_Valg[[#This Row],[Indenfor range]],IF(LineærRegression_Valg[[#This Row],[Intet overlap]],INDEX(DataTitel_liste,LineærRegression_Valg[[#This Row],[Uafhængig variabel ID]]),INDEX(DataTitel_liste,IF(LineærRegression_Valg[[#This Row],[Afhængig variabel ID]]=1,2,1))),$B$7)</f>
        <v>Eksempel 2 (interval)</v>
      </c>
      <c r="H1112" s="45">
        <f>_xlfn.AGGREGATE(2,5,LineærRegression_Valg[[#This Row],[Tabel ID]])</f>
        <v>1</v>
      </c>
    </row>
    <row r="1113" spans="1:8" x14ac:dyDescent="0.2">
      <c r="A1113">
        <f>ROW(LineærRegression_Valg[[#This Row],[Tabel ID]])-ROW(LineærRegression_Valg[[#Headers],[Tabel ID]])</f>
        <v>1103</v>
      </c>
      <c r="B1113" s="45">
        <f>ROUNDDOWN((LineærRegression_Valg[[#This Row],[Tabel ID]]-1)/$B$5,0)+1</f>
        <v>276</v>
      </c>
      <c r="C1113" s="45">
        <f t="shared" si="17"/>
        <v>3</v>
      </c>
      <c r="D1113" s="45" t="b">
        <f>LineærRegression_Valg[[#This Row],[Afhængig variabel ID]]&lt;&gt;LineærRegression_Valg[[#This Row],[Uafhængig variabel ID]]</f>
        <v>1</v>
      </c>
      <c r="E1113" t="b">
        <f>LineærRegression_Valg[[#This Row],[Afhængig variabel ID]]&lt;=$B$5</f>
        <v>0</v>
      </c>
      <c r="F1113" t="str" cm="1">
        <f t="array" ref="F1113">IF(LineærRegression_Valg[[#This Row],[Indenfor range]],INDEX(DataTitel_liste,LineærRegression_Valg[[#This Row],[Afhængig variabel ID]]),INDEX(DataTitel_liste,1))</f>
        <v>Eksempel 1 (interval)</v>
      </c>
      <c r="G1113" s="45" t="str" cm="1">
        <f t="array" ref="G1113">IF(LineærRegression_Valg[[#This Row],[Indenfor range]],IF(LineærRegression_Valg[[#This Row],[Intet overlap]],INDEX(DataTitel_liste,LineærRegression_Valg[[#This Row],[Uafhængig variabel ID]]),INDEX(DataTitel_liste,IF(LineærRegression_Valg[[#This Row],[Afhængig variabel ID]]=1,2,1))),$B$7)</f>
        <v>Eksempel 2 (interval)</v>
      </c>
      <c r="H1113" s="45">
        <f>_xlfn.AGGREGATE(2,5,LineærRegression_Valg[[#This Row],[Tabel ID]])</f>
        <v>1</v>
      </c>
    </row>
    <row r="1114" spans="1:8" x14ac:dyDescent="0.2">
      <c r="A1114">
        <f>ROW(LineærRegression_Valg[[#This Row],[Tabel ID]])-ROW(LineærRegression_Valg[[#Headers],[Tabel ID]])</f>
        <v>1104</v>
      </c>
      <c r="B1114" s="45">
        <f>ROUNDDOWN((LineærRegression_Valg[[#This Row],[Tabel ID]]-1)/$B$5,0)+1</f>
        <v>276</v>
      </c>
      <c r="C1114" s="45">
        <f t="shared" si="17"/>
        <v>4</v>
      </c>
      <c r="D1114" s="45" t="b">
        <f>LineærRegression_Valg[[#This Row],[Afhængig variabel ID]]&lt;&gt;LineærRegression_Valg[[#This Row],[Uafhængig variabel ID]]</f>
        <v>1</v>
      </c>
      <c r="E1114" t="b">
        <f>LineærRegression_Valg[[#This Row],[Afhængig variabel ID]]&lt;=$B$5</f>
        <v>0</v>
      </c>
      <c r="F1114" t="str" cm="1">
        <f t="array" ref="F1114">IF(LineærRegression_Valg[[#This Row],[Indenfor range]],INDEX(DataTitel_liste,LineærRegression_Valg[[#This Row],[Afhængig variabel ID]]),INDEX(DataTitel_liste,1))</f>
        <v>Eksempel 1 (interval)</v>
      </c>
      <c r="G1114" s="45" t="str" cm="1">
        <f t="array" ref="G1114">IF(LineærRegression_Valg[[#This Row],[Indenfor range]],IF(LineærRegression_Valg[[#This Row],[Intet overlap]],INDEX(DataTitel_liste,LineærRegression_Valg[[#This Row],[Uafhængig variabel ID]]),INDEX(DataTitel_liste,IF(LineærRegression_Valg[[#This Row],[Afhængig variabel ID]]=1,2,1))),$B$7)</f>
        <v>Eksempel 2 (interval)</v>
      </c>
      <c r="H1114" s="45">
        <f>_xlfn.AGGREGATE(2,5,LineærRegression_Valg[[#This Row],[Tabel ID]])</f>
        <v>1</v>
      </c>
    </row>
    <row r="1115" spans="1:8" x14ac:dyDescent="0.2">
      <c r="A1115">
        <f>ROW(LineærRegression_Valg[[#This Row],[Tabel ID]])-ROW(LineærRegression_Valg[[#Headers],[Tabel ID]])</f>
        <v>1105</v>
      </c>
      <c r="B1115" s="45">
        <f>ROUNDDOWN((LineærRegression_Valg[[#This Row],[Tabel ID]]-1)/$B$5,0)+1</f>
        <v>277</v>
      </c>
      <c r="C1115" s="45">
        <f t="shared" si="17"/>
        <v>1</v>
      </c>
      <c r="D1115" s="45" t="b">
        <f>LineærRegression_Valg[[#This Row],[Afhængig variabel ID]]&lt;&gt;LineærRegression_Valg[[#This Row],[Uafhængig variabel ID]]</f>
        <v>1</v>
      </c>
      <c r="E1115" t="b">
        <f>LineærRegression_Valg[[#This Row],[Afhængig variabel ID]]&lt;=$B$5</f>
        <v>0</v>
      </c>
      <c r="F1115" t="str" cm="1">
        <f t="array" ref="F1115">IF(LineærRegression_Valg[[#This Row],[Indenfor range]],INDEX(DataTitel_liste,LineærRegression_Valg[[#This Row],[Afhængig variabel ID]]),INDEX(DataTitel_liste,1))</f>
        <v>Eksempel 1 (interval)</v>
      </c>
      <c r="G1115" s="45" t="str" cm="1">
        <f t="array" ref="G1115">IF(LineærRegression_Valg[[#This Row],[Indenfor range]],IF(LineærRegression_Valg[[#This Row],[Intet overlap]],INDEX(DataTitel_liste,LineærRegression_Valg[[#This Row],[Uafhængig variabel ID]]),INDEX(DataTitel_liste,IF(LineærRegression_Valg[[#This Row],[Afhængig variabel ID]]=1,2,1))),$B$7)</f>
        <v>Eksempel 2 (interval)</v>
      </c>
      <c r="H1115" s="45">
        <f>_xlfn.AGGREGATE(2,5,LineærRegression_Valg[[#This Row],[Tabel ID]])</f>
        <v>1</v>
      </c>
    </row>
    <row r="1116" spans="1:8" x14ac:dyDescent="0.2">
      <c r="A1116">
        <f>ROW(LineærRegression_Valg[[#This Row],[Tabel ID]])-ROW(LineærRegression_Valg[[#Headers],[Tabel ID]])</f>
        <v>1106</v>
      </c>
      <c r="B1116" s="45">
        <f>ROUNDDOWN((LineærRegression_Valg[[#This Row],[Tabel ID]]-1)/$B$5,0)+1</f>
        <v>277</v>
      </c>
      <c r="C1116" s="45">
        <f t="shared" si="17"/>
        <v>2</v>
      </c>
      <c r="D1116" s="45" t="b">
        <f>LineærRegression_Valg[[#This Row],[Afhængig variabel ID]]&lt;&gt;LineærRegression_Valg[[#This Row],[Uafhængig variabel ID]]</f>
        <v>1</v>
      </c>
      <c r="E1116" t="b">
        <f>LineærRegression_Valg[[#This Row],[Afhængig variabel ID]]&lt;=$B$5</f>
        <v>0</v>
      </c>
      <c r="F1116" t="str" cm="1">
        <f t="array" ref="F1116">IF(LineærRegression_Valg[[#This Row],[Indenfor range]],INDEX(DataTitel_liste,LineærRegression_Valg[[#This Row],[Afhængig variabel ID]]),INDEX(DataTitel_liste,1))</f>
        <v>Eksempel 1 (interval)</v>
      </c>
      <c r="G1116" s="45" t="str" cm="1">
        <f t="array" ref="G1116">IF(LineærRegression_Valg[[#This Row],[Indenfor range]],IF(LineærRegression_Valg[[#This Row],[Intet overlap]],INDEX(DataTitel_liste,LineærRegression_Valg[[#This Row],[Uafhængig variabel ID]]),INDEX(DataTitel_liste,IF(LineærRegression_Valg[[#This Row],[Afhængig variabel ID]]=1,2,1))),$B$7)</f>
        <v>Eksempel 2 (interval)</v>
      </c>
      <c r="H1116" s="45">
        <f>_xlfn.AGGREGATE(2,5,LineærRegression_Valg[[#This Row],[Tabel ID]])</f>
        <v>1</v>
      </c>
    </row>
    <row r="1117" spans="1:8" x14ac:dyDescent="0.2">
      <c r="A1117">
        <f>ROW(LineærRegression_Valg[[#This Row],[Tabel ID]])-ROW(LineærRegression_Valg[[#Headers],[Tabel ID]])</f>
        <v>1107</v>
      </c>
      <c r="B1117" s="45">
        <f>ROUNDDOWN((LineærRegression_Valg[[#This Row],[Tabel ID]]-1)/$B$5,0)+1</f>
        <v>277</v>
      </c>
      <c r="C1117" s="45">
        <f t="shared" si="17"/>
        <v>3</v>
      </c>
      <c r="D1117" s="45" t="b">
        <f>LineærRegression_Valg[[#This Row],[Afhængig variabel ID]]&lt;&gt;LineærRegression_Valg[[#This Row],[Uafhængig variabel ID]]</f>
        <v>1</v>
      </c>
      <c r="E1117" t="b">
        <f>LineærRegression_Valg[[#This Row],[Afhængig variabel ID]]&lt;=$B$5</f>
        <v>0</v>
      </c>
      <c r="F1117" t="str" cm="1">
        <f t="array" ref="F1117">IF(LineærRegression_Valg[[#This Row],[Indenfor range]],INDEX(DataTitel_liste,LineærRegression_Valg[[#This Row],[Afhængig variabel ID]]),INDEX(DataTitel_liste,1))</f>
        <v>Eksempel 1 (interval)</v>
      </c>
      <c r="G1117" s="45" t="str" cm="1">
        <f t="array" ref="G1117">IF(LineærRegression_Valg[[#This Row],[Indenfor range]],IF(LineærRegression_Valg[[#This Row],[Intet overlap]],INDEX(DataTitel_liste,LineærRegression_Valg[[#This Row],[Uafhængig variabel ID]]),INDEX(DataTitel_liste,IF(LineærRegression_Valg[[#This Row],[Afhængig variabel ID]]=1,2,1))),$B$7)</f>
        <v>Eksempel 2 (interval)</v>
      </c>
      <c r="H1117" s="45">
        <f>_xlfn.AGGREGATE(2,5,LineærRegression_Valg[[#This Row],[Tabel ID]])</f>
        <v>1</v>
      </c>
    </row>
    <row r="1118" spans="1:8" x14ac:dyDescent="0.2">
      <c r="A1118">
        <f>ROW(LineærRegression_Valg[[#This Row],[Tabel ID]])-ROW(LineærRegression_Valg[[#Headers],[Tabel ID]])</f>
        <v>1108</v>
      </c>
      <c r="B1118" s="45">
        <f>ROUNDDOWN((LineærRegression_Valg[[#This Row],[Tabel ID]]-1)/$B$5,0)+1</f>
        <v>277</v>
      </c>
      <c r="C1118" s="45">
        <f t="shared" si="17"/>
        <v>4</v>
      </c>
      <c r="D1118" s="45" t="b">
        <f>LineærRegression_Valg[[#This Row],[Afhængig variabel ID]]&lt;&gt;LineærRegression_Valg[[#This Row],[Uafhængig variabel ID]]</f>
        <v>1</v>
      </c>
      <c r="E1118" t="b">
        <f>LineærRegression_Valg[[#This Row],[Afhængig variabel ID]]&lt;=$B$5</f>
        <v>0</v>
      </c>
      <c r="F1118" t="str" cm="1">
        <f t="array" ref="F1118">IF(LineærRegression_Valg[[#This Row],[Indenfor range]],INDEX(DataTitel_liste,LineærRegression_Valg[[#This Row],[Afhængig variabel ID]]),INDEX(DataTitel_liste,1))</f>
        <v>Eksempel 1 (interval)</v>
      </c>
      <c r="G1118" s="45" t="str" cm="1">
        <f t="array" ref="G1118">IF(LineærRegression_Valg[[#This Row],[Indenfor range]],IF(LineærRegression_Valg[[#This Row],[Intet overlap]],INDEX(DataTitel_liste,LineærRegression_Valg[[#This Row],[Uafhængig variabel ID]]),INDEX(DataTitel_liste,IF(LineærRegression_Valg[[#This Row],[Afhængig variabel ID]]=1,2,1))),$B$7)</f>
        <v>Eksempel 2 (interval)</v>
      </c>
      <c r="H1118" s="45">
        <f>_xlfn.AGGREGATE(2,5,LineærRegression_Valg[[#This Row],[Tabel ID]])</f>
        <v>1</v>
      </c>
    </row>
    <row r="1119" spans="1:8" x14ac:dyDescent="0.2">
      <c r="A1119">
        <f>ROW(LineærRegression_Valg[[#This Row],[Tabel ID]])-ROW(LineærRegression_Valg[[#Headers],[Tabel ID]])</f>
        <v>1109</v>
      </c>
      <c r="B1119" s="45">
        <f>ROUNDDOWN((LineærRegression_Valg[[#This Row],[Tabel ID]]-1)/$B$5,0)+1</f>
        <v>278</v>
      </c>
      <c r="C1119" s="45">
        <f t="shared" si="17"/>
        <v>1</v>
      </c>
      <c r="D1119" s="45" t="b">
        <f>LineærRegression_Valg[[#This Row],[Afhængig variabel ID]]&lt;&gt;LineærRegression_Valg[[#This Row],[Uafhængig variabel ID]]</f>
        <v>1</v>
      </c>
      <c r="E1119" t="b">
        <f>LineærRegression_Valg[[#This Row],[Afhængig variabel ID]]&lt;=$B$5</f>
        <v>0</v>
      </c>
      <c r="F1119" t="str" cm="1">
        <f t="array" ref="F1119">IF(LineærRegression_Valg[[#This Row],[Indenfor range]],INDEX(DataTitel_liste,LineærRegression_Valg[[#This Row],[Afhængig variabel ID]]),INDEX(DataTitel_liste,1))</f>
        <v>Eksempel 1 (interval)</v>
      </c>
      <c r="G1119" s="45" t="str" cm="1">
        <f t="array" ref="G1119">IF(LineærRegression_Valg[[#This Row],[Indenfor range]],IF(LineærRegression_Valg[[#This Row],[Intet overlap]],INDEX(DataTitel_liste,LineærRegression_Valg[[#This Row],[Uafhængig variabel ID]]),INDEX(DataTitel_liste,IF(LineærRegression_Valg[[#This Row],[Afhængig variabel ID]]=1,2,1))),$B$7)</f>
        <v>Eksempel 2 (interval)</v>
      </c>
      <c r="H1119" s="45">
        <f>_xlfn.AGGREGATE(2,5,LineærRegression_Valg[[#This Row],[Tabel ID]])</f>
        <v>1</v>
      </c>
    </row>
    <row r="1120" spans="1:8" x14ac:dyDescent="0.2">
      <c r="A1120">
        <f>ROW(LineærRegression_Valg[[#This Row],[Tabel ID]])-ROW(LineærRegression_Valg[[#Headers],[Tabel ID]])</f>
        <v>1110</v>
      </c>
      <c r="B1120" s="45">
        <f>ROUNDDOWN((LineærRegression_Valg[[#This Row],[Tabel ID]]-1)/$B$5,0)+1</f>
        <v>278</v>
      </c>
      <c r="C1120" s="45">
        <f t="shared" si="17"/>
        <v>2</v>
      </c>
      <c r="D1120" s="45" t="b">
        <f>LineærRegression_Valg[[#This Row],[Afhængig variabel ID]]&lt;&gt;LineærRegression_Valg[[#This Row],[Uafhængig variabel ID]]</f>
        <v>1</v>
      </c>
      <c r="E1120" t="b">
        <f>LineærRegression_Valg[[#This Row],[Afhængig variabel ID]]&lt;=$B$5</f>
        <v>0</v>
      </c>
      <c r="F1120" t="str" cm="1">
        <f t="array" ref="F1120">IF(LineærRegression_Valg[[#This Row],[Indenfor range]],INDEX(DataTitel_liste,LineærRegression_Valg[[#This Row],[Afhængig variabel ID]]),INDEX(DataTitel_liste,1))</f>
        <v>Eksempel 1 (interval)</v>
      </c>
      <c r="G1120" s="45" t="str" cm="1">
        <f t="array" ref="G1120">IF(LineærRegression_Valg[[#This Row],[Indenfor range]],IF(LineærRegression_Valg[[#This Row],[Intet overlap]],INDEX(DataTitel_liste,LineærRegression_Valg[[#This Row],[Uafhængig variabel ID]]),INDEX(DataTitel_liste,IF(LineærRegression_Valg[[#This Row],[Afhængig variabel ID]]=1,2,1))),$B$7)</f>
        <v>Eksempel 2 (interval)</v>
      </c>
      <c r="H1120" s="45">
        <f>_xlfn.AGGREGATE(2,5,LineærRegression_Valg[[#This Row],[Tabel ID]])</f>
        <v>1</v>
      </c>
    </row>
    <row r="1121" spans="1:8" x14ac:dyDescent="0.2">
      <c r="A1121">
        <f>ROW(LineærRegression_Valg[[#This Row],[Tabel ID]])-ROW(LineærRegression_Valg[[#Headers],[Tabel ID]])</f>
        <v>1111</v>
      </c>
      <c r="B1121" s="45">
        <f>ROUNDDOWN((LineærRegression_Valg[[#This Row],[Tabel ID]]-1)/$B$5,0)+1</f>
        <v>278</v>
      </c>
      <c r="C1121" s="45">
        <f t="shared" si="17"/>
        <v>3</v>
      </c>
      <c r="D1121" s="45" t="b">
        <f>LineærRegression_Valg[[#This Row],[Afhængig variabel ID]]&lt;&gt;LineærRegression_Valg[[#This Row],[Uafhængig variabel ID]]</f>
        <v>1</v>
      </c>
      <c r="E1121" t="b">
        <f>LineærRegression_Valg[[#This Row],[Afhængig variabel ID]]&lt;=$B$5</f>
        <v>0</v>
      </c>
      <c r="F1121" t="str" cm="1">
        <f t="array" ref="F1121">IF(LineærRegression_Valg[[#This Row],[Indenfor range]],INDEX(DataTitel_liste,LineærRegression_Valg[[#This Row],[Afhængig variabel ID]]),INDEX(DataTitel_liste,1))</f>
        <v>Eksempel 1 (interval)</v>
      </c>
      <c r="G1121" s="45" t="str" cm="1">
        <f t="array" ref="G1121">IF(LineærRegression_Valg[[#This Row],[Indenfor range]],IF(LineærRegression_Valg[[#This Row],[Intet overlap]],INDEX(DataTitel_liste,LineærRegression_Valg[[#This Row],[Uafhængig variabel ID]]),INDEX(DataTitel_liste,IF(LineærRegression_Valg[[#This Row],[Afhængig variabel ID]]=1,2,1))),$B$7)</f>
        <v>Eksempel 2 (interval)</v>
      </c>
      <c r="H1121" s="45">
        <f>_xlfn.AGGREGATE(2,5,LineærRegression_Valg[[#This Row],[Tabel ID]])</f>
        <v>1</v>
      </c>
    </row>
    <row r="1122" spans="1:8" x14ac:dyDescent="0.2">
      <c r="A1122">
        <f>ROW(LineærRegression_Valg[[#This Row],[Tabel ID]])-ROW(LineærRegression_Valg[[#Headers],[Tabel ID]])</f>
        <v>1112</v>
      </c>
      <c r="B1122" s="45">
        <f>ROUNDDOWN((LineærRegression_Valg[[#This Row],[Tabel ID]]-1)/$B$5,0)+1</f>
        <v>278</v>
      </c>
      <c r="C1122" s="45">
        <f t="shared" si="17"/>
        <v>4</v>
      </c>
      <c r="D1122" s="45" t="b">
        <f>LineærRegression_Valg[[#This Row],[Afhængig variabel ID]]&lt;&gt;LineærRegression_Valg[[#This Row],[Uafhængig variabel ID]]</f>
        <v>1</v>
      </c>
      <c r="E1122" t="b">
        <f>LineærRegression_Valg[[#This Row],[Afhængig variabel ID]]&lt;=$B$5</f>
        <v>0</v>
      </c>
      <c r="F1122" t="str" cm="1">
        <f t="array" ref="F1122">IF(LineærRegression_Valg[[#This Row],[Indenfor range]],INDEX(DataTitel_liste,LineærRegression_Valg[[#This Row],[Afhængig variabel ID]]),INDEX(DataTitel_liste,1))</f>
        <v>Eksempel 1 (interval)</v>
      </c>
      <c r="G1122" s="45" t="str" cm="1">
        <f t="array" ref="G1122">IF(LineærRegression_Valg[[#This Row],[Indenfor range]],IF(LineærRegression_Valg[[#This Row],[Intet overlap]],INDEX(DataTitel_liste,LineærRegression_Valg[[#This Row],[Uafhængig variabel ID]]),INDEX(DataTitel_liste,IF(LineærRegression_Valg[[#This Row],[Afhængig variabel ID]]=1,2,1))),$B$7)</f>
        <v>Eksempel 2 (interval)</v>
      </c>
      <c r="H1122" s="45">
        <f>_xlfn.AGGREGATE(2,5,LineærRegression_Valg[[#This Row],[Tabel ID]])</f>
        <v>1</v>
      </c>
    </row>
    <row r="1123" spans="1:8" x14ac:dyDescent="0.2">
      <c r="A1123">
        <f>ROW(LineærRegression_Valg[[#This Row],[Tabel ID]])-ROW(LineærRegression_Valg[[#Headers],[Tabel ID]])</f>
        <v>1113</v>
      </c>
      <c r="B1123" s="45">
        <f>ROUNDDOWN((LineærRegression_Valg[[#This Row],[Tabel ID]]-1)/$B$5,0)+1</f>
        <v>279</v>
      </c>
      <c r="C1123" s="45">
        <f t="shared" si="17"/>
        <v>1</v>
      </c>
      <c r="D1123" s="45" t="b">
        <f>LineærRegression_Valg[[#This Row],[Afhængig variabel ID]]&lt;&gt;LineærRegression_Valg[[#This Row],[Uafhængig variabel ID]]</f>
        <v>1</v>
      </c>
      <c r="E1123" t="b">
        <f>LineærRegression_Valg[[#This Row],[Afhængig variabel ID]]&lt;=$B$5</f>
        <v>0</v>
      </c>
      <c r="F1123" t="str" cm="1">
        <f t="array" ref="F1123">IF(LineærRegression_Valg[[#This Row],[Indenfor range]],INDEX(DataTitel_liste,LineærRegression_Valg[[#This Row],[Afhængig variabel ID]]),INDEX(DataTitel_liste,1))</f>
        <v>Eksempel 1 (interval)</v>
      </c>
      <c r="G1123" s="45" t="str" cm="1">
        <f t="array" ref="G1123">IF(LineærRegression_Valg[[#This Row],[Indenfor range]],IF(LineærRegression_Valg[[#This Row],[Intet overlap]],INDEX(DataTitel_liste,LineærRegression_Valg[[#This Row],[Uafhængig variabel ID]]),INDEX(DataTitel_liste,IF(LineærRegression_Valg[[#This Row],[Afhængig variabel ID]]=1,2,1))),$B$7)</f>
        <v>Eksempel 2 (interval)</v>
      </c>
      <c r="H1123" s="45">
        <f>_xlfn.AGGREGATE(2,5,LineærRegression_Valg[[#This Row],[Tabel ID]])</f>
        <v>1</v>
      </c>
    </row>
    <row r="1124" spans="1:8" x14ac:dyDescent="0.2">
      <c r="A1124">
        <f>ROW(LineærRegression_Valg[[#This Row],[Tabel ID]])-ROW(LineærRegression_Valg[[#Headers],[Tabel ID]])</f>
        <v>1114</v>
      </c>
      <c r="B1124" s="45">
        <f>ROUNDDOWN((LineærRegression_Valg[[#This Row],[Tabel ID]]-1)/$B$5,0)+1</f>
        <v>279</v>
      </c>
      <c r="C1124" s="45">
        <f t="shared" si="17"/>
        <v>2</v>
      </c>
      <c r="D1124" s="45" t="b">
        <f>LineærRegression_Valg[[#This Row],[Afhængig variabel ID]]&lt;&gt;LineærRegression_Valg[[#This Row],[Uafhængig variabel ID]]</f>
        <v>1</v>
      </c>
      <c r="E1124" t="b">
        <f>LineærRegression_Valg[[#This Row],[Afhængig variabel ID]]&lt;=$B$5</f>
        <v>0</v>
      </c>
      <c r="F1124" t="str" cm="1">
        <f t="array" ref="F1124">IF(LineærRegression_Valg[[#This Row],[Indenfor range]],INDEX(DataTitel_liste,LineærRegression_Valg[[#This Row],[Afhængig variabel ID]]),INDEX(DataTitel_liste,1))</f>
        <v>Eksempel 1 (interval)</v>
      </c>
      <c r="G1124" s="45" t="str" cm="1">
        <f t="array" ref="G1124">IF(LineærRegression_Valg[[#This Row],[Indenfor range]],IF(LineærRegression_Valg[[#This Row],[Intet overlap]],INDEX(DataTitel_liste,LineærRegression_Valg[[#This Row],[Uafhængig variabel ID]]),INDEX(DataTitel_liste,IF(LineærRegression_Valg[[#This Row],[Afhængig variabel ID]]=1,2,1))),$B$7)</f>
        <v>Eksempel 2 (interval)</v>
      </c>
      <c r="H1124" s="45">
        <f>_xlfn.AGGREGATE(2,5,LineærRegression_Valg[[#This Row],[Tabel ID]])</f>
        <v>1</v>
      </c>
    </row>
    <row r="1125" spans="1:8" x14ac:dyDescent="0.2">
      <c r="A1125">
        <f>ROW(LineærRegression_Valg[[#This Row],[Tabel ID]])-ROW(LineærRegression_Valg[[#Headers],[Tabel ID]])</f>
        <v>1115</v>
      </c>
      <c r="B1125" s="45">
        <f>ROUNDDOWN((LineærRegression_Valg[[#This Row],[Tabel ID]]-1)/$B$5,0)+1</f>
        <v>279</v>
      </c>
      <c r="C1125" s="45">
        <f t="shared" si="17"/>
        <v>3</v>
      </c>
      <c r="D1125" s="45" t="b">
        <f>LineærRegression_Valg[[#This Row],[Afhængig variabel ID]]&lt;&gt;LineærRegression_Valg[[#This Row],[Uafhængig variabel ID]]</f>
        <v>1</v>
      </c>
      <c r="E1125" t="b">
        <f>LineærRegression_Valg[[#This Row],[Afhængig variabel ID]]&lt;=$B$5</f>
        <v>0</v>
      </c>
      <c r="F1125" t="str" cm="1">
        <f t="array" ref="F1125">IF(LineærRegression_Valg[[#This Row],[Indenfor range]],INDEX(DataTitel_liste,LineærRegression_Valg[[#This Row],[Afhængig variabel ID]]),INDEX(DataTitel_liste,1))</f>
        <v>Eksempel 1 (interval)</v>
      </c>
      <c r="G1125" s="45" t="str" cm="1">
        <f t="array" ref="G1125">IF(LineærRegression_Valg[[#This Row],[Indenfor range]],IF(LineærRegression_Valg[[#This Row],[Intet overlap]],INDEX(DataTitel_liste,LineærRegression_Valg[[#This Row],[Uafhængig variabel ID]]),INDEX(DataTitel_liste,IF(LineærRegression_Valg[[#This Row],[Afhængig variabel ID]]=1,2,1))),$B$7)</f>
        <v>Eksempel 2 (interval)</v>
      </c>
      <c r="H1125" s="45">
        <f>_xlfn.AGGREGATE(2,5,LineærRegression_Valg[[#This Row],[Tabel ID]])</f>
        <v>1</v>
      </c>
    </row>
    <row r="1126" spans="1:8" x14ac:dyDescent="0.2">
      <c r="A1126">
        <f>ROW(LineærRegression_Valg[[#This Row],[Tabel ID]])-ROW(LineærRegression_Valg[[#Headers],[Tabel ID]])</f>
        <v>1116</v>
      </c>
      <c r="B1126" s="45">
        <f>ROUNDDOWN((LineærRegression_Valg[[#This Row],[Tabel ID]]-1)/$B$5,0)+1</f>
        <v>279</v>
      </c>
      <c r="C1126" s="45">
        <f t="shared" si="17"/>
        <v>4</v>
      </c>
      <c r="D1126" s="45" t="b">
        <f>LineærRegression_Valg[[#This Row],[Afhængig variabel ID]]&lt;&gt;LineærRegression_Valg[[#This Row],[Uafhængig variabel ID]]</f>
        <v>1</v>
      </c>
      <c r="E1126" t="b">
        <f>LineærRegression_Valg[[#This Row],[Afhængig variabel ID]]&lt;=$B$5</f>
        <v>0</v>
      </c>
      <c r="F1126" t="str" cm="1">
        <f t="array" ref="F1126">IF(LineærRegression_Valg[[#This Row],[Indenfor range]],INDEX(DataTitel_liste,LineærRegression_Valg[[#This Row],[Afhængig variabel ID]]),INDEX(DataTitel_liste,1))</f>
        <v>Eksempel 1 (interval)</v>
      </c>
      <c r="G1126" s="45" t="str" cm="1">
        <f t="array" ref="G1126">IF(LineærRegression_Valg[[#This Row],[Indenfor range]],IF(LineærRegression_Valg[[#This Row],[Intet overlap]],INDEX(DataTitel_liste,LineærRegression_Valg[[#This Row],[Uafhængig variabel ID]]),INDEX(DataTitel_liste,IF(LineærRegression_Valg[[#This Row],[Afhængig variabel ID]]=1,2,1))),$B$7)</f>
        <v>Eksempel 2 (interval)</v>
      </c>
      <c r="H1126" s="45">
        <f>_xlfn.AGGREGATE(2,5,LineærRegression_Valg[[#This Row],[Tabel ID]])</f>
        <v>1</v>
      </c>
    </row>
    <row r="1127" spans="1:8" x14ac:dyDescent="0.2">
      <c r="A1127">
        <f>ROW(LineærRegression_Valg[[#This Row],[Tabel ID]])-ROW(LineærRegression_Valg[[#Headers],[Tabel ID]])</f>
        <v>1117</v>
      </c>
      <c r="B1127" s="45">
        <f>ROUNDDOWN((LineærRegression_Valg[[#This Row],[Tabel ID]]-1)/$B$5,0)+1</f>
        <v>280</v>
      </c>
      <c r="C1127" s="45">
        <f t="shared" si="17"/>
        <v>1</v>
      </c>
      <c r="D1127" s="45" t="b">
        <f>LineærRegression_Valg[[#This Row],[Afhængig variabel ID]]&lt;&gt;LineærRegression_Valg[[#This Row],[Uafhængig variabel ID]]</f>
        <v>1</v>
      </c>
      <c r="E1127" t="b">
        <f>LineærRegression_Valg[[#This Row],[Afhængig variabel ID]]&lt;=$B$5</f>
        <v>0</v>
      </c>
      <c r="F1127" t="str" cm="1">
        <f t="array" ref="F1127">IF(LineærRegression_Valg[[#This Row],[Indenfor range]],INDEX(DataTitel_liste,LineærRegression_Valg[[#This Row],[Afhængig variabel ID]]),INDEX(DataTitel_liste,1))</f>
        <v>Eksempel 1 (interval)</v>
      </c>
      <c r="G1127" s="45" t="str" cm="1">
        <f t="array" ref="G1127">IF(LineærRegression_Valg[[#This Row],[Indenfor range]],IF(LineærRegression_Valg[[#This Row],[Intet overlap]],INDEX(DataTitel_liste,LineærRegression_Valg[[#This Row],[Uafhængig variabel ID]]),INDEX(DataTitel_liste,IF(LineærRegression_Valg[[#This Row],[Afhængig variabel ID]]=1,2,1))),$B$7)</f>
        <v>Eksempel 2 (interval)</v>
      </c>
      <c r="H1127" s="45">
        <f>_xlfn.AGGREGATE(2,5,LineærRegression_Valg[[#This Row],[Tabel ID]])</f>
        <v>1</v>
      </c>
    </row>
    <row r="1128" spans="1:8" x14ac:dyDescent="0.2">
      <c r="A1128">
        <f>ROW(LineærRegression_Valg[[#This Row],[Tabel ID]])-ROW(LineærRegression_Valg[[#Headers],[Tabel ID]])</f>
        <v>1118</v>
      </c>
      <c r="B1128" s="45">
        <f>ROUNDDOWN((LineærRegression_Valg[[#This Row],[Tabel ID]]-1)/$B$5,0)+1</f>
        <v>280</v>
      </c>
      <c r="C1128" s="45">
        <f t="shared" si="17"/>
        <v>2</v>
      </c>
      <c r="D1128" s="45" t="b">
        <f>LineærRegression_Valg[[#This Row],[Afhængig variabel ID]]&lt;&gt;LineærRegression_Valg[[#This Row],[Uafhængig variabel ID]]</f>
        <v>1</v>
      </c>
      <c r="E1128" t="b">
        <f>LineærRegression_Valg[[#This Row],[Afhængig variabel ID]]&lt;=$B$5</f>
        <v>0</v>
      </c>
      <c r="F1128" t="str" cm="1">
        <f t="array" ref="F1128">IF(LineærRegression_Valg[[#This Row],[Indenfor range]],INDEX(DataTitel_liste,LineærRegression_Valg[[#This Row],[Afhængig variabel ID]]),INDEX(DataTitel_liste,1))</f>
        <v>Eksempel 1 (interval)</v>
      </c>
      <c r="G1128" s="45" t="str" cm="1">
        <f t="array" ref="G1128">IF(LineærRegression_Valg[[#This Row],[Indenfor range]],IF(LineærRegression_Valg[[#This Row],[Intet overlap]],INDEX(DataTitel_liste,LineærRegression_Valg[[#This Row],[Uafhængig variabel ID]]),INDEX(DataTitel_liste,IF(LineærRegression_Valg[[#This Row],[Afhængig variabel ID]]=1,2,1))),$B$7)</f>
        <v>Eksempel 2 (interval)</v>
      </c>
      <c r="H1128" s="45">
        <f>_xlfn.AGGREGATE(2,5,LineærRegression_Valg[[#This Row],[Tabel ID]])</f>
        <v>1</v>
      </c>
    </row>
    <row r="1129" spans="1:8" x14ac:dyDescent="0.2">
      <c r="A1129">
        <f>ROW(LineærRegression_Valg[[#This Row],[Tabel ID]])-ROW(LineærRegression_Valg[[#Headers],[Tabel ID]])</f>
        <v>1119</v>
      </c>
      <c r="B1129" s="45">
        <f>ROUNDDOWN((LineærRegression_Valg[[#This Row],[Tabel ID]]-1)/$B$5,0)+1</f>
        <v>280</v>
      </c>
      <c r="C1129" s="45">
        <f t="shared" si="17"/>
        <v>3</v>
      </c>
      <c r="D1129" s="45" t="b">
        <f>LineærRegression_Valg[[#This Row],[Afhængig variabel ID]]&lt;&gt;LineærRegression_Valg[[#This Row],[Uafhængig variabel ID]]</f>
        <v>1</v>
      </c>
      <c r="E1129" t="b">
        <f>LineærRegression_Valg[[#This Row],[Afhængig variabel ID]]&lt;=$B$5</f>
        <v>0</v>
      </c>
      <c r="F1129" t="str" cm="1">
        <f t="array" ref="F1129">IF(LineærRegression_Valg[[#This Row],[Indenfor range]],INDEX(DataTitel_liste,LineærRegression_Valg[[#This Row],[Afhængig variabel ID]]),INDEX(DataTitel_liste,1))</f>
        <v>Eksempel 1 (interval)</v>
      </c>
      <c r="G1129" s="45" t="str" cm="1">
        <f t="array" ref="G1129">IF(LineærRegression_Valg[[#This Row],[Indenfor range]],IF(LineærRegression_Valg[[#This Row],[Intet overlap]],INDEX(DataTitel_liste,LineærRegression_Valg[[#This Row],[Uafhængig variabel ID]]),INDEX(DataTitel_liste,IF(LineærRegression_Valg[[#This Row],[Afhængig variabel ID]]=1,2,1))),$B$7)</f>
        <v>Eksempel 2 (interval)</v>
      </c>
      <c r="H1129" s="45">
        <f>_xlfn.AGGREGATE(2,5,LineærRegression_Valg[[#This Row],[Tabel ID]])</f>
        <v>1</v>
      </c>
    </row>
    <row r="1130" spans="1:8" x14ac:dyDescent="0.2">
      <c r="A1130">
        <f>ROW(LineærRegression_Valg[[#This Row],[Tabel ID]])-ROW(LineærRegression_Valg[[#Headers],[Tabel ID]])</f>
        <v>1120</v>
      </c>
      <c r="B1130" s="45">
        <f>ROUNDDOWN((LineærRegression_Valg[[#This Row],[Tabel ID]]-1)/$B$5,0)+1</f>
        <v>280</v>
      </c>
      <c r="C1130" s="45">
        <f t="shared" si="17"/>
        <v>4</v>
      </c>
      <c r="D1130" s="45" t="b">
        <f>LineærRegression_Valg[[#This Row],[Afhængig variabel ID]]&lt;&gt;LineærRegression_Valg[[#This Row],[Uafhængig variabel ID]]</f>
        <v>1</v>
      </c>
      <c r="E1130" t="b">
        <f>LineærRegression_Valg[[#This Row],[Afhængig variabel ID]]&lt;=$B$5</f>
        <v>0</v>
      </c>
      <c r="F1130" t="str" cm="1">
        <f t="array" ref="F1130">IF(LineærRegression_Valg[[#This Row],[Indenfor range]],INDEX(DataTitel_liste,LineærRegression_Valg[[#This Row],[Afhængig variabel ID]]),INDEX(DataTitel_liste,1))</f>
        <v>Eksempel 1 (interval)</v>
      </c>
      <c r="G1130" s="45" t="str" cm="1">
        <f t="array" ref="G1130">IF(LineærRegression_Valg[[#This Row],[Indenfor range]],IF(LineærRegression_Valg[[#This Row],[Intet overlap]],INDEX(DataTitel_liste,LineærRegression_Valg[[#This Row],[Uafhængig variabel ID]]),INDEX(DataTitel_liste,IF(LineærRegression_Valg[[#This Row],[Afhængig variabel ID]]=1,2,1))),$B$7)</f>
        <v>Eksempel 2 (interval)</v>
      </c>
      <c r="H1130" s="45">
        <f>_xlfn.AGGREGATE(2,5,LineærRegression_Valg[[#This Row],[Tabel ID]])</f>
        <v>1</v>
      </c>
    </row>
    <row r="1131" spans="1:8" x14ac:dyDescent="0.2">
      <c r="A1131">
        <f>ROW(LineærRegression_Valg[[#This Row],[Tabel ID]])-ROW(LineærRegression_Valg[[#Headers],[Tabel ID]])</f>
        <v>1121</v>
      </c>
      <c r="B1131" s="45">
        <f>ROUNDDOWN((LineærRegression_Valg[[#This Row],[Tabel ID]]-1)/$B$5,0)+1</f>
        <v>281</v>
      </c>
      <c r="C1131" s="45">
        <f t="shared" si="17"/>
        <v>1</v>
      </c>
      <c r="D1131" s="45" t="b">
        <f>LineærRegression_Valg[[#This Row],[Afhængig variabel ID]]&lt;&gt;LineærRegression_Valg[[#This Row],[Uafhængig variabel ID]]</f>
        <v>1</v>
      </c>
      <c r="E1131" t="b">
        <f>LineærRegression_Valg[[#This Row],[Afhængig variabel ID]]&lt;=$B$5</f>
        <v>0</v>
      </c>
      <c r="F1131" t="str" cm="1">
        <f t="array" ref="F1131">IF(LineærRegression_Valg[[#This Row],[Indenfor range]],INDEX(DataTitel_liste,LineærRegression_Valg[[#This Row],[Afhængig variabel ID]]),INDEX(DataTitel_liste,1))</f>
        <v>Eksempel 1 (interval)</v>
      </c>
      <c r="G1131" s="45" t="str" cm="1">
        <f t="array" ref="G1131">IF(LineærRegression_Valg[[#This Row],[Indenfor range]],IF(LineærRegression_Valg[[#This Row],[Intet overlap]],INDEX(DataTitel_liste,LineærRegression_Valg[[#This Row],[Uafhængig variabel ID]]),INDEX(DataTitel_liste,IF(LineærRegression_Valg[[#This Row],[Afhængig variabel ID]]=1,2,1))),$B$7)</f>
        <v>Eksempel 2 (interval)</v>
      </c>
      <c r="H1131" s="45">
        <f>_xlfn.AGGREGATE(2,5,LineærRegression_Valg[[#This Row],[Tabel ID]])</f>
        <v>1</v>
      </c>
    </row>
    <row r="1132" spans="1:8" x14ac:dyDescent="0.2">
      <c r="A1132">
        <f>ROW(LineærRegression_Valg[[#This Row],[Tabel ID]])-ROW(LineærRegression_Valg[[#Headers],[Tabel ID]])</f>
        <v>1122</v>
      </c>
      <c r="B1132" s="45">
        <f>ROUNDDOWN((LineærRegression_Valg[[#This Row],[Tabel ID]]-1)/$B$5,0)+1</f>
        <v>281</v>
      </c>
      <c r="C1132" s="45">
        <f t="shared" si="17"/>
        <v>2</v>
      </c>
      <c r="D1132" s="45" t="b">
        <f>LineærRegression_Valg[[#This Row],[Afhængig variabel ID]]&lt;&gt;LineærRegression_Valg[[#This Row],[Uafhængig variabel ID]]</f>
        <v>1</v>
      </c>
      <c r="E1132" t="b">
        <f>LineærRegression_Valg[[#This Row],[Afhængig variabel ID]]&lt;=$B$5</f>
        <v>0</v>
      </c>
      <c r="F1132" t="str" cm="1">
        <f t="array" ref="F1132">IF(LineærRegression_Valg[[#This Row],[Indenfor range]],INDEX(DataTitel_liste,LineærRegression_Valg[[#This Row],[Afhængig variabel ID]]),INDEX(DataTitel_liste,1))</f>
        <v>Eksempel 1 (interval)</v>
      </c>
      <c r="G1132" s="45" t="str" cm="1">
        <f t="array" ref="G1132">IF(LineærRegression_Valg[[#This Row],[Indenfor range]],IF(LineærRegression_Valg[[#This Row],[Intet overlap]],INDEX(DataTitel_liste,LineærRegression_Valg[[#This Row],[Uafhængig variabel ID]]),INDEX(DataTitel_liste,IF(LineærRegression_Valg[[#This Row],[Afhængig variabel ID]]=1,2,1))),$B$7)</f>
        <v>Eksempel 2 (interval)</v>
      </c>
      <c r="H1132" s="45">
        <f>_xlfn.AGGREGATE(2,5,LineærRegression_Valg[[#This Row],[Tabel ID]])</f>
        <v>1</v>
      </c>
    </row>
    <row r="1133" spans="1:8" x14ac:dyDescent="0.2">
      <c r="A1133">
        <f>ROW(LineærRegression_Valg[[#This Row],[Tabel ID]])-ROW(LineærRegression_Valg[[#Headers],[Tabel ID]])</f>
        <v>1123</v>
      </c>
      <c r="B1133" s="45">
        <f>ROUNDDOWN((LineærRegression_Valg[[#This Row],[Tabel ID]]-1)/$B$5,0)+1</f>
        <v>281</v>
      </c>
      <c r="C1133" s="45">
        <f t="shared" si="17"/>
        <v>3</v>
      </c>
      <c r="D1133" s="45" t="b">
        <f>LineærRegression_Valg[[#This Row],[Afhængig variabel ID]]&lt;&gt;LineærRegression_Valg[[#This Row],[Uafhængig variabel ID]]</f>
        <v>1</v>
      </c>
      <c r="E1133" t="b">
        <f>LineærRegression_Valg[[#This Row],[Afhængig variabel ID]]&lt;=$B$5</f>
        <v>0</v>
      </c>
      <c r="F1133" t="str" cm="1">
        <f t="array" ref="F1133">IF(LineærRegression_Valg[[#This Row],[Indenfor range]],INDEX(DataTitel_liste,LineærRegression_Valg[[#This Row],[Afhængig variabel ID]]),INDEX(DataTitel_liste,1))</f>
        <v>Eksempel 1 (interval)</v>
      </c>
      <c r="G1133" s="45" t="str" cm="1">
        <f t="array" ref="G1133">IF(LineærRegression_Valg[[#This Row],[Indenfor range]],IF(LineærRegression_Valg[[#This Row],[Intet overlap]],INDEX(DataTitel_liste,LineærRegression_Valg[[#This Row],[Uafhængig variabel ID]]),INDEX(DataTitel_liste,IF(LineærRegression_Valg[[#This Row],[Afhængig variabel ID]]=1,2,1))),$B$7)</f>
        <v>Eksempel 2 (interval)</v>
      </c>
      <c r="H1133" s="45">
        <f>_xlfn.AGGREGATE(2,5,LineærRegression_Valg[[#This Row],[Tabel ID]])</f>
        <v>1</v>
      </c>
    </row>
    <row r="1134" spans="1:8" x14ac:dyDescent="0.2">
      <c r="A1134">
        <f>ROW(LineærRegression_Valg[[#This Row],[Tabel ID]])-ROW(LineærRegression_Valg[[#Headers],[Tabel ID]])</f>
        <v>1124</v>
      </c>
      <c r="B1134" s="45">
        <f>ROUNDDOWN((LineærRegression_Valg[[#This Row],[Tabel ID]]-1)/$B$5,0)+1</f>
        <v>281</v>
      </c>
      <c r="C1134" s="45">
        <f t="shared" si="17"/>
        <v>4</v>
      </c>
      <c r="D1134" s="45" t="b">
        <f>LineærRegression_Valg[[#This Row],[Afhængig variabel ID]]&lt;&gt;LineærRegression_Valg[[#This Row],[Uafhængig variabel ID]]</f>
        <v>1</v>
      </c>
      <c r="E1134" t="b">
        <f>LineærRegression_Valg[[#This Row],[Afhængig variabel ID]]&lt;=$B$5</f>
        <v>0</v>
      </c>
      <c r="F1134" t="str" cm="1">
        <f t="array" ref="F1134">IF(LineærRegression_Valg[[#This Row],[Indenfor range]],INDEX(DataTitel_liste,LineærRegression_Valg[[#This Row],[Afhængig variabel ID]]),INDEX(DataTitel_liste,1))</f>
        <v>Eksempel 1 (interval)</v>
      </c>
      <c r="G1134" s="45" t="str" cm="1">
        <f t="array" ref="G1134">IF(LineærRegression_Valg[[#This Row],[Indenfor range]],IF(LineærRegression_Valg[[#This Row],[Intet overlap]],INDEX(DataTitel_liste,LineærRegression_Valg[[#This Row],[Uafhængig variabel ID]]),INDEX(DataTitel_liste,IF(LineærRegression_Valg[[#This Row],[Afhængig variabel ID]]=1,2,1))),$B$7)</f>
        <v>Eksempel 2 (interval)</v>
      </c>
      <c r="H1134" s="45">
        <f>_xlfn.AGGREGATE(2,5,LineærRegression_Valg[[#This Row],[Tabel ID]])</f>
        <v>1</v>
      </c>
    </row>
    <row r="1135" spans="1:8" x14ac:dyDescent="0.2">
      <c r="A1135">
        <f>ROW(LineærRegression_Valg[[#This Row],[Tabel ID]])-ROW(LineærRegression_Valg[[#Headers],[Tabel ID]])</f>
        <v>1125</v>
      </c>
      <c r="B1135" s="45">
        <f>ROUNDDOWN((LineærRegression_Valg[[#This Row],[Tabel ID]]-1)/$B$5,0)+1</f>
        <v>282</v>
      </c>
      <c r="C1135" s="45">
        <f t="shared" si="17"/>
        <v>1</v>
      </c>
      <c r="D1135" s="45" t="b">
        <f>LineærRegression_Valg[[#This Row],[Afhængig variabel ID]]&lt;&gt;LineærRegression_Valg[[#This Row],[Uafhængig variabel ID]]</f>
        <v>1</v>
      </c>
      <c r="E1135" t="b">
        <f>LineærRegression_Valg[[#This Row],[Afhængig variabel ID]]&lt;=$B$5</f>
        <v>0</v>
      </c>
      <c r="F1135" t="str" cm="1">
        <f t="array" ref="F1135">IF(LineærRegression_Valg[[#This Row],[Indenfor range]],INDEX(DataTitel_liste,LineærRegression_Valg[[#This Row],[Afhængig variabel ID]]),INDEX(DataTitel_liste,1))</f>
        <v>Eksempel 1 (interval)</v>
      </c>
      <c r="G1135" s="45" t="str" cm="1">
        <f t="array" ref="G1135">IF(LineærRegression_Valg[[#This Row],[Indenfor range]],IF(LineærRegression_Valg[[#This Row],[Intet overlap]],INDEX(DataTitel_liste,LineærRegression_Valg[[#This Row],[Uafhængig variabel ID]]),INDEX(DataTitel_liste,IF(LineærRegression_Valg[[#This Row],[Afhængig variabel ID]]=1,2,1))),$B$7)</f>
        <v>Eksempel 2 (interval)</v>
      </c>
      <c r="H1135" s="45">
        <f>_xlfn.AGGREGATE(2,5,LineærRegression_Valg[[#This Row],[Tabel ID]])</f>
        <v>1</v>
      </c>
    </row>
    <row r="1136" spans="1:8" x14ac:dyDescent="0.2">
      <c r="A1136">
        <f>ROW(LineærRegression_Valg[[#This Row],[Tabel ID]])-ROW(LineærRegression_Valg[[#Headers],[Tabel ID]])</f>
        <v>1126</v>
      </c>
      <c r="B1136" s="45">
        <f>ROUNDDOWN((LineærRegression_Valg[[#This Row],[Tabel ID]]-1)/$B$5,0)+1</f>
        <v>282</v>
      </c>
      <c r="C1136" s="45">
        <f t="shared" si="17"/>
        <v>2</v>
      </c>
      <c r="D1136" s="45" t="b">
        <f>LineærRegression_Valg[[#This Row],[Afhængig variabel ID]]&lt;&gt;LineærRegression_Valg[[#This Row],[Uafhængig variabel ID]]</f>
        <v>1</v>
      </c>
      <c r="E1136" t="b">
        <f>LineærRegression_Valg[[#This Row],[Afhængig variabel ID]]&lt;=$B$5</f>
        <v>0</v>
      </c>
      <c r="F1136" t="str" cm="1">
        <f t="array" ref="F1136">IF(LineærRegression_Valg[[#This Row],[Indenfor range]],INDEX(DataTitel_liste,LineærRegression_Valg[[#This Row],[Afhængig variabel ID]]),INDEX(DataTitel_liste,1))</f>
        <v>Eksempel 1 (interval)</v>
      </c>
      <c r="G1136" s="45" t="str" cm="1">
        <f t="array" ref="G1136">IF(LineærRegression_Valg[[#This Row],[Indenfor range]],IF(LineærRegression_Valg[[#This Row],[Intet overlap]],INDEX(DataTitel_liste,LineærRegression_Valg[[#This Row],[Uafhængig variabel ID]]),INDEX(DataTitel_liste,IF(LineærRegression_Valg[[#This Row],[Afhængig variabel ID]]=1,2,1))),$B$7)</f>
        <v>Eksempel 2 (interval)</v>
      </c>
      <c r="H1136" s="45">
        <f>_xlfn.AGGREGATE(2,5,LineærRegression_Valg[[#This Row],[Tabel ID]])</f>
        <v>1</v>
      </c>
    </row>
    <row r="1137" spans="1:8" x14ac:dyDescent="0.2">
      <c r="A1137">
        <f>ROW(LineærRegression_Valg[[#This Row],[Tabel ID]])-ROW(LineærRegression_Valg[[#Headers],[Tabel ID]])</f>
        <v>1127</v>
      </c>
      <c r="B1137" s="45">
        <f>ROUNDDOWN((LineærRegression_Valg[[#This Row],[Tabel ID]]-1)/$B$5,0)+1</f>
        <v>282</v>
      </c>
      <c r="C1137" s="45">
        <f t="shared" si="17"/>
        <v>3</v>
      </c>
      <c r="D1137" s="45" t="b">
        <f>LineærRegression_Valg[[#This Row],[Afhængig variabel ID]]&lt;&gt;LineærRegression_Valg[[#This Row],[Uafhængig variabel ID]]</f>
        <v>1</v>
      </c>
      <c r="E1137" t="b">
        <f>LineærRegression_Valg[[#This Row],[Afhængig variabel ID]]&lt;=$B$5</f>
        <v>0</v>
      </c>
      <c r="F1137" t="str" cm="1">
        <f t="array" ref="F1137">IF(LineærRegression_Valg[[#This Row],[Indenfor range]],INDEX(DataTitel_liste,LineærRegression_Valg[[#This Row],[Afhængig variabel ID]]),INDEX(DataTitel_liste,1))</f>
        <v>Eksempel 1 (interval)</v>
      </c>
      <c r="G1137" s="45" t="str" cm="1">
        <f t="array" ref="G1137">IF(LineærRegression_Valg[[#This Row],[Indenfor range]],IF(LineærRegression_Valg[[#This Row],[Intet overlap]],INDEX(DataTitel_liste,LineærRegression_Valg[[#This Row],[Uafhængig variabel ID]]),INDEX(DataTitel_liste,IF(LineærRegression_Valg[[#This Row],[Afhængig variabel ID]]=1,2,1))),$B$7)</f>
        <v>Eksempel 2 (interval)</v>
      </c>
      <c r="H1137" s="45">
        <f>_xlfn.AGGREGATE(2,5,LineærRegression_Valg[[#This Row],[Tabel ID]])</f>
        <v>1</v>
      </c>
    </row>
    <row r="1138" spans="1:8" x14ac:dyDescent="0.2">
      <c r="A1138">
        <f>ROW(LineærRegression_Valg[[#This Row],[Tabel ID]])-ROW(LineærRegression_Valg[[#Headers],[Tabel ID]])</f>
        <v>1128</v>
      </c>
      <c r="B1138" s="45">
        <f>ROUNDDOWN((LineærRegression_Valg[[#This Row],[Tabel ID]]-1)/$B$5,0)+1</f>
        <v>282</v>
      </c>
      <c r="C1138" s="45">
        <f t="shared" si="17"/>
        <v>4</v>
      </c>
      <c r="D1138" s="45" t="b">
        <f>LineærRegression_Valg[[#This Row],[Afhængig variabel ID]]&lt;&gt;LineærRegression_Valg[[#This Row],[Uafhængig variabel ID]]</f>
        <v>1</v>
      </c>
      <c r="E1138" t="b">
        <f>LineærRegression_Valg[[#This Row],[Afhængig variabel ID]]&lt;=$B$5</f>
        <v>0</v>
      </c>
      <c r="F1138" t="str" cm="1">
        <f t="array" ref="F1138">IF(LineærRegression_Valg[[#This Row],[Indenfor range]],INDEX(DataTitel_liste,LineærRegression_Valg[[#This Row],[Afhængig variabel ID]]),INDEX(DataTitel_liste,1))</f>
        <v>Eksempel 1 (interval)</v>
      </c>
      <c r="G1138" s="45" t="str" cm="1">
        <f t="array" ref="G1138">IF(LineærRegression_Valg[[#This Row],[Indenfor range]],IF(LineærRegression_Valg[[#This Row],[Intet overlap]],INDEX(DataTitel_liste,LineærRegression_Valg[[#This Row],[Uafhængig variabel ID]]),INDEX(DataTitel_liste,IF(LineærRegression_Valg[[#This Row],[Afhængig variabel ID]]=1,2,1))),$B$7)</f>
        <v>Eksempel 2 (interval)</v>
      </c>
      <c r="H1138" s="45">
        <f>_xlfn.AGGREGATE(2,5,LineærRegression_Valg[[#This Row],[Tabel ID]])</f>
        <v>1</v>
      </c>
    </row>
    <row r="1139" spans="1:8" x14ac:dyDescent="0.2">
      <c r="A1139">
        <f>ROW(LineærRegression_Valg[[#This Row],[Tabel ID]])-ROW(LineærRegression_Valg[[#Headers],[Tabel ID]])</f>
        <v>1129</v>
      </c>
      <c r="B1139" s="45">
        <f>ROUNDDOWN((LineærRegression_Valg[[#This Row],[Tabel ID]]-1)/$B$5,0)+1</f>
        <v>283</v>
      </c>
      <c r="C1139" s="45">
        <f t="shared" si="17"/>
        <v>1</v>
      </c>
      <c r="D1139" s="45" t="b">
        <f>LineærRegression_Valg[[#This Row],[Afhængig variabel ID]]&lt;&gt;LineærRegression_Valg[[#This Row],[Uafhængig variabel ID]]</f>
        <v>1</v>
      </c>
      <c r="E1139" t="b">
        <f>LineærRegression_Valg[[#This Row],[Afhængig variabel ID]]&lt;=$B$5</f>
        <v>0</v>
      </c>
      <c r="F1139" t="str" cm="1">
        <f t="array" ref="F1139">IF(LineærRegression_Valg[[#This Row],[Indenfor range]],INDEX(DataTitel_liste,LineærRegression_Valg[[#This Row],[Afhængig variabel ID]]),INDEX(DataTitel_liste,1))</f>
        <v>Eksempel 1 (interval)</v>
      </c>
      <c r="G1139" s="45" t="str" cm="1">
        <f t="array" ref="G1139">IF(LineærRegression_Valg[[#This Row],[Indenfor range]],IF(LineærRegression_Valg[[#This Row],[Intet overlap]],INDEX(DataTitel_liste,LineærRegression_Valg[[#This Row],[Uafhængig variabel ID]]),INDEX(DataTitel_liste,IF(LineærRegression_Valg[[#This Row],[Afhængig variabel ID]]=1,2,1))),$B$7)</f>
        <v>Eksempel 2 (interval)</v>
      </c>
      <c r="H1139" s="45">
        <f>_xlfn.AGGREGATE(2,5,LineærRegression_Valg[[#This Row],[Tabel ID]])</f>
        <v>1</v>
      </c>
    </row>
    <row r="1140" spans="1:8" x14ac:dyDescent="0.2">
      <c r="A1140">
        <f>ROW(LineærRegression_Valg[[#This Row],[Tabel ID]])-ROW(LineærRegression_Valg[[#Headers],[Tabel ID]])</f>
        <v>1130</v>
      </c>
      <c r="B1140" s="45">
        <f>ROUNDDOWN((LineærRegression_Valg[[#This Row],[Tabel ID]]-1)/$B$5,0)+1</f>
        <v>283</v>
      </c>
      <c r="C1140" s="45">
        <f t="shared" si="17"/>
        <v>2</v>
      </c>
      <c r="D1140" s="45" t="b">
        <f>LineærRegression_Valg[[#This Row],[Afhængig variabel ID]]&lt;&gt;LineærRegression_Valg[[#This Row],[Uafhængig variabel ID]]</f>
        <v>1</v>
      </c>
      <c r="E1140" t="b">
        <f>LineærRegression_Valg[[#This Row],[Afhængig variabel ID]]&lt;=$B$5</f>
        <v>0</v>
      </c>
      <c r="F1140" t="str" cm="1">
        <f t="array" ref="F1140">IF(LineærRegression_Valg[[#This Row],[Indenfor range]],INDEX(DataTitel_liste,LineærRegression_Valg[[#This Row],[Afhængig variabel ID]]),INDEX(DataTitel_liste,1))</f>
        <v>Eksempel 1 (interval)</v>
      </c>
      <c r="G1140" s="45" t="str" cm="1">
        <f t="array" ref="G1140">IF(LineærRegression_Valg[[#This Row],[Indenfor range]],IF(LineærRegression_Valg[[#This Row],[Intet overlap]],INDEX(DataTitel_liste,LineærRegression_Valg[[#This Row],[Uafhængig variabel ID]]),INDEX(DataTitel_liste,IF(LineærRegression_Valg[[#This Row],[Afhængig variabel ID]]=1,2,1))),$B$7)</f>
        <v>Eksempel 2 (interval)</v>
      </c>
      <c r="H1140" s="45">
        <f>_xlfn.AGGREGATE(2,5,LineærRegression_Valg[[#This Row],[Tabel ID]])</f>
        <v>1</v>
      </c>
    </row>
    <row r="1141" spans="1:8" x14ac:dyDescent="0.2">
      <c r="A1141">
        <f>ROW(LineærRegression_Valg[[#This Row],[Tabel ID]])-ROW(LineærRegression_Valg[[#Headers],[Tabel ID]])</f>
        <v>1131</v>
      </c>
      <c r="B1141" s="45">
        <f>ROUNDDOWN((LineærRegression_Valg[[#This Row],[Tabel ID]]-1)/$B$5,0)+1</f>
        <v>283</v>
      </c>
      <c r="C1141" s="45">
        <f t="shared" si="17"/>
        <v>3</v>
      </c>
      <c r="D1141" s="45" t="b">
        <f>LineærRegression_Valg[[#This Row],[Afhængig variabel ID]]&lt;&gt;LineærRegression_Valg[[#This Row],[Uafhængig variabel ID]]</f>
        <v>1</v>
      </c>
      <c r="E1141" t="b">
        <f>LineærRegression_Valg[[#This Row],[Afhængig variabel ID]]&lt;=$B$5</f>
        <v>0</v>
      </c>
      <c r="F1141" t="str" cm="1">
        <f t="array" ref="F1141">IF(LineærRegression_Valg[[#This Row],[Indenfor range]],INDEX(DataTitel_liste,LineærRegression_Valg[[#This Row],[Afhængig variabel ID]]),INDEX(DataTitel_liste,1))</f>
        <v>Eksempel 1 (interval)</v>
      </c>
      <c r="G1141" s="45" t="str" cm="1">
        <f t="array" ref="G1141">IF(LineærRegression_Valg[[#This Row],[Indenfor range]],IF(LineærRegression_Valg[[#This Row],[Intet overlap]],INDEX(DataTitel_liste,LineærRegression_Valg[[#This Row],[Uafhængig variabel ID]]),INDEX(DataTitel_liste,IF(LineærRegression_Valg[[#This Row],[Afhængig variabel ID]]=1,2,1))),$B$7)</f>
        <v>Eksempel 2 (interval)</v>
      </c>
      <c r="H1141" s="45">
        <f>_xlfn.AGGREGATE(2,5,LineærRegression_Valg[[#This Row],[Tabel ID]])</f>
        <v>1</v>
      </c>
    </row>
    <row r="1142" spans="1:8" x14ac:dyDescent="0.2">
      <c r="A1142">
        <f>ROW(LineærRegression_Valg[[#This Row],[Tabel ID]])-ROW(LineærRegression_Valg[[#Headers],[Tabel ID]])</f>
        <v>1132</v>
      </c>
      <c r="B1142" s="45">
        <f>ROUNDDOWN((LineærRegression_Valg[[#This Row],[Tabel ID]]-1)/$B$5,0)+1</f>
        <v>283</v>
      </c>
      <c r="C1142" s="45">
        <f t="shared" si="17"/>
        <v>4</v>
      </c>
      <c r="D1142" s="45" t="b">
        <f>LineærRegression_Valg[[#This Row],[Afhængig variabel ID]]&lt;&gt;LineærRegression_Valg[[#This Row],[Uafhængig variabel ID]]</f>
        <v>1</v>
      </c>
      <c r="E1142" t="b">
        <f>LineærRegression_Valg[[#This Row],[Afhængig variabel ID]]&lt;=$B$5</f>
        <v>0</v>
      </c>
      <c r="F1142" t="str" cm="1">
        <f t="array" ref="F1142">IF(LineærRegression_Valg[[#This Row],[Indenfor range]],INDEX(DataTitel_liste,LineærRegression_Valg[[#This Row],[Afhængig variabel ID]]),INDEX(DataTitel_liste,1))</f>
        <v>Eksempel 1 (interval)</v>
      </c>
      <c r="G1142" s="45" t="str" cm="1">
        <f t="array" ref="G1142">IF(LineærRegression_Valg[[#This Row],[Indenfor range]],IF(LineærRegression_Valg[[#This Row],[Intet overlap]],INDEX(DataTitel_liste,LineærRegression_Valg[[#This Row],[Uafhængig variabel ID]]),INDEX(DataTitel_liste,IF(LineærRegression_Valg[[#This Row],[Afhængig variabel ID]]=1,2,1))),$B$7)</f>
        <v>Eksempel 2 (interval)</v>
      </c>
      <c r="H1142" s="45">
        <f>_xlfn.AGGREGATE(2,5,LineærRegression_Valg[[#This Row],[Tabel ID]])</f>
        <v>1</v>
      </c>
    </row>
    <row r="1143" spans="1:8" x14ac:dyDescent="0.2">
      <c r="A1143">
        <f>ROW(LineærRegression_Valg[[#This Row],[Tabel ID]])-ROW(LineærRegression_Valg[[#Headers],[Tabel ID]])</f>
        <v>1133</v>
      </c>
      <c r="B1143" s="45">
        <f>ROUNDDOWN((LineærRegression_Valg[[#This Row],[Tabel ID]]-1)/$B$5,0)+1</f>
        <v>284</v>
      </c>
      <c r="C1143" s="45">
        <f t="shared" si="17"/>
        <v>1</v>
      </c>
      <c r="D1143" s="45" t="b">
        <f>LineærRegression_Valg[[#This Row],[Afhængig variabel ID]]&lt;&gt;LineærRegression_Valg[[#This Row],[Uafhængig variabel ID]]</f>
        <v>1</v>
      </c>
      <c r="E1143" t="b">
        <f>LineærRegression_Valg[[#This Row],[Afhængig variabel ID]]&lt;=$B$5</f>
        <v>0</v>
      </c>
      <c r="F1143" t="str" cm="1">
        <f t="array" ref="F1143">IF(LineærRegression_Valg[[#This Row],[Indenfor range]],INDEX(DataTitel_liste,LineærRegression_Valg[[#This Row],[Afhængig variabel ID]]),INDEX(DataTitel_liste,1))</f>
        <v>Eksempel 1 (interval)</v>
      </c>
      <c r="G1143" s="45" t="str" cm="1">
        <f t="array" ref="G1143">IF(LineærRegression_Valg[[#This Row],[Indenfor range]],IF(LineærRegression_Valg[[#This Row],[Intet overlap]],INDEX(DataTitel_liste,LineærRegression_Valg[[#This Row],[Uafhængig variabel ID]]),INDEX(DataTitel_liste,IF(LineærRegression_Valg[[#This Row],[Afhængig variabel ID]]=1,2,1))),$B$7)</f>
        <v>Eksempel 2 (interval)</v>
      </c>
      <c r="H1143" s="45">
        <f>_xlfn.AGGREGATE(2,5,LineærRegression_Valg[[#This Row],[Tabel ID]])</f>
        <v>1</v>
      </c>
    </row>
    <row r="1144" spans="1:8" x14ac:dyDescent="0.2">
      <c r="A1144">
        <f>ROW(LineærRegression_Valg[[#This Row],[Tabel ID]])-ROW(LineærRegression_Valg[[#Headers],[Tabel ID]])</f>
        <v>1134</v>
      </c>
      <c r="B1144" s="45">
        <f>ROUNDDOWN((LineærRegression_Valg[[#This Row],[Tabel ID]]-1)/$B$5,0)+1</f>
        <v>284</v>
      </c>
      <c r="C1144" s="45">
        <f t="shared" si="17"/>
        <v>2</v>
      </c>
      <c r="D1144" s="45" t="b">
        <f>LineærRegression_Valg[[#This Row],[Afhængig variabel ID]]&lt;&gt;LineærRegression_Valg[[#This Row],[Uafhængig variabel ID]]</f>
        <v>1</v>
      </c>
      <c r="E1144" t="b">
        <f>LineærRegression_Valg[[#This Row],[Afhængig variabel ID]]&lt;=$B$5</f>
        <v>0</v>
      </c>
      <c r="F1144" t="str" cm="1">
        <f t="array" ref="F1144">IF(LineærRegression_Valg[[#This Row],[Indenfor range]],INDEX(DataTitel_liste,LineærRegression_Valg[[#This Row],[Afhængig variabel ID]]),INDEX(DataTitel_liste,1))</f>
        <v>Eksempel 1 (interval)</v>
      </c>
      <c r="G1144" s="45" t="str" cm="1">
        <f t="array" ref="G1144">IF(LineærRegression_Valg[[#This Row],[Indenfor range]],IF(LineærRegression_Valg[[#This Row],[Intet overlap]],INDEX(DataTitel_liste,LineærRegression_Valg[[#This Row],[Uafhængig variabel ID]]),INDEX(DataTitel_liste,IF(LineærRegression_Valg[[#This Row],[Afhængig variabel ID]]=1,2,1))),$B$7)</f>
        <v>Eksempel 2 (interval)</v>
      </c>
      <c r="H1144" s="45">
        <f>_xlfn.AGGREGATE(2,5,LineærRegression_Valg[[#This Row],[Tabel ID]])</f>
        <v>1</v>
      </c>
    </row>
    <row r="1145" spans="1:8" x14ac:dyDescent="0.2">
      <c r="A1145">
        <f>ROW(LineærRegression_Valg[[#This Row],[Tabel ID]])-ROW(LineærRegression_Valg[[#Headers],[Tabel ID]])</f>
        <v>1135</v>
      </c>
      <c r="B1145" s="45">
        <f>ROUNDDOWN((LineærRegression_Valg[[#This Row],[Tabel ID]]-1)/$B$5,0)+1</f>
        <v>284</v>
      </c>
      <c r="C1145" s="45">
        <f t="shared" si="17"/>
        <v>3</v>
      </c>
      <c r="D1145" s="45" t="b">
        <f>LineærRegression_Valg[[#This Row],[Afhængig variabel ID]]&lt;&gt;LineærRegression_Valg[[#This Row],[Uafhængig variabel ID]]</f>
        <v>1</v>
      </c>
      <c r="E1145" t="b">
        <f>LineærRegression_Valg[[#This Row],[Afhængig variabel ID]]&lt;=$B$5</f>
        <v>0</v>
      </c>
      <c r="F1145" t="str" cm="1">
        <f t="array" ref="F1145">IF(LineærRegression_Valg[[#This Row],[Indenfor range]],INDEX(DataTitel_liste,LineærRegression_Valg[[#This Row],[Afhængig variabel ID]]),INDEX(DataTitel_liste,1))</f>
        <v>Eksempel 1 (interval)</v>
      </c>
      <c r="G1145" s="45" t="str" cm="1">
        <f t="array" ref="G1145">IF(LineærRegression_Valg[[#This Row],[Indenfor range]],IF(LineærRegression_Valg[[#This Row],[Intet overlap]],INDEX(DataTitel_liste,LineærRegression_Valg[[#This Row],[Uafhængig variabel ID]]),INDEX(DataTitel_liste,IF(LineærRegression_Valg[[#This Row],[Afhængig variabel ID]]=1,2,1))),$B$7)</f>
        <v>Eksempel 2 (interval)</v>
      </c>
      <c r="H1145" s="45">
        <f>_xlfn.AGGREGATE(2,5,LineærRegression_Valg[[#This Row],[Tabel ID]])</f>
        <v>1</v>
      </c>
    </row>
    <row r="1146" spans="1:8" x14ac:dyDescent="0.2">
      <c r="A1146">
        <f>ROW(LineærRegression_Valg[[#This Row],[Tabel ID]])-ROW(LineærRegression_Valg[[#Headers],[Tabel ID]])</f>
        <v>1136</v>
      </c>
      <c r="B1146" s="45">
        <f>ROUNDDOWN((LineærRegression_Valg[[#This Row],[Tabel ID]]-1)/$B$5,0)+1</f>
        <v>284</v>
      </c>
      <c r="C1146" s="45">
        <f t="shared" si="17"/>
        <v>4</v>
      </c>
      <c r="D1146" s="45" t="b">
        <f>LineærRegression_Valg[[#This Row],[Afhængig variabel ID]]&lt;&gt;LineærRegression_Valg[[#This Row],[Uafhængig variabel ID]]</f>
        <v>1</v>
      </c>
      <c r="E1146" t="b">
        <f>LineærRegression_Valg[[#This Row],[Afhængig variabel ID]]&lt;=$B$5</f>
        <v>0</v>
      </c>
      <c r="F1146" t="str" cm="1">
        <f t="array" ref="F1146">IF(LineærRegression_Valg[[#This Row],[Indenfor range]],INDEX(DataTitel_liste,LineærRegression_Valg[[#This Row],[Afhængig variabel ID]]),INDEX(DataTitel_liste,1))</f>
        <v>Eksempel 1 (interval)</v>
      </c>
      <c r="G1146" s="45" t="str" cm="1">
        <f t="array" ref="G1146">IF(LineærRegression_Valg[[#This Row],[Indenfor range]],IF(LineærRegression_Valg[[#This Row],[Intet overlap]],INDEX(DataTitel_liste,LineærRegression_Valg[[#This Row],[Uafhængig variabel ID]]),INDEX(DataTitel_liste,IF(LineærRegression_Valg[[#This Row],[Afhængig variabel ID]]=1,2,1))),$B$7)</f>
        <v>Eksempel 2 (interval)</v>
      </c>
      <c r="H1146" s="45">
        <f>_xlfn.AGGREGATE(2,5,LineærRegression_Valg[[#This Row],[Tabel ID]])</f>
        <v>1</v>
      </c>
    </row>
    <row r="1147" spans="1:8" x14ac:dyDescent="0.2">
      <c r="A1147">
        <f>ROW(LineærRegression_Valg[[#This Row],[Tabel ID]])-ROW(LineærRegression_Valg[[#Headers],[Tabel ID]])</f>
        <v>1137</v>
      </c>
      <c r="B1147" s="45">
        <f>ROUNDDOWN((LineærRegression_Valg[[#This Row],[Tabel ID]]-1)/$B$5,0)+1</f>
        <v>285</v>
      </c>
      <c r="C1147" s="45">
        <f t="shared" si="17"/>
        <v>1</v>
      </c>
      <c r="D1147" s="45" t="b">
        <f>LineærRegression_Valg[[#This Row],[Afhængig variabel ID]]&lt;&gt;LineærRegression_Valg[[#This Row],[Uafhængig variabel ID]]</f>
        <v>1</v>
      </c>
      <c r="E1147" t="b">
        <f>LineærRegression_Valg[[#This Row],[Afhængig variabel ID]]&lt;=$B$5</f>
        <v>0</v>
      </c>
      <c r="F1147" t="str" cm="1">
        <f t="array" ref="F1147">IF(LineærRegression_Valg[[#This Row],[Indenfor range]],INDEX(DataTitel_liste,LineærRegression_Valg[[#This Row],[Afhængig variabel ID]]),INDEX(DataTitel_liste,1))</f>
        <v>Eksempel 1 (interval)</v>
      </c>
      <c r="G1147" s="45" t="str" cm="1">
        <f t="array" ref="G1147">IF(LineærRegression_Valg[[#This Row],[Indenfor range]],IF(LineærRegression_Valg[[#This Row],[Intet overlap]],INDEX(DataTitel_liste,LineærRegression_Valg[[#This Row],[Uafhængig variabel ID]]),INDEX(DataTitel_liste,IF(LineærRegression_Valg[[#This Row],[Afhængig variabel ID]]=1,2,1))),$B$7)</f>
        <v>Eksempel 2 (interval)</v>
      </c>
      <c r="H1147" s="45">
        <f>_xlfn.AGGREGATE(2,5,LineærRegression_Valg[[#This Row],[Tabel ID]])</f>
        <v>1</v>
      </c>
    </row>
    <row r="1148" spans="1:8" x14ac:dyDescent="0.2">
      <c r="A1148">
        <f>ROW(LineærRegression_Valg[[#This Row],[Tabel ID]])-ROW(LineærRegression_Valg[[#Headers],[Tabel ID]])</f>
        <v>1138</v>
      </c>
      <c r="B1148" s="45">
        <f>ROUNDDOWN((LineærRegression_Valg[[#This Row],[Tabel ID]]-1)/$B$5,0)+1</f>
        <v>285</v>
      </c>
      <c r="C1148" s="45">
        <f t="shared" si="17"/>
        <v>2</v>
      </c>
      <c r="D1148" s="45" t="b">
        <f>LineærRegression_Valg[[#This Row],[Afhængig variabel ID]]&lt;&gt;LineærRegression_Valg[[#This Row],[Uafhængig variabel ID]]</f>
        <v>1</v>
      </c>
      <c r="E1148" t="b">
        <f>LineærRegression_Valg[[#This Row],[Afhængig variabel ID]]&lt;=$B$5</f>
        <v>0</v>
      </c>
      <c r="F1148" t="str" cm="1">
        <f t="array" ref="F1148">IF(LineærRegression_Valg[[#This Row],[Indenfor range]],INDEX(DataTitel_liste,LineærRegression_Valg[[#This Row],[Afhængig variabel ID]]),INDEX(DataTitel_liste,1))</f>
        <v>Eksempel 1 (interval)</v>
      </c>
      <c r="G1148" s="45" t="str" cm="1">
        <f t="array" ref="G1148">IF(LineærRegression_Valg[[#This Row],[Indenfor range]],IF(LineærRegression_Valg[[#This Row],[Intet overlap]],INDEX(DataTitel_liste,LineærRegression_Valg[[#This Row],[Uafhængig variabel ID]]),INDEX(DataTitel_liste,IF(LineærRegression_Valg[[#This Row],[Afhængig variabel ID]]=1,2,1))),$B$7)</f>
        <v>Eksempel 2 (interval)</v>
      </c>
      <c r="H1148" s="45">
        <f>_xlfn.AGGREGATE(2,5,LineærRegression_Valg[[#This Row],[Tabel ID]])</f>
        <v>1</v>
      </c>
    </row>
    <row r="1149" spans="1:8" x14ac:dyDescent="0.2">
      <c r="A1149">
        <f>ROW(LineærRegression_Valg[[#This Row],[Tabel ID]])-ROW(LineærRegression_Valg[[#Headers],[Tabel ID]])</f>
        <v>1139</v>
      </c>
      <c r="B1149" s="45">
        <f>ROUNDDOWN((LineærRegression_Valg[[#This Row],[Tabel ID]]-1)/$B$5,0)+1</f>
        <v>285</v>
      </c>
      <c r="C1149" s="45">
        <f t="shared" si="17"/>
        <v>3</v>
      </c>
      <c r="D1149" s="45" t="b">
        <f>LineærRegression_Valg[[#This Row],[Afhængig variabel ID]]&lt;&gt;LineærRegression_Valg[[#This Row],[Uafhængig variabel ID]]</f>
        <v>1</v>
      </c>
      <c r="E1149" t="b">
        <f>LineærRegression_Valg[[#This Row],[Afhængig variabel ID]]&lt;=$B$5</f>
        <v>0</v>
      </c>
      <c r="F1149" t="str" cm="1">
        <f t="array" ref="F1149">IF(LineærRegression_Valg[[#This Row],[Indenfor range]],INDEX(DataTitel_liste,LineærRegression_Valg[[#This Row],[Afhængig variabel ID]]),INDEX(DataTitel_liste,1))</f>
        <v>Eksempel 1 (interval)</v>
      </c>
      <c r="G1149" s="45" t="str" cm="1">
        <f t="array" ref="G1149">IF(LineærRegression_Valg[[#This Row],[Indenfor range]],IF(LineærRegression_Valg[[#This Row],[Intet overlap]],INDEX(DataTitel_liste,LineærRegression_Valg[[#This Row],[Uafhængig variabel ID]]),INDEX(DataTitel_liste,IF(LineærRegression_Valg[[#This Row],[Afhængig variabel ID]]=1,2,1))),$B$7)</f>
        <v>Eksempel 2 (interval)</v>
      </c>
      <c r="H1149" s="45">
        <f>_xlfn.AGGREGATE(2,5,LineærRegression_Valg[[#This Row],[Tabel ID]])</f>
        <v>1</v>
      </c>
    </row>
    <row r="1150" spans="1:8" x14ac:dyDescent="0.2">
      <c r="A1150">
        <f>ROW(LineærRegression_Valg[[#This Row],[Tabel ID]])-ROW(LineærRegression_Valg[[#Headers],[Tabel ID]])</f>
        <v>1140</v>
      </c>
      <c r="B1150" s="45">
        <f>ROUNDDOWN((LineærRegression_Valg[[#This Row],[Tabel ID]]-1)/$B$5,0)+1</f>
        <v>285</v>
      </c>
      <c r="C1150" s="45">
        <f t="shared" si="17"/>
        <v>4</v>
      </c>
      <c r="D1150" s="45" t="b">
        <f>LineærRegression_Valg[[#This Row],[Afhængig variabel ID]]&lt;&gt;LineærRegression_Valg[[#This Row],[Uafhængig variabel ID]]</f>
        <v>1</v>
      </c>
      <c r="E1150" t="b">
        <f>LineærRegression_Valg[[#This Row],[Afhængig variabel ID]]&lt;=$B$5</f>
        <v>0</v>
      </c>
      <c r="F1150" t="str" cm="1">
        <f t="array" ref="F1150">IF(LineærRegression_Valg[[#This Row],[Indenfor range]],INDEX(DataTitel_liste,LineærRegression_Valg[[#This Row],[Afhængig variabel ID]]),INDEX(DataTitel_liste,1))</f>
        <v>Eksempel 1 (interval)</v>
      </c>
      <c r="G1150" s="45" t="str" cm="1">
        <f t="array" ref="G1150">IF(LineærRegression_Valg[[#This Row],[Indenfor range]],IF(LineærRegression_Valg[[#This Row],[Intet overlap]],INDEX(DataTitel_liste,LineærRegression_Valg[[#This Row],[Uafhængig variabel ID]]),INDEX(DataTitel_liste,IF(LineærRegression_Valg[[#This Row],[Afhængig variabel ID]]=1,2,1))),$B$7)</f>
        <v>Eksempel 2 (interval)</v>
      </c>
      <c r="H1150" s="45">
        <f>_xlfn.AGGREGATE(2,5,LineærRegression_Valg[[#This Row],[Tabel ID]])</f>
        <v>1</v>
      </c>
    </row>
    <row r="1151" spans="1:8" x14ac:dyDescent="0.2">
      <c r="A1151">
        <f>ROW(LineærRegression_Valg[[#This Row],[Tabel ID]])-ROW(LineærRegression_Valg[[#Headers],[Tabel ID]])</f>
        <v>1141</v>
      </c>
      <c r="B1151" s="45">
        <f>ROUNDDOWN((LineærRegression_Valg[[#This Row],[Tabel ID]]-1)/$B$5,0)+1</f>
        <v>286</v>
      </c>
      <c r="C1151" s="45">
        <f t="shared" si="17"/>
        <v>1</v>
      </c>
      <c r="D1151" s="45" t="b">
        <f>LineærRegression_Valg[[#This Row],[Afhængig variabel ID]]&lt;&gt;LineærRegression_Valg[[#This Row],[Uafhængig variabel ID]]</f>
        <v>1</v>
      </c>
      <c r="E1151" t="b">
        <f>LineærRegression_Valg[[#This Row],[Afhængig variabel ID]]&lt;=$B$5</f>
        <v>0</v>
      </c>
      <c r="F1151" t="str" cm="1">
        <f t="array" ref="F1151">IF(LineærRegression_Valg[[#This Row],[Indenfor range]],INDEX(DataTitel_liste,LineærRegression_Valg[[#This Row],[Afhængig variabel ID]]),INDEX(DataTitel_liste,1))</f>
        <v>Eksempel 1 (interval)</v>
      </c>
      <c r="G1151" s="45" t="str" cm="1">
        <f t="array" ref="G1151">IF(LineærRegression_Valg[[#This Row],[Indenfor range]],IF(LineærRegression_Valg[[#This Row],[Intet overlap]],INDEX(DataTitel_liste,LineærRegression_Valg[[#This Row],[Uafhængig variabel ID]]),INDEX(DataTitel_liste,IF(LineærRegression_Valg[[#This Row],[Afhængig variabel ID]]=1,2,1))),$B$7)</f>
        <v>Eksempel 2 (interval)</v>
      </c>
      <c r="H1151" s="45">
        <f>_xlfn.AGGREGATE(2,5,LineærRegression_Valg[[#This Row],[Tabel ID]])</f>
        <v>1</v>
      </c>
    </row>
    <row r="1152" spans="1:8" x14ac:dyDescent="0.2">
      <c r="A1152">
        <f>ROW(LineærRegression_Valg[[#This Row],[Tabel ID]])-ROW(LineærRegression_Valg[[#Headers],[Tabel ID]])</f>
        <v>1142</v>
      </c>
      <c r="B1152" s="45">
        <f>ROUNDDOWN((LineærRegression_Valg[[#This Row],[Tabel ID]]-1)/$B$5,0)+1</f>
        <v>286</v>
      </c>
      <c r="C1152" s="45">
        <f t="shared" si="17"/>
        <v>2</v>
      </c>
      <c r="D1152" s="45" t="b">
        <f>LineærRegression_Valg[[#This Row],[Afhængig variabel ID]]&lt;&gt;LineærRegression_Valg[[#This Row],[Uafhængig variabel ID]]</f>
        <v>1</v>
      </c>
      <c r="E1152" t="b">
        <f>LineærRegression_Valg[[#This Row],[Afhængig variabel ID]]&lt;=$B$5</f>
        <v>0</v>
      </c>
      <c r="F1152" t="str" cm="1">
        <f t="array" ref="F1152">IF(LineærRegression_Valg[[#This Row],[Indenfor range]],INDEX(DataTitel_liste,LineærRegression_Valg[[#This Row],[Afhængig variabel ID]]),INDEX(DataTitel_liste,1))</f>
        <v>Eksempel 1 (interval)</v>
      </c>
      <c r="G1152" s="45" t="str" cm="1">
        <f t="array" ref="G1152">IF(LineærRegression_Valg[[#This Row],[Indenfor range]],IF(LineærRegression_Valg[[#This Row],[Intet overlap]],INDEX(DataTitel_liste,LineærRegression_Valg[[#This Row],[Uafhængig variabel ID]]),INDEX(DataTitel_liste,IF(LineærRegression_Valg[[#This Row],[Afhængig variabel ID]]=1,2,1))),$B$7)</f>
        <v>Eksempel 2 (interval)</v>
      </c>
      <c r="H1152" s="45">
        <f>_xlfn.AGGREGATE(2,5,LineærRegression_Valg[[#This Row],[Tabel ID]])</f>
        <v>1</v>
      </c>
    </row>
    <row r="1153" spans="1:8" x14ac:dyDescent="0.2">
      <c r="A1153">
        <f>ROW(LineærRegression_Valg[[#This Row],[Tabel ID]])-ROW(LineærRegression_Valg[[#Headers],[Tabel ID]])</f>
        <v>1143</v>
      </c>
      <c r="B1153" s="45">
        <f>ROUNDDOWN((LineærRegression_Valg[[#This Row],[Tabel ID]]-1)/$B$5,0)+1</f>
        <v>286</v>
      </c>
      <c r="C1153" s="45">
        <f t="shared" si="17"/>
        <v>3</v>
      </c>
      <c r="D1153" s="45" t="b">
        <f>LineærRegression_Valg[[#This Row],[Afhængig variabel ID]]&lt;&gt;LineærRegression_Valg[[#This Row],[Uafhængig variabel ID]]</f>
        <v>1</v>
      </c>
      <c r="E1153" t="b">
        <f>LineærRegression_Valg[[#This Row],[Afhængig variabel ID]]&lt;=$B$5</f>
        <v>0</v>
      </c>
      <c r="F1153" t="str" cm="1">
        <f t="array" ref="F1153">IF(LineærRegression_Valg[[#This Row],[Indenfor range]],INDEX(DataTitel_liste,LineærRegression_Valg[[#This Row],[Afhængig variabel ID]]),INDEX(DataTitel_liste,1))</f>
        <v>Eksempel 1 (interval)</v>
      </c>
      <c r="G1153" s="45" t="str" cm="1">
        <f t="array" ref="G1153">IF(LineærRegression_Valg[[#This Row],[Indenfor range]],IF(LineærRegression_Valg[[#This Row],[Intet overlap]],INDEX(DataTitel_liste,LineærRegression_Valg[[#This Row],[Uafhængig variabel ID]]),INDEX(DataTitel_liste,IF(LineærRegression_Valg[[#This Row],[Afhængig variabel ID]]=1,2,1))),$B$7)</f>
        <v>Eksempel 2 (interval)</v>
      </c>
      <c r="H1153" s="45">
        <f>_xlfn.AGGREGATE(2,5,LineærRegression_Valg[[#This Row],[Tabel ID]])</f>
        <v>1</v>
      </c>
    </row>
    <row r="1154" spans="1:8" x14ac:dyDescent="0.2">
      <c r="A1154">
        <f>ROW(LineærRegression_Valg[[#This Row],[Tabel ID]])-ROW(LineærRegression_Valg[[#Headers],[Tabel ID]])</f>
        <v>1144</v>
      </c>
      <c r="B1154" s="45">
        <f>ROUNDDOWN((LineærRegression_Valg[[#This Row],[Tabel ID]]-1)/$B$5,0)+1</f>
        <v>286</v>
      </c>
      <c r="C1154" s="45">
        <f t="shared" si="17"/>
        <v>4</v>
      </c>
      <c r="D1154" s="45" t="b">
        <f>LineærRegression_Valg[[#This Row],[Afhængig variabel ID]]&lt;&gt;LineærRegression_Valg[[#This Row],[Uafhængig variabel ID]]</f>
        <v>1</v>
      </c>
      <c r="E1154" t="b">
        <f>LineærRegression_Valg[[#This Row],[Afhængig variabel ID]]&lt;=$B$5</f>
        <v>0</v>
      </c>
      <c r="F1154" t="str" cm="1">
        <f t="array" ref="F1154">IF(LineærRegression_Valg[[#This Row],[Indenfor range]],INDEX(DataTitel_liste,LineærRegression_Valg[[#This Row],[Afhængig variabel ID]]),INDEX(DataTitel_liste,1))</f>
        <v>Eksempel 1 (interval)</v>
      </c>
      <c r="G1154" s="45" t="str" cm="1">
        <f t="array" ref="G1154">IF(LineærRegression_Valg[[#This Row],[Indenfor range]],IF(LineærRegression_Valg[[#This Row],[Intet overlap]],INDEX(DataTitel_liste,LineærRegression_Valg[[#This Row],[Uafhængig variabel ID]]),INDEX(DataTitel_liste,IF(LineærRegression_Valg[[#This Row],[Afhængig variabel ID]]=1,2,1))),$B$7)</f>
        <v>Eksempel 2 (interval)</v>
      </c>
      <c r="H1154" s="45">
        <f>_xlfn.AGGREGATE(2,5,LineærRegression_Valg[[#This Row],[Tabel ID]])</f>
        <v>1</v>
      </c>
    </row>
    <row r="1155" spans="1:8" x14ac:dyDescent="0.2">
      <c r="A1155">
        <f>ROW(LineærRegression_Valg[[#This Row],[Tabel ID]])-ROW(LineærRegression_Valg[[#Headers],[Tabel ID]])</f>
        <v>1145</v>
      </c>
      <c r="B1155" s="45">
        <f>ROUNDDOWN((LineærRegression_Valg[[#This Row],[Tabel ID]]-1)/$B$5,0)+1</f>
        <v>287</v>
      </c>
      <c r="C1155" s="45">
        <f t="shared" si="17"/>
        <v>1</v>
      </c>
      <c r="D1155" s="45" t="b">
        <f>LineærRegression_Valg[[#This Row],[Afhængig variabel ID]]&lt;&gt;LineærRegression_Valg[[#This Row],[Uafhængig variabel ID]]</f>
        <v>1</v>
      </c>
      <c r="E1155" t="b">
        <f>LineærRegression_Valg[[#This Row],[Afhængig variabel ID]]&lt;=$B$5</f>
        <v>0</v>
      </c>
      <c r="F1155" t="str" cm="1">
        <f t="array" ref="F1155">IF(LineærRegression_Valg[[#This Row],[Indenfor range]],INDEX(DataTitel_liste,LineærRegression_Valg[[#This Row],[Afhængig variabel ID]]),INDEX(DataTitel_liste,1))</f>
        <v>Eksempel 1 (interval)</v>
      </c>
      <c r="G1155" s="45" t="str" cm="1">
        <f t="array" ref="G1155">IF(LineærRegression_Valg[[#This Row],[Indenfor range]],IF(LineærRegression_Valg[[#This Row],[Intet overlap]],INDEX(DataTitel_liste,LineærRegression_Valg[[#This Row],[Uafhængig variabel ID]]),INDEX(DataTitel_liste,IF(LineærRegression_Valg[[#This Row],[Afhængig variabel ID]]=1,2,1))),$B$7)</f>
        <v>Eksempel 2 (interval)</v>
      </c>
      <c r="H1155" s="45">
        <f>_xlfn.AGGREGATE(2,5,LineærRegression_Valg[[#This Row],[Tabel ID]])</f>
        <v>1</v>
      </c>
    </row>
    <row r="1156" spans="1:8" x14ac:dyDescent="0.2">
      <c r="A1156">
        <f>ROW(LineærRegression_Valg[[#This Row],[Tabel ID]])-ROW(LineærRegression_Valg[[#Headers],[Tabel ID]])</f>
        <v>1146</v>
      </c>
      <c r="B1156" s="45">
        <f>ROUNDDOWN((LineærRegression_Valg[[#This Row],[Tabel ID]]-1)/$B$5,0)+1</f>
        <v>287</v>
      </c>
      <c r="C1156" s="45">
        <f t="shared" si="17"/>
        <v>2</v>
      </c>
      <c r="D1156" s="45" t="b">
        <f>LineærRegression_Valg[[#This Row],[Afhængig variabel ID]]&lt;&gt;LineærRegression_Valg[[#This Row],[Uafhængig variabel ID]]</f>
        <v>1</v>
      </c>
      <c r="E1156" t="b">
        <f>LineærRegression_Valg[[#This Row],[Afhængig variabel ID]]&lt;=$B$5</f>
        <v>0</v>
      </c>
      <c r="F1156" t="str" cm="1">
        <f t="array" ref="F1156">IF(LineærRegression_Valg[[#This Row],[Indenfor range]],INDEX(DataTitel_liste,LineærRegression_Valg[[#This Row],[Afhængig variabel ID]]),INDEX(DataTitel_liste,1))</f>
        <v>Eksempel 1 (interval)</v>
      </c>
      <c r="G1156" s="45" t="str" cm="1">
        <f t="array" ref="G1156">IF(LineærRegression_Valg[[#This Row],[Indenfor range]],IF(LineærRegression_Valg[[#This Row],[Intet overlap]],INDEX(DataTitel_liste,LineærRegression_Valg[[#This Row],[Uafhængig variabel ID]]),INDEX(DataTitel_liste,IF(LineærRegression_Valg[[#This Row],[Afhængig variabel ID]]=1,2,1))),$B$7)</f>
        <v>Eksempel 2 (interval)</v>
      </c>
      <c r="H1156" s="45">
        <f>_xlfn.AGGREGATE(2,5,LineærRegression_Valg[[#This Row],[Tabel ID]])</f>
        <v>1</v>
      </c>
    </row>
    <row r="1157" spans="1:8" x14ac:dyDescent="0.2">
      <c r="A1157">
        <f>ROW(LineærRegression_Valg[[#This Row],[Tabel ID]])-ROW(LineærRegression_Valg[[#Headers],[Tabel ID]])</f>
        <v>1147</v>
      </c>
      <c r="B1157" s="45">
        <f>ROUNDDOWN((LineærRegression_Valg[[#This Row],[Tabel ID]]-1)/$B$5,0)+1</f>
        <v>287</v>
      </c>
      <c r="C1157" s="45">
        <f t="shared" si="17"/>
        <v>3</v>
      </c>
      <c r="D1157" s="45" t="b">
        <f>LineærRegression_Valg[[#This Row],[Afhængig variabel ID]]&lt;&gt;LineærRegression_Valg[[#This Row],[Uafhængig variabel ID]]</f>
        <v>1</v>
      </c>
      <c r="E1157" t="b">
        <f>LineærRegression_Valg[[#This Row],[Afhængig variabel ID]]&lt;=$B$5</f>
        <v>0</v>
      </c>
      <c r="F1157" t="str" cm="1">
        <f t="array" ref="F1157">IF(LineærRegression_Valg[[#This Row],[Indenfor range]],INDEX(DataTitel_liste,LineærRegression_Valg[[#This Row],[Afhængig variabel ID]]),INDEX(DataTitel_liste,1))</f>
        <v>Eksempel 1 (interval)</v>
      </c>
      <c r="G1157" s="45" t="str" cm="1">
        <f t="array" ref="G1157">IF(LineærRegression_Valg[[#This Row],[Indenfor range]],IF(LineærRegression_Valg[[#This Row],[Intet overlap]],INDEX(DataTitel_liste,LineærRegression_Valg[[#This Row],[Uafhængig variabel ID]]),INDEX(DataTitel_liste,IF(LineærRegression_Valg[[#This Row],[Afhængig variabel ID]]=1,2,1))),$B$7)</f>
        <v>Eksempel 2 (interval)</v>
      </c>
      <c r="H1157" s="45">
        <f>_xlfn.AGGREGATE(2,5,LineærRegression_Valg[[#This Row],[Tabel ID]])</f>
        <v>1</v>
      </c>
    </row>
    <row r="1158" spans="1:8" x14ac:dyDescent="0.2">
      <c r="A1158">
        <f>ROW(LineærRegression_Valg[[#This Row],[Tabel ID]])-ROW(LineærRegression_Valg[[#Headers],[Tabel ID]])</f>
        <v>1148</v>
      </c>
      <c r="B1158" s="45">
        <f>ROUNDDOWN((LineærRegression_Valg[[#This Row],[Tabel ID]]-1)/$B$5,0)+1</f>
        <v>287</v>
      </c>
      <c r="C1158" s="45">
        <f t="shared" si="17"/>
        <v>4</v>
      </c>
      <c r="D1158" s="45" t="b">
        <f>LineærRegression_Valg[[#This Row],[Afhængig variabel ID]]&lt;&gt;LineærRegression_Valg[[#This Row],[Uafhængig variabel ID]]</f>
        <v>1</v>
      </c>
      <c r="E1158" t="b">
        <f>LineærRegression_Valg[[#This Row],[Afhængig variabel ID]]&lt;=$B$5</f>
        <v>0</v>
      </c>
      <c r="F1158" t="str" cm="1">
        <f t="array" ref="F1158">IF(LineærRegression_Valg[[#This Row],[Indenfor range]],INDEX(DataTitel_liste,LineærRegression_Valg[[#This Row],[Afhængig variabel ID]]),INDEX(DataTitel_liste,1))</f>
        <v>Eksempel 1 (interval)</v>
      </c>
      <c r="G1158" s="45" t="str" cm="1">
        <f t="array" ref="G1158">IF(LineærRegression_Valg[[#This Row],[Indenfor range]],IF(LineærRegression_Valg[[#This Row],[Intet overlap]],INDEX(DataTitel_liste,LineærRegression_Valg[[#This Row],[Uafhængig variabel ID]]),INDEX(DataTitel_liste,IF(LineærRegression_Valg[[#This Row],[Afhængig variabel ID]]=1,2,1))),$B$7)</f>
        <v>Eksempel 2 (interval)</v>
      </c>
      <c r="H1158" s="45">
        <f>_xlfn.AGGREGATE(2,5,LineærRegression_Valg[[#This Row],[Tabel ID]])</f>
        <v>1</v>
      </c>
    </row>
    <row r="1159" spans="1:8" x14ac:dyDescent="0.2">
      <c r="A1159">
        <f>ROW(LineærRegression_Valg[[#This Row],[Tabel ID]])-ROW(LineærRegression_Valg[[#Headers],[Tabel ID]])</f>
        <v>1149</v>
      </c>
      <c r="B1159" s="45">
        <f>ROUNDDOWN((LineærRegression_Valg[[#This Row],[Tabel ID]]-1)/$B$5,0)+1</f>
        <v>288</v>
      </c>
      <c r="C1159" s="45">
        <f t="shared" si="17"/>
        <v>1</v>
      </c>
      <c r="D1159" s="45" t="b">
        <f>LineærRegression_Valg[[#This Row],[Afhængig variabel ID]]&lt;&gt;LineærRegression_Valg[[#This Row],[Uafhængig variabel ID]]</f>
        <v>1</v>
      </c>
      <c r="E1159" t="b">
        <f>LineærRegression_Valg[[#This Row],[Afhængig variabel ID]]&lt;=$B$5</f>
        <v>0</v>
      </c>
      <c r="F1159" t="str" cm="1">
        <f t="array" ref="F1159">IF(LineærRegression_Valg[[#This Row],[Indenfor range]],INDEX(DataTitel_liste,LineærRegression_Valg[[#This Row],[Afhængig variabel ID]]),INDEX(DataTitel_liste,1))</f>
        <v>Eksempel 1 (interval)</v>
      </c>
      <c r="G1159" s="45" t="str" cm="1">
        <f t="array" ref="G1159">IF(LineærRegression_Valg[[#This Row],[Indenfor range]],IF(LineærRegression_Valg[[#This Row],[Intet overlap]],INDEX(DataTitel_liste,LineærRegression_Valg[[#This Row],[Uafhængig variabel ID]]),INDEX(DataTitel_liste,IF(LineærRegression_Valg[[#This Row],[Afhængig variabel ID]]=1,2,1))),$B$7)</f>
        <v>Eksempel 2 (interval)</v>
      </c>
      <c r="H1159" s="45">
        <f>_xlfn.AGGREGATE(2,5,LineærRegression_Valg[[#This Row],[Tabel ID]])</f>
        <v>1</v>
      </c>
    </row>
    <row r="1160" spans="1:8" x14ac:dyDescent="0.2">
      <c r="A1160">
        <f>ROW(LineærRegression_Valg[[#This Row],[Tabel ID]])-ROW(LineærRegression_Valg[[#Headers],[Tabel ID]])</f>
        <v>1150</v>
      </c>
      <c r="B1160" s="45">
        <f>ROUNDDOWN((LineærRegression_Valg[[#This Row],[Tabel ID]]-1)/$B$5,0)+1</f>
        <v>288</v>
      </c>
      <c r="C1160" s="45">
        <f t="shared" si="17"/>
        <v>2</v>
      </c>
      <c r="D1160" s="45" t="b">
        <f>LineærRegression_Valg[[#This Row],[Afhængig variabel ID]]&lt;&gt;LineærRegression_Valg[[#This Row],[Uafhængig variabel ID]]</f>
        <v>1</v>
      </c>
      <c r="E1160" t="b">
        <f>LineærRegression_Valg[[#This Row],[Afhængig variabel ID]]&lt;=$B$5</f>
        <v>0</v>
      </c>
      <c r="F1160" t="str" cm="1">
        <f t="array" ref="F1160">IF(LineærRegression_Valg[[#This Row],[Indenfor range]],INDEX(DataTitel_liste,LineærRegression_Valg[[#This Row],[Afhængig variabel ID]]),INDEX(DataTitel_liste,1))</f>
        <v>Eksempel 1 (interval)</v>
      </c>
      <c r="G1160" s="45" t="str" cm="1">
        <f t="array" ref="G1160">IF(LineærRegression_Valg[[#This Row],[Indenfor range]],IF(LineærRegression_Valg[[#This Row],[Intet overlap]],INDEX(DataTitel_liste,LineærRegression_Valg[[#This Row],[Uafhængig variabel ID]]),INDEX(DataTitel_liste,IF(LineærRegression_Valg[[#This Row],[Afhængig variabel ID]]=1,2,1))),$B$7)</f>
        <v>Eksempel 2 (interval)</v>
      </c>
      <c r="H1160" s="45">
        <f>_xlfn.AGGREGATE(2,5,LineærRegression_Valg[[#This Row],[Tabel ID]])</f>
        <v>1</v>
      </c>
    </row>
    <row r="1161" spans="1:8" x14ac:dyDescent="0.2">
      <c r="A1161">
        <f>ROW(LineærRegression_Valg[[#This Row],[Tabel ID]])-ROW(LineærRegression_Valg[[#Headers],[Tabel ID]])</f>
        <v>1151</v>
      </c>
      <c r="B1161" s="45">
        <f>ROUNDDOWN((LineærRegression_Valg[[#This Row],[Tabel ID]]-1)/$B$5,0)+1</f>
        <v>288</v>
      </c>
      <c r="C1161" s="45">
        <f t="shared" si="17"/>
        <v>3</v>
      </c>
      <c r="D1161" s="45" t="b">
        <f>LineærRegression_Valg[[#This Row],[Afhængig variabel ID]]&lt;&gt;LineærRegression_Valg[[#This Row],[Uafhængig variabel ID]]</f>
        <v>1</v>
      </c>
      <c r="E1161" t="b">
        <f>LineærRegression_Valg[[#This Row],[Afhængig variabel ID]]&lt;=$B$5</f>
        <v>0</v>
      </c>
      <c r="F1161" t="str" cm="1">
        <f t="array" ref="F1161">IF(LineærRegression_Valg[[#This Row],[Indenfor range]],INDEX(DataTitel_liste,LineærRegression_Valg[[#This Row],[Afhængig variabel ID]]),INDEX(DataTitel_liste,1))</f>
        <v>Eksempel 1 (interval)</v>
      </c>
      <c r="G1161" s="45" t="str" cm="1">
        <f t="array" ref="G1161">IF(LineærRegression_Valg[[#This Row],[Indenfor range]],IF(LineærRegression_Valg[[#This Row],[Intet overlap]],INDEX(DataTitel_liste,LineærRegression_Valg[[#This Row],[Uafhængig variabel ID]]),INDEX(DataTitel_liste,IF(LineærRegression_Valg[[#This Row],[Afhængig variabel ID]]=1,2,1))),$B$7)</f>
        <v>Eksempel 2 (interval)</v>
      </c>
      <c r="H1161" s="45">
        <f>_xlfn.AGGREGATE(2,5,LineærRegression_Valg[[#This Row],[Tabel ID]])</f>
        <v>1</v>
      </c>
    </row>
    <row r="1162" spans="1:8" x14ac:dyDescent="0.2">
      <c r="A1162">
        <f>ROW(LineærRegression_Valg[[#This Row],[Tabel ID]])-ROW(LineærRegression_Valg[[#Headers],[Tabel ID]])</f>
        <v>1152</v>
      </c>
      <c r="B1162" s="45">
        <f>ROUNDDOWN((LineærRegression_Valg[[#This Row],[Tabel ID]]-1)/$B$5,0)+1</f>
        <v>288</v>
      </c>
      <c r="C1162" s="45">
        <f t="shared" si="17"/>
        <v>4</v>
      </c>
      <c r="D1162" s="45" t="b">
        <f>LineærRegression_Valg[[#This Row],[Afhængig variabel ID]]&lt;&gt;LineærRegression_Valg[[#This Row],[Uafhængig variabel ID]]</f>
        <v>1</v>
      </c>
      <c r="E1162" t="b">
        <f>LineærRegression_Valg[[#This Row],[Afhængig variabel ID]]&lt;=$B$5</f>
        <v>0</v>
      </c>
      <c r="F1162" t="str" cm="1">
        <f t="array" ref="F1162">IF(LineærRegression_Valg[[#This Row],[Indenfor range]],INDEX(DataTitel_liste,LineærRegression_Valg[[#This Row],[Afhængig variabel ID]]),INDEX(DataTitel_liste,1))</f>
        <v>Eksempel 1 (interval)</v>
      </c>
      <c r="G1162" s="45" t="str" cm="1">
        <f t="array" ref="G1162">IF(LineærRegression_Valg[[#This Row],[Indenfor range]],IF(LineærRegression_Valg[[#This Row],[Intet overlap]],INDEX(DataTitel_liste,LineærRegression_Valg[[#This Row],[Uafhængig variabel ID]]),INDEX(DataTitel_liste,IF(LineærRegression_Valg[[#This Row],[Afhængig variabel ID]]=1,2,1))),$B$7)</f>
        <v>Eksempel 2 (interval)</v>
      </c>
      <c r="H1162" s="45">
        <f>_xlfn.AGGREGATE(2,5,LineærRegression_Valg[[#This Row],[Tabel ID]])</f>
        <v>1</v>
      </c>
    </row>
    <row r="1163" spans="1:8" x14ac:dyDescent="0.2">
      <c r="A1163">
        <f>ROW(LineærRegression_Valg[[#This Row],[Tabel ID]])-ROW(LineærRegression_Valg[[#Headers],[Tabel ID]])</f>
        <v>1153</v>
      </c>
      <c r="B1163" s="45">
        <f>ROUNDDOWN((LineærRegression_Valg[[#This Row],[Tabel ID]]-1)/$B$5,0)+1</f>
        <v>289</v>
      </c>
      <c r="C1163" s="45">
        <f t="shared" ref="C1163:C1226" si="18">MOD(A1163-1,$B$5)+1</f>
        <v>1</v>
      </c>
      <c r="D1163" s="45" t="b">
        <f>LineærRegression_Valg[[#This Row],[Afhængig variabel ID]]&lt;&gt;LineærRegression_Valg[[#This Row],[Uafhængig variabel ID]]</f>
        <v>1</v>
      </c>
      <c r="E1163" t="b">
        <f>LineærRegression_Valg[[#This Row],[Afhængig variabel ID]]&lt;=$B$5</f>
        <v>0</v>
      </c>
      <c r="F1163" t="str" cm="1">
        <f t="array" ref="F1163">IF(LineærRegression_Valg[[#This Row],[Indenfor range]],INDEX(DataTitel_liste,LineærRegression_Valg[[#This Row],[Afhængig variabel ID]]),INDEX(DataTitel_liste,1))</f>
        <v>Eksempel 1 (interval)</v>
      </c>
      <c r="G1163" s="45" t="str" cm="1">
        <f t="array" ref="G1163">IF(LineærRegression_Valg[[#This Row],[Indenfor range]],IF(LineærRegression_Valg[[#This Row],[Intet overlap]],INDEX(DataTitel_liste,LineærRegression_Valg[[#This Row],[Uafhængig variabel ID]]),INDEX(DataTitel_liste,IF(LineærRegression_Valg[[#This Row],[Afhængig variabel ID]]=1,2,1))),$B$7)</f>
        <v>Eksempel 2 (interval)</v>
      </c>
      <c r="H1163" s="45">
        <f>_xlfn.AGGREGATE(2,5,LineærRegression_Valg[[#This Row],[Tabel ID]])</f>
        <v>1</v>
      </c>
    </row>
    <row r="1164" spans="1:8" x14ac:dyDescent="0.2">
      <c r="A1164">
        <f>ROW(LineærRegression_Valg[[#This Row],[Tabel ID]])-ROW(LineærRegression_Valg[[#Headers],[Tabel ID]])</f>
        <v>1154</v>
      </c>
      <c r="B1164" s="45">
        <f>ROUNDDOWN((LineærRegression_Valg[[#This Row],[Tabel ID]]-1)/$B$5,0)+1</f>
        <v>289</v>
      </c>
      <c r="C1164" s="45">
        <f t="shared" si="18"/>
        <v>2</v>
      </c>
      <c r="D1164" s="45" t="b">
        <f>LineærRegression_Valg[[#This Row],[Afhængig variabel ID]]&lt;&gt;LineærRegression_Valg[[#This Row],[Uafhængig variabel ID]]</f>
        <v>1</v>
      </c>
      <c r="E1164" t="b">
        <f>LineærRegression_Valg[[#This Row],[Afhængig variabel ID]]&lt;=$B$5</f>
        <v>0</v>
      </c>
      <c r="F1164" t="str" cm="1">
        <f t="array" ref="F1164">IF(LineærRegression_Valg[[#This Row],[Indenfor range]],INDEX(DataTitel_liste,LineærRegression_Valg[[#This Row],[Afhængig variabel ID]]),INDEX(DataTitel_liste,1))</f>
        <v>Eksempel 1 (interval)</v>
      </c>
      <c r="G1164" s="45" t="str" cm="1">
        <f t="array" ref="G1164">IF(LineærRegression_Valg[[#This Row],[Indenfor range]],IF(LineærRegression_Valg[[#This Row],[Intet overlap]],INDEX(DataTitel_liste,LineærRegression_Valg[[#This Row],[Uafhængig variabel ID]]),INDEX(DataTitel_liste,IF(LineærRegression_Valg[[#This Row],[Afhængig variabel ID]]=1,2,1))),$B$7)</f>
        <v>Eksempel 2 (interval)</v>
      </c>
      <c r="H1164" s="45">
        <f>_xlfn.AGGREGATE(2,5,LineærRegression_Valg[[#This Row],[Tabel ID]])</f>
        <v>1</v>
      </c>
    </row>
    <row r="1165" spans="1:8" x14ac:dyDescent="0.2">
      <c r="A1165">
        <f>ROW(LineærRegression_Valg[[#This Row],[Tabel ID]])-ROW(LineærRegression_Valg[[#Headers],[Tabel ID]])</f>
        <v>1155</v>
      </c>
      <c r="B1165" s="45">
        <f>ROUNDDOWN((LineærRegression_Valg[[#This Row],[Tabel ID]]-1)/$B$5,0)+1</f>
        <v>289</v>
      </c>
      <c r="C1165" s="45">
        <f t="shared" si="18"/>
        <v>3</v>
      </c>
      <c r="D1165" s="45" t="b">
        <f>LineærRegression_Valg[[#This Row],[Afhængig variabel ID]]&lt;&gt;LineærRegression_Valg[[#This Row],[Uafhængig variabel ID]]</f>
        <v>1</v>
      </c>
      <c r="E1165" t="b">
        <f>LineærRegression_Valg[[#This Row],[Afhængig variabel ID]]&lt;=$B$5</f>
        <v>0</v>
      </c>
      <c r="F1165" t="str" cm="1">
        <f t="array" ref="F1165">IF(LineærRegression_Valg[[#This Row],[Indenfor range]],INDEX(DataTitel_liste,LineærRegression_Valg[[#This Row],[Afhængig variabel ID]]),INDEX(DataTitel_liste,1))</f>
        <v>Eksempel 1 (interval)</v>
      </c>
      <c r="G1165" s="45" t="str" cm="1">
        <f t="array" ref="G1165">IF(LineærRegression_Valg[[#This Row],[Indenfor range]],IF(LineærRegression_Valg[[#This Row],[Intet overlap]],INDEX(DataTitel_liste,LineærRegression_Valg[[#This Row],[Uafhængig variabel ID]]),INDEX(DataTitel_liste,IF(LineærRegression_Valg[[#This Row],[Afhængig variabel ID]]=1,2,1))),$B$7)</f>
        <v>Eksempel 2 (interval)</v>
      </c>
      <c r="H1165" s="45">
        <f>_xlfn.AGGREGATE(2,5,LineærRegression_Valg[[#This Row],[Tabel ID]])</f>
        <v>1</v>
      </c>
    </row>
    <row r="1166" spans="1:8" x14ac:dyDescent="0.2">
      <c r="A1166">
        <f>ROW(LineærRegression_Valg[[#This Row],[Tabel ID]])-ROW(LineærRegression_Valg[[#Headers],[Tabel ID]])</f>
        <v>1156</v>
      </c>
      <c r="B1166" s="45">
        <f>ROUNDDOWN((LineærRegression_Valg[[#This Row],[Tabel ID]]-1)/$B$5,0)+1</f>
        <v>289</v>
      </c>
      <c r="C1166" s="45">
        <f t="shared" si="18"/>
        <v>4</v>
      </c>
      <c r="D1166" s="45" t="b">
        <f>LineærRegression_Valg[[#This Row],[Afhængig variabel ID]]&lt;&gt;LineærRegression_Valg[[#This Row],[Uafhængig variabel ID]]</f>
        <v>1</v>
      </c>
      <c r="E1166" t="b">
        <f>LineærRegression_Valg[[#This Row],[Afhængig variabel ID]]&lt;=$B$5</f>
        <v>0</v>
      </c>
      <c r="F1166" t="str" cm="1">
        <f t="array" ref="F1166">IF(LineærRegression_Valg[[#This Row],[Indenfor range]],INDEX(DataTitel_liste,LineærRegression_Valg[[#This Row],[Afhængig variabel ID]]),INDEX(DataTitel_liste,1))</f>
        <v>Eksempel 1 (interval)</v>
      </c>
      <c r="G1166" s="45" t="str" cm="1">
        <f t="array" ref="G1166">IF(LineærRegression_Valg[[#This Row],[Indenfor range]],IF(LineærRegression_Valg[[#This Row],[Intet overlap]],INDEX(DataTitel_liste,LineærRegression_Valg[[#This Row],[Uafhængig variabel ID]]),INDEX(DataTitel_liste,IF(LineærRegression_Valg[[#This Row],[Afhængig variabel ID]]=1,2,1))),$B$7)</f>
        <v>Eksempel 2 (interval)</v>
      </c>
      <c r="H1166" s="45">
        <f>_xlfn.AGGREGATE(2,5,LineærRegression_Valg[[#This Row],[Tabel ID]])</f>
        <v>1</v>
      </c>
    </row>
    <row r="1167" spans="1:8" x14ac:dyDescent="0.2">
      <c r="A1167">
        <f>ROW(LineærRegression_Valg[[#This Row],[Tabel ID]])-ROW(LineærRegression_Valg[[#Headers],[Tabel ID]])</f>
        <v>1157</v>
      </c>
      <c r="B1167" s="45">
        <f>ROUNDDOWN((LineærRegression_Valg[[#This Row],[Tabel ID]]-1)/$B$5,0)+1</f>
        <v>290</v>
      </c>
      <c r="C1167" s="45">
        <f t="shared" si="18"/>
        <v>1</v>
      </c>
      <c r="D1167" s="45" t="b">
        <f>LineærRegression_Valg[[#This Row],[Afhængig variabel ID]]&lt;&gt;LineærRegression_Valg[[#This Row],[Uafhængig variabel ID]]</f>
        <v>1</v>
      </c>
      <c r="E1167" t="b">
        <f>LineærRegression_Valg[[#This Row],[Afhængig variabel ID]]&lt;=$B$5</f>
        <v>0</v>
      </c>
      <c r="F1167" t="str" cm="1">
        <f t="array" ref="F1167">IF(LineærRegression_Valg[[#This Row],[Indenfor range]],INDEX(DataTitel_liste,LineærRegression_Valg[[#This Row],[Afhængig variabel ID]]),INDEX(DataTitel_liste,1))</f>
        <v>Eksempel 1 (interval)</v>
      </c>
      <c r="G1167" s="45" t="str" cm="1">
        <f t="array" ref="G1167">IF(LineærRegression_Valg[[#This Row],[Indenfor range]],IF(LineærRegression_Valg[[#This Row],[Intet overlap]],INDEX(DataTitel_liste,LineærRegression_Valg[[#This Row],[Uafhængig variabel ID]]),INDEX(DataTitel_liste,IF(LineærRegression_Valg[[#This Row],[Afhængig variabel ID]]=1,2,1))),$B$7)</f>
        <v>Eksempel 2 (interval)</v>
      </c>
      <c r="H1167" s="45">
        <f>_xlfn.AGGREGATE(2,5,LineærRegression_Valg[[#This Row],[Tabel ID]])</f>
        <v>1</v>
      </c>
    </row>
    <row r="1168" spans="1:8" x14ac:dyDescent="0.2">
      <c r="A1168">
        <f>ROW(LineærRegression_Valg[[#This Row],[Tabel ID]])-ROW(LineærRegression_Valg[[#Headers],[Tabel ID]])</f>
        <v>1158</v>
      </c>
      <c r="B1168" s="45">
        <f>ROUNDDOWN((LineærRegression_Valg[[#This Row],[Tabel ID]]-1)/$B$5,0)+1</f>
        <v>290</v>
      </c>
      <c r="C1168" s="45">
        <f t="shared" si="18"/>
        <v>2</v>
      </c>
      <c r="D1168" s="45" t="b">
        <f>LineærRegression_Valg[[#This Row],[Afhængig variabel ID]]&lt;&gt;LineærRegression_Valg[[#This Row],[Uafhængig variabel ID]]</f>
        <v>1</v>
      </c>
      <c r="E1168" t="b">
        <f>LineærRegression_Valg[[#This Row],[Afhængig variabel ID]]&lt;=$B$5</f>
        <v>0</v>
      </c>
      <c r="F1168" t="str" cm="1">
        <f t="array" ref="F1168">IF(LineærRegression_Valg[[#This Row],[Indenfor range]],INDEX(DataTitel_liste,LineærRegression_Valg[[#This Row],[Afhængig variabel ID]]),INDEX(DataTitel_liste,1))</f>
        <v>Eksempel 1 (interval)</v>
      </c>
      <c r="G1168" s="45" t="str" cm="1">
        <f t="array" ref="G1168">IF(LineærRegression_Valg[[#This Row],[Indenfor range]],IF(LineærRegression_Valg[[#This Row],[Intet overlap]],INDEX(DataTitel_liste,LineærRegression_Valg[[#This Row],[Uafhængig variabel ID]]),INDEX(DataTitel_liste,IF(LineærRegression_Valg[[#This Row],[Afhængig variabel ID]]=1,2,1))),$B$7)</f>
        <v>Eksempel 2 (interval)</v>
      </c>
      <c r="H1168" s="45">
        <f>_xlfn.AGGREGATE(2,5,LineærRegression_Valg[[#This Row],[Tabel ID]])</f>
        <v>1</v>
      </c>
    </row>
    <row r="1169" spans="1:8" x14ac:dyDescent="0.2">
      <c r="A1169">
        <f>ROW(LineærRegression_Valg[[#This Row],[Tabel ID]])-ROW(LineærRegression_Valg[[#Headers],[Tabel ID]])</f>
        <v>1159</v>
      </c>
      <c r="B1169" s="45">
        <f>ROUNDDOWN((LineærRegression_Valg[[#This Row],[Tabel ID]]-1)/$B$5,0)+1</f>
        <v>290</v>
      </c>
      <c r="C1169" s="45">
        <f t="shared" si="18"/>
        <v>3</v>
      </c>
      <c r="D1169" s="45" t="b">
        <f>LineærRegression_Valg[[#This Row],[Afhængig variabel ID]]&lt;&gt;LineærRegression_Valg[[#This Row],[Uafhængig variabel ID]]</f>
        <v>1</v>
      </c>
      <c r="E1169" t="b">
        <f>LineærRegression_Valg[[#This Row],[Afhængig variabel ID]]&lt;=$B$5</f>
        <v>0</v>
      </c>
      <c r="F1169" t="str" cm="1">
        <f t="array" ref="F1169">IF(LineærRegression_Valg[[#This Row],[Indenfor range]],INDEX(DataTitel_liste,LineærRegression_Valg[[#This Row],[Afhængig variabel ID]]),INDEX(DataTitel_liste,1))</f>
        <v>Eksempel 1 (interval)</v>
      </c>
      <c r="G1169" s="45" t="str" cm="1">
        <f t="array" ref="G1169">IF(LineærRegression_Valg[[#This Row],[Indenfor range]],IF(LineærRegression_Valg[[#This Row],[Intet overlap]],INDEX(DataTitel_liste,LineærRegression_Valg[[#This Row],[Uafhængig variabel ID]]),INDEX(DataTitel_liste,IF(LineærRegression_Valg[[#This Row],[Afhængig variabel ID]]=1,2,1))),$B$7)</f>
        <v>Eksempel 2 (interval)</v>
      </c>
      <c r="H1169" s="45">
        <f>_xlfn.AGGREGATE(2,5,LineærRegression_Valg[[#This Row],[Tabel ID]])</f>
        <v>1</v>
      </c>
    </row>
    <row r="1170" spans="1:8" x14ac:dyDescent="0.2">
      <c r="A1170">
        <f>ROW(LineærRegression_Valg[[#This Row],[Tabel ID]])-ROW(LineærRegression_Valg[[#Headers],[Tabel ID]])</f>
        <v>1160</v>
      </c>
      <c r="B1170" s="45">
        <f>ROUNDDOWN((LineærRegression_Valg[[#This Row],[Tabel ID]]-1)/$B$5,0)+1</f>
        <v>290</v>
      </c>
      <c r="C1170" s="45">
        <f t="shared" si="18"/>
        <v>4</v>
      </c>
      <c r="D1170" s="45" t="b">
        <f>LineærRegression_Valg[[#This Row],[Afhængig variabel ID]]&lt;&gt;LineærRegression_Valg[[#This Row],[Uafhængig variabel ID]]</f>
        <v>1</v>
      </c>
      <c r="E1170" t="b">
        <f>LineærRegression_Valg[[#This Row],[Afhængig variabel ID]]&lt;=$B$5</f>
        <v>0</v>
      </c>
      <c r="F1170" t="str" cm="1">
        <f t="array" ref="F1170">IF(LineærRegression_Valg[[#This Row],[Indenfor range]],INDEX(DataTitel_liste,LineærRegression_Valg[[#This Row],[Afhængig variabel ID]]),INDEX(DataTitel_liste,1))</f>
        <v>Eksempel 1 (interval)</v>
      </c>
      <c r="G1170" s="45" t="str" cm="1">
        <f t="array" ref="G1170">IF(LineærRegression_Valg[[#This Row],[Indenfor range]],IF(LineærRegression_Valg[[#This Row],[Intet overlap]],INDEX(DataTitel_liste,LineærRegression_Valg[[#This Row],[Uafhængig variabel ID]]),INDEX(DataTitel_liste,IF(LineærRegression_Valg[[#This Row],[Afhængig variabel ID]]=1,2,1))),$B$7)</f>
        <v>Eksempel 2 (interval)</v>
      </c>
      <c r="H1170" s="45">
        <f>_xlfn.AGGREGATE(2,5,LineærRegression_Valg[[#This Row],[Tabel ID]])</f>
        <v>1</v>
      </c>
    </row>
    <row r="1171" spans="1:8" x14ac:dyDescent="0.2">
      <c r="A1171">
        <f>ROW(LineærRegression_Valg[[#This Row],[Tabel ID]])-ROW(LineærRegression_Valg[[#Headers],[Tabel ID]])</f>
        <v>1161</v>
      </c>
      <c r="B1171" s="45">
        <f>ROUNDDOWN((LineærRegression_Valg[[#This Row],[Tabel ID]]-1)/$B$5,0)+1</f>
        <v>291</v>
      </c>
      <c r="C1171" s="45">
        <f t="shared" si="18"/>
        <v>1</v>
      </c>
      <c r="D1171" s="45" t="b">
        <f>LineærRegression_Valg[[#This Row],[Afhængig variabel ID]]&lt;&gt;LineærRegression_Valg[[#This Row],[Uafhængig variabel ID]]</f>
        <v>1</v>
      </c>
      <c r="E1171" t="b">
        <f>LineærRegression_Valg[[#This Row],[Afhængig variabel ID]]&lt;=$B$5</f>
        <v>0</v>
      </c>
      <c r="F1171" t="str" cm="1">
        <f t="array" ref="F1171">IF(LineærRegression_Valg[[#This Row],[Indenfor range]],INDEX(DataTitel_liste,LineærRegression_Valg[[#This Row],[Afhængig variabel ID]]),INDEX(DataTitel_liste,1))</f>
        <v>Eksempel 1 (interval)</v>
      </c>
      <c r="G1171" s="45" t="str" cm="1">
        <f t="array" ref="G1171">IF(LineærRegression_Valg[[#This Row],[Indenfor range]],IF(LineærRegression_Valg[[#This Row],[Intet overlap]],INDEX(DataTitel_liste,LineærRegression_Valg[[#This Row],[Uafhængig variabel ID]]),INDEX(DataTitel_liste,IF(LineærRegression_Valg[[#This Row],[Afhængig variabel ID]]=1,2,1))),$B$7)</f>
        <v>Eksempel 2 (interval)</v>
      </c>
      <c r="H1171" s="45">
        <f>_xlfn.AGGREGATE(2,5,LineærRegression_Valg[[#This Row],[Tabel ID]])</f>
        <v>1</v>
      </c>
    </row>
    <row r="1172" spans="1:8" x14ac:dyDescent="0.2">
      <c r="A1172">
        <f>ROW(LineærRegression_Valg[[#This Row],[Tabel ID]])-ROW(LineærRegression_Valg[[#Headers],[Tabel ID]])</f>
        <v>1162</v>
      </c>
      <c r="B1172" s="45">
        <f>ROUNDDOWN((LineærRegression_Valg[[#This Row],[Tabel ID]]-1)/$B$5,0)+1</f>
        <v>291</v>
      </c>
      <c r="C1172" s="45">
        <f t="shared" si="18"/>
        <v>2</v>
      </c>
      <c r="D1172" s="45" t="b">
        <f>LineærRegression_Valg[[#This Row],[Afhængig variabel ID]]&lt;&gt;LineærRegression_Valg[[#This Row],[Uafhængig variabel ID]]</f>
        <v>1</v>
      </c>
      <c r="E1172" t="b">
        <f>LineærRegression_Valg[[#This Row],[Afhængig variabel ID]]&lt;=$B$5</f>
        <v>0</v>
      </c>
      <c r="F1172" t="str" cm="1">
        <f t="array" ref="F1172">IF(LineærRegression_Valg[[#This Row],[Indenfor range]],INDEX(DataTitel_liste,LineærRegression_Valg[[#This Row],[Afhængig variabel ID]]),INDEX(DataTitel_liste,1))</f>
        <v>Eksempel 1 (interval)</v>
      </c>
      <c r="G1172" s="45" t="str" cm="1">
        <f t="array" ref="G1172">IF(LineærRegression_Valg[[#This Row],[Indenfor range]],IF(LineærRegression_Valg[[#This Row],[Intet overlap]],INDEX(DataTitel_liste,LineærRegression_Valg[[#This Row],[Uafhængig variabel ID]]),INDEX(DataTitel_liste,IF(LineærRegression_Valg[[#This Row],[Afhængig variabel ID]]=1,2,1))),$B$7)</f>
        <v>Eksempel 2 (interval)</v>
      </c>
      <c r="H1172" s="45">
        <f>_xlfn.AGGREGATE(2,5,LineærRegression_Valg[[#This Row],[Tabel ID]])</f>
        <v>1</v>
      </c>
    </row>
    <row r="1173" spans="1:8" x14ac:dyDescent="0.2">
      <c r="A1173">
        <f>ROW(LineærRegression_Valg[[#This Row],[Tabel ID]])-ROW(LineærRegression_Valg[[#Headers],[Tabel ID]])</f>
        <v>1163</v>
      </c>
      <c r="B1173" s="45">
        <f>ROUNDDOWN((LineærRegression_Valg[[#This Row],[Tabel ID]]-1)/$B$5,0)+1</f>
        <v>291</v>
      </c>
      <c r="C1173" s="45">
        <f t="shared" si="18"/>
        <v>3</v>
      </c>
      <c r="D1173" s="45" t="b">
        <f>LineærRegression_Valg[[#This Row],[Afhængig variabel ID]]&lt;&gt;LineærRegression_Valg[[#This Row],[Uafhængig variabel ID]]</f>
        <v>1</v>
      </c>
      <c r="E1173" t="b">
        <f>LineærRegression_Valg[[#This Row],[Afhængig variabel ID]]&lt;=$B$5</f>
        <v>0</v>
      </c>
      <c r="F1173" t="str" cm="1">
        <f t="array" ref="F1173">IF(LineærRegression_Valg[[#This Row],[Indenfor range]],INDEX(DataTitel_liste,LineærRegression_Valg[[#This Row],[Afhængig variabel ID]]),INDEX(DataTitel_liste,1))</f>
        <v>Eksempel 1 (interval)</v>
      </c>
      <c r="G1173" s="45" t="str" cm="1">
        <f t="array" ref="G1173">IF(LineærRegression_Valg[[#This Row],[Indenfor range]],IF(LineærRegression_Valg[[#This Row],[Intet overlap]],INDEX(DataTitel_liste,LineærRegression_Valg[[#This Row],[Uafhængig variabel ID]]),INDEX(DataTitel_liste,IF(LineærRegression_Valg[[#This Row],[Afhængig variabel ID]]=1,2,1))),$B$7)</f>
        <v>Eksempel 2 (interval)</v>
      </c>
      <c r="H1173" s="45">
        <f>_xlfn.AGGREGATE(2,5,LineærRegression_Valg[[#This Row],[Tabel ID]])</f>
        <v>1</v>
      </c>
    </row>
    <row r="1174" spans="1:8" x14ac:dyDescent="0.2">
      <c r="A1174">
        <f>ROW(LineærRegression_Valg[[#This Row],[Tabel ID]])-ROW(LineærRegression_Valg[[#Headers],[Tabel ID]])</f>
        <v>1164</v>
      </c>
      <c r="B1174" s="45">
        <f>ROUNDDOWN((LineærRegression_Valg[[#This Row],[Tabel ID]]-1)/$B$5,0)+1</f>
        <v>291</v>
      </c>
      <c r="C1174" s="45">
        <f t="shared" si="18"/>
        <v>4</v>
      </c>
      <c r="D1174" s="45" t="b">
        <f>LineærRegression_Valg[[#This Row],[Afhængig variabel ID]]&lt;&gt;LineærRegression_Valg[[#This Row],[Uafhængig variabel ID]]</f>
        <v>1</v>
      </c>
      <c r="E1174" t="b">
        <f>LineærRegression_Valg[[#This Row],[Afhængig variabel ID]]&lt;=$B$5</f>
        <v>0</v>
      </c>
      <c r="F1174" t="str" cm="1">
        <f t="array" ref="F1174">IF(LineærRegression_Valg[[#This Row],[Indenfor range]],INDEX(DataTitel_liste,LineærRegression_Valg[[#This Row],[Afhængig variabel ID]]),INDEX(DataTitel_liste,1))</f>
        <v>Eksempel 1 (interval)</v>
      </c>
      <c r="G1174" s="45" t="str" cm="1">
        <f t="array" ref="G1174">IF(LineærRegression_Valg[[#This Row],[Indenfor range]],IF(LineærRegression_Valg[[#This Row],[Intet overlap]],INDEX(DataTitel_liste,LineærRegression_Valg[[#This Row],[Uafhængig variabel ID]]),INDEX(DataTitel_liste,IF(LineærRegression_Valg[[#This Row],[Afhængig variabel ID]]=1,2,1))),$B$7)</f>
        <v>Eksempel 2 (interval)</v>
      </c>
      <c r="H1174" s="45">
        <f>_xlfn.AGGREGATE(2,5,LineærRegression_Valg[[#This Row],[Tabel ID]])</f>
        <v>1</v>
      </c>
    </row>
    <row r="1175" spans="1:8" x14ac:dyDescent="0.2">
      <c r="A1175">
        <f>ROW(LineærRegression_Valg[[#This Row],[Tabel ID]])-ROW(LineærRegression_Valg[[#Headers],[Tabel ID]])</f>
        <v>1165</v>
      </c>
      <c r="B1175" s="45">
        <f>ROUNDDOWN((LineærRegression_Valg[[#This Row],[Tabel ID]]-1)/$B$5,0)+1</f>
        <v>292</v>
      </c>
      <c r="C1175" s="45">
        <f t="shared" si="18"/>
        <v>1</v>
      </c>
      <c r="D1175" s="45" t="b">
        <f>LineærRegression_Valg[[#This Row],[Afhængig variabel ID]]&lt;&gt;LineærRegression_Valg[[#This Row],[Uafhængig variabel ID]]</f>
        <v>1</v>
      </c>
      <c r="E1175" t="b">
        <f>LineærRegression_Valg[[#This Row],[Afhængig variabel ID]]&lt;=$B$5</f>
        <v>0</v>
      </c>
      <c r="F1175" t="str" cm="1">
        <f t="array" ref="F1175">IF(LineærRegression_Valg[[#This Row],[Indenfor range]],INDEX(DataTitel_liste,LineærRegression_Valg[[#This Row],[Afhængig variabel ID]]),INDEX(DataTitel_liste,1))</f>
        <v>Eksempel 1 (interval)</v>
      </c>
      <c r="G1175" s="45" t="str" cm="1">
        <f t="array" ref="G1175">IF(LineærRegression_Valg[[#This Row],[Indenfor range]],IF(LineærRegression_Valg[[#This Row],[Intet overlap]],INDEX(DataTitel_liste,LineærRegression_Valg[[#This Row],[Uafhængig variabel ID]]),INDEX(DataTitel_liste,IF(LineærRegression_Valg[[#This Row],[Afhængig variabel ID]]=1,2,1))),$B$7)</f>
        <v>Eksempel 2 (interval)</v>
      </c>
      <c r="H1175" s="45">
        <f>_xlfn.AGGREGATE(2,5,LineærRegression_Valg[[#This Row],[Tabel ID]])</f>
        <v>1</v>
      </c>
    </row>
    <row r="1176" spans="1:8" x14ac:dyDescent="0.2">
      <c r="A1176">
        <f>ROW(LineærRegression_Valg[[#This Row],[Tabel ID]])-ROW(LineærRegression_Valg[[#Headers],[Tabel ID]])</f>
        <v>1166</v>
      </c>
      <c r="B1176" s="45">
        <f>ROUNDDOWN((LineærRegression_Valg[[#This Row],[Tabel ID]]-1)/$B$5,0)+1</f>
        <v>292</v>
      </c>
      <c r="C1176" s="45">
        <f t="shared" si="18"/>
        <v>2</v>
      </c>
      <c r="D1176" s="45" t="b">
        <f>LineærRegression_Valg[[#This Row],[Afhængig variabel ID]]&lt;&gt;LineærRegression_Valg[[#This Row],[Uafhængig variabel ID]]</f>
        <v>1</v>
      </c>
      <c r="E1176" t="b">
        <f>LineærRegression_Valg[[#This Row],[Afhængig variabel ID]]&lt;=$B$5</f>
        <v>0</v>
      </c>
      <c r="F1176" t="str" cm="1">
        <f t="array" ref="F1176">IF(LineærRegression_Valg[[#This Row],[Indenfor range]],INDEX(DataTitel_liste,LineærRegression_Valg[[#This Row],[Afhængig variabel ID]]),INDEX(DataTitel_liste,1))</f>
        <v>Eksempel 1 (interval)</v>
      </c>
      <c r="G1176" s="45" t="str" cm="1">
        <f t="array" ref="G1176">IF(LineærRegression_Valg[[#This Row],[Indenfor range]],IF(LineærRegression_Valg[[#This Row],[Intet overlap]],INDEX(DataTitel_liste,LineærRegression_Valg[[#This Row],[Uafhængig variabel ID]]),INDEX(DataTitel_liste,IF(LineærRegression_Valg[[#This Row],[Afhængig variabel ID]]=1,2,1))),$B$7)</f>
        <v>Eksempel 2 (interval)</v>
      </c>
      <c r="H1176" s="45">
        <f>_xlfn.AGGREGATE(2,5,LineærRegression_Valg[[#This Row],[Tabel ID]])</f>
        <v>1</v>
      </c>
    </row>
    <row r="1177" spans="1:8" x14ac:dyDescent="0.2">
      <c r="A1177">
        <f>ROW(LineærRegression_Valg[[#This Row],[Tabel ID]])-ROW(LineærRegression_Valg[[#Headers],[Tabel ID]])</f>
        <v>1167</v>
      </c>
      <c r="B1177" s="45">
        <f>ROUNDDOWN((LineærRegression_Valg[[#This Row],[Tabel ID]]-1)/$B$5,0)+1</f>
        <v>292</v>
      </c>
      <c r="C1177" s="45">
        <f t="shared" si="18"/>
        <v>3</v>
      </c>
      <c r="D1177" s="45" t="b">
        <f>LineærRegression_Valg[[#This Row],[Afhængig variabel ID]]&lt;&gt;LineærRegression_Valg[[#This Row],[Uafhængig variabel ID]]</f>
        <v>1</v>
      </c>
      <c r="E1177" t="b">
        <f>LineærRegression_Valg[[#This Row],[Afhængig variabel ID]]&lt;=$B$5</f>
        <v>0</v>
      </c>
      <c r="F1177" t="str" cm="1">
        <f t="array" ref="F1177">IF(LineærRegression_Valg[[#This Row],[Indenfor range]],INDEX(DataTitel_liste,LineærRegression_Valg[[#This Row],[Afhængig variabel ID]]),INDEX(DataTitel_liste,1))</f>
        <v>Eksempel 1 (interval)</v>
      </c>
      <c r="G1177" s="45" t="str" cm="1">
        <f t="array" ref="G1177">IF(LineærRegression_Valg[[#This Row],[Indenfor range]],IF(LineærRegression_Valg[[#This Row],[Intet overlap]],INDEX(DataTitel_liste,LineærRegression_Valg[[#This Row],[Uafhængig variabel ID]]),INDEX(DataTitel_liste,IF(LineærRegression_Valg[[#This Row],[Afhængig variabel ID]]=1,2,1))),$B$7)</f>
        <v>Eksempel 2 (interval)</v>
      </c>
      <c r="H1177" s="45">
        <f>_xlfn.AGGREGATE(2,5,LineærRegression_Valg[[#This Row],[Tabel ID]])</f>
        <v>1</v>
      </c>
    </row>
    <row r="1178" spans="1:8" x14ac:dyDescent="0.2">
      <c r="A1178">
        <f>ROW(LineærRegression_Valg[[#This Row],[Tabel ID]])-ROW(LineærRegression_Valg[[#Headers],[Tabel ID]])</f>
        <v>1168</v>
      </c>
      <c r="B1178" s="45">
        <f>ROUNDDOWN((LineærRegression_Valg[[#This Row],[Tabel ID]]-1)/$B$5,0)+1</f>
        <v>292</v>
      </c>
      <c r="C1178" s="45">
        <f t="shared" si="18"/>
        <v>4</v>
      </c>
      <c r="D1178" s="45" t="b">
        <f>LineærRegression_Valg[[#This Row],[Afhængig variabel ID]]&lt;&gt;LineærRegression_Valg[[#This Row],[Uafhængig variabel ID]]</f>
        <v>1</v>
      </c>
      <c r="E1178" t="b">
        <f>LineærRegression_Valg[[#This Row],[Afhængig variabel ID]]&lt;=$B$5</f>
        <v>0</v>
      </c>
      <c r="F1178" t="str" cm="1">
        <f t="array" ref="F1178">IF(LineærRegression_Valg[[#This Row],[Indenfor range]],INDEX(DataTitel_liste,LineærRegression_Valg[[#This Row],[Afhængig variabel ID]]),INDEX(DataTitel_liste,1))</f>
        <v>Eksempel 1 (interval)</v>
      </c>
      <c r="G1178" s="45" t="str" cm="1">
        <f t="array" ref="G1178">IF(LineærRegression_Valg[[#This Row],[Indenfor range]],IF(LineærRegression_Valg[[#This Row],[Intet overlap]],INDEX(DataTitel_liste,LineærRegression_Valg[[#This Row],[Uafhængig variabel ID]]),INDEX(DataTitel_liste,IF(LineærRegression_Valg[[#This Row],[Afhængig variabel ID]]=1,2,1))),$B$7)</f>
        <v>Eksempel 2 (interval)</v>
      </c>
      <c r="H1178" s="45">
        <f>_xlfn.AGGREGATE(2,5,LineærRegression_Valg[[#This Row],[Tabel ID]])</f>
        <v>1</v>
      </c>
    </row>
    <row r="1179" spans="1:8" x14ac:dyDescent="0.2">
      <c r="A1179">
        <f>ROW(LineærRegression_Valg[[#This Row],[Tabel ID]])-ROW(LineærRegression_Valg[[#Headers],[Tabel ID]])</f>
        <v>1169</v>
      </c>
      <c r="B1179" s="45">
        <f>ROUNDDOWN((LineærRegression_Valg[[#This Row],[Tabel ID]]-1)/$B$5,0)+1</f>
        <v>293</v>
      </c>
      <c r="C1179" s="45">
        <f t="shared" si="18"/>
        <v>1</v>
      </c>
      <c r="D1179" s="45" t="b">
        <f>LineærRegression_Valg[[#This Row],[Afhængig variabel ID]]&lt;&gt;LineærRegression_Valg[[#This Row],[Uafhængig variabel ID]]</f>
        <v>1</v>
      </c>
      <c r="E1179" t="b">
        <f>LineærRegression_Valg[[#This Row],[Afhængig variabel ID]]&lt;=$B$5</f>
        <v>0</v>
      </c>
      <c r="F1179" t="str" cm="1">
        <f t="array" ref="F1179">IF(LineærRegression_Valg[[#This Row],[Indenfor range]],INDEX(DataTitel_liste,LineærRegression_Valg[[#This Row],[Afhængig variabel ID]]),INDEX(DataTitel_liste,1))</f>
        <v>Eksempel 1 (interval)</v>
      </c>
      <c r="G1179" s="45" t="str" cm="1">
        <f t="array" ref="G1179">IF(LineærRegression_Valg[[#This Row],[Indenfor range]],IF(LineærRegression_Valg[[#This Row],[Intet overlap]],INDEX(DataTitel_liste,LineærRegression_Valg[[#This Row],[Uafhængig variabel ID]]),INDEX(DataTitel_liste,IF(LineærRegression_Valg[[#This Row],[Afhængig variabel ID]]=1,2,1))),$B$7)</f>
        <v>Eksempel 2 (interval)</v>
      </c>
      <c r="H1179" s="45">
        <f>_xlfn.AGGREGATE(2,5,LineærRegression_Valg[[#This Row],[Tabel ID]])</f>
        <v>1</v>
      </c>
    </row>
    <row r="1180" spans="1:8" x14ac:dyDescent="0.2">
      <c r="A1180">
        <f>ROW(LineærRegression_Valg[[#This Row],[Tabel ID]])-ROW(LineærRegression_Valg[[#Headers],[Tabel ID]])</f>
        <v>1170</v>
      </c>
      <c r="B1180" s="45">
        <f>ROUNDDOWN((LineærRegression_Valg[[#This Row],[Tabel ID]]-1)/$B$5,0)+1</f>
        <v>293</v>
      </c>
      <c r="C1180" s="45">
        <f t="shared" si="18"/>
        <v>2</v>
      </c>
      <c r="D1180" s="45" t="b">
        <f>LineærRegression_Valg[[#This Row],[Afhængig variabel ID]]&lt;&gt;LineærRegression_Valg[[#This Row],[Uafhængig variabel ID]]</f>
        <v>1</v>
      </c>
      <c r="E1180" t="b">
        <f>LineærRegression_Valg[[#This Row],[Afhængig variabel ID]]&lt;=$B$5</f>
        <v>0</v>
      </c>
      <c r="F1180" t="str" cm="1">
        <f t="array" ref="F1180">IF(LineærRegression_Valg[[#This Row],[Indenfor range]],INDEX(DataTitel_liste,LineærRegression_Valg[[#This Row],[Afhængig variabel ID]]),INDEX(DataTitel_liste,1))</f>
        <v>Eksempel 1 (interval)</v>
      </c>
      <c r="G1180" s="45" t="str" cm="1">
        <f t="array" ref="G1180">IF(LineærRegression_Valg[[#This Row],[Indenfor range]],IF(LineærRegression_Valg[[#This Row],[Intet overlap]],INDEX(DataTitel_liste,LineærRegression_Valg[[#This Row],[Uafhængig variabel ID]]),INDEX(DataTitel_liste,IF(LineærRegression_Valg[[#This Row],[Afhængig variabel ID]]=1,2,1))),$B$7)</f>
        <v>Eksempel 2 (interval)</v>
      </c>
      <c r="H1180" s="45">
        <f>_xlfn.AGGREGATE(2,5,LineærRegression_Valg[[#This Row],[Tabel ID]])</f>
        <v>1</v>
      </c>
    </row>
    <row r="1181" spans="1:8" x14ac:dyDescent="0.2">
      <c r="A1181">
        <f>ROW(LineærRegression_Valg[[#This Row],[Tabel ID]])-ROW(LineærRegression_Valg[[#Headers],[Tabel ID]])</f>
        <v>1171</v>
      </c>
      <c r="B1181" s="45">
        <f>ROUNDDOWN((LineærRegression_Valg[[#This Row],[Tabel ID]]-1)/$B$5,0)+1</f>
        <v>293</v>
      </c>
      <c r="C1181" s="45">
        <f t="shared" si="18"/>
        <v>3</v>
      </c>
      <c r="D1181" s="45" t="b">
        <f>LineærRegression_Valg[[#This Row],[Afhængig variabel ID]]&lt;&gt;LineærRegression_Valg[[#This Row],[Uafhængig variabel ID]]</f>
        <v>1</v>
      </c>
      <c r="E1181" t="b">
        <f>LineærRegression_Valg[[#This Row],[Afhængig variabel ID]]&lt;=$B$5</f>
        <v>0</v>
      </c>
      <c r="F1181" t="str" cm="1">
        <f t="array" ref="F1181">IF(LineærRegression_Valg[[#This Row],[Indenfor range]],INDEX(DataTitel_liste,LineærRegression_Valg[[#This Row],[Afhængig variabel ID]]),INDEX(DataTitel_liste,1))</f>
        <v>Eksempel 1 (interval)</v>
      </c>
      <c r="G1181" s="45" t="str" cm="1">
        <f t="array" ref="G1181">IF(LineærRegression_Valg[[#This Row],[Indenfor range]],IF(LineærRegression_Valg[[#This Row],[Intet overlap]],INDEX(DataTitel_liste,LineærRegression_Valg[[#This Row],[Uafhængig variabel ID]]),INDEX(DataTitel_liste,IF(LineærRegression_Valg[[#This Row],[Afhængig variabel ID]]=1,2,1))),$B$7)</f>
        <v>Eksempel 2 (interval)</v>
      </c>
      <c r="H1181" s="45">
        <f>_xlfn.AGGREGATE(2,5,LineærRegression_Valg[[#This Row],[Tabel ID]])</f>
        <v>1</v>
      </c>
    </row>
    <row r="1182" spans="1:8" x14ac:dyDescent="0.2">
      <c r="A1182">
        <f>ROW(LineærRegression_Valg[[#This Row],[Tabel ID]])-ROW(LineærRegression_Valg[[#Headers],[Tabel ID]])</f>
        <v>1172</v>
      </c>
      <c r="B1182" s="45">
        <f>ROUNDDOWN((LineærRegression_Valg[[#This Row],[Tabel ID]]-1)/$B$5,0)+1</f>
        <v>293</v>
      </c>
      <c r="C1182" s="45">
        <f t="shared" si="18"/>
        <v>4</v>
      </c>
      <c r="D1182" s="45" t="b">
        <f>LineærRegression_Valg[[#This Row],[Afhængig variabel ID]]&lt;&gt;LineærRegression_Valg[[#This Row],[Uafhængig variabel ID]]</f>
        <v>1</v>
      </c>
      <c r="E1182" t="b">
        <f>LineærRegression_Valg[[#This Row],[Afhængig variabel ID]]&lt;=$B$5</f>
        <v>0</v>
      </c>
      <c r="F1182" t="str" cm="1">
        <f t="array" ref="F1182">IF(LineærRegression_Valg[[#This Row],[Indenfor range]],INDEX(DataTitel_liste,LineærRegression_Valg[[#This Row],[Afhængig variabel ID]]),INDEX(DataTitel_liste,1))</f>
        <v>Eksempel 1 (interval)</v>
      </c>
      <c r="G1182" s="45" t="str" cm="1">
        <f t="array" ref="G1182">IF(LineærRegression_Valg[[#This Row],[Indenfor range]],IF(LineærRegression_Valg[[#This Row],[Intet overlap]],INDEX(DataTitel_liste,LineærRegression_Valg[[#This Row],[Uafhængig variabel ID]]),INDEX(DataTitel_liste,IF(LineærRegression_Valg[[#This Row],[Afhængig variabel ID]]=1,2,1))),$B$7)</f>
        <v>Eksempel 2 (interval)</v>
      </c>
      <c r="H1182" s="45">
        <f>_xlfn.AGGREGATE(2,5,LineærRegression_Valg[[#This Row],[Tabel ID]])</f>
        <v>1</v>
      </c>
    </row>
    <row r="1183" spans="1:8" x14ac:dyDescent="0.2">
      <c r="A1183">
        <f>ROW(LineærRegression_Valg[[#This Row],[Tabel ID]])-ROW(LineærRegression_Valg[[#Headers],[Tabel ID]])</f>
        <v>1173</v>
      </c>
      <c r="B1183" s="45">
        <f>ROUNDDOWN((LineærRegression_Valg[[#This Row],[Tabel ID]]-1)/$B$5,0)+1</f>
        <v>294</v>
      </c>
      <c r="C1183" s="45">
        <f t="shared" si="18"/>
        <v>1</v>
      </c>
      <c r="D1183" s="45" t="b">
        <f>LineærRegression_Valg[[#This Row],[Afhængig variabel ID]]&lt;&gt;LineærRegression_Valg[[#This Row],[Uafhængig variabel ID]]</f>
        <v>1</v>
      </c>
      <c r="E1183" t="b">
        <f>LineærRegression_Valg[[#This Row],[Afhængig variabel ID]]&lt;=$B$5</f>
        <v>0</v>
      </c>
      <c r="F1183" t="str" cm="1">
        <f t="array" ref="F1183">IF(LineærRegression_Valg[[#This Row],[Indenfor range]],INDEX(DataTitel_liste,LineærRegression_Valg[[#This Row],[Afhængig variabel ID]]),INDEX(DataTitel_liste,1))</f>
        <v>Eksempel 1 (interval)</v>
      </c>
      <c r="G1183" s="45" t="str" cm="1">
        <f t="array" ref="G1183">IF(LineærRegression_Valg[[#This Row],[Indenfor range]],IF(LineærRegression_Valg[[#This Row],[Intet overlap]],INDEX(DataTitel_liste,LineærRegression_Valg[[#This Row],[Uafhængig variabel ID]]),INDEX(DataTitel_liste,IF(LineærRegression_Valg[[#This Row],[Afhængig variabel ID]]=1,2,1))),$B$7)</f>
        <v>Eksempel 2 (interval)</v>
      </c>
      <c r="H1183" s="45">
        <f>_xlfn.AGGREGATE(2,5,LineærRegression_Valg[[#This Row],[Tabel ID]])</f>
        <v>1</v>
      </c>
    </row>
    <row r="1184" spans="1:8" x14ac:dyDescent="0.2">
      <c r="A1184">
        <f>ROW(LineærRegression_Valg[[#This Row],[Tabel ID]])-ROW(LineærRegression_Valg[[#Headers],[Tabel ID]])</f>
        <v>1174</v>
      </c>
      <c r="B1184" s="45">
        <f>ROUNDDOWN((LineærRegression_Valg[[#This Row],[Tabel ID]]-1)/$B$5,0)+1</f>
        <v>294</v>
      </c>
      <c r="C1184" s="45">
        <f t="shared" si="18"/>
        <v>2</v>
      </c>
      <c r="D1184" s="45" t="b">
        <f>LineærRegression_Valg[[#This Row],[Afhængig variabel ID]]&lt;&gt;LineærRegression_Valg[[#This Row],[Uafhængig variabel ID]]</f>
        <v>1</v>
      </c>
      <c r="E1184" t="b">
        <f>LineærRegression_Valg[[#This Row],[Afhængig variabel ID]]&lt;=$B$5</f>
        <v>0</v>
      </c>
      <c r="F1184" t="str" cm="1">
        <f t="array" ref="F1184">IF(LineærRegression_Valg[[#This Row],[Indenfor range]],INDEX(DataTitel_liste,LineærRegression_Valg[[#This Row],[Afhængig variabel ID]]),INDEX(DataTitel_liste,1))</f>
        <v>Eksempel 1 (interval)</v>
      </c>
      <c r="G1184" s="45" t="str" cm="1">
        <f t="array" ref="G1184">IF(LineærRegression_Valg[[#This Row],[Indenfor range]],IF(LineærRegression_Valg[[#This Row],[Intet overlap]],INDEX(DataTitel_liste,LineærRegression_Valg[[#This Row],[Uafhængig variabel ID]]),INDEX(DataTitel_liste,IF(LineærRegression_Valg[[#This Row],[Afhængig variabel ID]]=1,2,1))),$B$7)</f>
        <v>Eksempel 2 (interval)</v>
      </c>
      <c r="H1184" s="45">
        <f>_xlfn.AGGREGATE(2,5,LineærRegression_Valg[[#This Row],[Tabel ID]])</f>
        <v>1</v>
      </c>
    </row>
    <row r="1185" spans="1:8" x14ac:dyDescent="0.2">
      <c r="A1185">
        <f>ROW(LineærRegression_Valg[[#This Row],[Tabel ID]])-ROW(LineærRegression_Valg[[#Headers],[Tabel ID]])</f>
        <v>1175</v>
      </c>
      <c r="B1185" s="45">
        <f>ROUNDDOWN((LineærRegression_Valg[[#This Row],[Tabel ID]]-1)/$B$5,0)+1</f>
        <v>294</v>
      </c>
      <c r="C1185" s="45">
        <f t="shared" si="18"/>
        <v>3</v>
      </c>
      <c r="D1185" s="45" t="b">
        <f>LineærRegression_Valg[[#This Row],[Afhængig variabel ID]]&lt;&gt;LineærRegression_Valg[[#This Row],[Uafhængig variabel ID]]</f>
        <v>1</v>
      </c>
      <c r="E1185" t="b">
        <f>LineærRegression_Valg[[#This Row],[Afhængig variabel ID]]&lt;=$B$5</f>
        <v>0</v>
      </c>
      <c r="F1185" t="str" cm="1">
        <f t="array" ref="F1185">IF(LineærRegression_Valg[[#This Row],[Indenfor range]],INDEX(DataTitel_liste,LineærRegression_Valg[[#This Row],[Afhængig variabel ID]]),INDEX(DataTitel_liste,1))</f>
        <v>Eksempel 1 (interval)</v>
      </c>
      <c r="G1185" s="45" t="str" cm="1">
        <f t="array" ref="G1185">IF(LineærRegression_Valg[[#This Row],[Indenfor range]],IF(LineærRegression_Valg[[#This Row],[Intet overlap]],INDEX(DataTitel_liste,LineærRegression_Valg[[#This Row],[Uafhængig variabel ID]]),INDEX(DataTitel_liste,IF(LineærRegression_Valg[[#This Row],[Afhængig variabel ID]]=1,2,1))),$B$7)</f>
        <v>Eksempel 2 (interval)</v>
      </c>
      <c r="H1185" s="45">
        <f>_xlfn.AGGREGATE(2,5,LineærRegression_Valg[[#This Row],[Tabel ID]])</f>
        <v>1</v>
      </c>
    </row>
    <row r="1186" spans="1:8" x14ac:dyDescent="0.2">
      <c r="A1186">
        <f>ROW(LineærRegression_Valg[[#This Row],[Tabel ID]])-ROW(LineærRegression_Valg[[#Headers],[Tabel ID]])</f>
        <v>1176</v>
      </c>
      <c r="B1186" s="45">
        <f>ROUNDDOWN((LineærRegression_Valg[[#This Row],[Tabel ID]]-1)/$B$5,0)+1</f>
        <v>294</v>
      </c>
      <c r="C1186" s="45">
        <f t="shared" si="18"/>
        <v>4</v>
      </c>
      <c r="D1186" s="45" t="b">
        <f>LineærRegression_Valg[[#This Row],[Afhængig variabel ID]]&lt;&gt;LineærRegression_Valg[[#This Row],[Uafhængig variabel ID]]</f>
        <v>1</v>
      </c>
      <c r="E1186" t="b">
        <f>LineærRegression_Valg[[#This Row],[Afhængig variabel ID]]&lt;=$B$5</f>
        <v>0</v>
      </c>
      <c r="F1186" t="str" cm="1">
        <f t="array" ref="F1186">IF(LineærRegression_Valg[[#This Row],[Indenfor range]],INDEX(DataTitel_liste,LineærRegression_Valg[[#This Row],[Afhængig variabel ID]]),INDEX(DataTitel_liste,1))</f>
        <v>Eksempel 1 (interval)</v>
      </c>
      <c r="G1186" s="45" t="str" cm="1">
        <f t="array" ref="G1186">IF(LineærRegression_Valg[[#This Row],[Indenfor range]],IF(LineærRegression_Valg[[#This Row],[Intet overlap]],INDEX(DataTitel_liste,LineærRegression_Valg[[#This Row],[Uafhængig variabel ID]]),INDEX(DataTitel_liste,IF(LineærRegression_Valg[[#This Row],[Afhængig variabel ID]]=1,2,1))),$B$7)</f>
        <v>Eksempel 2 (interval)</v>
      </c>
      <c r="H1186" s="45">
        <f>_xlfn.AGGREGATE(2,5,LineærRegression_Valg[[#This Row],[Tabel ID]])</f>
        <v>1</v>
      </c>
    </row>
    <row r="1187" spans="1:8" x14ac:dyDescent="0.2">
      <c r="A1187">
        <f>ROW(LineærRegression_Valg[[#This Row],[Tabel ID]])-ROW(LineærRegression_Valg[[#Headers],[Tabel ID]])</f>
        <v>1177</v>
      </c>
      <c r="B1187" s="45">
        <f>ROUNDDOWN((LineærRegression_Valg[[#This Row],[Tabel ID]]-1)/$B$5,0)+1</f>
        <v>295</v>
      </c>
      <c r="C1187" s="45">
        <f t="shared" si="18"/>
        <v>1</v>
      </c>
      <c r="D1187" s="45" t="b">
        <f>LineærRegression_Valg[[#This Row],[Afhængig variabel ID]]&lt;&gt;LineærRegression_Valg[[#This Row],[Uafhængig variabel ID]]</f>
        <v>1</v>
      </c>
      <c r="E1187" t="b">
        <f>LineærRegression_Valg[[#This Row],[Afhængig variabel ID]]&lt;=$B$5</f>
        <v>0</v>
      </c>
      <c r="F1187" t="str" cm="1">
        <f t="array" ref="F1187">IF(LineærRegression_Valg[[#This Row],[Indenfor range]],INDEX(DataTitel_liste,LineærRegression_Valg[[#This Row],[Afhængig variabel ID]]),INDEX(DataTitel_liste,1))</f>
        <v>Eksempel 1 (interval)</v>
      </c>
      <c r="G1187" s="45" t="str" cm="1">
        <f t="array" ref="G1187">IF(LineærRegression_Valg[[#This Row],[Indenfor range]],IF(LineærRegression_Valg[[#This Row],[Intet overlap]],INDEX(DataTitel_liste,LineærRegression_Valg[[#This Row],[Uafhængig variabel ID]]),INDEX(DataTitel_liste,IF(LineærRegression_Valg[[#This Row],[Afhængig variabel ID]]=1,2,1))),$B$7)</f>
        <v>Eksempel 2 (interval)</v>
      </c>
      <c r="H1187" s="45">
        <f>_xlfn.AGGREGATE(2,5,LineærRegression_Valg[[#This Row],[Tabel ID]])</f>
        <v>1</v>
      </c>
    </row>
    <row r="1188" spans="1:8" x14ac:dyDescent="0.2">
      <c r="A1188">
        <f>ROW(LineærRegression_Valg[[#This Row],[Tabel ID]])-ROW(LineærRegression_Valg[[#Headers],[Tabel ID]])</f>
        <v>1178</v>
      </c>
      <c r="B1188" s="45">
        <f>ROUNDDOWN((LineærRegression_Valg[[#This Row],[Tabel ID]]-1)/$B$5,0)+1</f>
        <v>295</v>
      </c>
      <c r="C1188" s="45">
        <f t="shared" si="18"/>
        <v>2</v>
      </c>
      <c r="D1188" s="45" t="b">
        <f>LineærRegression_Valg[[#This Row],[Afhængig variabel ID]]&lt;&gt;LineærRegression_Valg[[#This Row],[Uafhængig variabel ID]]</f>
        <v>1</v>
      </c>
      <c r="E1188" t="b">
        <f>LineærRegression_Valg[[#This Row],[Afhængig variabel ID]]&lt;=$B$5</f>
        <v>0</v>
      </c>
      <c r="F1188" t="str" cm="1">
        <f t="array" ref="F1188">IF(LineærRegression_Valg[[#This Row],[Indenfor range]],INDEX(DataTitel_liste,LineærRegression_Valg[[#This Row],[Afhængig variabel ID]]),INDEX(DataTitel_liste,1))</f>
        <v>Eksempel 1 (interval)</v>
      </c>
      <c r="G1188" s="45" t="str" cm="1">
        <f t="array" ref="G1188">IF(LineærRegression_Valg[[#This Row],[Indenfor range]],IF(LineærRegression_Valg[[#This Row],[Intet overlap]],INDEX(DataTitel_liste,LineærRegression_Valg[[#This Row],[Uafhængig variabel ID]]),INDEX(DataTitel_liste,IF(LineærRegression_Valg[[#This Row],[Afhængig variabel ID]]=1,2,1))),$B$7)</f>
        <v>Eksempel 2 (interval)</v>
      </c>
      <c r="H1188" s="45">
        <f>_xlfn.AGGREGATE(2,5,LineærRegression_Valg[[#This Row],[Tabel ID]])</f>
        <v>1</v>
      </c>
    </row>
    <row r="1189" spans="1:8" x14ac:dyDescent="0.2">
      <c r="A1189">
        <f>ROW(LineærRegression_Valg[[#This Row],[Tabel ID]])-ROW(LineærRegression_Valg[[#Headers],[Tabel ID]])</f>
        <v>1179</v>
      </c>
      <c r="B1189" s="45">
        <f>ROUNDDOWN((LineærRegression_Valg[[#This Row],[Tabel ID]]-1)/$B$5,0)+1</f>
        <v>295</v>
      </c>
      <c r="C1189" s="45">
        <f t="shared" si="18"/>
        <v>3</v>
      </c>
      <c r="D1189" s="45" t="b">
        <f>LineærRegression_Valg[[#This Row],[Afhængig variabel ID]]&lt;&gt;LineærRegression_Valg[[#This Row],[Uafhængig variabel ID]]</f>
        <v>1</v>
      </c>
      <c r="E1189" t="b">
        <f>LineærRegression_Valg[[#This Row],[Afhængig variabel ID]]&lt;=$B$5</f>
        <v>0</v>
      </c>
      <c r="F1189" t="str" cm="1">
        <f t="array" ref="F1189">IF(LineærRegression_Valg[[#This Row],[Indenfor range]],INDEX(DataTitel_liste,LineærRegression_Valg[[#This Row],[Afhængig variabel ID]]),INDEX(DataTitel_liste,1))</f>
        <v>Eksempel 1 (interval)</v>
      </c>
      <c r="G1189" s="45" t="str" cm="1">
        <f t="array" ref="G1189">IF(LineærRegression_Valg[[#This Row],[Indenfor range]],IF(LineærRegression_Valg[[#This Row],[Intet overlap]],INDEX(DataTitel_liste,LineærRegression_Valg[[#This Row],[Uafhængig variabel ID]]),INDEX(DataTitel_liste,IF(LineærRegression_Valg[[#This Row],[Afhængig variabel ID]]=1,2,1))),$B$7)</f>
        <v>Eksempel 2 (interval)</v>
      </c>
      <c r="H1189" s="45">
        <f>_xlfn.AGGREGATE(2,5,LineærRegression_Valg[[#This Row],[Tabel ID]])</f>
        <v>1</v>
      </c>
    </row>
    <row r="1190" spans="1:8" x14ac:dyDescent="0.2">
      <c r="A1190">
        <f>ROW(LineærRegression_Valg[[#This Row],[Tabel ID]])-ROW(LineærRegression_Valg[[#Headers],[Tabel ID]])</f>
        <v>1180</v>
      </c>
      <c r="B1190" s="45">
        <f>ROUNDDOWN((LineærRegression_Valg[[#This Row],[Tabel ID]]-1)/$B$5,0)+1</f>
        <v>295</v>
      </c>
      <c r="C1190" s="45">
        <f t="shared" si="18"/>
        <v>4</v>
      </c>
      <c r="D1190" s="45" t="b">
        <f>LineærRegression_Valg[[#This Row],[Afhængig variabel ID]]&lt;&gt;LineærRegression_Valg[[#This Row],[Uafhængig variabel ID]]</f>
        <v>1</v>
      </c>
      <c r="E1190" t="b">
        <f>LineærRegression_Valg[[#This Row],[Afhængig variabel ID]]&lt;=$B$5</f>
        <v>0</v>
      </c>
      <c r="F1190" t="str" cm="1">
        <f t="array" ref="F1190">IF(LineærRegression_Valg[[#This Row],[Indenfor range]],INDEX(DataTitel_liste,LineærRegression_Valg[[#This Row],[Afhængig variabel ID]]),INDEX(DataTitel_liste,1))</f>
        <v>Eksempel 1 (interval)</v>
      </c>
      <c r="G1190" s="45" t="str" cm="1">
        <f t="array" ref="G1190">IF(LineærRegression_Valg[[#This Row],[Indenfor range]],IF(LineærRegression_Valg[[#This Row],[Intet overlap]],INDEX(DataTitel_liste,LineærRegression_Valg[[#This Row],[Uafhængig variabel ID]]),INDEX(DataTitel_liste,IF(LineærRegression_Valg[[#This Row],[Afhængig variabel ID]]=1,2,1))),$B$7)</f>
        <v>Eksempel 2 (interval)</v>
      </c>
      <c r="H1190" s="45">
        <f>_xlfn.AGGREGATE(2,5,LineærRegression_Valg[[#This Row],[Tabel ID]])</f>
        <v>1</v>
      </c>
    </row>
    <row r="1191" spans="1:8" x14ac:dyDescent="0.2">
      <c r="A1191">
        <f>ROW(LineærRegression_Valg[[#This Row],[Tabel ID]])-ROW(LineærRegression_Valg[[#Headers],[Tabel ID]])</f>
        <v>1181</v>
      </c>
      <c r="B1191" s="45">
        <f>ROUNDDOWN((LineærRegression_Valg[[#This Row],[Tabel ID]]-1)/$B$5,0)+1</f>
        <v>296</v>
      </c>
      <c r="C1191" s="45">
        <f t="shared" si="18"/>
        <v>1</v>
      </c>
      <c r="D1191" s="45" t="b">
        <f>LineærRegression_Valg[[#This Row],[Afhængig variabel ID]]&lt;&gt;LineærRegression_Valg[[#This Row],[Uafhængig variabel ID]]</f>
        <v>1</v>
      </c>
      <c r="E1191" t="b">
        <f>LineærRegression_Valg[[#This Row],[Afhængig variabel ID]]&lt;=$B$5</f>
        <v>0</v>
      </c>
      <c r="F1191" t="str" cm="1">
        <f t="array" ref="F1191">IF(LineærRegression_Valg[[#This Row],[Indenfor range]],INDEX(DataTitel_liste,LineærRegression_Valg[[#This Row],[Afhængig variabel ID]]),INDEX(DataTitel_liste,1))</f>
        <v>Eksempel 1 (interval)</v>
      </c>
      <c r="G1191" s="45" t="str" cm="1">
        <f t="array" ref="G1191">IF(LineærRegression_Valg[[#This Row],[Indenfor range]],IF(LineærRegression_Valg[[#This Row],[Intet overlap]],INDEX(DataTitel_liste,LineærRegression_Valg[[#This Row],[Uafhængig variabel ID]]),INDEX(DataTitel_liste,IF(LineærRegression_Valg[[#This Row],[Afhængig variabel ID]]=1,2,1))),$B$7)</f>
        <v>Eksempel 2 (interval)</v>
      </c>
      <c r="H1191" s="45">
        <f>_xlfn.AGGREGATE(2,5,LineærRegression_Valg[[#This Row],[Tabel ID]])</f>
        <v>1</v>
      </c>
    </row>
    <row r="1192" spans="1:8" x14ac:dyDescent="0.2">
      <c r="A1192">
        <f>ROW(LineærRegression_Valg[[#This Row],[Tabel ID]])-ROW(LineærRegression_Valg[[#Headers],[Tabel ID]])</f>
        <v>1182</v>
      </c>
      <c r="B1192" s="45">
        <f>ROUNDDOWN((LineærRegression_Valg[[#This Row],[Tabel ID]]-1)/$B$5,0)+1</f>
        <v>296</v>
      </c>
      <c r="C1192" s="45">
        <f t="shared" si="18"/>
        <v>2</v>
      </c>
      <c r="D1192" s="45" t="b">
        <f>LineærRegression_Valg[[#This Row],[Afhængig variabel ID]]&lt;&gt;LineærRegression_Valg[[#This Row],[Uafhængig variabel ID]]</f>
        <v>1</v>
      </c>
      <c r="E1192" t="b">
        <f>LineærRegression_Valg[[#This Row],[Afhængig variabel ID]]&lt;=$B$5</f>
        <v>0</v>
      </c>
      <c r="F1192" t="str" cm="1">
        <f t="array" ref="F1192">IF(LineærRegression_Valg[[#This Row],[Indenfor range]],INDEX(DataTitel_liste,LineærRegression_Valg[[#This Row],[Afhængig variabel ID]]),INDEX(DataTitel_liste,1))</f>
        <v>Eksempel 1 (interval)</v>
      </c>
      <c r="G1192" s="45" t="str" cm="1">
        <f t="array" ref="G1192">IF(LineærRegression_Valg[[#This Row],[Indenfor range]],IF(LineærRegression_Valg[[#This Row],[Intet overlap]],INDEX(DataTitel_liste,LineærRegression_Valg[[#This Row],[Uafhængig variabel ID]]),INDEX(DataTitel_liste,IF(LineærRegression_Valg[[#This Row],[Afhængig variabel ID]]=1,2,1))),$B$7)</f>
        <v>Eksempel 2 (interval)</v>
      </c>
      <c r="H1192" s="45">
        <f>_xlfn.AGGREGATE(2,5,LineærRegression_Valg[[#This Row],[Tabel ID]])</f>
        <v>1</v>
      </c>
    </row>
    <row r="1193" spans="1:8" x14ac:dyDescent="0.2">
      <c r="A1193">
        <f>ROW(LineærRegression_Valg[[#This Row],[Tabel ID]])-ROW(LineærRegression_Valg[[#Headers],[Tabel ID]])</f>
        <v>1183</v>
      </c>
      <c r="B1193" s="45">
        <f>ROUNDDOWN((LineærRegression_Valg[[#This Row],[Tabel ID]]-1)/$B$5,0)+1</f>
        <v>296</v>
      </c>
      <c r="C1193" s="45">
        <f t="shared" si="18"/>
        <v>3</v>
      </c>
      <c r="D1193" s="45" t="b">
        <f>LineærRegression_Valg[[#This Row],[Afhængig variabel ID]]&lt;&gt;LineærRegression_Valg[[#This Row],[Uafhængig variabel ID]]</f>
        <v>1</v>
      </c>
      <c r="E1193" t="b">
        <f>LineærRegression_Valg[[#This Row],[Afhængig variabel ID]]&lt;=$B$5</f>
        <v>0</v>
      </c>
      <c r="F1193" t="str" cm="1">
        <f t="array" ref="F1193">IF(LineærRegression_Valg[[#This Row],[Indenfor range]],INDEX(DataTitel_liste,LineærRegression_Valg[[#This Row],[Afhængig variabel ID]]),INDEX(DataTitel_liste,1))</f>
        <v>Eksempel 1 (interval)</v>
      </c>
      <c r="G1193" s="45" t="str" cm="1">
        <f t="array" ref="G1193">IF(LineærRegression_Valg[[#This Row],[Indenfor range]],IF(LineærRegression_Valg[[#This Row],[Intet overlap]],INDEX(DataTitel_liste,LineærRegression_Valg[[#This Row],[Uafhængig variabel ID]]),INDEX(DataTitel_liste,IF(LineærRegression_Valg[[#This Row],[Afhængig variabel ID]]=1,2,1))),$B$7)</f>
        <v>Eksempel 2 (interval)</v>
      </c>
      <c r="H1193" s="45">
        <f>_xlfn.AGGREGATE(2,5,LineærRegression_Valg[[#This Row],[Tabel ID]])</f>
        <v>1</v>
      </c>
    </row>
    <row r="1194" spans="1:8" x14ac:dyDescent="0.2">
      <c r="A1194">
        <f>ROW(LineærRegression_Valg[[#This Row],[Tabel ID]])-ROW(LineærRegression_Valg[[#Headers],[Tabel ID]])</f>
        <v>1184</v>
      </c>
      <c r="B1194" s="45">
        <f>ROUNDDOWN((LineærRegression_Valg[[#This Row],[Tabel ID]]-1)/$B$5,0)+1</f>
        <v>296</v>
      </c>
      <c r="C1194" s="45">
        <f t="shared" si="18"/>
        <v>4</v>
      </c>
      <c r="D1194" s="45" t="b">
        <f>LineærRegression_Valg[[#This Row],[Afhængig variabel ID]]&lt;&gt;LineærRegression_Valg[[#This Row],[Uafhængig variabel ID]]</f>
        <v>1</v>
      </c>
      <c r="E1194" t="b">
        <f>LineærRegression_Valg[[#This Row],[Afhængig variabel ID]]&lt;=$B$5</f>
        <v>0</v>
      </c>
      <c r="F1194" t="str" cm="1">
        <f t="array" ref="F1194">IF(LineærRegression_Valg[[#This Row],[Indenfor range]],INDEX(DataTitel_liste,LineærRegression_Valg[[#This Row],[Afhængig variabel ID]]),INDEX(DataTitel_liste,1))</f>
        <v>Eksempel 1 (interval)</v>
      </c>
      <c r="G1194" s="45" t="str" cm="1">
        <f t="array" ref="G1194">IF(LineærRegression_Valg[[#This Row],[Indenfor range]],IF(LineærRegression_Valg[[#This Row],[Intet overlap]],INDEX(DataTitel_liste,LineærRegression_Valg[[#This Row],[Uafhængig variabel ID]]),INDEX(DataTitel_liste,IF(LineærRegression_Valg[[#This Row],[Afhængig variabel ID]]=1,2,1))),$B$7)</f>
        <v>Eksempel 2 (interval)</v>
      </c>
      <c r="H1194" s="45">
        <f>_xlfn.AGGREGATE(2,5,LineærRegression_Valg[[#This Row],[Tabel ID]])</f>
        <v>1</v>
      </c>
    </row>
    <row r="1195" spans="1:8" x14ac:dyDescent="0.2">
      <c r="A1195">
        <f>ROW(LineærRegression_Valg[[#This Row],[Tabel ID]])-ROW(LineærRegression_Valg[[#Headers],[Tabel ID]])</f>
        <v>1185</v>
      </c>
      <c r="B1195" s="45">
        <f>ROUNDDOWN((LineærRegression_Valg[[#This Row],[Tabel ID]]-1)/$B$5,0)+1</f>
        <v>297</v>
      </c>
      <c r="C1195" s="45">
        <f t="shared" si="18"/>
        <v>1</v>
      </c>
      <c r="D1195" s="45" t="b">
        <f>LineærRegression_Valg[[#This Row],[Afhængig variabel ID]]&lt;&gt;LineærRegression_Valg[[#This Row],[Uafhængig variabel ID]]</f>
        <v>1</v>
      </c>
      <c r="E1195" t="b">
        <f>LineærRegression_Valg[[#This Row],[Afhængig variabel ID]]&lt;=$B$5</f>
        <v>0</v>
      </c>
      <c r="F1195" t="str" cm="1">
        <f t="array" ref="F1195">IF(LineærRegression_Valg[[#This Row],[Indenfor range]],INDEX(DataTitel_liste,LineærRegression_Valg[[#This Row],[Afhængig variabel ID]]),INDEX(DataTitel_liste,1))</f>
        <v>Eksempel 1 (interval)</v>
      </c>
      <c r="G1195" s="45" t="str" cm="1">
        <f t="array" ref="G1195">IF(LineærRegression_Valg[[#This Row],[Indenfor range]],IF(LineærRegression_Valg[[#This Row],[Intet overlap]],INDEX(DataTitel_liste,LineærRegression_Valg[[#This Row],[Uafhængig variabel ID]]),INDEX(DataTitel_liste,IF(LineærRegression_Valg[[#This Row],[Afhængig variabel ID]]=1,2,1))),$B$7)</f>
        <v>Eksempel 2 (interval)</v>
      </c>
      <c r="H1195" s="45">
        <f>_xlfn.AGGREGATE(2,5,LineærRegression_Valg[[#This Row],[Tabel ID]])</f>
        <v>1</v>
      </c>
    </row>
    <row r="1196" spans="1:8" x14ac:dyDescent="0.2">
      <c r="A1196">
        <f>ROW(LineærRegression_Valg[[#This Row],[Tabel ID]])-ROW(LineærRegression_Valg[[#Headers],[Tabel ID]])</f>
        <v>1186</v>
      </c>
      <c r="B1196" s="45">
        <f>ROUNDDOWN((LineærRegression_Valg[[#This Row],[Tabel ID]]-1)/$B$5,0)+1</f>
        <v>297</v>
      </c>
      <c r="C1196" s="45">
        <f t="shared" si="18"/>
        <v>2</v>
      </c>
      <c r="D1196" s="45" t="b">
        <f>LineærRegression_Valg[[#This Row],[Afhængig variabel ID]]&lt;&gt;LineærRegression_Valg[[#This Row],[Uafhængig variabel ID]]</f>
        <v>1</v>
      </c>
      <c r="E1196" t="b">
        <f>LineærRegression_Valg[[#This Row],[Afhængig variabel ID]]&lt;=$B$5</f>
        <v>0</v>
      </c>
      <c r="F1196" t="str" cm="1">
        <f t="array" ref="F1196">IF(LineærRegression_Valg[[#This Row],[Indenfor range]],INDEX(DataTitel_liste,LineærRegression_Valg[[#This Row],[Afhængig variabel ID]]),INDEX(DataTitel_liste,1))</f>
        <v>Eksempel 1 (interval)</v>
      </c>
      <c r="G1196" s="45" t="str" cm="1">
        <f t="array" ref="G1196">IF(LineærRegression_Valg[[#This Row],[Indenfor range]],IF(LineærRegression_Valg[[#This Row],[Intet overlap]],INDEX(DataTitel_liste,LineærRegression_Valg[[#This Row],[Uafhængig variabel ID]]),INDEX(DataTitel_liste,IF(LineærRegression_Valg[[#This Row],[Afhængig variabel ID]]=1,2,1))),$B$7)</f>
        <v>Eksempel 2 (interval)</v>
      </c>
      <c r="H1196" s="45">
        <f>_xlfn.AGGREGATE(2,5,LineærRegression_Valg[[#This Row],[Tabel ID]])</f>
        <v>1</v>
      </c>
    </row>
    <row r="1197" spans="1:8" x14ac:dyDescent="0.2">
      <c r="A1197">
        <f>ROW(LineærRegression_Valg[[#This Row],[Tabel ID]])-ROW(LineærRegression_Valg[[#Headers],[Tabel ID]])</f>
        <v>1187</v>
      </c>
      <c r="B1197" s="45">
        <f>ROUNDDOWN((LineærRegression_Valg[[#This Row],[Tabel ID]]-1)/$B$5,0)+1</f>
        <v>297</v>
      </c>
      <c r="C1197" s="45">
        <f t="shared" si="18"/>
        <v>3</v>
      </c>
      <c r="D1197" s="45" t="b">
        <f>LineærRegression_Valg[[#This Row],[Afhængig variabel ID]]&lt;&gt;LineærRegression_Valg[[#This Row],[Uafhængig variabel ID]]</f>
        <v>1</v>
      </c>
      <c r="E1197" t="b">
        <f>LineærRegression_Valg[[#This Row],[Afhængig variabel ID]]&lt;=$B$5</f>
        <v>0</v>
      </c>
      <c r="F1197" t="str" cm="1">
        <f t="array" ref="F1197">IF(LineærRegression_Valg[[#This Row],[Indenfor range]],INDEX(DataTitel_liste,LineærRegression_Valg[[#This Row],[Afhængig variabel ID]]),INDEX(DataTitel_liste,1))</f>
        <v>Eksempel 1 (interval)</v>
      </c>
      <c r="G1197" s="45" t="str" cm="1">
        <f t="array" ref="G1197">IF(LineærRegression_Valg[[#This Row],[Indenfor range]],IF(LineærRegression_Valg[[#This Row],[Intet overlap]],INDEX(DataTitel_liste,LineærRegression_Valg[[#This Row],[Uafhængig variabel ID]]),INDEX(DataTitel_liste,IF(LineærRegression_Valg[[#This Row],[Afhængig variabel ID]]=1,2,1))),$B$7)</f>
        <v>Eksempel 2 (interval)</v>
      </c>
      <c r="H1197" s="45">
        <f>_xlfn.AGGREGATE(2,5,LineærRegression_Valg[[#This Row],[Tabel ID]])</f>
        <v>1</v>
      </c>
    </row>
    <row r="1198" spans="1:8" x14ac:dyDescent="0.2">
      <c r="A1198">
        <f>ROW(LineærRegression_Valg[[#This Row],[Tabel ID]])-ROW(LineærRegression_Valg[[#Headers],[Tabel ID]])</f>
        <v>1188</v>
      </c>
      <c r="B1198" s="45">
        <f>ROUNDDOWN((LineærRegression_Valg[[#This Row],[Tabel ID]]-1)/$B$5,0)+1</f>
        <v>297</v>
      </c>
      <c r="C1198" s="45">
        <f t="shared" si="18"/>
        <v>4</v>
      </c>
      <c r="D1198" s="45" t="b">
        <f>LineærRegression_Valg[[#This Row],[Afhængig variabel ID]]&lt;&gt;LineærRegression_Valg[[#This Row],[Uafhængig variabel ID]]</f>
        <v>1</v>
      </c>
      <c r="E1198" t="b">
        <f>LineærRegression_Valg[[#This Row],[Afhængig variabel ID]]&lt;=$B$5</f>
        <v>0</v>
      </c>
      <c r="F1198" t="str" cm="1">
        <f t="array" ref="F1198">IF(LineærRegression_Valg[[#This Row],[Indenfor range]],INDEX(DataTitel_liste,LineærRegression_Valg[[#This Row],[Afhængig variabel ID]]),INDEX(DataTitel_liste,1))</f>
        <v>Eksempel 1 (interval)</v>
      </c>
      <c r="G1198" s="45" t="str" cm="1">
        <f t="array" ref="G1198">IF(LineærRegression_Valg[[#This Row],[Indenfor range]],IF(LineærRegression_Valg[[#This Row],[Intet overlap]],INDEX(DataTitel_liste,LineærRegression_Valg[[#This Row],[Uafhængig variabel ID]]),INDEX(DataTitel_liste,IF(LineærRegression_Valg[[#This Row],[Afhængig variabel ID]]=1,2,1))),$B$7)</f>
        <v>Eksempel 2 (interval)</v>
      </c>
      <c r="H1198" s="45">
        <f>_xlfn.AGGREGATE(2,5,LineærRegression_Valg[[#This Row],[Tabel ID]])</f>
        <v>1</v>
      </c>
    </row>
    <row r="1199" spans="1:8" x14ac:dyDescent="0.2">
      <c r="A1199">
        <f>ROW(LineærRegression_Valg[[#This Row],[Tabel ID]])-ROW(LineærRegression_Valg[[#Headers],[Tabel ID]])</f>
        <v>1189</v>
      </c>
      <c r="B1199" s="45">
        <f>ROUNDDOWN((LineærRegression_Valg[[#This Row],[Tabel ID]]-1)/$B$5,0)+1</f>
        <v>298</v>
      </c>
      <c r="C1199" s="45">
        <f t="shared" si="18"/>
        <v>1</v>
      </c>
      <c r="D1199" s="45" t="b">
        <f>LineærRegression_Valg[[#This Row],[Afhængig variabel ID]]&lt;&gt;LineærRegression_Valg[[#This Row],[Uafhængig variabel ID]]</f>
        <v>1</v>
      </c>
      <c r="E1199" t="b">
        <f>LineærRegression_Valg[[#This Row],[Afhængig variabel ID]]&lt;=$B$5</f>
        <v>0</v>
      </c>
      <c r="F1199" t="str" cm="1">
        <f t="array" ref="F1199">IF(LineærRegression_Valg[[#This Row],[Indenfor range]],INDEX(DataTitel_liste,LineærRegression_Valg[[#This Row],[Afhængig variabel ID]]),INDEX(DataTitel_liste,1))</f>
        <v>Eksempel 1 (interval)</v>
      </c>
      <c r="G1199" s="45" t="str" cm="1">
        <f t="array" ref="G1199">IF(LineærRegression_Valg[[#This Row],[Indenfor range]],IF(LineærRegression_Valg[[#This Row],[Intet overlap]],INDEX(DataTitel_liste,LineærRegression_Valg[[#This Row],[Uafhængig variabel ID]]),INDEX(DataTitel_liste,IF(LineærRegression_Valg[[#This Row],[Afhængig variabel ID]]=1,2,1))),$B$7)</f>
        <v>Eksempel 2 (interval)</v>
      </c>
      <c r="H1199" s="45">
        <f>_xlfn.AGGREGATE(2,5,LineærRegression_Valg[[#This Row],[Tabel ID]])</f>
        <v>1</v>
      </c>
    </row>
    <row r="1200" spans="1:8" x14ac:dyDescent="0.2">
      <c r="A1200">
        <f>ROW(LineærRegression_Valg[[#This Row],[Tabel ID]])-ROW(LineærRegression_Valg[[#Headers],[Tabel ID]])</f>
        <v>1190</v>
      </c>
      <c r="B1200" s="45">
        <f>ROUNDDOWN((LineærRegression_Valg[[#This Row],[Tabel ID]]-1)/$B$5,0)+1</f>
        <v>298</v>
      </c>
      <c r="C1200" s="45">
        <f t="shared" si="18"/>
        <v>2</v>
      </c>
      <c r="D1200" s="45" t="b">
        <f>LineærRegression_Valg[[#This Row],[Afhængig variabel ID]]&lt;&gt;LineærRegression_Valg[[#This Row],[Uafhængig variabel ID]]</f>
        <v>1</v>
      </c>
      <c r="E1200" t="b">
        <f>LineærRegression_Valg[[#This Row],[Afhængig variabel ID]]&lt;=$B$5</f>
        <v>0</v>
      </c>
      <c r="F1200" t="str" cm="1">
        <f t="array" ref="F1200">IF(LineærRegression_Valg[[#This Row],[Indenfor range]],INDEX(DataTitel_liste,LineærRegression_Valg[[#This Row],[Afhængig variabel ID]]),INDEX(DataTitel_liste,1))</f>
        <v>Eksempel 1 (interval)</v>
      </c>
      <c r="G1200" s="45" t="str" cm="1">
        <f t="array" ref="G1200">IF(LineærRegression_Valg[[#This Row],[Indenfor range]],IF(LineærRegression_Valg[[#This Row],[Intet overlap]],INDEX(DataTitel_liste,LineærRegression_Valg[[#This Row],[Uafhængig variabel ID]]),INDEX(DataTitel_liste,IF(LineærRegression_Valg[[#This Row],[Afhængig variabel ID]]=1,2,1))),$B$7)</f>
        <v>Eksempel 2 (interval)</v>
      </c>
      <c r="H1200" s="45">
        <f>_xlfn.AGGREGATE(2,5,LineærRegression_Valg[[#This Row],[Tabel ID]])</f>
        <v>1</v>
      </c>
    </row>
    <row r="1201" spans="1:8" x14ac:dyDescent="0.2">
      <c r="A1201">
        <f>ROW(LineærRegression_Valg[[#This Row],[Tabel ID]])-ROW(LineærRegression_Valg[[#Headers],[Tabel ID]])</f>
        <v>1191</v>
      </c>
      <c r="B1201" s="45">
        <f>ROUNDDOWN((LineærRegression_Valg[[#This Row],[Tabel ID]]-1)/$B$5,0)+1</f>
        <v>298</v>
      </c>
      <c r="C1201" s="45">
        <f t="shared" si="18"/>
        <v>3</v>
      </c>
      <c r="D1201" s="45" t="b">
        <f>LineærRegression_Valg[[#This Row],[Afhængig variabel ID]]&lt;&gt;LineærRegression_Valg[[#This Row],[Uafhængig variabel ID]]</f>
        <v>1</v>
      </c>
      <c r="E1201" t="b">
        <f>LineærRegression_Valg[[#This Row],[Afhængig variabel ID]]&lt;=$B$5</f>
        <v>0</v>
      </c>
      <c r="F1201" t="str" cm="1">
        <f t="array" ref="F1201">IF(LineærRegression_Valg[[#This Row],[Indenfor range]],INDEX(DataTitel_liste,LineærRegression_Valg[[#This Row],[Afhængig variabel ID]]),INDEX(DataTitel_liste,1))</f>
        <v>Eksempel 1 (interval)</v>
      </c>
      <c r="G1201" s="45" t="str" cm="1">
        <f t="array" ref="G1201">IF(LineærRegression_Valg[[#This Row],[Indenfor range]],IF(LineærRegression_Valg[[#This Row],[Intet overlap]],INDEX(DataTitel_liste,LineærRegression_Valg[[#This Row],[Uafhængig variabel ID]]),INDEX(DataTitel_liste,IF(LineærRegression_Valg[[#This Row],[Afhængig variabel ID]]=1,2,1))),$B$7)</f>
        <v>Eksempel 2 (interval)</v>
      </c>
      <c r="H1201" s="45">
        <f>_xlfn.AGGREGATE(2,5,LineærRegression_Valg[[#This Row],[Tabel ID]])</f>
        <v>1</v>
      </c>
    </row>
    <row r="1202" spans="1:8" x14ac:dyDescent="0.2">
      <c r="A1202">
        <f>ROW(LineærRegression_Valg[[#This Row],[Tabel ID]])-ROW(LineærRegression_Valg[[#Headers],[Tabel ID]])</f>
        <v>1192</v>
      </c>
      <c r="B1202" s="45">
        <f>ROUNDDOWN((LineærRegression_Valg[[#This Row],[Tabel ID]]-1)/$B$5,0)+1</f>
        <v>298</v>
      </c>
      <c r="C1202" s="45">
        <f t="shared" si="18"/>
        <v>4</v>
      </c>
      <c r="D1202" s="45" t="b">
        <f>LineærRegression_Valg[[#This Row],[Afhængig variabel ID]]&lt;&gt;LineærRegression_Valg[[#This Row],[Uafhængig variabel ID]]</f>
        <v>1</v>
      </c>
      <c r="E1202" t="b">
        <f>LineærRegression_Valg[[#This Row],[Afhængig variabel ID]]&lt;=$B$5</f>
        <v>0</v>
      </c>
      <c r="F1202" t="str" cm="1">
        <f t="array" ref="F1202">IF(LineærRegression_Valg[[#This Row],[Indenfor range]],INDEX(DataTitel_liste,LineærRegression_Valg[[#This Row],[Afhængig variabel ID]]),INDEX(DataTitel_liste,1))</f>
        <v>Eksempel 1 (interval)</v>
      </c>
      <c r="G1202" s="45" t="str" cm="1">
        <f t="array" ref="G1202">IF(LineærRegression_Valg[[#This Row],[Indenfor range]],IF(LineærRegression_Valg[[#This Row],[Intet overlap]],INDEX(DataTitel_liste,LineærRegression_Valg[[#This Row],[Uafhængig variabel ID]]),INDEX(DataTitel_liste,IF(LineærRegression_Valg[[#This Row],[Afhængig variabel ID]]=1,2,1))),$B$7)</f>
        <v>Eksempel 2 (interval)</v>
      </c>
      <c r="H1202" s="45">
        <f>_xlfn.AGGREGATE(2,5,LineærRegression_Valg[[#This Row],[Tabel ID]])</f>
        <v>1</v>
      </c>
    </row>
    <row r="1203" spans="1:8" x14ac:dyDescent="0.2">
      <c r="A1203">
        <f>ROW(LineærRegression_Valg[[#This Row],[Tabel ID]])-ROW(LineærRegression_Valg[[#Headers],[Tabel ID]])</f>
        <v>1193</v>
      </c>
      <c r="B1203" s="45">
        <f>ROUNDDOWN((LineærRegression_Valg[[#This Row],[Tabel ID]]-1)/$B$5,0)+1</f>
        <v>299</v>
      </c>
      <c r="C1203" s="45">
        <f t="shared" si="18"/>
        <v>1</v>
      </c>
      <c r="D1203" s="45" t="b">
        <f>LineærRegression_Valg[[#This Row],[Afhængig variabel ID]]&lt;&gt;LineærRegression_Valg[[#This Row],[Uafhængig variabel ID]]</f>
        <v>1</v>
      </c>
      <c r="E1203" t="b">
        <f>LineærRegression_Valg[[#This Row],[Afhængig variabel ID]]&lt;=$B$5</f>
        <v>0</v>
      </c>
      <c r="F1203" t="str" cm="1">
        <f t="array" ref="F1203">IF(LineærRegression_Valg[[#This Row],[Indenfor range]],INDEX(DataTitel_liste,LineærRegression_Valg[[#This Row],[Afhængig variabel ID]]),INDEX(DataTitel_liste,1))</f>
        <v>Eksempel 1 (interval)</v>
      </c>
      <c r="G1203" s="45" t="str" cm="1">
        <f t="array" ref="G1203">IF(LineærRegression_Valg[[#This Row],[Indenfor range]],IF(LineærRegression_Valg[[#This Row],[Intet overlap]],INDEX(DataTitel_liste,LineærRegression_Valg[[#This Row],[Uafhængig variabel ID]]),INDEX(DataTitel_liste,IF(LineærRegression_Valg[[#This Row],[Afhængig variabel ID]]=1,2,1))),$B$7)</f>
        <v>Eksempel 2 (interval)</v>
      </c>
      <c r="H1203" s="45">
        <f>_xlfn.AGGREGATE(2,5,LineærRegression_Valg[[#This Row],[Tabel ID]])</f>
        <v>1</v>
      </c>
    </row>
    <row r="1204" spans="1:8" x14ac:dyDescent="0.2">
      <c r="A1204">
        <f>ROW(LineærRegression_Valg[[#This Row],[Tabel ID]])-ROW(LineærRegression_Valg[[#Headers],[Tabel ID]])</f>
        <v>1194</v>
      </c>
      <c r="B1204" s="45">
        <f>ROUNDDOWN((LineærRegression_Valg[[#This Row],[Tabel ID]]-1)/$B$5,0)+1</f>
        <v>299</v>
      </c>
      <c r="C1204" s="45">
        <f t="shared" si="18"/>
        <v>2</v>
      </c>
      <c r="D1204" s="45" t="b">
        <f>LineærRegression_Valg[[#This Row],[Afhængig variabel ID]]&lt;&gt;LineærRegression_Valg[[#This Row],[Uafhængig variabel ID]]</f>
        <v>1</v>
      </c>
      <c r="E1204" t="b">
        <f>LineærRegression_Valg[[#This Row],[Afhængig variabel ID]]&lt;=$B$5</f>
        <v>0</v>
      </c>
      <c r="F1204" t="str" cm="1">
        <f t="array" ref="F1204">IF(LineærRegression_Valg[[#This Row],[Indenfor range]],INDEX(DataTitel_liste,LineærRegression_Valg[[#This Row],[Afhængig variabel ID]]),INDEX(DataTitel_liste,1))</f>
        <v>Eksempel 1 (interval)</v>
      </c>
      <c r="G1204" s="45" t="str" cm="1">
        <f t="array" ref="G1204">IF(LineærRegression_Valg[[#This Row],[Indenfor range]],IF(LineærRegression_Valg[[#This Row],[Intet overlap]],INDEX(DataTitel_liste,LineærRegression_Valg[[#This Row],[Uafhængig variabel ID]]),INDEX(DataTitel_liste,IF(LineærRegression_Valg[[#This Row],[Afhængig variabel ID]]=1,2,1))),$B$7)</f>
        <v>Eksempel 2 (interval)</v>
      </c>
      <c r="H1204" s="45">
        <f>_xlfn.AGGREGATE(2,5,LineærRegression_Valg[[#This Row],[Tabel ID]])</f>
        <v>1</v>
      </c>
    </row>
    <row r="1205" spans="1:8" x14ac:dyDescent="0.2">
      <c r="A1205">
        <f>ROW(LineærRegression_Valg[[#This Row],[Tabel ID]])-ROW(LineærRegression_Valg[[#Headers],[Tabel ID]])</f>
        <v>1195</v>
      </c>
      <c r="B1205" s="45">
        <f>ROUNDDOWN((LineærRegression_Valg[[#This Row],[Tabel ID]]-1)/$B$5,0)+1</f>
        <v>299</v>
      </c>
      <c r="C1205" s="45">
        <f t="shared" si="18"/>
        <v>3</v>
      </c>
      <c r="D1205" s="45" t="b">
        <f>LineærRegression_Valg[[#This Row],[Afhængig variabel ID]]&lt;&gt;LineærRegression_Valg[[#This Row],[Uafhængig variabel ID]]</f>
        <v>1</v>
      </c>
      <c r="E1205" t="b">
        <f>LineærRegression_Valg[[#This Row],[Afhængig variabel ID]]&lt;=$B$5</f>
        <v>0</v>
      </c>
      <c r="F1205" t="str" cm="1">
        <f t="array" ref="F1205">IF(LineærRegression_Valg[[#This Row],[Indenfor range]],INDEX(DataTitel_liste,LineærRegression_Valg[[#This Row],[Afhængig variabel ID]]),INDEX(DataTitel_liste,1))</f>
        <v>Eksempel 1 (interval)</v>
      </c>
      <c r="G1205" s="45" t="str" cm="1">
        <f t="array" ref="G1205">IF(LineærRegression_Valg[[#This Row],[Indenfor range]],IF(LineærRegression_Valg[[#This Row],[Intet overlap]],INDEX(DataTitel_liste,LineærRegression_Valg[[#This Row],[Uafhængig variabel ID]]),INDEX(DataTitel_liste,IF(LineærRegression_Valg[[#This Row],[Afhængig variabel ID]]=1,2,1))),$B$7)</f>
        <v>Eksempel 2 (interval)</v>
      </c>
      <c r="H1205" s="45">
        <f>_xlfn.AGGREGATE(2,5,LineærRegression_Valg[[#This Row],[Tabel ID]])</f>
        <v>1</v>
      </c>
    </row>
    <row r="1206" spans="1:8" x14ac:dyDescent="0.2">
      <c r="A1206">
        <f>ROW(LineærRegression_Valg[[#This Row],[Tabel ID]])-ROW(LineærRegression_Valg[[#Headers],[Tabel ID]])</f>
        <v>1196</v>
      </c>
      <c r="B1206" s="45">
        <f>ROUNDDOWN((LineærRegression_Valg[[#This Row],[Tabel ID]]-1)/$B$5,0)+1</f>
        <v>299</v>
      </c>
      <c r="C1206" s="45">
        <f t="shared" si="18"/>
        <v>4</v>
      </c>
      <c r="D1206" s="45" t="b">
        <f>LineærRegression_Valg[[#This Row],[Afhængig variabel ID]]&lt;&gt;LineærRegression_Valg[[#This Row],[Uafhængig variabel ID]]</f>
        <v>1</v>
      </c>
      <c r="E1206" t="b">
        <f>LineærRegression_Valg[[#This Row],[Afhængig variabel ID]]&lt;=$B$5</f>
        <v>0</v>
      </c>
      <c r="F1206" t="str" cm="1">
        <f t="array" ref="F1206">IF(LineærRegression_Valg[[#This Row],[Indenfor range]],INDEX(DataTitel_liste,LineærRegression_Valg[[#This Row],[Afhængig variabel ID]]),INDEX(DataTitel_liste,1))</f>
        <v>Eksempel 1 (interval)</v>
      </c>
      <c r="G1206" s="45" t="str" cm="1">
        <f t="array" ref="G1206">IF(LineærRegression_Valg[[#This Row],[Indenfor range]],IF(LineærRegression_Valg[[#This Row],[Intet overlap]],INDEX(DataTitel_liste,LineærRegression_Valg[[#This Row],[Uafhængig variabel ID]]),INDEX(DataTitel_liste,IF(LineærRegression_Valg[[#This Row],[Afhængig variabel ID]]=1,2,1))),$B$7)</f>
        <v>Eksempel 2 (interval)</v>
      </c>
      <c r="H1206" s="45">
        <f>_xlfn.AGGREGATE(2,5,LineærRegression_Valg[[#This Row],[Tabel ID]])</f>
        <v>1</v>
      </c>
    </row>
    <row r="1207" spans="1:8" x14ac:dyDescent="0.2">
      <c r="A1207">
        <f>ROW(LineærRegression_Valg[[#This Row],[Tabel ID]])-ROW(LineærRegression_Valg[[#Headers],[Tabel ID]])</f>
        <v>1197</v>
      </c>
      <c r="B1207" s="45">
        <f>ROUNDDOWN((LineærRegression_Valg[[#This Row],[Tabel ID]]-1)/$B$5,0)+1</f>
        <v>300</v>
      </c>
      <c r="C1207" s="45">
        <f t="shared" si="18"/>
        <v>1</v>
      </c>
      <c r="D1207" s="45" t="b">
        <f>LineærRegression_Valg[[#This Row],[Afhængig variabel ID]]&lt;&gt;LineærRegression_Valg[[#This Row],[Uafhængig variabel ID]]</f>
        <v>1</v>
      </c>
      <c r="E1207" t="b">
        <f>LineærRegression_Valg[[#This Row],[Afhængig variabel ID]]&lt;=$B$5</f>
        <v>0</v>
      </c>
      <c r="F1207" t="str" cm="1">
        <f t="array" ref="F1207">IF(LineærRegression_Valg[[#This Row],[Indenfor range]],INDEX(DataTitel_liste,LineærRegression_Valg[[#This Row],[Afhængig variabel ID]]),INDEX(DataTitel_liste,1))</f>
        <v>Eksempel 1 (interval)</v>
      </c>
      <c r="G1207" s="45" t="str" cm="1">
        <f t="array" ref="G1207">IF(LineærRegression_Valg[[#This Row],[Indenfor range]],IF(LineærRegression_Valg[[#This Row],[Intet overlap]],INDEX(DataTitel_liste,LineærRegression_Valg[[#This Row],[Uafhængig variabel ID]]),INDEX(DataTitel_liste,IF(LineærRegression_Valg[[#This Row],[Afhængig variabel ID]]=1,2,1))),$B$7)</f>
        <v>Eksempel 2 (interval)</v>
      </c>
      <c r="H1207" s="45">
        <f>_xlfn.AGGREGATE(2,5,LineærRegression_Valg[[#This Row],[Tabel ID]])</f>
        <v>1</v>
      </c>
    </row>
    <row r="1208" spans="1:8" x14ac:dyDescent="0.2">
      <c r="A1208">
        <f>ROW(LineærRegression_Valg[[#This Row],[Tabel ID]])-ROW(LineærRegression_Valg[[#Headers],[Tabel ID]])</f>
        <v>1198</v>
      </c>
      <c r="B1208" s="45">
        <f>ROUNDDOWN((LineærRegression_Valg[[#This Row],[Tabel ID]]-1)/$B$5,0)+1</f>
        <v>300</v>
      </c>
      <c r="C1208" s="45">
        <f t="shared" si="18"/>
        <v>2</v>
      </c>
      <c r="D1208" s="45" t="b">
        <f>LineærRegression_Valg[[#This Row],[Afhængig variabel ID]]&lt;&gt;LineærRegression_Valg[[#This Row],[Uafhængig variabel ID]]</f>
        <v>1</v>
      </c>
      <c r="E1208" t="b">
        <f>LineærRegression_Valg[[#This Row],[Afhængig variabel ID]]&lt;=$B$5</f>
        <v>0</v>
      </c>
      <c r="F1208" t="str" cm="1">
        <f t="array" ref="F1208">IF(LineærRegression_Valg[[#This Row],[Indenfor range]],INDEX(DataTitel_liste,LineærRegression_Valg[[#This Row],[Afhængig variabel ID]]),INDEX(DataTitel_liste,1))</f>
        <v>Eksempel 1 (interval)</v>
      </c>
      <c r="G1208" s="45" t="str" cm="1">
        <f t="array" ref="G1208">IF(LineærRegression_Valg[[#This Row],[Indenfor range]],IF(LineærRegression_Valg[[#This Row],[Intet overlap]],INDEX(DataTitel_liste,LineærRegression_Valg[[#This Row],[Uafhængig variabel ID]]),INDEX(DataTitel_liste,IF(LineærRegression_Valg[[#This Row],[Afhængig variabel ID]]=1,2,1))),$B$7)</f>
        <v>Eksempel 2 (interval)</v>
      </c>
      <c r="H1208" s="45">
        <f>_xlfn.AGGREGATE(2,5,LineærRegression_Valg[[#This Row],[Tabel ID]])</f>
        <v>1</v>
      </c>
    </row>
    <row r="1209" spans="1:8" x14ac:dyDescent="0.2">
      <c r="A1209">
        <f>ROW(LineærRegression_Valg[[#This Row],[Tabel ID]])-ROW(LineærRegression_Valg[[#Headers],[Tabel ID]])</f>
        <v>1199</v>
      </c>
      <c r="B1209" s="45">
        <f>ROUNDDOWN((LineærRegression_Valg[[#This Row],[Tabel ID]]-1)/$B$5,0)+1</f>
        <v>300</v>
      </c>
      <c r="C1209" s="45">
        <f t="shared" si="18"/>
        <v>3</v>
      </c>
      <c r="D1209" s="45" t="b">
        <f>LineærRegression_Valg[[#This Row],[Afhængig variabel ID]]&lt;&gt;LineærRegression_Valg[[#This Row],[Uafhængig variabel ID]]</f>
        <v>1</v>
      </c>
      <c r="E1209" t="b">
        <f>LineærRegression_Valg[[#This Row],[Afhængig variabel ID]]&lt;=$B$5</f>
        <v>0</v>
      </c>
      <c r="F1209" t="str" cm="1">
        <f t="array" ref="F1209">IF(LineærRegression_Valg[[#This Row],[Indenfor range]],INDEX(DataTitel_liste,LineærRegression_Valg[[#This Row],[Afhængig variabel ID]]),INDEX(DataTitel_liste,1))</f>
        <v>Eksempel 1 (interval)</v>
      </c>
      <c r="G1209" s="45" t="str" cm="1">
        <f t="array" ref="G1209">IF(LineærRegression_Valg[[#This Row],[Indenfor range]],IF(LineærRegression_Valg[[#This Row],[Intet overlap]],INDEX(DataTitel_liste,LineærRegression_Valg[[#This Row],[Uafhængig variabel ID]]),INDEX(DataTitel_liste,IF(LineærRegression_Valg[[#This Row],[Afhængig variabel ID]]=1,2,1))),$B$7)</f>
        <v>Eksempel 2 (interval)</v>
      </c>
      <c r="H1209" s="45">
        <f>_xlfn.AGGREGATE(2,5,LineærRegression_Valg[[#This Row],[Tabel ID]])</f>
        <v>1</v>
      </c>
    </row>
    <row r="1210" spans="1:8" x14ac:dyDescent="0.2">
      <c r="A1210">
        <f>ROW(LineærRegression_Valg[[#This Row],[Tabel ID]])-ROW(LineærRegression_Valg[[#Headers],[Tabel ID]])</f>
        <v>1200</v>
      </c>
      <c r="B1210" s="45">
        <f>ROUNDDOWN((LineærRegression_Valg[[#This Row],[Tabel ID]]-1)/$B$5,0)+1</f>
        <v>300</v>
      </c>
      <c r="C1210" s="45">
        <f t="shared" si="18"/>
        <v>4</v>
      </c>
      <c r="D1210" s="45" t="b">
        <f>LineærRegression_Valg[[#This Row],[Afhængig variabel ID]]&lt;&gt;LineærRegression_Valg[[#This Row],[Uafhængig variabel ID]]</f>
        <v>1</v>
      </c>
      <c r="E1210" t="b">
        <f>LineærRegression_Valg[[#This Row],[Afhængig variabel ID]]&lt;=$B$5</f>
        <v>0</v>
      </c>
      <c r="F1210" t="str" cm="1">
        <f t="array" ref="F1210">IF(LineærRegression_Valg[[#This Row],[Indenfor range]],INDEX(DataTitel_liste,LineærRegression_Valg[[#This Row],[Afhængig variabel ID]]),INDEX(DataTitel_liste,1))</f>
        <v>Eksempel 1 (interval)</v>
      </c>
      <c r="G1210" s="45" t="str" cm="1">
        <f t="array" ref="G1210">IF(LineærRegression_Valg[[#This Row],[Indenfor range]],IF(LineærRegression_Valg[[#This Row],[Intet overlap]],INDEX(DataTitel_liste,LineærRegression_Valg[[#This Row],[Uafhængig variabel ID]]),INDEX(DataTitel_liste,IF(LineærRegression_Valg[[#This Row],[Afhængig variabel ID]]=1,2,1))),$B$7)</f>
        <v>Eksempel 2 (interval)</v>
      </c>
      <c r="H1210" s="45">
        <f>_xlfn.AGGREGATE(2,5,LineærRegression_Valg[[#This Row],[Tabel ID]])</f>
        <v>1</v>
      </c>
    </row>
    <row r="1211" spans="1:8" x14ac:dyDescent="0.2">
      <c r="A1211">
        <f>ROW(LineærRegression_Valg[[#This Row],[Tabel ID]])-ROW(LineærRegression_Valg[[#Headers],[Tabel ID]])</f>
        <v>1201</v>
      </c>
      <c r="B1211" s="45">
        <f>ROUNDDOWN((LineærRegression_Valg[[#This Row],[Tabel ID]]-1)/$B$5,0)+1</f>
        <v>301</v>
      </c>
      <c r="C1211" s="45">
        <f t="shared" si="18"/>
        <v>1</v>
      </c>
      <c r="D1211" s="45" t="b">
        <f>LineærRegression_Valg[[#This Row],[Afhængig variabel ID]]&lt;&gt;LineærRegression_Valg[[#This Row],[Uafhængig variabel ID]]</f>
        <v>1</v>
      </c>
      <c r="E1211" t="b">
        <f>LineærRegression_Valg[[#This Row],[Afhængig variabel ID]]&lt;=$B$5</f>
        <v>0</v>
      </c>
      <c r="F1211" t="str" cm="1">
        <f t="array" ref="F1211">IF(LineærRegression_Valg[[#This Row],[Indenfor range]],INDEX(DataTitel_liste,LineærRegression_Valg[[#This Row],[Afhængig variabel ID]]),INDEX(DataTitel_liste,1))</f>
        <v>Eksempel 1 (interval)</v>
      </c>
      <c r="G1211" s="45" t="str" cm="1">
        <f t="array" ref="G1211">IF(LineærRegression_Valg[[#This Row],[Indenfor range]],IF(LineærRegression_Valg[[#This Row],[Intet overlap]],INDEX(DataTitel_liste,LineærRegression_Valg[[#This Row],[Uafhængig variabel ID]]),INDEX(DataTitel_liste,IF(LineærRegression_Valg[[#This Row],[Afhængig variabel ID]]=1,2,1))),$B$7)</f>
        <v>Eksempel 2 (interval)</v>
      </c>
      <c r="H1211" s="45">
        <f>_xlfn.AGGREGATE(2,5,LineærRegression_Valg[[#This Row],[Tabel ID]])</f>
        <v>1</v>
      </c>
    </row>
    <row r="1212" spans="1:8" x14ac:dyDescent="0.2">
      <c r="A1212">
        <f>ROW(LineærRegression_Valg[[#This Row],[Tabel ID]])-ROW(LineærRegression_Valg[[#Headers],[Tabel ID]])</f>
        <v>1202</v>
      </c>
      <c r="B1212" s="45">
        <f>ROUNDDOWN((LineærRegression_Valg[[#This Row],[Tabel ID]]-1)/$B$5,0)+1</f>
        <v>301</v>
      </c>
      <c r="C1212" s="45">
        <f t="shared" si="18"/>
        <v>2</v>
      </c>
      <c r="D1212" s="45" t="b">
        <f>LineærRegression_Valg[[#This Row],[Afhængig variabel ID]]&lt;&gt;LineærRegression_Valg[[#This Row],[Uafhængig variabel ID]]</f>
        <v>1</v>
      </c>
      <c r="E1212" t="b">
        <f>LineærRegression_Valg[[#This Row],[Afhængig variabel ID]]&lt;=$B$5</f>
        <v>0</v>
      </c>
      <c r="F1212" t="str" cm="1">
        <f t="array" ref="F1212">IF(LineærRegression_Valg[[#This Row],[Indenfor range]],INDEX(DataTitel_liste,LineærRegression_Valg[[#This Row],[Afhængig variabel ID]]),INDEX(DataTitel_liste,1))</f>
        <v>Eksempel 1 (interval)</v>
      </c>
      <c r="G1212" s="45" t="str" cm="1">
        <f t="array" ref="G1212">IF(LineærRegression_Valg[[#This Row],[Indenfor range]],IF(LineærRegression_Valg[[#This Row],[Intet overlap]],INDEX(DataTitel_liste,LineærRegression_Valg[[#This Row],[Uafhængig variabel ID]]),INDEX(DataTitel_liste,IF(LineærRegression_Valg[[#This Row],[Afhængig variabel ID]]=1,2,1))),$B$7)</f>
        <v>Eksempel 2 (interval)</v>
      </c>
      <c r="H1212" s="45">
        <f>_xlfn.AGGREGATE(2,5,LineærRegression_Valg[[#This Row],[Tabel ID]])</f>
        <v>1</v>
      </c>
    </row>
    <row r="1213" spans="1:8" x14ac:dyDescent="0.2">
      <c r="A1213">
        <f>ROW(LineærRegression_Valg[[#This Row],[Tabel ID]])-ROW(LineærRegression_Valg[[#Headers],[Tabel ID]])</f>
        <v>1203</v>
      </c>
      <c r="B1213" s="45">
        <f>ROUNDDOWN((LineærRegression_Valg[[#This Row],[Tabel ID]]-1)/$B$5,0)+1</f>
        <v>301</v>
      </c>
      <c r="C1213" s="45">
        <f t="shared" si="18"/>
        <v>3</v>
      </c>
      <c r="D1213" s="45" t="b">
        <f>LineærRegression_Valg[[#This Row],[Afhængig variabel ID]]&lt;&gt;LineærRegression_Valg[[#This Row],[Uafhængig variabel ID]]</f>
        <v>1</v>
      </c>
      <c r="E1213" t="b">
        <f>LineærRegression_Valg[[#This Row],[Afhængig variabel ID]]&lt;=$B$5</f>
        <v>0</v>
      </c>
      <c r="F1213" t="str" cm="1">
        <f t="array" ref="F1213">IF(LineærRegression_Valg[[#This Row],[Indenfor range]],INDEX(DataTitel_liste,LineærRegression_Valg[[#This Row],[Afhængig variabel ID]]),INDEX(DataTitel_liste,1))</f>
        <v>Eksempel 1 (interval)</v>
      </c>
      <c r="G1213" s="45" t="str" cm="1">
        <f t="array" ref="G1213">IF(LineærRegression_Valg[[#This Row],[Indenfor range]],IF(LineærRegression_Valg[[#This Row],[Intet overlap]],INDEX(DataTitel_liste,LineærRegression_Valg[[#This Row],[Uafhængig variabel ID]]),INDEX(DataTitel_liste,IF(LineærRegression_Valg[[#This Row],[Afhængig variabel ID]]=1,2,1))),$B$7)</f>
        <v>Eksempel 2 (interval)</v>
      </c>
      <c r="H1213" s="45">
        <f>_xlfn.AGGREGATE(2,5,LineærRegression_Valg[[#This Row],[Tabel ID]])</f>
        <v>1</v>
      </c>
    </row>
    <row r="1214" spans="1:8" x14ac:dyDescent="0.2">
      <c r="A1214">
        <f>ROW(LineærRegression_Valg[[#This Row],[Tabel ID]])-ROW(LineærRegression_Valg[[#Headers],[Tabel ID]])</f>
        <v>1204</v>
      </c>
      <c r="B1214" s="45">
        <f>ROUNDDOWN((LineærRegression_Valg[[#This Row],[Tabel ID]]-1)/$B$5,0)+1</f>
        <v>301</v>
      </c>
      <c r="C1214" s="45">
        <f t="shared" si="18"/>
        <v>4</v>
      </c>
      <c r="D1214" s="45" t="b">
        <f>LineærRegression_Valg[[#This Row],[Afhængig variabel ID]]&lt;&gt;LineærRegression_Valg[[#This Row],[Uafhængig variabel ID]]</f>
        <v>1</v>
      </c>
      <c r="E1214" t="b">
        <f>LineærRegression_Valg[[#This Row],[Afhængig variabel ID]]&lt;=$B$5</f>
        <v>0</v>
      </c>
      <c r="F1214" t="str" cm="1">
        <f t="array" ref="F1214">IF(LineærRegression_Valg[[#This Row],[Indenfor range]],INDEX(DataTitel_liste,LineærRegression_Valg[[#This Row],[Afhængig variabel ID]]),INDEX(DataTitel_liste,1))</f>
        <v>Eksempel 1 (interval)</v>
      </c>
      <c r="G1214" s="45" t="str" cm="1">
        <f t="array" ref="G1214">IF(LineærRegression_Valg[[#This Row],[Indenfor range]],IF(LineærRegression_Valg[[#This Row],[Intet overlap]],INDEX(DataTitel_liste,LineærRegression_Valg[[#This Row],[Uafhængig variabel ID]]),INDEX(DataTitel_liste,IF(LineærRegression_Valg[[#This Row],[Afhængig variabel ID]]=1,2,1))),$B$7)</f>
        <v>Eksempel 2 (interval)</v>
      </c>
      <c r="H1214" s="45">
        <f>_xlfn.AGGREGATE(2,5,LineærRegression_Valg[[#This Row],[Tabel ID]])</f>
        <v>1</v>
      </c>
    </row>
    <row r="1215" spans="1:8" x14ac:dyDescent="0.2">
      <c r="A1215">
        <f>ROW(LineærRegression_Valg[[#This Row],[Tabel ID]])-ROW(LineærRegression_Valg[[#Headers],[Tabel ID]])</f>
        <v>1205</v>
      </c>
      <c r="B1215" s="45">
        <f>ROUNDDOWN((LineærRegression_Valg[[#This Row],[Tabel ID]]-1)/$B$5,0)+1</f>
        <v>302</v>
      </c>
      <c r="C1215" s="45">
        <f t="shared" si="18"/>
        <v>1</v>
      </c>
      <c r="D1215" s="45" t="b">
        <f>LineærRegression_Valg[[#This Row],[Afhængig variabel ID]]&lt;&gt;LineærRegression_Valg[[#This Row],[Uafhængig variabel ID]]</f>
        <v>1</v>
      </c>
      <c r="E1215" t="b">
        <f>LineærRegression_Valg[[#This Row],[Afhængig variabel ID]]&lt;=$B$5</f>
        <v>0</v>
      </c>
      <c r="F1215" t="str" cm="1">
        <f t="array" ref="F1215">IF(LineærRegression_Valg[[#This Row],[Indenfor range]],INDEX(DataTitel_liste,LineærRegression_Valg[[#This Row],[Afhængig variabel ID]]),INDEX(DataTitel_liste,1))</f>
        <v>Eksempel 1 (interval)</v>
      </c>
      <c r="G1215" s="45" t="str" cm="1">
        <f t="array" ref="G1215">IF(LineærRegression_Valg[[#This Row],[Indenfor range]],IF(LineærRegression_Valg[[#This Row],[Intet overlap]],INDEX(DataTitel_liste,LineærRegression_Valg[[#This Row],[Uafhængig variabel ID]]),INDEX(DataTitel_liste,IF(LineærRegression_Valg[[#This Row],[Afhængig variabel ID]]=1,2,1))),$B$7)</f>
        <v>Eksempel 2 (interval)</v>
      </c>
      <c r="H1215" s="45">
        <f>_xlfn.AGGREGATE(2,5,LineærRegression_Valg[[#This Row],[Tabel ID]])</f>
        <v>1</v>
      </c>
    </row>
    <row r="1216" spans="1:8" x14ac:dyDescent="0.2">
      <c r="A1216">
        <f>ROW(LineærRegression_Valg[[#This Row],[Tabel ID]])-ROW(LineærRegression_Valg[[#Headers],[Tabel ID]])</f>
        <v>1206</v>
      </c>
      <c r="B1216" s="45">
        <f>ROUNDDOWN((LineærRegression_Valg[[#This Row],[Tabel ID]]-1)/$B$5,0)+1</f>
        <v>302</v>
      </c>
      <c r="C1216" s="45">
        <f t="shared" si="18"/>
        <v>2</v>
      </c>
      <c r="D1216" s="45" t="b">
        <f>LineærRegression_Valg[[#This Row],[Afhængig variabel ID]]&lt;&gt;LineærRegression_Valg[[#This Row],[Uafhængig variabel ID]]</f>
        <v>1</v>
      </c>
      <c r="E1216" t="b">
        <f>LineærRegression_Valg[[#This Row],[Afhængig variabel ID]]&lt;=$B$5</f>
        <v>0</v>
      </c>
      <c r="F1216" t="str" cm="1">
        <f t="array" ref="F1216">IF(LineærRegression_Valg[[#This Row],[Indenfor range]],INDEX(DataTitel_liste,LineærRegression_Valg[[#This Row],[Afhængig variabel ID]]),INDEX(DataTitel_liste,1))</f>
        <v>Eksempel 1 (interval)</v>
      </c>
      <c r="G1216" s="45" t="str" cm="1">
        <f t="array" ref="G1216">IF(LineærRegression_Valg[[#This Row],[Indenfor range]],IF(LineærRegression_Valg[[#This Row],[Intet overlap]],INDEX(DataTitel_liste,LineærRegression_Valg[[#This Row],[Uafhængig variabel ID]]),INDEX(DataTitel_liste,IF(LineærRegression_Valg[[#This Row],[Afhængig variabel ID]]=1,2,1))),$B$7)</f>
        <v>Eksempel 2 (interval)</v>
      </c>
      <c r="H1216" s="45">
        <f>_xlfn.AGGREGATE(2,5,LineærRegression_Valg[[#This Row],[Tabel ID]])</f>
        <v>1</v>
      </c>
    </row>
    <row r="1217" spans="1:8" x14ac:dyDescent="0.2">
      <c r="A1217">
        <f>ROW(LineærRegression_Valg[[#This Row],[Tabel ID]])-ROW(LineærRegression_Valg[[#Headers],[Tabel ID]])</f>
        <v>1207</v>
      </c>
      <c r="B1217" s="45">
        <f>ROUNDDOWN((LineærRegression_Valg[[#This Row],[Tabel ID]]-1)/$B$5,0)+1</f>
        <v>302</v>
      </c>
      <c r="C1217" s="45">
        <f t="shared" si="18"/>
        <v>3</v>
      </c>
      <c r="D1217" s="45" t="b">
        <f>LineærRegression_Valg[[#This Row],[Afhængig variabel ID]]&lt;&gt;LineærRegression_Valg[[#This Row],[Uafhængig variabel ID]]</f>
        <v>1</v>
      </c>
      <c r="E1217" t="b">
        <f>LineærRegression_Valg[[#This Row],[Afhængig variabel ID]]&lt;=$B$5</f>
        <v>0</v>
      </c>
      <c r="F1217" t="str" cm="1">
        <f t="array" ref="F1217">IF(LineærRegression_Valg[[#This Row],[Indenfor range]],INDEX(DataTitel_liste,LineærRegression_Valg[[#This Row],[Afhængig variabel ID]]),INDEX(DataTitel_liste,1))</f>
        <v>Eksempel 1 (interval)</v>
      </c>
      <c r="G1217" s="45" t="str" cm="1">
        <f t="array" ref="G1217">IF(LineærRegression_Valg[[#This Row],[Indenfor range]],IF(LineærRegression_Valg[[#This Row],[Intet overlap]],INDEX(DataTitel_liste,LineærRegression_Valg[[#This Row],[Uafhængig variabel ID]]),INDEX(DataTitel_liste,IF(LineærRegression_Valg[[#This Row],[Afhængig variabel ID]]=1,2,1))),$B$7)</f>
        <v>Eksempel 2 (interval)</v>
      </c>
      <c r="H1217" s="45">
        <f>_xlfn.AGGREGATE(2,5,LineærRegression_Valg[[#This Row],[Tabel ID]])</f>
        <v>1</v>
      </c>
    </row>
    <row r="1218" spans="1:8" x14ac:dyDescent="0.2">
      <c r="A1218">
        <f>ROW(LineærRegression_Valg[[#This Row],[Tabel ID]])-ROW(LineærRegression_Valg[[#Headers],[Tabel ID]])</f>
        <v>1208</v>
      </c>
      <c r="B1218" s="45">
        <f>ROUNDDOWN((LineærRegression_Valg[[#This Row],[Tabel ID]]-1)/$B$5,0)+1</f>
        <v>302</v>
      </c>
      <c r="C1218" s="45">
        <f t="shared" si="18"/>
        <v>4</v>
      </c>
      <c r="D1218" s="45" t="b">
        <f>LineærRegression_Valg[[#This Row],[Afhængig variabel ID]]&lt;&gt;LineærRegression_Valg[[#This Row],[Uafhængig variabel ID]]</f>
        <v>1</v>
      </c>
      <c r="E1218" t="b">
        <f>LineærRegression_Valg[[#This Row],[Afhængig variabel ID]]&lt;=$B$5</f>
        <v>0</v>
      </c>
      <c r="F1218" t="str" cm="1">
        <f t="array" ref="F1218">IF(LineærRegression_Valg[[#This Row],[Indenfor range]],INDEX(DataTitel_liste,LineærRegression_Valg[[#This Row],[Afhængig variabel ID]]),INDEX(DataTitel_liste,1))</f>
        <v>Eksempel 1 (interval)</v>
      </c>
      <c r="G1218" s="45" t="str" cm="1">
        <f t="array" ref="G1218">IF(LineærRegression_Valg[[#This Row],[Indenfor range]],IF(LineærRegression_Valg[[#This Row],[Intet overlap]],INDEX(DataTitel_liste,LineærRegression_Valg[[#This Row],[Uafhængig variabel ID]]),INDEX(DataTitel_liste,IF(LineærRegression_Valg[[#This Row],[Afhængig variabel ID]]=1,2,1))),$B$7)</f>
        <v>Eksempel 2 (interval)</v>
      </c>
      <c r="H1218" s="45">
        <f>_xlfn.AGGREGATE(2,5,LineærRegression_Valg[[#This Row],[Tabel ID]])</f>
        <v>1</v>
      </c>
    </row>
    <row r="1219" spans="1:8" x14ac:dyDescent="0.2">
      <c r="A1219">
        <f>ROW(LineærRegression_Valg[[#This Row],[Tabel ID]])-ROW(LineærRegression_Valg[[#Headers],[Tabel ID]])</f>
        <v>1209</v>
      </c>
      <c r="B1219" s="45">
        <f>ROUNDDOWN((LineærRegression_Valg[[#This Row],[Tabel ID]]-1)/$B$5,0)+1</f>
        <v>303</v>
      </c>
      <c r="C1219" s="45">
        <f t="shared" si="18"/>
        <v>1</v>
      </c>
      <c r="D1219" s="45" t="b">
        <f>LineærRegression_Valg[[#This Row],[Afhængig variabel ID]]&lt;&gt;LineærRegression_Valg[[#This Row],[Uafhængig variabel ID]]</f>
        <v>1</v>
      </c>
      <c r="E1219" t="b">
        <f>LineærRegression_Valg[[#This Row],[Afhængig variabel ID]]&lt;=$B$5</f>
        <v>0</v>
      </c>
      <c r="F1219" t="str" cm="1">
        <f t="array" ref="F1219">IF(LineærRegression_Valg[[#This Row],[Indenfor range]],INDEX(DataTitel_liste,LineærRegression_Valg[[#This Row],[Afhængig variabel ID]]),INDEX(DataTitel_liste,1))</f>
        <v>Eksempel 1 (interval)</v>
      </c>
      <c r="G1219" s="45" t="str" cm="1">
        <f t="array" ref="G1219">IF(LineærRegression_Valg[[#This Row],[Indenfor range]],IF(LineærRegression_Valg[[#This Row],[Intet overlap]],INDEX(DataTitel_liste,LineærRegression_Valg[[#This Row],[Uafhængig variabel ID]]),INDEX(DataTitel_liste,IF(LineærRegression_Valg[[#This Row],[Afhængig variabel ID]]=1,2,1))),$B$7)</f>
        <v>Eksempel 2 (interval)</v>
      </c>
      <c r="H1219" s="45">
        <f>_xlfn.AGGREGATE(2,5,LineærRegression_Valg[[#This Row],[Tabel ID]])</f>
        <v>1</v>
      </c>
    </row>
    <row r="1220" spans="1:8" x14ac:dyDescent="0.2">
      <c r="A1220">
        <f>ROW(LineærRegression_Valg[[#This Row],[Tabel ID]])-ROW(LineærRegression_Valg[[#Headers],[Tabel ID]])</f>
        <v>1210</v>
      </c>
      <c r="B1220" s="45">
        <f>ROUNDDOWN((LineærRegression_Valg[[#This Row],[Tabel ID]]-1)/$B$5,0)+1</f>
        <v>303</v>
      </c>
      <c r="C1220" s="45">
        <f t="shared" si="18"/>
        <v>2</v>
      </c>
      <c r="D1220" s="45" t="b">
        <f>LineærRegression_Valg[[#This Row],[Afhængig variabel ID]]&lt;&gt;LineærRegression_Valg[[#This Row],[Uafhængig variabel ID]]</f>
        <v>1</v>
      </c>
      <c r="E1220" t="b">
        <f>LineærRegression_Valg[[#This Row],[Afhængig variabel ID]]&lt;=$B$5</f>
        <v>0</v>
      </c>
      <c r="F1220" t="str" cm="1">
        <f t="array" ref="F1220">IF(LineærRegression_Valg[[#This Row],[Indenfor range]],INDEX(DataTitel_liste,LineærRegression_Valg[[#This Row],[Afhængig variabel ID]]),INDEX(DataTitel_liste,1))</f>
        <v>Eksempel 1 (interval)</v>
      </c>
      <c r="G1220" s="45" t="str" cm="1">
        <f t="array" ref="G1220">IF(LineærRegression_Valg[[#This Row],[Indenfor range]],IF(LineærRegression_Valg[[#This Row],[Intet overlap]],INDEX(DataTitel_liste,LineærRegression_Valg[[#This Row],[Uafhængig variabel ID]]),INDEX(DataTitel_liste,IF(LineærRegression_Valg[[#This Row],[Afhængig variabel ID]]=1,2,1))),$B$7)</f>
        <v>Eksempel 2 (interval)</v>
      </c>
      <c r="H1220" s="45">
        <f>_xlfn.AGGREGATE(2,5,LineærRegression_Valg[[#This Row],[Tabel ID]])</f>
        <v>1</v>
      </c>
    </row>
    <row r="1221" spans="1:8" x14ac:dyDescent="0.2">
      <c r="A1221">
        <f>ROW(LineærRegression_Valg[[#This Row],[Tabel ID]])-ROW(LineærRegression_Valg[[#Headers],[Tabel ID]])</f>
        <v>1211</v>
      </c>
      <c r="B1221" s="45">
        <f>ROUNDDOWN((LineærRegression_Valg[[#This Row],[Tabel ID]]-1)/$B$5,0)+1</f>
        <v>303</v>
      </c>
      <c r="C1221" s="45">
        <f t="shared" si="18"/>
        <v>3</v>
      </c>
      <c r="D1221" s="45" t="b">
        <f>LineærRegression_Valg[[#This Row],[Afhængig variabel ID]]&lt;&gt;LineærRegression_Valg[[#This Row],[Uafhængig variabel ID]]</f>
        <v>1</v>
      </c>
      <c r="E1221" t="b">
        <f>LineærRegression_Valg[[#This Row],[Afhængig variabel ID]]&lt;=$B$5</f>
        <v>0</v>
      </c>
      <c r="F1221" t="str" cm="1">
        <f t="array" ref="F1221">IF(LineærRegression_Valg[[#This Row],[Indenfor range]],INDEX(DataTitel_liste,LineærRegression_Valg[[#This Row],[Afhængig variabel ID]]),INDEX(DataTitel_liste,1))</f>
        <v>Eksempel 1 (interval)</v>
      </c>
      <c r="G1221" s="45" t="str" cm="1">
        <f t="array" ref="G1221">IF(LineærRegression_Valg[[#This Row],[Indenfor range]],IF(LineærRegression_Valg[[#This Row],[Intet overlap]],INDEX(DataTitel_liste,LineærRegression_Valg[[#This Row],[Uafhængig variabel ID]]),INDEX(DataTitel_liste,IF(LineærRegression_Valg[[#This Row],[Afhængig variabel ID]]=1,2,1))),$B$7)</f>
        <v>Eksempel 2 (interval)</v>
      </c>
      <c r="H1221" s="45">
        <f>_xlfn.AGGREGATE(2,5,LineærRegression_Valg[[#This Row],[Tabel ID]])</f>
        <v>1</v>
      </c>
    </row>
    <row r="1222" spans="1:8" x14ac:dyDescent="0.2">
      <c r="A1222">
        <f>ROW(LineærRegression_Valg[[#This Row],[Tabel ID]])-ROW(LineærRegression_Valg[[#Headers],[Tabel ID]])</f>
        <v>1212</v>
      </c>
      <c r="B1222" s="45">
        <f>ROUNDDOWN((LineærRegression_Valg[[#This Row],[Tabel ID]]-1)/$B$5,0)+1</f>
        <v>303</v>
      </c>
      <c r="C1222" s="45">
        <f t="shared" si="18"/>
        <v>4</v>
      </c>
      <c r="D1222" s="45" t="b">
        <f>LineærRegression_Valg[[#This Row],[Afhængig variabel ID]]&lt;&gt;LineærRegression_Valg[[#This Row],[Uafhængig variabel ID]]</f>
        <v>1</v>
      </c>
      <c r="E1222" t="b">
        <f>LineærRegression_Valg[[#This Row],[Afhængig variabel ID]]&lt;=$B$5</f>
        <v>0</v>
      </c>
      <c r="F1222" t="str" cm="1">
        <f t="array" ref="F1222">IF(LineærRegression_Valg[[#This Row],[Indenfor range]],INDEX(DataTitel_liste,LineærRegression_Valg[[#This Row],[Afhængig variabel ID]]),INDEX(DataTitel_liste,1))</f>
        <v>Eksempel 1 (interval)</v>
      </c>
      <c r="G1222" s="45" t="str" cm="1">
        <f t="array" ref="G1222">IF(LineærRegression_Valg[[#This Row],[Indenfor range]],IF(LineærRegression_Valg[[#This Row],[Intet overlap]],INDEX(DataTitel_liste,LineærRegression_Valg[[#This Row],[Uafhængig variabel ID]]),INDEX(DataTitel_liste,IF(LineærRegression_Valg[[#This Row],[Afhængig variabel ID]]=1,2,1))),$B$7)</f>
        <v>Eksempel 2 (interval)</v>
      </c>
      <c r="H1222" s="45">
        <f>_xlfn.AGGREGATE(2,5,LineærRegression_Valg[[#This Row],[Tabel ID]])</f>
        <v>1</v>
      </c>
    </row>
    <row r="1223" spans="1:8" x14ac:dyDescent="0.2">
      <c r="A1223">
        <f>ROW(LineærRegression_Valg[[#This Row],[Tabel ID]])-ROW(LineærRegression_Valg[[#Headers],[Tabel ID]])</f>
        <v>1213</v>
      </c>
      <c r="B1223" s="45">
        <f>ROUNDDOWN((LineærRegression_Valg[[#This Row],[Tabel ID]]-1)/$B$5,0)+1</f>
        <v>304</v>
      </c>
      <c r="C1223" s="45">
        <f t="shared" si="18"/>
        <v>1</v>
      </c>
      <c r="D1223" s="45" t="b">
        <f>LineærRegression_Valg[[#This Row],[Afhængig variabel ID]]&lt;&gt;LineærRegression_Valg[[#This Row],[Uafhængig variabel ID]]</f>
        <v>1</v>
      </c>
      <c r="E1223" t="b">
        <f>LineærRegression_Valg[[#This Row],[Afhængig variabel ID]]&lt;=$B$5</f>
        <v>0</v>
      </c>
      <c r="F1223" t="str" cm="1">
        <f t="array" ref="F1223">IF(LineærRegression_Valg[[#This Row],[Indenfor range]],INDEX(DataTitel_liste,LineærRegression_Valg[[#This Row],[Afhængig variabel ID]]),INDEX(DataTitel_liste,1))</f>
        <v>Eksempel 1 (interval)</v>
      </c>
      <c r="G1223" s="45" t="str" cm="1">
        <f t="array" ref="G1223">IF(LineærRegression_Valg[[#This Row],[Indenfor range]],IF(LineærRegression_Valg[[#This Row],[Intet overlap]],INDEX(DataTitel_liste,LineærRegression_Valg[[#This Row],[Uafhængig variabel ID]]),INDEX(DataTitel_liste,IF(LineærRegression_Valg[[#This Row],[Afhængig variabel ID]]=1,2,1))),$B$7)</f>
        <v>Eksempel 2 (interval)</v>
      </c>
      <c r="H1223" s="45">
        <f>_xlfn.AGGREGATE(2,5,LineærRegression_Valg[[#This Row],[Tabel ID]])</f>
        <v>1</v>
      </c>
    </row>
    <row r="1224" spans="1:8" x14ac:dyDescent="0.2">
      <c r="A1224">
        <f>ROW(LineærRegression_Valg[[#This Row],[Tabel ID]])-ROW(LineærRegression_Valg[[#Headers],[Tabel ID]])</f>
        <v>1214</v>
      </c>
      <c r="B1224" s="45">
        <f>ROUNDDOWN((LineærRegression_Valg[[#This Row],[Tabel ID]]-1)/$B$5,0)+1</f>
        <v>304</v>
      </c>
      <c r="C1224" s="45">
        <f t="shared" si="18"/>
        <v>2</v>
      </c>
      <c r="D1224" s="45" t="b">
        <f>LineærRegression_Valg[[#This Row],[Afhængig variabel ID]]&lt;&gt;LineærRegression_Valg[[#This Row],[Uafhængig variabel ID]]</f>
        <v>1</v>
      </c>
      <c r="E1224" t="b">
        <f>LineærRegression_Valg[[#This Row],[Afhængig variabel ID]]&lt;=$B$5</f>
        <v>0</v>
      </c>
      <c r="F1224" t="str" cm="1">
        <f t="array" ref="F1224">IF(LineærRegression_Valg[[#This Row],[Indenfor range]],INDEX(DataTitel_liste,LineærRegression_Valg[[#This Row],[Afhængig variabel ID]]),INDEX(DataTitel_liste,1))</f>
        <v>Eksempel 1 (interval)</v>
      </c>
      <c r="G1224" s="45" t="str" cm="1">
        <f t="array" ref="G1224">IF(LineærRegression_Valg[[#This Row],[Indenfor range]],IF(LineærRegression_Valg[[#This Row],[Intet overlap]],INDEX(DataTitel_liste,LineærRegression_Valg[[#This Row],[Uafhængig variabel ID]]),INDEX(DataTitel_liste,IF(LineærRegression_Valg[[#This Row],[Afhængig variabel ID]]=1,2,1))),$B$7)</f>
        <v>Eksempel 2 (interval)</v>
      </c>
      <c r="H1224" s="45">
        <f>_xlfn.AGGREGATE(2,5,LineærRegression_Valg[[#This Row],[Tabel ID]])</f>
        <v>1</v>
      </c>
    </row>
    <row r="1225" spans="1:8" x14ac:dyDescent="0.2">
      <c r="A1225">
        <f>ROW(LineærRegression_Valg[[#This Row],[Tabel ID]])-ROW(LineærRegression_Valg[[#Headers],[Tabel ID]])</f>
        <v>1215</v>
      </c>
      <c r="B1225" s="45">
        <f>ROUNDDOWN((LineærRegression_Valg[[#This Row],[Tabel ID]]-1)/$B$5,0)+1</f>
        <v>304</v>
      </c>
      <c r="C1225" s="45">
        <f t="shared" si="18"/>
        <v>3</v>
      </c>
      <c r="D1225" s="45" t="b">
        <f>LineærRegression_Valg[[#This Row],[Afhængig variabel ID]]&lt;&gt;LineærRegression_Valg[[#This Row],[Uafhængig variabel ID]]</f>
        <v>1</v>
      </c>
      <c r="E1225" t="b">
        <f>LineærRegression_Valg[[#This Row],[Afhængig variabel ID]]&lt;=$B$5</f>
        <v>0</v>
      </c>
      <c r="F1225" t="str" cm="1">
        <f t="array" ref="F1225">IF(LineærRegression_Valg[[#This Row],[Indenfor range]],INDEX(DataTitel_liste,LineærRegression_Valg[[#This Row],[Afhængig variabel ID]]),INDEX(DataTitel_liste,1))</f>
        <v>Eksempel 1 (interval)</v>
      </c>
      <c r="G1225" s="45" t="str" cm="1">
        <f t="array" ref="G1225">IF(LineærRegression_Valg[[#This Row],[Indenfor range]],IF(LineærRegression_Valg[[#This Row],[Intet overlap]],INDEX(DataTitel_liste,LineærRegression_Valg[[#This Row],[Uafhængig variabel ID]]),INDEX(DataTitel_liste,IF(LineærRegression_Valg[[#This Row],[Afhængig variabel ID]]=1,2,1))),$B$7)</f>
        <v>Eksempel 2 (interval)</v>
      </c>
      <c r="H1225" s="45">
        <f>_xlfn.AGGREGATE(2,5,LineærRegression_Valg[[#This Row],[Tabel ID]])</f>
        <v>1</v>
      </c>
    </row>
    <row r="1226" spans="1:8" x14ac:dyDescent="0.2">
      <c r="A1226">
        <f>ROW(LineærRegression_Valg[[#This Row],[Tabel ID]])-ROW(LineærRegression_Valg[[#Headers],[Tabel ID]])</f>
        <v>1216</v>
      </c>
      <c r="B1226" s="45">
        <f>ROUNDDOWN((LineærRegression_Valg[[#This Row],[Tabel ID]]-1)/$B$5,0)+1</f>
        <v>304</v>
      </c>
      <c r="C1226" s="45">
        <f t="shared" si="18"/>
        <v>4</v>
      </c>
      <c r="D1226" s="45" t="b">
        <f>LineærRegression_Valg[[#This Row],[Afhængig variabel ID]]&lt;&gt;LineærRegression_Valg[[#This Row],[Uafhængig variabel ID]]</f>
        <v>1</v>
      </c>
      <c r="E1226" t="b">
        <f>LineærRegression_Valg[[#This Row],[Afhængig variabel ID]]&lt;=$B$5</f>
        <v>0</v>
      </c>
      <c r="F1226" t="str" cm="1">
        <f t="array" ref="F1226">IF(LineærRegression_Valg[[#This Row],[Indenfor range]],INDEX(DataTitel_liste,LineærRegression_Valg[[#This Row],[Afhængig variabel ID]]),INDEX(DataTitel_liste,1))</f>
        <v>Eksempel 1 (interval)</v>
      </c>
      <c r="G1226" s="45" t="str" cm="1">
        <f t="array" ref="G1226">IF(LineærRegression_Valg[[#This Row],[Indenfor range]],IF(LineærRegression_Valg[[#This Row],[Intet overlap]],INDEX(DataTitel_liste,LineærRegression_Valg[[#This Row],[Uafhængig variabel ID]]),INDEX(DataTitel_liste,IF(LineærRegression_Valg[[#This Row],[Afhængig variabel ID]]=1,2,1))),$B$7)</f>
        <v>Eksempel 2 (interval)</v>
      </c>
      <c r="H1226" s="45">
        <f>_xlfn.AGGREGATE(2,5,LineærRegression_Valg[[#This Row],[Tabel ID]])</f>
        <v>1</v>
      </c>
    </row>
    <row r="1227" spans="1:8" x14ac:dyDescent="0.2">
      <c r="A1227">
        <f>ROW(LineærRegression_Valg[[#This Row],[Tabel ID]])-ROW(LineærRegression_Valg[[#Headers],[Tabel ID]])</f>
        <v>1217</v>
      </c>
      <c r="B1227" s="45">
        <f>ROUNDDOWN((LineærRegression_Valg[[#This Row],[Tabel ID]]-1)/$B$5,0)+1</f>
        <v>305</v>
      </c>
      <c r="C1227" s="45">
        <f t="shared" ref="C1227:C1290" si="19">MOD(A1227-1,$B$5)+1</f>
        <v>1</v>
      </c>
      <c r="D1227" s="45" t="b">
        <f>LineærRegression_Valg[[#This Row],[Afhængig variabel ID]]&lt;&gt;LineærRegression_Valg[[#This Row],[Uafhængig variabel ID]]</f>
        <v>1</v>
      </c>
      <c r="E1227" t="b">
        <f>LineærRegression_Valg[[#This Row],[Afhængig variabel ID]]&lt;=$B$5</f>
        <v>0</v>
      </c>
      <c r="F1227" t="str" cm="1">
        <f t="array" ref="F1227">IF(LineærRegression_Valg[[#This Row],[Indenfor range]],INDEX(DataTitel_liste,LineærRegression_Valg[[#This Row],[Afhængig variabel ID]]),INDEX(DataTitel_liste,1))</f>
        <v>Eksempel 1 (interval)</v>
      </c>
      <c r="G1227" s="45" t="str" cm="1">
        <f t="array" ref="G1227">IF(LineærRegression_Valg[[#This Row],[Indenfor range]],IF(LineærRegression_Valg[[#This Row],[Intet overlap]],INDEX(DataTitel_liste,LineærRegression_Valg[[#This Row],[Uafhængig variabel ID]]),INDEX(DataTitel_liste,IF(LineærRegression_Valg[[#This Row],[Afhængig variabel ID]]=1,2,1))),$B$7)</f>
        <v>Eksempel 2 (interval)</v>
      </c>
      <c r="H1227" s="45">
        <f>_xlfn.AGGREGATE(2,5,LineærRegression_Valg[[#This Row],[Tabel ID]])</f>
        <v>1</v>
      </c>
    </row>
    <row r="1228" spans="1:8" x14ac:dyDescent="0.2">
      <c r="A1228">
        <f>ROW(LineærRegression_Valg[[#This Row],[Tabel ID]])-ROW(LineærRegression_Valg[[#Headers],[Tabel ID]])</f>
        <v>1218</v>
      </c>
      <c r="B1228" s="45">
        <f>ROUNDDOWN((LineærRegression_Valg[[#This Row],[Tabel ID]]-1)/$B$5,0)+1</f>
        <v>305</v>
      </c>
      <c r="C1228" s="45">
        <f t="shared" si="19"/>
        <v>2</v>
      </c>
      <c r="D1228" s="45" t="b">
        <f>LineærRegression_Valg[[#This Row],[Afhængig variabel ID]]&lt;&gt;LineærRegression_Valg[[#This Row],[Uafhængig variabel ID]]</f>
        <v>1</v>
      </c>
      <c r="E1228" t="b">
        <f>LineærRegression_Valg[[#This Row],[Afhængig variabel ID]]&lt;=$B$5</f>
        <v>0</v>
      </c>
      <c r="F1228" t="str" cm="1">
        <f t="array" ref="F1228">IF(LineærRegression_Valg[[#This Row],[Indenfor range]],INDEX(DataTitel_liste,LineærRegression_Valg[[#This Row],[Afhængig variabel ID]]),INDEX(DataTitel_liste,1))</f>
        <v>Eksempel 1 (interval)</v>
      </c>
      <c r="G1228" s="45" t="str" cm="1">
        <f t="array" ref="G1228">IF(LineærRegression_Valg[[#This Row],[Indenfor range]],IF(LineærRegression_Valg[[#This Row],[Intet overlap]],INDEX(DataTitel_liste,LineærRegression_Valg[[#This Row],[Uafhængig variabel ID]]),INDEX(DataTitel_liste,IF(LineærRegression_Valg[[#This Row],[Afhængig variabel ID]]=1,2,1))),$B$7)</f>
        <v>Eksempel 2 (interval)</v>
      </c>
      <c r="H1228" s="45">
        <f>_xlfn.AGGREGATE(2,5,LineærRegression_Valg[[#This Row],[Tabel ID]])</f>
        <v>1</v>
      </c>
    </row>
    <row r="1229" spans="1:8" x14ac:dyDescent="0.2">
      <c r="A1229">
        <f>ROW(LineærRegression_Valg[[#This Row],[Tabel ID]])-ROW(LineærRegression_Valg[[#Headers],[Tabel ID]])</f>
        <v>1219</v>
      </c>
      <c r="B1229" s="45">
        <f>ROUNDDOWN((LineærRegression_Valg[[#This Row],[Tabel ID]]-1)/$B$5,0)+1</f>
        <v>305</v>
      </c>
      <c r="C1229" s="45">
        <f t="shared" si="19"/>
        <v>3</v>
      </c>
      <c r="D1229" s="45" t="b">
        <f>LineærRegression_Valg[[#This Row],[Afhængig variabel ID]]&lt;&gt;LineærRegression_Valg[[#This Row],[Uafhængig variabel ID]]</f>
        <v>1</v>
      </c>
      <c r="E1229" t="b">
        <f>LineærRegression_Valg[[#This Row],[Afhængig variabel ID]]&lt;=$B$5</f>
        <v>0</v>
      </c>
      <c r="F1229" t="str" cm="1">
        <f t="array" ref="F1229">IF(LineærRegression_Valg[[#This Row],[Indenfor range]],INDEX(DataTitel_liste,LineærRegression_Valg[[#This Row],[Afhængig variabel ID]]),INDEX(DataTitel_liste,1))</f>
        <v>Eksempel 1 (interval)</v>
      </c>
      <c r="G1229" s="45" t="str" cm="1">
        <f t="array" ref="G1229">IF(LineærRegression_Valg[[#This Row],[Indenfor range]],IF(LineærRegression_Valg[[#This Row],[Intet overlap]],INDEX(DataTitel_liste,LineærRegression_Valg[[#This Row],[Uafhængig variabel ID]]),INDEX(DataTitel_liste,IF(LineærRegression_Valg[[#This Row],[Afhængig variabel ID]]=1,2,1))),$B$7)</f>
        <v>Eksempel 2 (interval)</v>
      </c>
      <c r="H1229" s="45">
        <f>_xlfn.AGGREGATE(2,5,LineærRegression_Valg[[#This Row],[Tabel ID]])</f>
        <v>1</v>
      </c>
    </row>
    <row r="1230" spans="1:8" x14ac:dyDescent="0.2">
      <c r="A1230">
        <f>ROW(LineærRegression_Valg[[#This Row],[Tabel ID]])-ROW(LineærRegression_Valg[[#Headers],[Tabel ID]])</f>
        <v>1220</v>
      </c>
      <c r="B1230" s="45">
        <f>ROUNDDOWN((LineærRegression_Valg[[#This Row],[Tabel ID]]-1)/$B$5,0)+1</f>
        <v>305</v>
      </c>
      <c r="C1230" s="45">
        <f t="shared" si="19"/>
        <v>4</v>
      </c>
      <c r="D1230" s="45" t="b">
        <f>LineærRegression_Valg[[#This Row],[Afhængig variabel ID]]&lt;&gt;LineærRegression_Valg[[#This Row],[Uafhængig variabel ID]]</f>
        <v>1</v>
      </c>
      <c r="E1230" t="b">
        <f>LineærRegression_Valg[[#This Row],[Afhængig variabel ID]]&lt;=$B$5</f>
        <v>0</v>
      </c>
      <c r="F1230" t="str" cm="1">
        <f t="array" ref="F1230">IF(LineærRegression_Valg[[#This Row],[Indenfor range]],INDEX(DataTitel_liste,LineærRegression_Valg[[#This Row],[Afhængig variabel ID]]),INDEX(DataTitel_liste,1))</f>
        <v>Eksempel 1 (interval)</v>
      </c>
      <c r="G1230" s="45" t="str" cm="1">
        <f t="array" ref="G1230">IF(LineærRegression_Valg[[#This Row],[Indenfor range]],IF(LineærRegression_Valg[[#This Row],[Intet overlap]],INDEX(DataTitel_liste,LineærRegression_Valg[[#This Row],[Uafhængig variabel ID]]),INDEX(DataTitel_liste,IF(LineærRegression_Valg[[#This Row],[Afhængig variabel ID]]=1,2,1))),$B$7)</f>
        <v>Eksempel 2 (interval)</v>
      </c>
      <c r="H1230" s="45">
        <f>_xlfn.AGGREGATE(2,5,LineærRegression_Valg[[#This Row],[Tabel ID]])</f>
        <v>1</v>
      </c>
    </row>
    <row r="1231" spans="1:8" x14ac:dyDescent="0.2">
      <c r="A1231">
        <f>ROW(LineærRegression_Valg[[#This Row],[Tabel ID]])-ROW(LineærRegression_Valg[[#Headers],[Tabel ID]])</f>
        <v>1221</v>
      </c>
      <c r="B1231" s="45">
        <f>ROUNDDOWN((LineærRegression_Valg[[#This Row],[Tabel ID]]-1)/$B$5,0)+1</f>
        <v>306</v>
      </c>
      <c r="C1231" s="45">
        <f t="shared" si="19"/>
        <v>1</v>
      </c>
      <c r="D1231" s="45" t="b">
        <f>LineærRegression_Valg[[#This Row],[Afhængig variabel ID]]&lt;&gt;LineærRegression_Valg[[#This Row],[Uafhængig variabel ID]]</f>
        <v>1</v>
      </c>
      <c r="E1231" t="b">
        <f>LineærRegression_Valg[[#This Row],[Afhængig variabel ID]]&lt;=$B$5</f>
        <v>0</v>
      </c>
      <c r="F1231" t="str" cm="1">
        <f t="array" ref="F1231">IF(LineærRegression_Valg[[#This Row],[Indenfor range]],INDEX(DataTitel_liste,LineærRegression_Valg[[#This Row],[Afhængig variabel ID]]),INDEX(DataTitel_liste,1))</f>
        <v>Eksempel 1 (interval)</v>
      </c>
      <c r="G1231" s="45" t="str" cm="1">
        <f t="array" ref="G1231">IF(LineærRegression_Valg[[#This Row],[Indenfor range]],IF(LineærRegression_Valg[[#This Row],[Intet overlap]],INDEX(DataTitel_liste,LineærRegression_Valg[[#This Row],[Uafhængig variabel ID]]),INDEX(DataTitel_liste,IF(LineærRegression_Valg[[#This Row],[Afhængig variabel ID]]=1,2,1))),$B$7)</f>
        <v>Eksempel 2 (interval)</v>
      </c>
      <c r="H1231" s="45">
        <f>_xlfn.AGGREGATE(2,5,LineærRegression_Valg[[#This Row],[Tabel ID]])</f>
        <v>1</v>
      </c>
    </row>
    <row r="1232" spans="1:8" x14ac:dyDescent="0.2">
      <c r="A1232">
        <f>ROW(LineærRegression_Valg[[#This Row],[Tabel ID]])-ROW(LineærRegression_Valg[[#Headers],[Tabel ID]])</f>
        <v>1222</v>
      </c>
      <c r="B1232" s="45">
        <f>ROUNDDOWN((LineærRegression_Valg[[#This Row],[Tabel ID]]-1)/$B$5,0)+1</f>
        <v>306</v>
      </c>
      <c r="C1232" s="45">
        <f t="shared" si="19"/>
        <v>2</v>
      </c>
      <c r="D1232" s="45" t="b">
        <f>LineærRegression_Valg[[#This Row],[Afhængig variabel ID]]&lt;&gt;LineærRegression_Valg[[#This Row],[Uafhængig variabel ID]]</f>
        <v>1</v>
      </c>
      <c r="E1232" t="b">
        <f>LineærRegression_Valg[[#This Row],[Afhængig variabel ID]]&lt;=$B$5</f>
        <v>0</v>
      </c>
      <c r="F1232" t="str" cm="1">
        <f t="array" ref="F1232">IF(LineærRegression_Valg[[#This Row],[Indenfor range]],INDEX(DataTitel_liste,LineærRegression_Valg[[#This Row],[Afhængig variabel ID]]),INDEX(DataTitel_liste,1))</f>
        <v>Eksempel 1 (interval)</v>
      </c>
      <c r="G1232" s="45" t="str" cm="1">
        <f t="array" ref="G1232">IF(LineærRegression_Valg[[#This Row],[Indenfor range]],IF(LineærRegression_Valg[[#This Row],[Intet overlap]],INDEX(DataTitel_liste,LineærRegression_Valg[[#This Row],[Uafhængig variabel ID]]),INDEX(DataTitel_liste,IF(LineærRegression_Valg[[#This Row],[Afhængig variabel ID]]=1,2,1))),$B$7)</f>
        <v>Eksempel 2 (interval)</v>
      </c>
      <c r="H1232" s="45">
        <f>_xlfn.AGGREGATE(2,5,LineærRegression_Valg[[#This Row],[Tabel ID]])</f>
        <v>1</v>
      </c>
    </row>
    <row r="1233" spans="1:8" x14ac:dyDescent="0.2">
      <c r="A1233">
        <f>ROW(LineærRegression_Valg[[#This Row],[Tabel ID]])-ROW(LineærRegression_Valg[[#Headers],[Tabel ID]])</f>
        <v>1223</v>
      </c>
      <c r="B1233" s="45">
        <f>ROUNDDOWN((LineærRegression_Valg[[#This Row],[Tabel ID]]-1)/$B$5,0)+1</f>
        <v>306</v>
      </c>
      <c r="C1233" s="45">
        <f t="shared" si="19"/>
        <v>3</v>
      </c>
      <c r="D1233" s="45" t="b">
        <f>LineærRegression_Valg[[#This Row],[Afhængig variabel ID]]&lt;&gt;LineærRegression_Valg[[#This Row],[Uafhængig variabel ID]]</f>
        <v>1</v>
      </c>
      <c r="E1233" t="b">
        <f>LineærRegression_Valg[[#This Row],[Afhængig variabel ID]]&lt;=$B$5</f>
        <v>0</v>
      </c>
      <c r="F1233" t="str" cm="1">
        <f t="array" ref="F1233">IF(LineærRegression_Valg[[#This Row],[Indenfor range]],INDEX(DataTitel_liste,LineærRegression_Valg[[#This Row],[Afhængig variabel ID]]),INDEX(DataTitel_liste,1))</f>
        <v>Eksempel 1 (interval)</v>
      </c>
      <c r="G1233" s="45" t="str" cm="1">
        <f t="array" ref="G1233">IF(LineærRegression_Valg[[#This Row],[Indenfor range]],IF(LineærRegression_Valg[[#This Row],[Intet overlap]],INDEX(DataTitel_liste,LineærRegression_Valg[[#This Row],[Uafhængig variabel ID]]),INDEX(DataTitel_liste,IF(LineærRegression_Valg[[#This Row],[Afhængig variabel ID]]=1,2,1))),$B$7)</f>
        <v>Eksempel 2 (interval)</v>
      </c>
      <c r="H1233" s="45">
        <f>_xlfn.AGGREGATE(2,5,LineærRegression_Valg[[#This Row],[Tabel ID]])</f>
        <v>1</v>
      </c>
    </row>
    <row r="1234" spans="1:8" x14ac:dyDescent="0.2">
      <c r="A1234">
        <f>ROW(LineærRegression_Valg[[#This Row],[Tabel ID]])-ROW(LineærRegression_Valg[[#Headers],[Tabel ID]])</f>
        <v>1224</v>
      </c>
      <c r="B1234" s="45">
        <f>ROUNDDOWN((LineærRegression_Valg[[#This Row],[Tabel ID]]-1)/$B$5,0)+1</f>
        <v>306</v>
      </c>
      <c r="C1234" s="45">
        <f t="shared" si="19"/>
        <v>4</v>
      </c>
      <c r="D1234" s="45" t="b">
        <f>LineærRegression_Valg[[#This Row],[Afhængig variabel ID]]&lt;&gt;LineærRegression_Valg[[#This Row],[Uafhængig variabel ID]]</f>
        <v>1</v>
      </c>
      <c r="E1234" t="b">
        <f>LineærRegression_Valg[[#This Row],[Afhængig variabel ID]]&lt;=$B$5</f>
        <v>0</v>
      </c>
      <c r="F1234" t="str" cm="1">
        <f t="array" ref="F1234">IF(LineærRegression_Valg[[#This Row],[Indenfor range]],INDEX(DataTitel_liste,LineærRegression_Valg[[#This Row],[Afhængig variabel ID]]),INDEX(DataTitel_liste,1))</f>
        <v>Eksempel 1 (interval)</v>
      </c>
      <c r="G1234" s="45" t="str" cm="1">
        <f t="array" ref="G1234">IF(LineærRegression_Valg[[#This Row],[Indenfor range]],IF(LineærRegression_Valg[[#This Row],[Intet overlap]],INDEX(DataTitel_liste,LineærRegression_Valg[[#This Row],[Uafhængig variabel ID]]),INDEX(DataTitel_liste,IF(LineærRegression_Valg[[#This Row],[Afhængig variabel ID]]=1,2,1))),$B$7)</f>
        <v>Eksempel 2 (interval)</v>
      </c>
      <c r="H1234" s="45">
        <f>_xlfn.AGGREGATE(2,5,LineærRegression_Valg[[#This Row],[Tabel ID]])</f>
        <v>1</v>
      </c>
    </row>
    <row r="1235" spans="1:8" x14ac:dyDescent="0.2">
      <c r="A1235">
        <f>ROW(LineærRegression_Valg[[#This Row],[Tabel ID]])-ROW(LineærRegression_Valg[[#Headers],[Tabel ID]])</f>
        <v>1225</v>
      </c>
      <c r="B1235" s="45">
        <f>ROUNDDOWN((LineærRegression_Valg[[#This Row],[Tabel ID]]-1)/$B$5,0)+1</f>
        <v>307</v>
      </c>
      <c r="C1235" s="45">
        <f t="shared" si="19"/>
        <v>1</v>
      </c>
      <c r="D1235" s="45" t="b">
        <f>LineærRegression_Valg[[#This Row],[Afhængig variabel ID]]&lt;&gt;LineærRegression_Valg[[#This Row],[Uafhængig variabel ID]]</f>
        <v>1</v>
      </c>
      <c r="E1235" t="b">
        <f>LineærRegression_Valg[[#This Row],[Afhængig variabel ID]]&lt;=$B$5</f>
        <v>0</v>
      </c>
      <c r="F1235" t="str" cm="1">
        <f t="array" ref="F1235">IF(LineærRegression_Valg[[#This Row],[Indenfor range]],INDEX(DataTitel_liste,LineærRegression_Valg[[#This Row],[Afhængig variabel ID]]),INDEX(DataTitel_liste,1))</f>
        <v>Eksempel 1 (interval)</v>
      </c>
      <c r="G1235" s="45" t="str" cm="1">
        <f t="array" ref="G1235">IF(LineærRegression_Valg[[#This Row],[Indenfor range]],IF(LineærRegression_Valg[[#This Row],[Intet overlap]],INDEX(DataTitel_liste,LineærRegression_Valg[[#This Row],[Uafhængig variabel ID]]),INDEX(DataTitel_liste,IF(LineærRegression_Valg[[#This Row],[Afhængig variabel ID]]=1,2,1))),$B$7)</f>
        <v>Eksempel 2 (interval)</v>
      </c>
      <c r="H1235" s="45">
        <f>_xlfn.AGGREGATE(2,5,LineærRegression_Valg[[#This Row],[Tabel ID]])</f>
        <v>1</v>
      </c>
    </row>
    <row r="1236" spans="1:8" x14ac:dyDescent="0.2">
      <c r="A1236">
        <f>ROW(LineærRegression_Valg[[#This Row],[Tabel ID]])-ROW(LineærRegression_Valg[[#Headers],[Tabel ID]])</f>
        <v>1226</v>
      </c>
      <c r="B1236" s="45">
        <f>ROUNDDOWN((LineærRegression_Valg[[#This Row],[Tabel ID]]-1)/$B$5,0)+1</f>
        <v>307</v>
      </c>
      <c r="C1236" s="45">
        <f t="shared" si="19"/>
        <v>2</v>
      </c>
      <c r="D1236" s="45" t="b">
        <f>LineærRegression_Valg[[#This Row],[Afhængig variabel ID]]&lt;&gt;LineærRegression_Valg[[#This Row],[Uafhængig variabel ID]]</f>
        <v>1</v>
      </c>
      <c r="E1236" t="b">
        <f>LineærRegression_Valg[[#This Row],[Afhængig variabel ID]]&lt;=$B$5</f>
        <v>0</v>
      </c>
      <c r="F1236" t="str" cm="1">
        <f t="array" ref="F1236">IF(LineærRegression_Valg[[#This Row],[Indenfor range]],INDEX(DataTitel_liste,LineærRegression_Valg[[#This Row],[Afhængig variabel ID]]),INDEX(DataTitel_liste,1))</f>
        <v>Eksempel 1 (interval)</v>
      </c>
      <c r="G1236" s="45" t="str" cm="1">
        <f t="array" ref="G1236">IF(LineærRegression_Valg[[#This Row],[Indenfor range]],IF(LineærRegression_Valg[[#This Row],[Intet overlap]],INDEX(DataTitel_liste,LineærRegression_Valg[[#This Row],[Uafhængig variabel ID]]),INDEX(DataTitel_liste,IF(LineærRegression_Valg[[#This Row],[Afhængig variabel ID]]=1,2,1))),$B$7)</f>
        <v>Eksempel 2 (interval)</v>
      </c>
      <c r="H1236" s="45">
        <f>_xlfn.AGGREGATE(2,5,LineærRegression_Valg[[#This Row],[Tabel ID]])</f>
        <v>1</v>
      </c>
    </row>
    <row r="1237" spans="1:8" x14ac:dyDescent="0.2">
      <c r="A1237">
        <f>ROW(LineærRegression_Valg[[#This Row],[Tabel ID]])-ROW(LineærRegression_Valg[[#Headers],[Tabel ID]])</f>
        <v>1227</v>
      </c>
      <c r="B1237" s="45">
        <f>ROUNDDOWN((LineærRegression_Valg[[#This Row],[Tabel ID]]-1)/$B$5,0)+1</f>
        <v>307</v>
      </c>
      <c r="C1237" s="45">
        <f t="shared" si="19"/>
        <v>3</v>
      </c>
      <c r="D1237" s="45" t="b">
        <f>LineærRegression_Valg[[#This Row],[Afhængig variabel ID]]&lt;&gt;LineærRegression_Valg[[#This Row],[Uafhængig variabel ID]]</f>
        <v>1</v>
      </c>
      <c r="E1237" t="b">
        <f>LineærRegression_Valg[[#This Row],[Afhængig variabel ID]]&lt;=$B$5</f>
        <v>0</v>
      </c>
      <c r="F1237" t="str" cm="1">
        <f t="array" ref="F1237">IF(LineærRegression_Valg[[#This Row],[Indenfor range]],INDEX(DataTitel_liste,LineærRegression_Valg[[#This Row],[Afhængig variabel ID]]),INDEX(DataTitel_liste,1))</f>
        <v>Eksempel 1 (interval)</v>
      </c>
      <c r="G1237" s="45" t="str" cm="1">
        <f t="array" ref="G1237">IF(LineærRegression_Valg[[#This Row],[Indenfor range]],IF(LineærRegression_Valg[[#This Row],[Intet overlap]],INDEX(DataTitel_liste,LineærRegression_Valg[[#This Row],[Uafhængig variabel ID]]),INDEX(DataTitel_liste,IF(LineærRegression_Valg[[#This Row],[Afhængig variabel ID]]=1,2,1))),$B$7)</f>
        <v>Eksempel 2 (interval)</v>
      </c>
      <c r="H1237" s="45">
        <f>_xlfn.AGGREGATE(2,5,LineærRegression_Valg[[#This Row],[Tabel ID]])</f>
        <v>1</v>
      </c>
    </row>
    <row r="1238" spans="1:8" x14ac:dyDescent="0.2">
      <c r="A1238">
        <f>ROW(LineærRegression_Valg[[#This Row],[Tabel ID]])-ROW(LineærRegression_Valg[[#Headers],[Tabel ID]])</f>
        <v>1228</v>
      </c>
      <c r="B1238" s="45">
        <f>ROUNDDOWN((LineærRegression_Valg[[#This Row],[Tabel ID]]-1)/$B$5,0)+1</f>
        <v>307</v>
      </c>
      <c r="C1238" s="45">
        <f t="shared" si="19"/>
        <v>4</v>
      </c>
      <c r="D1238" s="45" t="b">
        <f>LineærRegression_Valg[[#This Row],[Afhængig variabel ID]]&lt;&gt;LineærRegression_Valg[[#This Row],[Uafhængig variabel ID]]</f>
        <v>1</v>
      </c>
      <c r="E1238" t="b">
        <f>LineærRegression_Valg[[#This Row],[Afhængig variabel ID]]&lt;=$B$5</f>
        <v>0</v>
      </c>
      <c r="F1238" t="str" cm="1">
        <f t="array" ref="F1238">IF(LineærRegression_Valg[[#This Row],[Indenfor range]],INDEX(DataTitel_liste,LineærRegression_Valg[[#This Row],[Afhængig variabel ID]]),INDEX(DataTitel_liste,1))</f>
        <v>Eksempel 1 (interval)</v>
      </c>
      <c r="G1238" s="45" t="str" cm="1">
        <f t="array" ref="G1238">IF(LineærRegression_Valg[[#This Row],[Indenfor range]],IF(LineærRegression_Valg[[#This Row],[Intet overlap]],INDEX(DataTitel_liste,LineærRegression_Valg[[#This Row],[Uafhængig variabel ID]]),INDEX(DataTitel_liste,IF(LineærRegression_Valg[[#This Row],[Afhængig variabel ID]]=1,2,1))),$B$7)</f>
        <v>Eksempel 2 (interval)</v>
      </c>
      <c r="H1238" s="45">
        <f>_xlfn.AGGREGATE(2,5,LineærRegression_Valg[[#This Row],[Tabel ID]])</f>
        <v>1</v>
      </c>
    </row>
    <row r="1239" spans="1:8" x14ac:dyDescent="0.2">
      <c r="A1239">
        <f>ROW(LineærRegression_Valg[[#This Row],[Tabel ID]])-ROW(LineærRegression_Valg[[#Headers],[Tabel ID]])</f>
        <v>1229</v>
      </c>
      <c r="B1239" s="45">
        <f>ROUNDDOWN((LineærRegression_Valg[[#This Row],[Tabel ID]]-1)/$B$5,0)+1</f>
        <v>308</v>
      </c>
      <c r="C1239" s="45">
        <f t="shared" si="19"/>
        <v>1</v>
      </c>
      <c r="D1239" s="45" t="b">
        <f>LineærRegression_Valg[[#This Row],[Afhængig variabel ID]]&lt;&gt;LineærRegression_Valg[[#This Row],[Uafhængig variabel ID]]</f>
        <v>1</v>
      </c>
      <c r="E1239" t="b">
        <f>LineærRegression_Valg[[#This Row],[Afhængig variabel ID]]&lt;=$B$5</f>
        <v>0</v>
      </c>
      <c r="F1239" t="str" cm="1">
        <f t="array" ref="F1239">IF(LineærRegression_Valg[[#This Row],[Indenfor range]],INDEX(DataTitel_liste,LineærRegression_Valg[[#This Row],[Afhængig variabel ID]]),INDEX(DataTitel_liste,1))</f>
        <v>Eksempel 1 (interval)</v>
      </c>
      <c r="G1239" s="45" t="str" cm="1">
        <f t="array" ref="G1239">IF(LineærRegression_Valg[[#This Row],[Indenfor range]],IF(LineærRegression_Valg[[#This Row],[Intet overlap]],INDEX(DataTitel_liste,LineærRegression_Valg[[#This Row],[Uafhængig variabel ID]]),INDEX(DataTitel_liste,IF(LineærRegression_Valg[[#This Row],[Afhængig variabel ID]]=1,2,1))),$B$7)</f>
        <v>Eksempel 2 (interval)</v>
      </c>
      <c r="H1239" s="45">
        <f>_xlfn.AGGREGATE(2,5,LineærRegression_Valg[[#This Row],[Tabel ID]])</f>
        <v>1</v>
      </c>
    </row>
    <row r="1240" spans="1:8" x14ac:dyDescent="0.2">
      <c r="A1240">
        <f>ROW(LineærRegression_Valg[[#This Row],[Tabel ID]])-ROW(LineærRegression_Valg[[#Headers],[Tabel ID]])</f>
        <v>1230</v>
      </c>
      <c r="B1240" s="45">
        <f>ROUNDDOWN((LineærRegression_Valg[[#This Row],[Tabel ID]]-1)/$B$5,0)+1</f>
        <v>308</v>
      </c>
      <c r="C1240" s="45">
        <f t="shared" si="19"/>
        <v>2</v>
      </c>
      <c r="D1240" s="45" t="b">
        <f>LineærRegression_Valg[[#This Row],[Afhængig variabel ID]]&lt;&gt;LineærRegression_Valg[[#This Row],[Uafhængig variabel ID]]</f>
        <v>1</v>
      </c>
      <c r="E1240" t="b">
        <f>LineærRegression_Valg[[#This Row],[Afhængig variabel ID]]&lt;=$B$5</f>
        <v>0</v>
      </c>
      <c r="F1240" t="str" cm="1">
        <f t="array" ref="F1240">IF(LineærRegression_Valg[[#This Row],[Indenfor range]],INDEX(DataTitel_liste,LineærRegression_Valg[[#This Row],[Afhængig variabel ID]]),INDEX(DataTitel_liste,1))</f>
        <v>Eksempel 1 (interval)</v>
      </c>
      <c r="G1240" s="45" t="str" cm="1">
        <f t="array" ref="G1240">IF(LineærRegression_Valg[[#This Row],[Indenfor range]],IF(LineærRegression_Valg[[#This Row],[Intet overlap]],INDEX(DataTitel_liste,LineærRegression_Valg[[#This Row],[Uafhængig variabel ID]]),INDEX(DataTitel_liste,IF(LineærRegression_Valg[[#This Row],[Afhængig variabel ID]]=1,2,1))),$B$7)</f>
        <v>Eksempel 2 (interval)</v>
      </c>
      <c r="H1240" s="45">
        <f>_xlfn.AGGREGATE(2,5,LineærRegression_Valg[[#This Row],[Tabel ID]])</f>
        <v>1</v>
      </c>
    </row>
    <row r="1241" spans="1:8" x14ac:dyDescent="0.2">
      <c r="A1241">
        <f>ROW(LineærRegression_Valg[[#This Row],[Tabel ID]])-ROW(LineærRegression_Valg[[#Headers],[Tabel ID]])</f>
        <v>1231</v>
      </c>
      <c r="B1241" s="45">
        <f>ROUNDDOWN((LineærRegression_Valg[[#This Row],[Tabel ID]]-1)/$B$5,0)+1</f>
        <v>308</v>
      </c>
      <c r="C1241" s="45">
        <f t="shared" si="19"/>
        <v>3</v>
      </c>
      <c r="D1241" s="45" t="b">
        <f>LineærRegression_Valg[[#This Row],[Afhængig variabel ID]]&lt;&gt;LineærRegression_Valg[[#This Row],[Uafhængig variabel ID]]</f>
        <v>1</v>
      </c>
      <c r="E1241" t="b">
        <f>LineærRegression_Valg[[#This Row],[Afhængig variabel ID]]&lt;=$B$5</f>
        <v>0</v>
      </c>
      <c r="F1241" t="str" cm="1">
        <f t="array" ref="F1241">IF(LineærRegression_Valg[[#This Row],[Indenfor range]],INDEX(DataTitel_liste,LineærRegression_Valg[[#This Row],[Afhængig variabel ID]]),INDEX(DataTitel_liste,1))</f>
        <v>Eksempel 1 (interval)</v>
      </c>
      <c r="G1241" s="45" t="str" cm="1">
        <f t="array" ref="G1241">IF(LineærRegression_Valg[[#This Row],[Indenfor range]],IF(LineærRegression_Valg[[#This Row],[Intet overlap]],INDEX(DataTitel_liste,LineærRegression_Valg[[#This Row],[Uafhængig variabel ID]]),INDEX(DataTitel_liste,IF(LineærRegression_Valg[[#This Row],[Afhængig variabel ID]]=1,2,1))),$B$7)</f>
        <v>Eksempel 2 (interval)</v>
      </c>
      <c r="H1241" s="45">
        <f>_xlfn.AGGREGATE(2,5,LineærRegression_Valg[[#This Row],[Tabel ID]])</f>
        <v>1</v>
      </c>
    </row>
    <row r="1242" spans="1:8" x14ac:dyDescent="0.2">
      <c r="A1242">
        <f>ROW(LineærRegression_Valg[[#This Row],[Tabel ID]])-ROW(LineærRegression_Valg[[#Headers],[Tabel ID]])</f>
        <v>1232</v>
      </c>
      <c r="B1242" s="45">
        <f>ROUNDDOWN((LineærRegression_Valg[[#This Row],[Tabel ID]]-1)/$B$5,0)+1</f>
        <v>308</v>
      </c>
      <c r="C1242" s="45">
        <f t="shared" si="19"/>
        <v>4</v>
      </c>
      <c r="D1242" s="45" t="b">
        <f>LineærRegression_Valg[[#This Row],[Afhængig variabel ID]]&lt;&gt;LineærRegression_Valg[[#This Row],[Uafhængig variabel ID]]</f>
        <v>1</v>
      </c>
      <c r="E1242" t="b">
        <f>LineærRegression_Valg[[#This Row],[Afhængig variabel ID]]&lt;=$B$5</f>
        <v>0</v>
      </c>
      <c r="F1242" t="str" cm="1">
        <f t="array" ref="F1242">IF(LineærRegression_Valg[[#This Row],[Indenfor range]],INDEX(DataTitel_liste,LineærRegression_Valg[[#This Row],[Afhængig variabel ID]]),INDEX(DataTitel_liste,1))</f>
        <v>Eksempel 1 (interval)</v>
      </c>
      <c r="G1242" s="45" t="str" cm="1">
        <f t="array" ref="G1242">IF(LineærRegression_Valg[[#This Row],[Indenfor range]],IF(LineærRegression_Valg[[#This Row],[Intet overlap]],INDEX(DataTitel_liste,LineærRegression_Valg[[#This Row],[Uafhængig variabel ID]]),INDEX(DataTitel_liste,IF(LineærRegression_Valg[[#This Row],[Afhængig variabel ID]]=1,2,1))),$B$7)</f>
        <v>Eksempel 2 (interval)</v>
      </c>
      <c r="H1242" s="45">
        <f>_xlfn.AGGREGATE(2,5,LineærRegression_Valg[[#This Row],[Tabel ID]])</f>
        <v>1</v>
      </c>
    </row>
    <row r="1243" spans="1:8" x14ac:dyDescent="0.2">
      <c r="A1243">
        <f>ROW(LineærRegression_Valg[[#This Row],[Tabel ID]])-ROW(LineærRegression_Valg[[#Headers],[Tabel ID]])</f>
        <v>1233</v>
      </c>
      <c r="B1243" s="45">
        <f>ROUNDDOWN((LineærRegression_Valg[[#This Row],[Tabel ID]]-1)/$B$5,0)+1</f>
        <v>309</v>
      </c>
      <c r="C1243" s="45">
        <f t="shared" si="19"/>
        <v>1</v>
      </c>
      <c r="D1243" s="45" t="b">
        <f>LineærRegression_Valg[[#This Row],[Afhængig variabel ID]]&lt;&gt;LineærRegression_Valg[[#This Row],[Uafhængig variabel ID]]</f>
        <v>1</v>
      </c>
      <c r="E1243" t="b">
        <f>LineærRegression_Valg[[#This Row],[Afhængig variabel ID]]&lt;=$B$5</f>
        <v>0</v>
      </c>
      <c r="F1243" t="str" cm="1">
        <f t="array" ref="F1243">IF(LineærRegression_Valg[[#This Row],[Indenfor range]],INDEX(DataTitel_liste,LineærRegression_Valg[[#This Row],[Afhængig variabel ID]]),INDEX(DataTitel_liste,1))</f>
        <v>Eksempel 1 (interval)</v>
      </c>
      <c r="G1243" s="45" t="str" cm="1">
        <f t="array" ref="G1243">IF(LineærRegression_Valg[[#This Row],[Indenfor range]],IF(LineærRegression_Valg[[#This Row],[Intet overlap]],INDEX(DataTitel_liste,LineærRegression_Valg[[#This Row],[Uafhængig variabel ID]]),INDEX(DataTitel_liste,IF(LineærRegression_Valg[[#This Row],[Afhængig variabel ID]]=1,2,1))),$B$7)</f>
        <v>Eksempel 2 (interval)</v>
      </c>
      <c r="H1243" s="45">
        <f>_xlfn.AGGREGATE(2,5,LineærRegression_Valg[[#This Row],[Tabel ID]])</f>
        <v>1</v>
      </c>
    </row>
    <row r="1244" spans="1:8" x14ac:dyDescent="0.2">
      <c r="A1244">
        <f>ROW(LineærRegression_Valg[[#This Row],[Tabel ID]])-ROW(LineærRegression_Valg[[#Headers],[Tabel ID]])</f>
        <v>1234</v>
      </c>
      <c r="B1244" s="45">
        <f>ROUNDDOWN((LineærRegression_Valg[[#This Row],[Tabel ID]]-1)/$B$5,0)+1</f>
        <v>309</v>
      </c>
      <c r="C1244" s="45">
        <f t="shared" si="19"/>
        <v>2</v>
      </c>
      <c r="D1244" s="45" t="b">
        <f>LineærRegression_Valg[[#This Row],[Afhængig variabel ID]]&lt;&gt;LineærRegression_Valg[[#This Row],[Uafhængig variabel ID]]</f>
        <v>1</v>
      </c>
      <c r="E1244" t="b">
        <f>LineærRegression_Valg[[#This Row],[Afhængig variabel ID]]&lt;=$B$5</f>
        <v>0</v>
      </c>
      <c r="F1244" t="str" cm="1">
        <f t="array" ref="F1244">IF(LineærRegression_Valg[[#This Row],[Indenfor range]],INDEX(DataTitel_liste,LineærRegression_Valg[[#This Row],[Afhængig variabel ID]]),INDEX(DataTitel_liste,1))</f>
        <v>Eksempel 1 (interval)</v>
      </c>
      <c r="G1244" s="45" t="str" cm="1">
        <f t="array" ref="G1244">IF(LineærRegression_Valg[[#This Row],[Indenfor range]],IF(LineærRegression_Valg[[#This Row],[Intet overlap]],INDEX(DataTitel_liste,LineærRegression_Valg[[#This Row],[Uafhængig variabel ID]]),INDEX(DataTitel_liste,IF(LineærRegression_Valg[[#This Row],[Afhængig variabel ID]]=1,2,1))),$B$7)</f>
        <v>Eksempel 2 (interval)</v>
      </c>
      <c r="H1244" s="45">
        <f>_xlfn.AGGREGATE(2,5,LineærRegression_Valg[[#This Row],[Tabel ID]])</f>
        <v>1</v>
      </c>
    </row>
    <row r="1245" spans="1:8" x14ac:dyDescent="0.2">
      <c r="A1245">
        <f>ROW(LineærRegression_Valg[[#This Row],[Tabel ID]])-ROW(LineærRegression_Valg[[#Headers],[Tabel ID]])</f>
        <v>1235</v>
      </c>
      <c r="B1245" s="45">
        <f>ROUNDDOWN((LineærRegression_Valg[[#This Row],[Tabel ID]]-1)/$B$5,0)+1</f>
        <v>309</v>
      </c>
      <c r="C1245" s="45">
        <f t="shared" si="19"/>
        <v>3</v>
      </c>
      <c r="D1245" s="45" t="b">
        <f>LineærRegression_Valg[[#This Row],[Afhængig variabel ID]]&lt;&gt;LineærRegression_Valg[[#This Row],[Uafhængig variabel ID]]</f>
        <v>1</v>
      </c>
      <c r="E1245" t="b">
        <f>LineærRegression_Valg[[#This Row],[Afhængig variabel ID]]&lt;=$B$5</f>
        <v>0</v>
      </c>
      <c r="F1245" t="str" cm="1">
        <f t="array" ref="F1245">IF(LineærRegression_Valg[[#This Row],[Indenfor range]],INDEX(DataTitel_liste,LineærRegression_Valg[[#This Row],[Afhængig variabel ID]]),INDEX(DataTitel_liste,1))</f>
        <v>Eksempel 1 (interval)</v>
      </c>
      <c r="G1245" s="45" t="str" cm="1">
        <f t="array" ref="G1245">IF(LineærRegression_Valg[[#This Row],[Indenfor range]],IF(LineærRegression_Valg[[#This Row],[Intet overlap]],INDEX(DataTitel_liste,LineærRegression_Valg[[#This Row],[Uafhængig variabel ID]]),INDEX(DataTitel_liste,IF(LineærRegression_Valg[[#This Row],[Afhængig variabel ID]]=1,2,1))),$B$7)</f>
        <v>Eksempel 2 (interval)</v>
      </c>
      <c r="H1245" s="45">
        <f>_xlfn.AGGREGATE(2,5,LineærRegression_Valg[[#This Row],[Tabel ID]])</f>
        <v>1</v>
      </c>
    </row>
    <row r="1246" spans="1:8" x14ac:dyDescent="0.2">
      <c r="A1246">
        <f>ROW(LineærRegression_Valg[[#This Row],[Tabel ID]])-ROW(LineærRegression_Valg[[#Headers],[Tabel ID]])</f>
        <v>1236</v>
      </c>
      <c r="B1246" s="45">
        <f>ROUNDDOWN((LineærRegression_Valg[[#This Row],[Tabel ID]]-1)/$B$5,0)+1</f>
        <v>309</v>
      </c>
      <c r="C1246" s="45">
        <f t="shared" si="19"/>
        <v>4</v>
      </c>
      <c r="D1246" s="45" t="b">
        <f>LineærRegression_Valg[[#This Row],[Afhængig variabel ID]]&lt;&gt;LineærRegression_Valg[[#This Row],[Uafhængig variabel ID]]</f>
        <v>1</v>
      </c>
      <c r="E1246" t="b">
        <f>LineærRegression_Valg[[#This Row],[Afhængig variabel ID]]&lt;=$B$5</f>
        <v>0</v>
      </c>
      <c r="F1246" t="str" cm="1">
        <f t="array" ref="F1246">IF(LineærRegression_Valg[[#This Row],[Indenfor range]],INDEX(DataTitel_liste,LineærRegression_Valg[[#This Row],[Afhængig variabel ID]]),INDEX(DataTitel_liste,1))</f>
        <v>Eksempel 1 (interval)</v>
      </c>
      <c r="G1246" s="45" t="str" cm="1">
        <f t="array" ref="G1246">IF(LineærRegression_Valg[[#This Row],[Indenfor range]],IF(LineærRegression_Valg[[#This Row],[Intet overlap]],INDEX(DataTitel_liste,LineærRegression_Valg[[#This Row],[Uafhængig variabel ID]]),INDEX(DataTitel_liste,IF(LineærRegression_Valg[[#This Row],[Afhængig variabel ID]]=1,2,1))),$B$7)</f>
        <v>Eksempel 2 (interval)</v>
      </c>
      <c r="H1246" s="45">
        <f>_xlfn.AGGREGATE(2,5,LineærRegression_Valg[[#This Row],[Tabel ID]])</f>
        <v>1</v>
      </c>
    </row>
    <row r="1247" spans="1:8" x14ac:dyDescent="0.2">
      <c r="A1247">
        <f>ROW(LineærRegression_Valg[[#This Row],[Tabel ID]])-ROW(LineærRegression_Valg[[#Headers],[Tabel ID]])</f>
        <v>1237</v>
      </c>
      <c r="B1247" s="45">
        <f>ROUNDDOWN((LineærRegression_Valg[[#This Row],[Tabel ID]]-1)/$B$5,0)+1</f>
        <v>310</v>
      </c>
      <c r="C1247" s="45">
        <f t="shared" si="19"/>
        <v>1</v>
      </c>
      <c r="D1247" s="45" t="b">
        <f>LineærRegression_Valg[[#This Row],[Afhængig variabel ID]]&lt;&gt;LineærRegression_Valg[[#This Row],[Uafhængig variabel ID]]</f>
        <v>1</v>
      </c>
      <c r="E1247" t="b">
        <f>LineærRegression_Valg[[#This Row],[Afhængig variabel ID]]&lt;=$B$5</f>
        <v>0</v>
      </c>
      <c r="F1247" t="str" cm="1">
        <f t="array" ref="F1247">IF(LineærRegression_Valg[[#This Row],[Indenfor range]],INDEX(DataTitel_liste,LineærRegression_Valg[[#This Row],[Afhængig variabel ID]]),INDEX(DataTitel_liste,1))</f>
        <v>Eksempel 1 (interval)</v>
      </c>
      <c r="G1247" s="45" t="str" cm="1">
        <f t="array" ref="G1247">IF(LineærRegression_Valg[[#This Row],[Indenfor range]],IF(LineærRegression_Valg[[#This Row],[Intet overlap]],INDEX(DataTitel_liste,LineærRegression_Valg[[#This Row],[Uafhængig variabel ID]]),INDEX(DataTitel_liste,IF(LineærRegression_Valg[[#This Row],[Afhængig variabel ID]]=1,2,1))),$B$7)</f>
        <v>Eksempel 2 (interval)</v>
      </c>
      <c r="H1247" s="45">
        <f>_xlfn.AGGREGATE(2,5,LineærRegression_Valg[[#This Row],[Tabel ID]])</f>
        <v>1</v>
      </c>
    </row>
    <row r="1248" spans="1:8" x14ac:dyDescent="0.2">
      <c r="A1248">
        <f>ROW(LineærRegression_Valg[[#This Row],[Tabel ID]])-ROW(LineærRegression_Valg[[#Headers],[Tabel ID]])</f>
        <v>1238</v>
      </c>
      <c r="B1248" s="45">
        <f>ROUNDDOWN((LineærRegression_Valg[[#This Row],[Tabel ID]]-1)/$B$5,0)+1</f>
        <v>310</v>
      </c>
      <c r="C1248" s="45">
        <f t="shared" si="19"/>
        <v>2</v>
      </c>
      <c r="D1248" s="45" t="b">
        <f>LineærRegression_Valg[[#This Row],[Afhængig variabel ID]]&lt;&gt;LineærRegression_Valg[[#This Row],[Uafhængig variabel ID]]</f>
        <v>1</v>
      </c>
      <c r="E1248" t="b">
        <f>LineærRegression_Valg[[#This Row],[Afhængig variabel ID]]&lt;=$B$5</f>
        <v>0</v>
      </c>
      <c r="F1248" t="str" cm="1">
        <f t="array" ref="F1248">IF(LineærRegression_Valg[[#This Row],[Indenfor range]],INDEX(DataTitel_liste,LineærRegression_Valg[[#This Row],[Afhængig variabel ID]]),INDEX(DataTitel_liste,1))</f>
        <v>Eksempel 1 (interval)</v>
      </c>
      <c r="G1248" s="45" t="str" cm="1">
        <f t="array" ref="G1248">IF(LineærRegression_Valg[[#This Row],[Indenfor range]],IF(LineærRegression_Valg[[#This Row],[Intet overlap]],INDEX(DataTitel_liste,LineærRegression_Valg[[#This Row],[Uafhængig variabel ID]]),INDEX(DataTitel_liste,IF(LineærRegression_Valg[[#This Row],[Afhængig variabel ID]]=1,2,1))),$B$7)</f>
        <v>Eksempel 2 (interval)</v>
      </c>
      <c r="H1248" s="45">
        <f>_xlfn.AGGREGATE(2,5,LineærRegression_Valg[[#This Row],[Tabel ID]])</f>
        <v>1</v>
      </c>
    </row>
    <row r="1249" spans="1:8" x14ac:dyDescent="0.2">
      <c r="A1249">
        <f>ROW(LineærRegression_Valg[[#This Row],[Tabel ID]])-ROW(LineærRegression_Valg[[#Headers],[Tabel ID]])</f>
        <v>1239</v>
      </c>
      <c r="B1249" s="45">
        <f>ROUNDDOWN((LineærRegression_Valg[[#This Row],[Tabel ID]]-1)/$B$5,0)+1</f>
        <v>310</v>
      </c>
      <c r="C1249" s="45">
        <f t="shared" si="19"/>
        <v>3</v>
      </c>
      <c r="D1249" s="45" t="b">
        <f>LineærRegression_Valg[[#This Row],[Afhængig variabel ID]]&lt;&gt;LineærRegression_Valg[[#This Row],[Uafhængig variabel ID]]</f>
        <v>1</v>
      </c>
      <c r="E1249" t="b">
        <f>LineærRegression_Valg[[#This Row],[Afhængig variabel ID]]&lt;=$B$5</f>
        <v>0</v>
      </c>
      <c r="F1249" t="str" cm="1">
        <f t="array" ref="F1249">IF(LineærRegression_Valg[[#This Row],[Indenfor range]],INDEX(DataTitel_liste,LineærRegression_Valg[[#This Row],[Afhængig variabel ID]]),INDEX(DataTitel_liste,1))</f>
        <v>Eksempel 1 (interval)</v>
      </c>
      <c r="G1249" s="45" t="str" cm="1">
        <f t="array" ref="G1249">IF(LineærRegression_Valg[[#This Row],[Indenfor range]],IF(LineærRegression_Valg[[#This Row],[Intet overlap]],INDEX(DataTitel_liste,LineærRegression_Valg[[#This Row],[Uafhængig variabel ID]]),INDEX(DataTitel_liste,IF(LineærRegression_Valg[[#This Row],[Afhængig variabel ID]]=1,2,1))),$B$7)</f>
        <v>Eksempel 2 (interval)</v>
      </c>
      <c r="H1249" s="45">
        <f>_xlfn.AGGREGATE(2,5,LineærRegression_Valg[[#This Row],[Tabel ID]])</f>
        <v>1</v>
      </c>
    </row>
    <row r="1250" spans="1:8" x14ac:dyDescent="0.2">
      <c r="A1250">
        <f>ROW(LineærRegression_Valg[[#This Row],[Tabel ID]])-ROW(LineærRegression_Valg[[#Headers],[Tabel ID]])</f>
        <v>1240</v>
      </c>
      <c r="B1250" s="45">
        <f>ROUNDDOWN((LineærRegression_Valg[[#This Row],[Tabel ID]]-1)/$B$5,0)+1</f>
        <v>310</v>
      </c>
      <c r="C1250" s="45">
        <f t="shared" si="19"/>
        <v>4</v>
      </c>
      <c r="D1250" s="45" t="b">
        <f>LineærRegression_Valg[[#This Row],[Afhængig variabel ID]]&lt;&gt;LineærRegression_Valg[[#This Row],[Uafhængig variabel ID]]</f>
        <v>1</v>
      </c>
      <c r="E1250" t="b">
        <f>LineærRegression_Valg[[#This Row],[Afhængig variabel ID]]&lt;=$B$5</f>
        <v>0</v>
      </c>
      <c r="F1250" t="str" cm="1">
        <f t="array" ref="F1250">IF(LineærRegression_Valg[[#This Row],[Indenfor range]],INDEX(DataTitel_liste,LineærRegression_Valg[[#This Row],[Afhængig variabel ID]]),INDEX(DataTitel_liste,1))</f>
        <v>Eksempel 1 (interval)</v>
      </c>
      <c r="G1250" s="45" t="str" cm="1">
        <f t="array" ref="G1250">IF(LineærRegression_Valg[[#This Row],[Indenfor range]],IF(LineærRegression_Valg[[#This Row],[Intet overlap]],INDEX(DataTitel_liste,LineærRegression_Valg[[#This Row],[Uafhængig variabel ID]]),INDEX(DataTitel_liste,IF(LineærRegression_Valg[[#This Row],[Afhængig variabel ID]]=1,2,1))),$B$7)</f>
        <v>Eksempel 2 (interval)</v>
      </c>
      <c r="H1250" s="45">
        <f>_xlfn.AGGREGATE(2,5,LineærRegression_Valg[[#This Row],[Tabel ID]])</f>
        <v>1</v>
      </c>
    </row>
    <row r="1251" spans="1:8" x14ac:dyDescent="0.2">
      <c r="A1251">
        <f>ROW(LineærRegression_Valg[[#This Row],[Tabel ID]])-ROW(LineærRegression_Valg[[#Headers],[Tabel ID]])</f>
        <v>1241</v>
      </c>
      <c r="B1251" s="45">
        <f>ROUNDDOWN((LineærRegression_Valg[[#This Row],[Tabel ID]]-1)/$B$5,0)+1</f>
        <v>311</v>
      </c>
      <c r="C1251" s="45">
        <f t="shared" si="19"/>
        <v>1</v>
      </c>
      <c r="D1251" s="45" t="b">
        <f>LineærRegression_Valg[[#This Row],[Afhængig variabel ID]]&lt;&gt;LineærRegression_Valg[[#This Row],[Uafhængig variabel ID]]</f>
        <v>1</v>
      </c>
      <c r="E1251" t="b">
        <f>LineærRegression_Valg[[#This Row],[Afhængig variabel ID]]&lt;=$B$5</f>
        <v>0</v>
      </c>
      <c r="F1251" t="str" cm="1">
        <f t="array" ref="F1251">IF(LineærRegression_Valg[[#This Row],[Indenfor range]],INDEX(DataTitel_liste,LineærRegression_Valg[[#This Row],[Afhængig variabel ID]]),INDEX(DataTitel_liste,1))</f>
        <v>Eksempel 1 (interval)</v>
      </c>
      <c r="G1251" s="45" t="str" cm="1">
        <f t="array" ref="G1251">IF(LineærRegression_Valg[[#This Row],[Indenfor range]],IF(LineærRegression_Valg[[#This Row],[Intet overlap]],INDEX(DataTitel_liste,LineærRegression_Valg[[#This Row],[Uafhængig variabel ID]]),INDEX(DataTitel_liste,IF(LineærRegression_Valg[[#This Row],[Afhængig variabel ID]]=1,2,1))),$B$7)</f>
        <v>Eksempel 2 (interval)</v>
      </c>
      <c r="H1251" s="45">
        <f>_xlfn.AGGREGATE(2,5,LineærRegression_Valg[[#This Row],[Tabel ID]])</f>
        <v>1</v>
      </c>
    </row>
    <row r="1252" spans="1:8" x14ac:dyDescent="0.2">
      <c r="A1252">
        <f>ROW(LineærRegression_Valg[[#This Row],[Tabel ID]])-ROW(LineærRegression_Valg[[#Headers],[Tabel ID]])</f>
        <v>1242</v>
      </c>
      <c r="B1252" s="45">
        <f>ROUNDDOWN((LineærRegression_Valg[[#This Row],[Tabel ID]]-1)/$B$5,0)+1</f>
        <v>311</v>
      </c>
      <c r="C1252" s="45">
        <f t="shared" si="19"/>
        <v>2</v>
      </c>
      <c r="D1252" s="45" t="b">
        <f>LineærRegression_Valg[[#This Row],[Afhængig variabel ID]]&lt;&gt;LineærRegression_Valg[[#This Row],[Uafhængig variabel ID]]</f>
        <v>1</v>
      </c>
      <c r="E1252" t="b">
        <f>LineærRegression_Valg[[#This Row],[Afhængig variabel ID]]&lt;=$B$5</f>
        <v>0</v>
      </c>
      <c r="F1252" t="str" cm="1">
        <f t="array" ref="F1252">IF(LineærRegression_Valg[[#This Row],[Indenfor range]],INDEX(DataTitel_liste,LineærRegression_Valg[[#This Row],[Afhængig variabel ID]]),INDEX(DataTitel_liste,1))</f>
        <v>Eksempel 1 (interval)</v>
      </c>
      <c r="G1252" s="45" t="str" cm="1">
        <f t="array" ref="G1252">IF(LineærRegression_Valg[[#This Row],[Indenfor range]],IF(LineærRegression_Valg[[#This Row],[Intet overlap]],INDEX(DataTitel_liste,LineærRegression_Valg[[#This Row],[Uafhængig variabel ID]]),INDEX(DataTitel_liste,IF(LineærRegression_Valg[[#This Row],[Afhængig variabel ID]]=1,2,1))),$B$7)</f>
        <v>Eksempel 2 (interval)</v>
      </c>
      <c r="H1252" s="45">
        <f>_xlfn.AGGREGATE(2,5,LineærRegression_Valg[[#This Row],[Tabel ID]])</f>
        <v>1</v>
      </c>
    </row>
    <row r="1253" spans="1:8" x14ac:dyDescent="0.2">
      <c r="A1253">
        <f>ROW(LineærRegression_Valg[[#This Row],[Tabel ID]])-ROW(LineærRegression_Valg[[#Headers],[Tabel ID]])</f>
        <v>1243</v>
      </c>
      <c r="B1253" s="45">
        <f>ROUNDDOWN((LineærRegression_Valg[[#This Row],[Tabel ID]]-1)/$B$5,0)+1</f>
        <v>311</v>
      </c>
      <c r="C1253" s="45">
        <f t="shared" si="19"/>
        <v>3</v>
      </c>
      <c r="D1253" s="45" t="b">
        <f>LineærRegression_Valg[[#This Row],[Afhængig variabel ID]]&lt;&gt;LineærRegression_Valg[[#This Row],[Uafhængig variabel ID]]</f>
        <v>1</v>
      </c>
      <c r="E1253" t="b">
        <f>LineærRegression_Valg[[#This Row],[Afhængig variabel ID]]&lt;=$B$5</f>
        <v>0</v>
      </c>
      <c r="F1253" t="str" cm="1">
        <f t="array" ref="F1253">IF(LineærRegression_Valg[[#This Row],[Indenfor range]],INDEX(DataTitel_liste,LineærRegression_Valg[[#This Row],[Afhængig variabel ID]]),INDEX(DataTitel_liste,1))</f>
        <v>Eksempel 1 (interval)</v>
      </c>
      <c r="G1253" s="45" t="str" cm="1">
        <f t="array" ref="G1253">IF(LineærRegression_Valg[[#This Row],[Indenfor range]],IF(LineærRegression_Valg[[#This Row],[Intet overlap]],INDEX(DataTitel_liste,LineærRegression_Valg[[#This Row],[Uafhængig variabel ID]]),INDEX(DataTitel_liste,IF(LineærRegression_Valg[[#This Row],[Afhængig variabel ID]]=1,2,1))),$B$7)</f>
        <v>Eksempel 2 (interval)</v>
      </c>
      <c r="H1253" s="45">
        <f>_xlfn.AGGREGATE(2,5,LineærRegression_Valg[[#This Row],[Tabel ID]])</f>
        <v>1</v>
      </c>
    </row>
    <row r="1254" spans="1:8" x14ac:dyDescent="0.2">
      <c r="A1254">
        <f>ROW(LineærRegression_Valg[[#This Row],[Tabel ID]])-ROW(LineærRegression_Valg[[#Headers],[Tabel ID]])</f>
        <v>1244</v>
      </c>
      <c r="B1254" s="45">
        <f>ROUNDDOWN((LineærRegression_Valg[[#This Row],[Tabel ID]]-1)/$B$5,0)+1</f>
        <v>311</v>
      </c>
      <c r="C1254" s="45">
        <f t="shared" si="19"/>
        <v>4</v>
      </c>
      <c r="D1254" s="45" t="b">
        <f>LineærRegression_Valg[[#This Row],[Afhængig variabel ID]]&lt;&gt;LineærRegression_Valg[[#This Row],[Uafhængig variabel ID]]</f>
        <v>1</v>
      </c>
      <c r="E1254" t="b">
        <f>LineærRegression_Valg[[#This Row],[Afhængig variabel ID]]&lt;=$B$5</f>
        <v>0</v>
      </c>
      <c r="F1254" t="str" cm="1">
        <f t="array" ref="F1254">IF(LineærRegression_Valg[[#This Row],[Indenfor range]],INDEX(DataTitel_liste,LineærRegression_Valg[[#This Row],[Afhængig variabel ID]]),INDEX(DataTitel_liste,1))</f>
        <v>Eksempel 1 (interval)</v>
      </c>
      <c r="G1254" s="45" t="str" cm="1">
        <f t="array" ref="G1254">IF(LineærRegression_Valg[[#This Row],[Indenfor range]],IF(LineærRegression_Valg[[#This Row],[Intet overlap]],INDEX(DataTitel_liste,LineærRegression_Valg[[#This Row],[Uafhængig variabel ID]]),INDEX(DataTitel_liste,IF(LineærRegression_Valg[[#This Row],[Afhængig variabel ID]]=1,2,1))),$B$7)</f>
        <v>Eksempel 2 (interval)</v>
      </c>
      <c r="H1254" s="45">
        <f>_xlfn.AGGREGATE(2,5,LineærRegression_Valg[[#This Row],[Tabel ID]])</f>
        <v>1</v>
      </c>
    </row>
    <row r="1255" spans="1:8" x14ac:dyDescent="0.2">
      <c r="A1255">
        <f>ROW(LineærRegression_Valg[[#This Row],[Tabel ID]])-ROW(LineærRegression_Valg[[#Headers],[Tabel ID]])</f>
        <v>1245</v>
      </c>
      <c r="B1255" s="45">
        <f>ROUNDDOWN((LineærRegression_Valg[[#This Row],[Tabel ID]]-1)/$B$5,0)+1</f>
        <v>312</v>
      </c>
      <c r="C1255" s="45">
        <f t="shared" si="19"/>
        <v>1</v>
      </c>
      <c r="D1255" s="45" t="b">
        <f>LineærRegression_Valg[[#This Row],[Afhængig variabel ID]]&lt;&gt;LineærRegression_Valg[[#This Row],[Uafhængig variabel ID]]</f>
        <v>1</v>
      </c>
      <c r="E1255" t="b">
        <f>LineærRegression_Valg[[#This Row],[Afhængig variabel ID]]&lt;=$B$5</f>
        <v>0</v>
      </c>
      <c r="F1255" t="str" cm="1">
        <f t="array" ref="F1255">IF(LineærRegression_Valg[[#This Row],[Indenfor range]],INDEX(DataTitel_liste,LineærRegression_Valg[[#This Row],[Afhængig variabel ID]]),INDEX(DataTitel_liste,1))</f>
        <v>Eksempel 1 (interval)</v>
      </c>
      <c r="G1255" s="45" t="str" cm="1">
        <f t="array" ref="G1255">IF(LineærRegression_Valg[[#This Row],[Indenfor range]],IF(LineærRegression_Valg[[#This Row],[Intet overlap]],INDEX(DataTitel_liste,LineærRegression_Valg[[#This Row],[Uafhængig variabel ID]]),INDEX(DataTitel_liste,IF(LineærRegression_Valg[[#This Row],[Afhængig variabel ID]]=1,2,1))),$B$7)</f>
        <v>Eksempel 2 (interval)</v>
      </c>
      <c r="H1255" s="45">
        <f>_xlfn.AGGREGATE(2,5,LineærRegression_Valg[[#This Row],[Tabel ID]])</f>
        <v>1</v>
      </c>
    </row>
    <row r="1256" spans="1:8" x14ac:dyDescent="0.2">
      <c r="A1256">
        <f>ROW(LineærRegression_Valg[[#This Row],[Tabel ID]])-ROW(LineærRegression_Valg[[#Headers],[Tabel ID]])</f>
        <v>1246</v>
      </c>
      <c r="B1256" s="45">
        <f>ROUNDDOWN((LineærRegression_Valg[[#This Row],[Tabel ID]]-1)/$B$5,0)+1</f>
        <v>312</v>
      </c>
      <c r="C1256" s="45">
        <f t="shared" si="19"/>
        <v>2</v>
      </c>
      <c r="D1256" s="45" t="b">
        <f>LineærRegression_Valg[[#This Row],[Afhængig variabel ID]]&lt;&gt;LineærRegression_Valg[[#This Row],[Uafhængig variabel ID]]</f>
        <v>1</v>
      </c>
      <c r="E1256" t="b">
        <f>LineærRegression_Valg[[#This Row],[Afhængig variabel ID]]&lt;=$B$5</f>
        <v>0</v>
      </c>
      <c r="F1256" t="str" cm="1">
        <f t="array" ref="F1256">IF(LineærRegression_Valg[[#This Row],[Indenfor range]],INDEX(DataTitel_liste,LineærRegression_Valg[[#This Row],[Afhængig variabel ID]]),INDEX(DataTitel_liste,1))</f>
        <v>Eksempel 1 (interval)</v>
      </c>
      <c r="G1256" s="45" t="str" cm="1">
        <f t="array" ref="G1256">IF(LineærRegression_Valg[[#This Row],[Indenfor range]],IF(LineærRegression_Valg[[#This Row],[Intet overlap]],INDEX(DataTitel_liste,LineærRegression_Valg[[#This Row],[Uafhængig variabel ID]]),INDEX(DataTitel_liste,IF(LineærRegression_Valg[[#This Row],[Afhængig variabel ID]]=1,2,1))),$B$7)</f>
        <v>Eksempel 2 (interval)</v>
      </c>
      <c r="H1256" s="45">
        <f>_xlfn.AGGREGATE(2,5,LineærRegression_Valg[[#This Row],[Tabel ID]])</f>
        <v>1</v>
      </c>
    </row>
    <row r="1257" spans="1:8" x14ac:dyDescent="0.2">
      <c r="A1257">
        <f>ROW(LineærRegression_Valg[[#This Row],[Tabel ID]])-ROW(LineærRegression_Valg[[#Headers],[Tabel ID]])</f>
        <v>1247</v>
      </c>
      <c r="B1257" s="45">
        <f>ROUNDDOWN((LineærRegression_Valg[[#This Row],[Tabel ID]]-1)/$B$5,0)+1</f>
        <v>312</v>
      </c>
      <c r="C1257" s="45">
        <f t="shared" si="19"/>
        <v>3</v>
      </c>
      <c r="D1257" s="45" t="b">
        <f>LineærRegression_Valg[[#This Row],[Afhængig variabel ID]]&lt;&gt;LineærRegression_Valg[[#This Row],[Uafhængig variabel ID]]</f>
        <v>1</v>
      </c>
      <c r="E1257" t="b">
        <f>LineærRegression_Valg[[#This Row],[Afhængig variabel ID]]&lt;=$B$5</f>
        <v>0</v>
      </c>
      <c r="F1257" t="str" cm="1">
        <f t="array" ref="F1257">IF(LineærRegression_Valg[[#This Row],[Indenfor range]],INDEX(DataTitel_liste,LineærRegression_Valg[[#This Row],[Afhængig variabel ID]]),INDEX(DataTitel_liste,1))</f>
        <v>Eksempel 1 (interval)</v>
      </c>
      <c r="G1257" s="45" t="str" cm="1">
        <f t="array" ref="G1257">IF(LineærRegression_Valg[[#This Row],[Indenfor range]],IF(LineærRegression_Valg[[#This Row],[Intet overlap]],INDEX(DataTitel_liste,LineærRegression_Valg[[#This Row],[Uafhængig variabel ID]]),INDEX(DataTitel_liste,IF(LineærRegression_Valg[[#This Row],[Afhængig variabel ID]]=1,2,1))),$B$7)</f>
        <v>Eksempel 2 (interval)</v>
      </c>
      <c r="H1257" s="45">
        <f>_xlfn.AGGREGATE(2,5,LineærRegression_Valg[[#This Row],[Tabel ID]])</f>
        <v>1</v>
      </c>
    </row>
    <row r="1258" spans="1:8" x14ac:dyDescent="0.2">
      <c r="A1258">
        <f>ROW(LineærRegression_Valg[[#This Row],[Tabel ID]])-ROW(LineærRegression_Valg[[#Headers],[Tabel ID]])</f>
        <v>1248</v>
      </c>
      <c r="B1258" s="45">
        <f>ROUNDDOWN((LineærRegression_Valg[[#This Row],[Tabel ID]]-1)/$B$5,0)+1</f>
        <v>312</v>
      </c>
      <c r="C1258" s="45">
        <f t="shared" si="19"/>
        <v>4</v>
      </c>
      <c r="D1258" s="45" t="b">
        <f>LineærRegression_Valg[[#This Row],[Afhængig variabel ID]]&lt;&gt;LineærRegression_Valg[[#This Row],[Uafhængig variabel ID]]</f>
        <v>1</v>
      </c>
      <c r="E1258" t="b">
        <f>LineærRegression_Valg[[#This Row],[Afhængig variabel ID]]&lt;=$B$5</f>
        <v>0</v>
      </c>
      <c r="F1258" t="str" cm="1">
        <f t="array" ref="F1258">IF(LineærRegression_Valg[[#This Row],[Indenfor range]],INDEX(DataTitel_liste,LineærRegression_Valg[[#This Row],[Afhængig variabel ID]]),INDEX(DataTitel_liste,1))</f>
        <v>Eksempel 1 (interval)</v>
      </c>
      <c r="G1258" s="45" t="str" cm="1">
        <f t="array" ref="G1258">IF(LineærRegression_Valg[[#This Row],[Indenfor range]],IF(LineærRegression_Valg[[#This Row],[Intet overlap]],INDEX(DataTitel_liste,LineærRegression_Valg[[#This Row],[Uafhængig variabel ID]]),INDEX(DataTitel_liste,IF(LineærRegression_Valg[[#This Row],[Afhængig variabel ID]]=1,2,1))),$B$7)</f>
        <v>Eksempel 2 (interval)</v>
      </c>
      <c r="H1258" s="45">
        <f>_xlfn.AGGREGATE(2,5,LineærRegression_Valg[[#This Row],[Tabel ID]])</f>
        <v>1</v>
      </c>
    </row>
    <row r="1259" spans="1:8" x14ac:dyDescent="0.2">
      <c r="A1259">
        <f>ROW(LineærRegression_Valg[[#This Row],[Tabel ID]])-ROW(LineærRegression_Valg[[#Headers],[Tabel ID]])</f>
        <v>1249</v>
      </c>
      <c r="B1259" s="45">
        <f>ROUNDDOWN((LineærRegression_Valg[[#This Row],[Tabel ID]]-1)/$B$5,0)+1</f>
        <v>313</v>
      </c>
      <c r="C1259" s="45">
        <f t="shared" si="19"/>
        <v>1</v>
      </c>
      <c r="D1259" s="45" t="b">
        <f>LineærRegression_Valg[[#This Row],[Afhængig variabel ID]]&lt;&gt;LineærRegression_Valg[[#This Row],[Uafhængig variabel ID]]</f>
        <v>1</v>
      </c>
      <c r="E1259" t="b">
        <f>LineærRegression_Valg[[#This Row],[Afhængig variabel ID]]&lt;=$B$5</f>
        <v>0</v>
      </c>
      <c r="F1259" t="str" cm="1">
        <f t="array" ref="F1259">IF(LineærRegression_Valg[[#This Row],[Indenfor range]],INDEX(DataTitel_liste,LineærRegression_Valg[[#This Row],[Afhængig variabel ID]]),INDEX(DataTitel_liste,1))</f>
        <v>Eksempel 1 (interval)</v>
      </c>
      <c r="G1259" s="45" t="str" cm="1">
        <f t="array" ref="G1259">IF(LineærRegression_Valg[[#This Row],[Indenfor range]],IF(LineærRegression_Valg[[#This Row],[Intet overlap]],INDEX(DataTitel_liste,LineærRegression_Valg[[#This Row],[Uafhængig variabel ID]]),INDEX(DataTitel_liste,IF(LineærRegression_Valg[[#This Row],[Afhængig variabel ID]]=1,2,1))),$B$7)</f>
        <v>Eksempel 2 (interval)</v>
      </c>
      <c r="H1259" s="45">
        <f>_xlfn.AGGREGATE(2,5,LineærRegression_Valg[[#This Row],[Tabel ID]])</f>
        <v>1</v>
      </c>
    </row>
    <row r="1260" spans="1:8" x14ac:dyDescent="0.2">
      <c r="A1260">
        <f>ROW(LineærRegression_Valg[[#This Row],[Tabel ID]])-ROW(LineærRegression_Valg[[#Headers],[Tabel ID]])</f>
        <v>1250</v>
      </c>
      <c r="B1260" s="45">
        <f>ROUNDDOWN((LineærRegression_Valg[[#This Row],[Tabel ID]]-1)/$B$5,0)+1</f>
        <v>313</v>
      </c>
      <c r="C1260" s="45">
        <f t="shared" si="19"/>
        <v>2</v>
      </c>
      <c r="D1260" s="45" t="b">
        <f>LineærRegression_Valg[[#This Row],[Afhængig variabel ID]]&lt;&gt;LineærRegression_Valg[[#This Row],[Uafhængig variabel ID]]</f>
        <v>1</v>
      </c>
      <c r="E1260" t="b">
        <f>LineærRegression_Valg[[#This Row],[Afhængig variabel ID]]&lt;=$B$5</f>
        <v>0</v>
      </c>
      <c r="F1260" t="str" cm="1">
        <f t="array" ref="F1260">IF(LineærRegression_Valg[[#This Row],[Indenfor range]],INDEX(DataTitel_liste,LineærRegression_Valg[[#This Row],[Afhængig variabel ID]]),INDEX(DataTitel_liste,1))</f>
        <v>Eksempel 1 (interval)</v>
      </c>
      <c r="G1260" s="45" t="str" cm="1">
        <f t="array" ref="G1260">IF(LineærRegression_Valg[[#This Row],[Indenfor range]],IF(LineærRegression_Valg[[#This Row],[Intet overlap]],INDEX(DataTitel_liste,LineærRegression_Valg[[#This Row],[Uafhængig variabel ID]]),INDEX(DataTitel_liste,IF(LineærRegression_Valg[[#This Row],[Afhængig variabel ID]]=1,2,1))),$B$7)</f>
        <v>Eksempel 2 (interval)</v>
      </c>
      <c r="H1260" s="45">
        <f>_xlfn.AGGREGATE(2,5,LineærRegression_Valg[[#This Row],[Tabel ID]])</f>
        <v>1</v>
      </c>
    </row>
    <row r="1261" spans="1:8" x14ac:dyDescent="0.2">
      <c r="A1261">
        <f>ROW(LineærRegression_Valg[[#This Row],[Tabel ID]])-ROW(LineærRegression_Valg[[#Headers],[Tabel ID]])</f>
        <v>1251</v>
      </c>
      <c r="B1261" s="45">
        <f>ROUNDDOWN((LineærRegression_Valg[[#This Row],[Tabel ID]]-1)/$B$5,0)+1</f>
        <v>313</v>
      </c>
      <c r="C1261" s="45">
        <f t="shared" si="19"/>
        <v>3</v>
      </c>
      <c r="D1261" s="45" t="b">
        <f>LineærRegression_Valg[[#This Row],[Afhængig variabel ID]]&lt;&gt;LineærRegression_Valg[[#This Row],[Uafhængig variabel ID]]</f>
        <v>1</v>
      </c>
      <c r="E1261" t="b">
        <f>LineærRegression_Valg[[#This Row],[Afhængig variabel ID]]&lt;=$B$5</f>
        <v>0</v>
      </c>
      <c r="F1261" t="str" cm="1">
        <f t="array" ref="F1261">IF(LineærRegression_Valg[[#This Row],[Indenfor range]],INDEX(DataTitel_liste,LineærRegression_Valg[[#This Row],[Afhængig variabel ID]]),INDEX(DataTitel_liste,1))</f>
        <v>Eksempel 1 (interval)</v>
      </c>
      <c r="G1261" s="45" t="str" cm="1">
        <f t="array" ref="G1261">IF(LineærRegression_Valg[[#This Row],[Indenfor range]],IF(LineærRegression_Valg[[#This Row],[Intet overlap]],INDEX(DataTitel_liste,LineærRegression_Valg[[#This Row],[Uafhængig variabel ID]]),INDEX(DataTitel_liste,IF(LineærRegression_Valg[[#This Row],[Afhængig variabel ID]]=1,2,1))),$B$7)</f>
        <v>Eksempel 2 (interval)</v>
      </c>
      <c r="H1261" s="45">
        <f>_xlfn.AGGREGATE(2,5,LineærRegression_Valg[[#This Row],[Tabel ID]])</f>
        <v>1</v>
      </c>
    </row>
    <row r="1262" spans="1:8" x14ac:dyDescent="0.2">
      <c r="A1262">
        <f>ROW(LineærRegression_Valg[[#This Row],[Tabel ID]])-ROW(LineærRegression_Valg[[#Headers],[Tabel ID]])</f>
        <v>1252</v>
      </c>
      <c r="B1262" s="45">
        <f>ROUNDDOWN((LineærRegression_Valg[[#This Row],[Tabel ID]]-1)/$B$5,0)+1</f>
        <v>313</v>
      </c>
      <c r="C1262" s="45">
        <f t="shared" si="19"/>
        <v>4</v>
      </c>
      <c r="D1262" s="45" t="b">
        <f>LineærRegression_Valg[[#This Row],[Afhængig variabel ID]]&lt;&gt;LineærRegression_Valg[[#This Row],[Uafhængig variabel ID]]</f>
        <v>1</v>
      </c>
      <c r="E1262" t="b">
        <f>LineærRegression_Valg[[#This Row],[Afhængig variabel ID]]&lt;=$B$5</f>
        <v>0</v>
      </c>
      <c r="F1262" t="str" cm="1">
        <f t="array" ref="F1262">IF(LineærRegression_Valg[[#This Row],[Indenfor range]],INDEX(DataTitel_liste,LineærRegression_Valg[[#This Row],[Afhængig variabel ID]]),INDEX(DataTitel_liste,1))</f>
        <v>Eksempel 1 (interval)</v>
      </c>
      <c r="G1262" s="45" t="str" cm="1">
        <f t="array" ref="G1262">IF(LineærRegression_Valg[[#This Row],[Indenfor range]],IF(LineærRegression_Valg[[#This Row],[Intet overlap]],INDEX(DataTitel_liste,LineærRegression_Valg[[#This Row],[Uafhængig variabel ID]]),INDEX(DataTitel_liste,IF(LineærRegression_Valg[[#This Row],[Afhængig variabel ID]]=1,2,1))),$B$7)</f>
        <v>Eksempel 2 (interval)</v>
      </c>
      <c r="H1262" s="45">
        <f>_xlfn.AGGREGATE(2,5,LineærRegression_Valg[[#This Row],[Tabel ID]])</f>
        <v>1</v>
      </c>
    </row>
    <row r="1263" spans="1:8" x14ac:dyDescent="0.2">
      <c r="A1263">
        <f>ROW(LineærRegression_Valg[[#This Row],[Tabel ID]])-ROW(LineærRegression_Valg[[#Headers],[Tabel ID]])</f>
        <v>1253</v>
      </c>
      <c r="B1263" s="45">
        <f>ROUNDDOWN((LineærRegression_Valg[[#This Row],[Tabel ID]]-1)/$B$5,0)+1</f>
        <v>314</v>
      </c>
      <c r="C1263" s="45">
        <f t="shared" si="19"/>
        <v>1</v>
      </c>
      <c r="D1263" s="45" t="b">
        <f>LineærRegression_Valg[[#This Row],[Afhængig variabel ID]]&lt;&gt;LineærRegression_Valg[[#This Row],[Uafhængig variabel ID]]</f>
        <v>1</v>
      </c>
      <c r="E1263" t="b">
        <f>LineærRegression_Valg[[#This Row],[Afhængig variabel ID]]&lt;=$B$5</f>
        <v>0</v>
      </c>
      <c r="F1263" t="str" cm="1">
        <f t="array" ref="F1263">IF(LineærRegression_Valg[[#This Row],[Indenfor range]],INDEX(DataTitel_liste,LineærRegression_Valg[[#This Row],[Afhængig variabel ID]]),INDEX(DataTitel_liste,1))</f>
        <v>Eksempel 1 (interval)</v>
      </c>
      <c r="G1263" s="45" t="str" cm="1">
        <f t="array" ref="G1263">IF(LineærRegression_Valg[[#This Row],[Indenfor range]],IF(LineærRegression_Valg[[#This Row],[Intet overlap]],INDEX(DataTitel_liste,LineærRegression_Valg[[#This Row],[Uafhængig variabel ID]]),INDEX(DataTitel_liste,IF(LineærRegression_Valg[[#This Row],[Afhængig variabel ID]]=1,2,1))),$B$7)</f>
        <v>Eksempel 2 (interval)</v>
      </c>
      <c r="H1263" s="45">
        <f>_xlfn.AGGREGATE(2,5,LineærRegression_Valg[[#This Row],[Tabel ID]])</f>
        <v>1</v>
      </c>
    </row>
    <row r="1264" spans="1:8" x14ac:dyDescent="0.2">
      <c r="A1264">
        <f>ROW(LineærRegression_Valg[[#This Row],[Tabel ID]])-ROW(LineærRegression_Valg[[#Headers],[Tabel ID]])</f>
        <v>1254</v>
      </c>
      <c r="B1264" s="45">
        <f>ROUNDDOWN((LineærRegression_Valg[[#This Row],[Tabel ID]]-1)/$B$5,0)+1</f>
        <v>314</v>
      </c>
      <c r="C1264" s="45">
        <f t="shared" si="19"/>
        <v>2</v>
      </c>
      <c r="D1264" s="45" t="b">
        <f>LineærRegression_Valg[[#This Row],[Afhængig variabel ID]]&lt;&gt;LineærRegression_Valg[[#This Row],[Uafhængig variabel ID]]</f>
        <v>1</v>
      </c>
      <c r="E1264" t="b">
        <f>LineærRegression_Valg[[#This Row],[Afhængig variabel ID]]&lt;=$B$5</f>
        <v>0</v>
      </c>
      <c r="F1264" t="str" cm="1">
        <f t="array" ref="F1264">IF(LineærRegression_Valg[[#This Row],[Indenfor range]],INDEX(DataTitel_liste,LineærRegression_Valg[[#This Row],[Afhængig variabel ID]]),INDEX(DataTitel_liste,1))</f>
        <v>Eksempel 1 (interval)</v>
      </c>
      <c r="G1264" s="45" t="str" cm="1">
        <f t="array" ref="G1264">IF(LineærRegression_Valg[[#This Row],[Indenfor range]],IF(LineærRegression_Valg[[#This Row],[Intet overlap]],INDEX(DataTitel_liste,LineærRegression_Valg[[#This Row],[Uafhængig variabel ID]]),INDEX(DataTitel_liste,IF(LineærRegression_Valg[[#This Row],[Afhængig variabel ID]]=1,2,1))),$B$7)</f>
        <v>Eksempel 2 (interval)</v>
      </c>
      <c r="H1264" s="45">
        <f>_xlfn.AGGREGATE(2,5,LineærRegression_Valg[[#This Row],[Tabel ID]])</f>
        <v>1</v>
      </c>
    </row>
    <row r="1265" spans="1:8" x14ac:dyDescent="0.2">
      <c r="A1265">
        <f>ROW(LineærRegression_Valg[[#This Row],[Tabel ID]])-ROW(LineærRegression_Valg[[#Headers],[Tabel ID]])</f>
        <v>1255</v>
      </c>
      <c r="B1265" s="45">
        <f>ROUNDDOWN((LineærRegression_Valg[[#This Row],[Tabel ID]]-1)/$B$5,0)+1</f>
        <v>314</v>
      </c>
      <c r="C1265" s="45">
        <f t="shared" si="19"/>
        <v>3</v>
      </c>
      <c r="D1265" s="45" t="b">
        <f>LineærRegression_Valg[[#This Row],[Afhængig variabel ID]]&lt;&gt;LineærRegression_Valg[[#This Row],[Uafhængig variabel ID]]</f>
        <v>1</v>
      </c>
      <c r="E1265" t="b">
        <f>LineærRegression_Valg[[#This Row],[Afhængig variabel ID]]&lt;=$B$5</f>
        <v>0</v>
      </c>
      <c r="F1265" t="str" cm="1">
        <f t="array" ref="F1265">IF(LineærRegression_Valg[[#This Row],[Indenfor range]],INDEX(DataTitel_liste,LineærRegression_Valg[[#This Row],[Afhængig variabel ID]]),INDEX(DataTitel_liste,1))</f>
        <v>Eksempel 1 (interval)</v>
      </c>
      <c r="G1265" s="45" t="str" cm="1">
        <f t="array" ref="G1265">IF(LineærRegression_Valg[[#This Row],[Indenfor range]],IF(LineærRegression_Valg[[#This Row],[Intet overlap]],INDEX(DataTitel_liste,LineærRegression_Valg[[#This Row],[Uafhængig variabel ID]]),INDEX(DataTitel_liste,IF(LineærRegression_Valg[[#This Row],[Afhængig variabel ID]]=1,2,1))),$B$7)</f>
        <v>Eksempel 2 (interval)</v>
      </c>
      <c r="H1265" s="45">
        <f>_xlfn.AGGREGATE(2,5,LineærRegression_Valg[[#This Row],[Tabel ID]])</f>
        <v>1</v>
      </c>
    </row>
    <row r="1266" spans="1:8" x14ac:dyDescent="0.2">
      <c r="A1266">
        <f>ROW(LineærRegression_Valg[[#This Row],[Tabel ID]])-ROW(LineærRegression_Valg[[#Headers],[Tabel ID]])</f>
        <v>1256</v>
      </c>
      <c r="B1266" s="45">
        <f>ROUNDDOWN((LineærRegression_Valg[[#This Row],[Tabel ID]]-1)/$B$5,0)+1</f>
        <v>314</v>
      </c>
      <c r="C1266" s="45">
        <f t="shared" si="19"/>
        <v>4</v>
      </c>
      <c r="D1266" s="45" t="b">
        <f>LineærRegression_Valg[[#This Row],[Afhængig variabel ID]]&lt;&gt;LineærRegression_Valg[[#This Row],[Uafhængig variabel ID]]</f>
        <v>1</v>
      </c>
      <c r="E1266" t="b">
        <f>LineærRegression_Valg[[#This Row],[Afhængig variabel ID]]&lt;=$B$5</f>
        <v>0</v>
      </c>
      <c r="F1266" t="str" cm="1">
        <f t="array" ref="F1266">IF(LineærRegression_Valg[[#This Row],[Indenfor range]],INDEX(DataTitel_liste,LineærRegression_Valg[[#This Row],[Afhængig variabel ID]]),INDEX(DataTitel_liste,1))</f>
        <v>Eksempel 1 (interval)</v>
      </c>
      <c r="G1266" s="45" t="str" cm="1">
        <f t="array" ref="G1266">IF(LineærRegression_Valg[[#This Row],[Indenfor range]],IF(LineærRegression_Valg[[#This Row],[Intet overlap]],INDEX(DataTitel_liste,LineærRegression_Valg[[#This Row],[Uafhængig variabel ID]]),INDEX(DataTitel_liste,IF(LineærRegression_Valg[[#This Row],[Afhængig variabel ID]]=1,2,1))),$B$7)</f>
        <v>Eksempel 2 (interval)</v>
      </c>
      <c r="H1266" s="45">
        <f>_xlfn.AGGREGATE(2,5,LineærRegression_Valg[[#This Row],[Tabel ID]])</f>
        <v>1</v>
      </c>
    </row>
    <row r="1267" spans="1:8" x14ac:dyDescent="0.2">
      <c r="A1267">
        <f>ROW(LineærRegression_Valg[[#This Row],[Tabel ID]])-ROW(LineærRegression_Valg[[#Headers],[Tabel ID]])</f>
        <v>1257</v>
      </c>
      <c r="B1267" s="45">
        <f>ROUNDDOWN((LineærRegression_Valg[[#This Row],[Tabel ID]]-1)/$B$5,0)+1</f>
        <v>315</v>
      </c>
      <c r="C1267" s="45">
        <f t="shared" si="19"/>
        <v>1</v>
      </c>
      <c r="D1267" s="45" t="b">
        <f>LineærRegression_Valg[[#This Row],[Afhængig variabel ID]]&lt;&gt;LineærRegression_Valg[[#This Row],[Uafhængig variabel ID]]</f>
        <v>1</v>
      </c>
      <c r="E1267" t="b">
        <f>LineærRegression_Valg[[#This Row],[Afhængig variabel ID]]&lt;=$B$5</f>
        <v>0</v>
      </c>
      <c r="F1267" t="str" cm="1">
        <f t="array" ref="F1267">IF(LineærRegression_Valg[[#This Row],[Indenfor range]],INDEX(DataTitel_liste,LineærRegression_Valg[[#This Row],[Afhængig variabel ID]]),INDEX(DataTitel_liste,1))</f>
        <v>Eksempel 1 (interval)</v>
      </c>
      <c r="G1267" s="45" t="str" cm="1">
        <f t="array" ref="G1267">IF(LineærRegression_Valg[[#This Row],[Indenfor range]],IF(LineærRegression_Valg[[#This Row],[Intet overlap]],INDEX(DataTitel_liste,LineærRegression_Valg[[#This Row],[Uafhængig variabel ID]]),INDEX(DataTitel_liste,IF(LineærRegression_Valg[[#This Row],[Afhængig variabel ID]]=1,2,1))),$B$7)</f>
        <v>Eksempel 2 (interval)</v>
      </c>
      <c r="H1267" s="45">
        <f>_xlfn.AGGREGATE(2,5,LineærRegression_Valg[[#This Row],[Tabel ID]])</f>
        <v>1</v>
      </c>
    </row>
    <row r="1268" spans="1:8" x14ac:dyDescent="0.2">
      <c r="A1268">
        <f>ROW(LineærRegression_Valg[[#This Row],[Tabel ID]])-ROW(LineærRegression_Valg[[#Headers],[Tabel ID]])</f>
        <v>1258</v>
      </c>
      <c r="B1268" s="45">
        <f>ROUNDDOWN((LineærRegression_Valg[[#This Row],[Tabel ID]]-1)/$B$5,0)+1</f>
        <v>315</v>
      </c>
      <c r="C1268" s="45">
        <f t="shared" si="19"/>
        <v>2</v>
      </c>
      <c r="D1268" s="45" t="b">
        <f>LineærRegression_Valg[[#This Row],[Afhængig variabel ID]]&lt;&gt;LineærRegression_Valg[[#This Row],[Uafhængig variabel ID]]</f>
        <v>1</v>
      </c>
      <c r="E1268" t="b">
        <f>LineærRegression_Valg[[#This Row],[Afhængig variabel ID]]&lt;=$B$5</f>
        <v>0</v>
      </c>
      <c r="F1268" t="str" cm="1">
        <f t="array" ref="F1268">IF(LineærRegression_Valg[[#This Row],[Indenfor range]],INDEX(DataTitel_liste,LineærRegression_Valg[[#This Row],[Afhængig variabel ID]]),INDEX(DataTitel_liste,1))</f>
        <v>Eksempel 1 (interval)</v>
      </c>
      <c r="G1268" s="45" t="str" cm="1">
        <f t="array" ref="G1268">IF(LineærRegression_Valg[[#This Row],[Indenfor range]],IF(LineærRegression_Valg[[#This Row],[Intet overlap]],INDEX(DataTitel_liste,LineærRegression_Valg[[#This Row],[Uafhængig variabel ID]]),INDEX(DataTitel_liste,IF(LineærRegression_Valg[[#This Row],[Afhængig variabel ID]]=1,2,1))),$B$7)</f>
        <v>Eksempel 2 (interval)</v>
      </c>
      <c r="H1268" s="45">
        <f>_xlfn.AGGREGATE(2,5,LineærRegression_Valg[[#This Row],[Tabel ID]])</f>
        <v>1</v>
      </c>
    </row>
    <row r="1269" spans="1:8" x14ac:dyDescent="0.2">
      <c r="A1269">
        <f>ROW(LineærRegression_Valg[[#This Row],[Tabel ID]])-ROW(LineærRegression_Valg[[#Headers],[Tabel ID]])</f>
        <v>1259</v>
      </c>
      <c r="B1269" s="45">
        <f>ROUNDDOWN((LineærRegression_Valg[[#This Row],[Tabel ID]]-1)/$B$5,0)+1</f>
        <v>315</v>
      </c>
      <c r="C1269" s="45">
        <f t="shared" si="19"/>
        <v>3</v>
      </c>
      <c r="D1269" s="45" t="b">
        <f>LineærRegression_Valg[[#This Row],[Afhængig variabel ID]]&lt;&gt;LineærRegression_Valg[[#This Row],[Uafhængig variabel ID]]</f>
        <v>1</v>
      </c>
      <c r="E1269" t="b">
        <f>LineærRegression_Valg[[#This Row],[Afhængig variabel ID]]&lt;=$B$5</f>
        <v>0</v>
      </c>
      <c r="F1269" t="str" cm="1">
        <f t="array" ref="F1269">IF(LineærRegression_Valg[[#This Row],[Indenfor range]],INDEX(DataTitel_liste,LineærRegression_Valg[[#This Row],[Afhængig variabel ID]]),INDEX(DataTitel_liste,1))</f>
        <v>Eksempel 1 (interval)</v>
      </c>
      <c r="G1269" s="45" t="str" cm="1">
        <f t="array" ref="G1269">IF(LineærRegression_Valg[[#This Row],[Indenfor range]],IF(LineærRegression_Valg[[#This Row],[Intet overlap]],INDEX(DataTitel_liste,LineærRegression_Valg[[#This Row],[Uafhængig variabel ID]]),INDEX(DataTitel_liste,IF(LineærRegression_Valg[[#This Row],[Afhængig variabel ID]]=1,2,1))),$B$7)</f>
        <v>Eksempel 2 (interval)</v>
      </c>
      <c r="H1269" s="45">
        <f>_xlfn.AGGREGATE(2,5,LineærRegression_Valg[[#This Row],[Tabel ID]])</f>
        <v>1</v>
      </c>
    </row>
    <row r="1270" spans="1:8" x14ac:dyDescent="0.2">
      <c r="A1270">
        <f>ROW(LineærRegression_Valg[[#This Row],[Tabel ID]])-ROW(LineærRegression_Valg[[#Headers],[Tabel ID]])</f>
        <v>1260</v>
      </c>
      <c r="B1270" s="45">
        <f>ROUNDDOWN((LineærRegression_Valg[[#This Row],[Tabel ID]]-1)/$B$5,0)+1</f>
        <v>315</v>
      </c>
      <c r="C1270" s="45">
        <f t="shared" si="19"/>
        <v>4</v>
      </c>
      <c r="D1270" s="45" t="b">
        <f>LineærRegression_Valg[[#This Row],[Afhængig variabel ID]]&lt;&gt;LineærRegression_Valg[[#This Row],[Uafhængig variabel ID]]</f>
        <v>1</v>
      </c>
      <c r="E1270" t="b">
        <f>LineærRegression_Valg[[#This Row],[Afhængig variabel ID]]&lt;=$B$5</f>
        <v>0</v>
      </c>
      <c r="F1270" t="str" cm="1">
        <f t="array" ref="F1270">IF(LineærRegression_Valg[[#This Row],[Indenfor range]],INDEX(DataTitel_liste,LineærRegression_Valg[[#This Row],[Afhængig variabel ID]]),INDEX(DataTitel_liste,1))</f>
        <v>Eksempel 1 (interval)</v>
      </c>
      <c r="G1270" s="45" t="str" cm="1">
        <f t="array" ref="G1270">IF(LineærRegression_Valg[[#This Row],[Indenfor range]],IF(LineærRegression_Valg[[#This Row],[Intet overlap]],INDEX(DataTitel_liste,LineærRegression_Valg[[#This Row],[Uafhængig variabel ID]]),INDEX(DataTitel_liste,IF(LineærRegression_Valg[[#This Row],[Afhængig variabel ID]]=1,2,1))),$B$7)</f>
        <v>Eksempel 2 (interval)</v>
      </c>
      <c r="H1270" s="45">
        <f>_xlfn.AGGREGATE(2,5,LineærRegression_Valg[[#This Row],[Tabel ID]])</f>
        <v>1</v>
      </c>
    </row>
    <row r="1271" spans="1:8" x14ac:dyDescent="0.2">
      <c r="A1271">
        <f>ROW(LineærRegression_Valg[[#This Row],[Tabel ID]])-ROW(LineærRegression_Valg[[#Headers],[Tabel ID]])</f>
        <v>1261</v>
      </c>
      <c r="B1271" s="45">
        <f>ROUNDDOWN((LineærRegression_Valg[[#This Row],[Tabel ID]]-1)/$B$5,0)+1</f>
        <v>316</v>
      </c>
      <c r="C1271" s="45">
        <f t="shared" si="19"/>
        <v>1</v>
      </c>
      <c r="D1271" s="45" t="b">
        <f>LineærRegression_Valg[[#This Row],[Afhængig variabel ID]]&lt;&gt;LineærRegression_Valg[[#This Row],[Uafhængig variabel ID]]</f>
        <v>1</v>
      </c>
      <c r="E1271" t="b">
        <f>LineærRegression_Valg[[#This Row],[Afhængig variabel ID]]&lt;=$B$5</f>
        <v>0</v>
      </c>
      <c r="F1271" t="str" cm="1">
        <f t="array" ref="F1271">IF(LineærRegression_Valg[[#This Row],[Indenfor range]],INDEX(DataTitel_liste,LineærRegression_Valg[[#This Row],[Afhængig variabel ID]]),INDEX(DataTitel_liste,1))</f>
        <v>Eksempel 1 (interval)</v>
      </c>
      <c r="G1271" s="45" t="str" cm="1">
        <f t="array" ref="G1271">IF(LineærRegression_Valg[[#This Row],[Indenfor range]],IF(LineærRegression_Valg[[#This Row],[Intet overlap]],INDEX(DataTitel_liste,LineærRegression_Valg[[#This Row],[Uafhængig variabel ID]]),INDEX(DataTitel_liste,IF(LineærRegression_Valg[[#This Row],[Afhængig variabel ID]]=1,2,1))),$B$7)</f>
        <v>Eksempel 2 (interval)</v>
      </c>
      <c r="H1271" s="45">
        <f>_xlfn.AGGREGATE(2,5,LineærRegression_Valg[[#This Row],[Tabel ID]])</f>
        <v>1</v>
      </c>
    </row>
    <row r="1272" spans="1:8" x14ac:dyDescent="0.2">
      <c r="A1272">
        <f>ROW(LineærRegression_Valg[[#This Row],[Tabel ID]])-ROW(LineærRegression_Valg[[#Headers],[Tabel ID]])</f>
        <v>1262</v>
      </c>
      <c r="B1272" s="45">
        <f>ROUNDDOWN((LineærRegression_Valg[[#This Row],[Tabel ID]]-1)/$B$5,0)+1</f>
        <v>316</v>
      </c>
      <c r="C1272" s="45">
        <f t="shared" si="19"/>
        <v>2</v>
      </c>
      <c r="D1272" s="45" t="b">
        <f>LineærRegression_Valg[[#This Row],[Afhængig variabel ID]]&lt;&gt;LineærRegression_Valg[[#This Row],[Uafhængig variabel ID]]</f>
        <v>1</v>
      </c>
      <c r="E1272" t="b">
        <f>LineærRegression_Valg[[#This Row],[Afhængig variabel ID]]&lt;=$B$5</f>
        <v>0</v>
      </c>
      <c r="F1272" t="str" cm="1">
        <f t="array" ref="F1272">IF(LineærRegression_Valg[[#This Row],[Indenfor range]],INDEX(DataTitel_liste,LineærRegression_Valg[[#This Row],[Afhængig variabel ID]]),INDEX(DataTitel_liste,1))</f>
        <v>Eksempel 1 (interval)</v>
      </c>
      <c r="G1272" s="45" t="str" cm="1">
        <f t="array" ref="G1272">IF(LineærRegression_Valg[[#This Row],[Indenfor range]],IF(LineærRegression_Valg[[#This Row],[Intet overlap]],INDEX(DataTitel_liste,LineærRegression_Valg[[#This Row],[Uafhængig variabel ID]]),INDEX(DataTitel_liste,IF(LineærRegression_Valg[[#This Row],[Afhængig variabel ID]]=1,2,1))),$B$7)</f>
        <v>Eksempel 2 (interval)</v>
      </c>
      <c r="H1272" s="45">
        <f>_xlfn.AGGREGATE(2,5,LineærRegression_Valg[[#This Row],[Tabel ID]])</f>
        <v>1</v>
      </c>
    </row>
    <row r="1273" spans="1:8" x14ac:dyDescent="0.2">
      <c r="A1273">
        <f>ROW(LineærRegression_Valg[[#This Row],[Tabel ID]])-ROW(LineærRegression_Valg[[#Headers],[Tabel ID]])</f>
        <v>1263</v>
      </c>
      <c r="B1273" s="45">
        <f>ROUNDDOWN((LineærRegression_Valg[[#This Row],[Tabel ID]]-1)/$B$5,0)+1</f>
        <v>316</v>
      </c>
      <c r="C1273" s="45">
        <f t="shared" si="19"/>
        <v>3</v>
      </c>
      <c r="D1273" s="45" t="b">
        <f>LineærRegression_Valg[[#This Row],[Afhængig variabel ID]]&lt;&gt;LineærRegression_Valg[[#This Row],[Uafhængig variabel ID]]</f>
        <v>1</v>
      </c>
      <c r="E1273" t="b">
        <f>LineærRegression_Valg[[#This Row],[Afhængig variabel ID]]&lt;=$B$5</f>
        <v>0</v>
      </c>
      <c r="F1273" t="str" cm="1">
        <f t="array" ref="F1273">IF(LineærRegression_Valg[[#This Row],[Indenfor range]],INDEX(DataTitel_liste,LineærRegression_Valg[[#This Row],[Afhængig variabel ID]]),INDEX(DataTitel_liste,1))</f>
        <v>Eksempel 1 (interval)</v>
      </c>
      <c r="G1273" s="45" t="str" cm="1">
        <f t="array" ref="G1273">IF(LineærRegression_Valg[[#This Row],[Indenfor range]],IF(LineærRegression_Valg[[#This Row],[Intet overlap]],INDEX(DataTitel_liste,LineærRegression_Valg[[#This Row],[Uafhængig variabel ID]]),INDEX(DataTitel_liste,IF(LineærRegression_Valg[[#This Row],[Afhængig variabel ID]]=1,2,1))),$B$7)</f>
        <v>Eksempel 2 (interval)</v>
      </c>
      <c r="H1273" s="45">
        <f>_xlfn.AGGREGATE(2,5,LineærRegression_Valg[[#This Row],[Tabel ID]])</f>
        <v>1</v>
      </c>
    </row>
    <row r="1274" spans="1:8" x14ac:dyDescent="0.2">
      <c r="A1274">
        <f>ROW(LineærRegression_Valg[[#This Row],[Tabel ID]])-ROW(LineærRegression_Valg[[#Headers],[Tabel ID]])</f>
        <v>1264</v>
      </c>
      <c r="B1274" s="45">
        <f>ROUNDDOWN((LineærRegression_Valg[[#This Row],[Tabel ID]]-1)/$B$5,0)+1</f>
        <v>316</v>
      </c>
      <c r="C1274" s="45">
        <f t="shared" si="19"/>
        <v>4</v>
      </c>
      <c r="D1274" s="45" t="b">
        <f>LineærRegression_Valg[[#This Row],[Afhængig variabel ID]]&lt;&gt;LineærRegression_Valg[[#This Row],[Uafhængig variabel ID]]</f>
        <v>1</v>
      </c>
      <c r="E1274" t="b">
        <f>LineærRegression_Valg[[#This Row],[Afhængig variabel ID]]&lt;=$B$5</f>
        <v>0</v>
      </c>
      <c r="F1274" t="str" cm="1">
        <f t="array" ref="F1274">IF(LineærRegression_Valg[[#This Row],[Indenfor range]],INDEX(DataTitel_liste,LineærRegression_Valg[[#This Row],[Afhængig variabel ID]]),INDEX(DataTitel_liste,1))</f>
        <v>Eksempel 1 (interval)</v>
      </c>
      <c r="G1274" s="45" t="str" cm="1">
        <f t="array" ref="G1274">IF(LineærRegression_Valg[[#This Row],[Indenfor range]],IF(LineærRegression_Valg[[#This Row],[Intet overlap]],INDEX(DataTitel_liste,LineærRegression_Valg[[#This Row],[Uafhængig variabel ID]]),INDEX(DataTitel_liste,IF(LineærRegression_Valg[[#This Row],[Afhængig variabel ID]]=1,2,1))),$B$7)</f>
        <v>Eksempel 2 (interval)</v>
      </c>
      <c r="H1274" s="45">
        <f>_xlfn.AGGREGATE(2,5,LineærRegression_Valg[[#This Row],[Tabel ID]])</f>
        <v>1</v>
      </c>
    </row>
    <row r="1275" spans="1:8" x14ac:dyDescent="0.2">
      <c r="A1275">
        <f>ROW(LineærRegression_Valg[[#This Row],[Tabel ID]])-ROW(LineærRegression_Valg[[#Headers],[Tabel ID]])</f>
        <v>1265</v>
      </c>
      <c r="B1275" s="45">
        <f>ROUNDDOWN((LineærRegression_Valg[[#This Row],[Tabel ID]]-1)/$B$5,0)+1</f>
        <v>317</v>
      </c>
      <c r="C1275" s="45">
        <f t="shared" si="19"/>
        <v>1</v>
      </c>
      <c r="D1275" s="45" t="b">
        <f>LineærRegression_Valg[[#This Row],[Afhængig variabel ID]]&lt;&gt;LineærRegression_Valg[[#This Row],[Uafhængig variabel ID]]</f>
        <v>1</v>
      </c>
      <c r="E1275" t="b">
        <f>LineærRegression_Valg[[#This Row],[Afhængig variabel ID]]&lt;=$B$5</f>
        <v>0</v>
      </c>
      <c r="F1275" t="str" cm="1">
        <f t="array" ref="F1275">IF(LineærRegression_Valg[[#This Row],[Indenfor range]],INDEX(DataTitel_liste,LineærRegression_Valg[[#This Row],[Afhængig variabel ID]]),INDEX(DataTitel_liste,1))</f>
        <v>Eksempel 1 (interval)</v>
      </c>
      <c r="G1275" s="45" t="str" cm="1">
        <f t="array" ref="G1275">IF(LineærRegression_Valg[[#This Row],[Indenfor range]],IF(LineærRegression_Valg[[#This Row],[Intet overlap]],INDEX(DataTitel_liste,LineærRegression_Valg[[#This Row],[Uafhængig variabel ID]]),INDEX(DataTitel_liste,IF(LineærRegression_Valg[[#This Row],[Afhængig variabel ID]]=1,2,1))),$B$7)</f>
        <v>Eksempel 2 (interval)</v>
      </c>
      <c r="H1275" s="45">
        <f>_xlfn.AGGREGATE(2,5,LineærRegression_Valg[[#This Row],[Tabel ID]])</f>
        <v>1</v>
      </c>
    </row>
    <row r="1276" spans="1:8" x14ac:dyDescent="0.2">
      <c r="A1276">
        <f>ROW(LineærRegression_Valg[[#This Row],[Tabel ID]])-ROW(LineærRegression_Valg[[#Headers],[Tabel ID]])</f>
        <v>1266</v>
      </c>
      <c r="B1276" s="45">
        <f>ROUNDDOWN((LineærRegression_Valg[[#This Row],[Tabel ID]]-1)/$B$5,0)+1</f>
        <v>317</v>
      </c>
      <c r="C1276" s="45">
        <f t="shared" si="19"/>
        <v>2</v>
      </c>
      <c r="D1276" s="45" t="b">
        <f>LineærRegression_Valg[[#This Row],[Afhængig variabel ID]]&lt;&gt;LineærRegression_Valg[[#This Row],[Uafhængig variabel ID]]</f>
        <v>1</v>
      </c>
      <c r="E1276" t="b">
        <f>LineærRegression_Valg[[#This Row],[Afhængig variabel ID]]&lt;=$B$5</f>
        <v>0</v>
      </c>
      <c r="F1276" t="str" cm="1">
        <f t="array" ref="F1276">IF(LineærRegression_Valg[[#This Row],[Indenfor range]],INDEX(DataTitel_liste,LineærRegression_Valg[[#This Row],[Afhængig variabel ID]]),INDEX(DataTitel_liste,1))</f>
        <v>Eksempel 1 (interval)</v>
      </c>
      <c r="G1276" s="45" t="str" cm="1">
        <f t="array" ref="G1276">IF(LineærRegression_Valg[[#This Row],[Indenfor range]],IF(LineærRegression_Valg[[#This Row],[Intet overlap]],INDEX(DataTitel_liste,LineærRegression_Valg[[#This Row],[Uafhængig variabel ID]]),INDEX(DataTitel_liste,IF(LineærRegression_Valg[[#This Row],[Afhængig variabel ID]]=1,2,1))),$B$7)</f>
        <v>Eksempel 2 (interval)</v>
      </c>
      <c r="H1276" s="45">
        <f>_xlfn.AGGREGATE(2,5,LineærRegression_Valg[[#This Row],[Tabel ID]])</f>
        <v>1</v>
      </c>
    </row>
    <row r="1277" spans="1:8" x14ac:dyDescent="0.2">
      <c r="A1277">
        <f>ROW(LineærRegression_Valg[[#This Row],[Tabel ID]])-ROW(LineærRegression_Valg[[#Headers],[Tabel ID]])</f>
        <v>1267</v>
      </c>
      <c r="B1277" s="45">
        <f>ROUNDDOWN((LineærRegression_Valg[[#This Row],[Tabel ID]]-1)/$B$5,0)+1</f>
        <v>317</v>
      </c>
      <c r="C1277" s="45">
        <f t="shared" si="19"/>
        <v>3</v>
      </c>
      <c r="D1277" s="45" t="b">
        <f>LineærRegression_Valg[[#This Row],[Afhængig variabel ID]]&lt;&gt;LineærRegression_Valg[[#This Row],[Uafhængig variabel ID]]</f>
        <v>1</v>
      </c>
      <c r="E1277" t="b">
        <f>LineærRegression_Valg[[#This Row],[Afhængig variabel ID]]&lt;=$B$5</f>
        <v>0</v>
      </c>
      <c r="F1277" t="str" cm="1">
        <f t="array" ref="F1277">IF(LineærRegression_Valg[[#This Row],[Indenfor range]],INDEX(DataTitel_liste,LineærRegression_Valg[[#This Row],[Afhængig variabel ID]]),INDEX(DataTitel_liste,1))</f>
        <v>Eksempel 1 (interval)</v>
      </c>
      <c r="G1277" s="45" t="str" cm="1">
        <f t="array" ref="G1277">IF(LineærRegression_Valg[[#This Row],[Indenfor range]],IF(LineærRegression_Valg[[#This Row],[Intet overlap]],INDEX(DataTitel_liste,LineærRegression_Valg[[#This Row],[Uafhængig variabel ID]]),INDEX(DataTitel_liste,IF(LineærRegression_Valg[[#This Row],[Afhængig variabel ID]]=1,2,1))),$B$7)</f>
        <v>Eksempel 2 (interval)</v>
      </c>
      <c r="H1277" s="45">
        <f>_xlfn.AGGREGATE(2,5,LineærRegression_Valg[[#This Row],[Tabel ID]])</f>
        <v>1</v>
      </c>
    </row>
    <row r="1278" spans="1:8" x14ac:dyDescent="0.2">
      <c r="A1278">
        <f>ROW(LineærRegression_Valg[[#This Row],[Tabel ID]])-ROW(LineærRegression_Valg[[#Headers],[Tabel ID]])</f>
        <v>1268</v>
      </c>
      <c r="B1278" s="45">
        <f>ROUNDDOWN((LineærRegression_Valg[[#This Row],[Tabel ID]]-1)/$B$5,0)+1</f>
        <v>317</v>
      </c>
      <c r="C1278" s="45">
        <f t="shared" si="19"/>
        <v>4</v>
      </c>
      <c r="D1278" s="45" t="b">
        <f>LineærRegression_Valg[[#This Row],[Afhængig variabel ID]]&lt;&gt;LineærRegression_Valg[[#This Row],[Uafhængig variabel ID]]</f>
        <v>1</v>
      </c>
      <c r="E1278" t="b">
        <f>LineærRegression_Valg[[#This Row],[Afhængig variabel ID]]&lt;=$B$5</f>
        <v>0</v>
      </c>
      <c r="F1278" t="str" cm="1">
        <f t="array" ref="F1278">IF(LineærRegression_Valg[[#This Row],[Indenfor range]],INDEX(DataTitel_liste,LineærRegression_Valg[[#This Row],[Afhængig variabel ID]]),INDEX(DataTitel_liste,1))</f>
        <v>Eksempel 1 (interval)</v>
      </c>
      <c r="G1278" s="45" t="str" cm="1">
        <f t="array" ref="G1278">IF(LineærRegression_Valg[[#This Row],[Indenfor range]],IF(LineærRegression_Valg[[#This Row],[Intet overlap]],INDEX(DataTitel_liste,LineærRegression_Valg[[#This Row],[Uafhængig variabel ID]]),INDEX(DataTitel_liste,IF(LineærRegression_Valg[[#This Row],[Afhængig variabel ID]]=1,2,1))),$B$7)</f>
        <v>Eksempel 2 (interval)</v>
      </c>
      <c r="H1278" s="45">
        <f>_xlfn.AGGREGATE(2,5,LineærRegression_Valg[[#This Row],[Tabel ID]])</f>
        <v>1</v>
      </c>
    </row>
    <row r="1279" spans="1:8" x14ac:dyDescent="0.2">
      <c r="A1279">
        <f>ROW(LineærRegression_Valg[[#This Row],[Tabel ID]])-ROW(LineærRegression_Valg[[#Headers],[Tabel ID]])</f>
        <v>1269</v>
      </c>
      <c r="B1279" s="45">
        <f>ROUNDDOWN((LineærRegression_Valg[[#This Row],[Tabel ID]]-1)/$B$5,0)+1</f>
        <v>318</v>
      </c>
      <c r="C1279" s="45">
        <f t="shared" si="19"/>
        <v>1</v>
      </c>
      <c r="D1279" s="45" t="b">
        <f>LineærRegression_Valg[[#This Row],[Afhængig variabel ID]]&lt;&gt;LineærRegression_Valg[[#This Row],[Uafhængig variabel ID]]</f>
        <v>1</v>
      </c>
      <c r="E1279" t="b">
        <f>LineærRegression_Valg[[#This Row],[Afhængig variabel ID]]&lt;=$B$5</f>
        <v>0</v>
      </c>
      <c r="F1279" t="str" cm="1">
        <f t="array" ref="F1279">IF(LineærRegression_Valg[[#This Row],[Indenfor range]],INDEX(DataTitel_liste,LineærRegression_Valg[[#This Row],[Afhængig variabel ID]]),INDEX(DataTitel_liste,1))</f>
        <v>Eksempel 1 (interval)</v>
      </c>
      <c r="G1279" s="45" t="str" cm="1">
        <f t="array" ref="G1279">IF(LineærRegression_Valg[[#This Row],[Indenfor range]],IF(LineærRegression_Valg[[#This Row],[Intet overlap]],INDEX(DataTitel_liste,LineærRegression_Valg[[#This Row],[Uafhængig variabel ID]]),INDEX(DataTitel_liste,IF(LineærRegression_Valg[[#This Row],[Afhængig variabel ID]]=1,2,1))),$B$7)</f>
        <v>Eksempel 2 (interval)</v>
      </c>
      <c r="H1279" s="45">
        <f>_xlfn.AGGREGATE(2,5,LineærRegression_Valg[[#This Row],[Tabel ID]])</f>
        <v>1</v>
      </c>
    </row>
    <row r="1280" spans="1:8" x14ac:dyDescent="0.2">
      <c r="A1280">
        <f>ROW(LineærRegression_Valg[[#This Row],[Tabel ID]])-ROW(LineærRegression_Valg[[#Headers],[Tabel ID]])</f>
        <v>1270</v>
      </c>
      <c r="B1280" s="45">
        <f>ROUNDDOWN((LineærRegression_Valg[[#This Row],[Tabel ID]]-1)/$B$5,0)+1</f>
        <v>318</v>
      </c>
      <c r="C1280" s="45">
        <f t="shared" si="19"/>
        <v>2</v>
      </c>
      <c r="D1280" s="45" t="b">
        <f>LineærRegression_Valg[[#This Row],[Afhængig variabel ID]]&lt;&gt;LineærRegression_Valg[[#This Row],[Uafhængig variabel ID]]</f>
        <v>1</v>
      </c>
      <c r="E1280" t="b">
        <f>LineærRegression_Valg[[#This Row],[Afhængig variabel ID]]&lt;=$B$5</f>
        <v>0</v>
      </c>
      <c r="F1280" t="str" cm="1">
        <f t="array" ref="F1280">IF(LineærRegression_Valg[[#This Row],[Indenfor range]],INDEX(DataTitel_liste,LineærRegression_Valg[[#This Row],[Afhængig variabel ID]]),INDEX(DataTitel_liste,1))</f>
        <v>Eksempel 1 (interval)</v>
      </c>
      <c r="G1280" s="45" t="str" cm="1">
        <f t="array" ref="G1280">IF(LineærRegression_Valg[[#This Row],[Indenfor range]],IF(LineærRegression_Valg[[#This Row],[Intet overlap]],INDEX(DataTitel_liste,LineærRegression_Valg[[#This Row],[Uafhængig variabel ID]]),INDEX(DataTitel_liste,IF(LineærRegression_Valg[[#This Row],[Afhængig variabel ID]]=1,2,1))),$B$7)</f>
        <v>Eksempel 2 (interval)</v>
      </c>
      <c r="H1280" s="45">
        <f>_xlfn.AGGREGATE(2,5,LineærRegression_Valg[[#This Row],[Tabel ID]])</f>
        <v>1</v>
      </c>
    </row>
    <row r="1281" spans="1:8" x14ac:dyDescent="0.2">
      <c r="A1281">
        <f>ROW(LineærRegression_Valg[[#This Row],[Tabel ID]])-ROW(LineærRegression_Valg[[#Headers],[Tabel ID]])</f>
        <v>1271</v>
      </c>
      <c r="B1281" s="45">
        <f>ROUNDDOWN((LineærRegression_Valg[[#This Row],[Tabel ID]]-1)/$B$5,0)+1</f>
        <v>318</v>
      </c>
      <c r="C1281" s="45">
        <f t="shared" si="19"/>
        <v>3</v>
      </c>
      <c r="D1281" s="45" t="b">
        <f>LineærRegression_Valg[[#This Row],[Afhængig variabel ID]]&lt;&gt;LineærRegression_Valg[[#This Row],[Uafhængig variabel ID]]</f>
        <v>1</v>
      </c>
      <c r="E1281" t="b">
        <f>LineærRegression_Valg[[#This Row],[Afhængig variabel ID]]&lt;=$B$5</f>
        <v>0</v>
      </c>
      <c r="F1281" t="str" cm="1">
        <f t="array" ref="F1281">IF(LineærRegression_Valg[[#This Row],[Indenfor range]],INDEX(DataTitel_liste,LineærRegression_Valg[[#This Row],[Afhængig variabel ID]]),INDEX(DataTitel_liste,1))</f>
        <v>Eksempel 1 (interval)</v>
      </c>
      <c r="G1281" s="45" t="str" cm="1">
        <f t="array" ref="G1281">IF(LineærRegression_Valg[[#This Row],[Indenfor range]],IF(LineærRegression_Valg[[#This Row],[Intet overlap]],INDEX(DataTitel_liste,LineærRegression_Valg[[#This Row],[Uafhængig variabel ID]]),INDEX(DataTitel_liste,IF(LineærRegression_Valg[[#This Row],[Afhængig variabel ID]]=1,2,1))),$B$7)</f>
        <v>Eksempel 2 (interval)</v>
      </c>
      <c r="H1281" s="45">
        <f>_xlfn.AGGREGATE(2,5,LineærRegression_Valg[[#This Row],[Tabel ID]])</f>
        <v>1</v>
      </c>
    </row>
    <row r="1282" spans="1:8" x14ac:dyDescent="0.2">
      <c r="A1282">
        <f>ROW(LineærRegression_Valg[[#This Row],[Tabel ID]])-ROW(LineærRegression_Valg[[#Headers],[Tabel ID]])</f>
        <v>1272</v>
      </c>
      <c r="B1282" s="45">
        <f>ROUNDDOWN((LineærRegression_Valg[[#This Row],[Tabel ID]]-1)/$B$5,0)+1</f>
        <v>318</v>
      </c>
      <c r="C1282" s="45">
        <f t="shared" si="19"/>
        <v>4</v>
      </c>
      <c r="D1282" s="45" t="b">
        <f>LineærRegression_Valg[[#This Row],[Afhængig variabel ID]]&lt;&gt;LineærRegression_Valg[[#This Row],[Uafhængig variabel ID]]</f>
        <v>1</v>
      </c>
      <c r="E1282" t="b">
        <f>LineærRegression_Valg[[#This Row],[Afhængig variabel ID]]&lt;=$B$5</f>
        <v>0</v>
      </c>
      <c r="F1282" t="str" cm="1">
        <f t="array" ref="F1282">IF(LineærRegression_Valg[[#This Row],[Indenfor range]],INDEX(DataTitel_liste,LineærRegression_Valg[[#This Row],[Afhængig variabel ID]]),INDEX(DataTitel_liste,1))</f>
        <v>Eksempel 1 (interval)</v>
      </c>
      <c r="G1282" s="45" t="str" cm="1">
        <f t="array" ref="G1282">IF(LineærRegression_Valg[[#This Row],[Indenfor range]],IF(LineærRegression_Valg[[#This Row],[Intet overlap]],INDEX(DataTitel_liste,LineærRegression_Valg[[#This Row],[Uafhængig variabel ID]]),INDEX(DataTitel_liste,IF(LineærRegression_Valg[[#This Row],[Afhængig variabel ID]]=1,2,1))),$B$7)</f>
        <v>Eksempel 2 (interval)</v>
      </c>
      <c r="H1282" s="45">
        <f>_xlfn.AGGREGATE(2,5,LineærRegression_Valg[[#This Row],[Tabel ID]])</f>
        <v>1</v>
      </c>
    </row>
    <row r="1283" spans="1:8" x14ac:dyDescent="0.2">
      <c r="A1283">
        <f>ROW(LineærRegression_Valg[[#This Row],[Tabel ID]])-ROW(LineærRegression_Valg[[#Headers],[Tabel ID]])</f>
        <v>1273</v>
      </c>
      <c r="B1283" s="45">
        <f>ROUNDDOWN((LineærRegression_Valg[[#This Row],[Tabel ID]]-1)/$B$5,0)+1</f>
        <v>319</v>
      </c>
      <c r="C1283" s="45">
        <f t="shared" si="19"/>
        <v>1</v>
      </c>
      <c r="D1283" s="45" t="b">
        <f>LineærRegression_Valg[[#This Row],[Afhængig variabel ID]]&lt;&gt;LineærRegression_Valg[[#This Row],[Uafhængig variabel ID]]</f>
        <v>1</v>
      </c>
      <c r="E1283" t="b">
        <f>LineærRegression_Valg[[#This Row],[Afhængig variabel ID]]&lt;=$B$5</f>
        <v>0</v>
      </c>
      <c r="F1283" t="str" cm="1">
        <f t="array" ref="F1283">IF(LineærRegression_Valg[[#This Row],[Indenfor range]],INDEX(DataTitel_liste,LineærRegression_Valg[[#This Row],[Afhængig variabel ID]]),INDEX(DataTitel_liste,1))</f>
        <v>Eksempel 1 (interval)</v>
      </c>
      <c r="G1283" s="45" t="str" cm="1">
        <f t="array" ref="G1283">IF(LineærRegression_Valg[[#This Row],[Indenfor range]],IF(LineærRegression_Valg[[#This Row],[Intet overlap]],INDEX(DataTitel_liste,LineærRegression_Valg[[#This Row],[Uafhængig variabel ID]]),INDEX(DataTitel_liste,IF(LineærRegression_Valg[[#This Row],[Afhængig variabel ID]]=1,2,1))),$B$7)</f>
        <v>Eksempel 2 (interval)</v>
      </c>
      <c r="H1283" s="45">
        <f>_xlfn.AGGREGATE(2,5,LineærRegression_Valg[[#This Row],[Tabel ID]])</f>
        <v>1</v>
      </c>
    </row>
    <row r="1284" spans="1:8" x14ac:dyDescent="0.2">
      <c r="A1284">
        <f>ROW(LineærRegression_Valg[[#This Row],[Tabel ID]])-ROW(LineærRegression_Valg[[#Headers],[Tabel ID]])</f>
        <v>1274</v>
      </c>
      <c r="B1284" s="45">
        <f>ROUNDDOWN((LineærRegression_Valg[[#This Row],[Tabel ID]]-1)/$B$5,0)+1</f>
        <v>319</v>
      </c>
      <c r="C1284" s="45">
        <f t="shared" si="19"/>
        <v>2</v>
      </c>
      <c r="D1284" s="45" t="b">
        <f>LineærRegression_Valg[[#This Row],[Afhængig variabel ID]]&lt;&gt;LineærRegression_Valg[[#This Row],[Uafhængig variabel ID]]</f>
        <v>1</v>
      </c>
      <c r="E1284" t="b">
        <f>LineærRegression_Valg[[#This Row],[Afhængig variabel ID]]&lt;=$B$5</f>
        <v>0</v>
      </c>
      <c r="F1284" t="str" cm="1">
        <f t="array" ref="F1284">IF(LineærRegression_Valg[[#This Row],[Indenfor range]],INDEX(DataTitel_liste,LineærRegression_Valg[[#This Row],[Afhængig variabel ID]]),INDEX(DataTitel_liste,1))</f>
        <v>Eksempel 1 (interval)</v>
      </c>
      <c r="G1284" s="45" t="str" cm="1">
        <f t="array" ref="G1284">IF(LineærRegression_Valg[[#This Row],[Indenfor range]],IF(LineærRegression_Valg[[#This Row],[Intet overlap]],INDEX(DataTitel_liste,LineærRegression_Valg[[#This Row],[Uafhængig variabel ID]]),INDEX(DataTitel_liste,IF(LineærRegression_Valg[[#This Row],[Afhængig variabel ID]]=1,2,1))),$B$7)</f>
        <v>Eksempel 2 (interval)</v>
      </c>
      <c r="H1284" s="45">
        <f>_xlfn.AGGREGATE(2,5,LineærRegression_Valg[[#This Row],[Tabel ID]])</f>
        <v>1</v>
      </c>
    </row>
    <row r="1285" spans="1:8" x14ac:dyDescent="0.2">
      <c r="A1285">
        <f>ROW(LineærRegression_Valg[[#This Row],[Tabel ID]])-ROW(LineærRegression_Valg[[#Headers],[Tabel ID]])</f>
        <v>1275</v>
      </c>
      <c r="B1285" s="45">
        <f>ROUNDDOWN((LineærRegression_Valg[[#This Row],[Tabel ID]]-1)/$B$5,0)+1</f>
        <v>319</v>
      </c>
      <c r="C1285" s="45">
        <f t="shared" si="19"/>
        <v>3</v>
      </c>
      <c r="D1285" s="45" t="b">
        <f>LineærRegression_Valg[[#This Row],[Afhængig variabel ID]]&lt;&gt;LineærRegression_Valg[[#This Row],[Uafhængig variabel ID]]</f>
        <v>1</v>
      </c>
      <c r="E1285" t="b">
        <f>LineærRegression_Valg[[#This Row],[Afhængig variabel ID]]&lt;=$B$5</f>
        <v>0</v>
      </c>
      <c r="F1285" t="str" cm="1">
        <f t="array" ref="F1285">IF(LineærRegression_Valg[[#This Row],[Indenfor range]],INDEX(DataTitel_liste,LineærRegression_Valg[[#This Row],[Afhængig variabel ID]]),INDEX(DataTitel_liste,1))</f>
        <v>Eksempel 1 (interval)</v>
      </c>
      <c r="G1285" s="45" t="str" cm="1">
        <f t="array" ref="G1285">IF(LineærRegression_Valg[[#This Row],[Indenfor range]],IF(LineærRegression_Valg[[#This Row],[Intet overlap]],INDEX(DataTitel_liste,LineærRegression_Valg[[#This Row],[Uafhængig variabel ID]]),INDEX(DataTitel_liste,IF(LineærRegression_Valg[[#This Row],[Afhængig variabel ID]]=1,2,1))),$B$7)</f>
        <v>Eksempel 2 (interval)</v>
      </c>
      <c r="H1285" s="45">
        <f>_xlfn.AGGREGATE(2,5,LineærRegression_Valg[[#This Row],[Tabel ID]])</f>
        <v>1</v>
      </c>
    </row>
    <row r="1286" spans="1:8" x14ac:dyDescent="0.2">
      <c r="A1286">
        <f>ROW(LineærRegression_Valg[[#This Row],[Tabel ID]])-ROW(LineærRegression_Valg[[#Headers],[Tabel ID]])</f>
        <v>1276</v>
      </c>
      <c r="B1286" s="45">
        <f>ROUNDDOWN((LineærRegression_Valg[[#This Row],[Tabel ID]]-1)/$B$5,0)+1</f>
        <v>319</v>
      </c>
      <c r="C1286" s="45">
        <f t="shared" si="19"/>
        <v>4</v>
      </c>
      <c r="D1286" s="45" t="b">
        <f>LineærRegression_Valg[[#This Row],[Afhængig variabel ID]]&lt;&gt;LineærRegression_Valg[[#This Row],[Uafhængig variabel ID]]</f>
        <v>1</v>
      </c>
      <c r="E1286" t="b">
        <f>LineærRegression_Valg[[#This Row],[Afhængig variabel ID]]&lt;=$B$5</f>
        <v>0</v>
      </c>
      <c r="F1286" t="str" cm="1">
        <f t="array" ref="F1286">IF(LineærRegression_Valg[[#This Row],[Indenfor range]],INDEX(DataTitel_liste,LineærRegression_Valg[[#This Row],[Afhængig variabel ID]]),INDEX(DataTitel_liste,1))</f>
        <v>Eksempel 1 (interval)</v>
      </c>
      <c r="G1286" s="45" t="str" cm="1">
        <f t="array" ref="G1286">IF(LineærRegression_Valg[[#This Row],[Indenfor range]],IF(LineærRegression_Valg[[#This Row],[Intet overlap]],INDEX(DataTitel_liste,LineærRegression_Valg[[#This Row],[Uafhængig variabel ID]]),INDEX(DataTitel_liste,IF(LineærRegression_Valg[[#This Row],[Afhængig variabel ID]]=1,2,1))),$B$7)</f>
        <v>Eksempel 2 (interval)</v>
      </c>
      <c r="H1286" s="45">
        <f>_xlfn.AGGREGATE(2,5,LineærRegression_Valg[[#This Row],[Tabel ID]])</f>
        <v>1</v>
      </c>
    </row>
    <row r="1287" spans="1:8" x14ac:dyDescent="0.2">
      <c r="A1287">
        <f>ROW(LineærRegression_Valg[[#This Row],[Tabel ID]])-ROW(LineærRegression_Valg[[#Headers],[Tabel ID]])</f>
        <v>1277</v>
      </c>
      <c r="B1287" s="45">
        <f>ROUNDDOWN((LineærRegression_Valg[[#This Row],[Tabel ID]]-1)/$B$5,0)+1</f>
        <v>320</v>
      </c>
      <c r="C1287" s="45">
        <f t="shared" si="19"/>
        <v>1</v>
      </c>
      <c r="D1287" s="45" t="b">
        <f>LineærRegression_Valg[[#This Row],[Afhængig variabel ID]]&lt;&gt;LineærRegression_Valg[[#This Row],[Uafhængig variabel ID]]</f>
        <v>1</v>
      </c>
      <c r="E1287" t="b">
        <f>LineærRegression_Valg[[#This Row],[Afhængig variabel ID]]&lt;=$B$5</f>
        <v>0</v>
      </c>
      <c r="F1287" t="str" cm="1">
        <f t="array" ref="F1287">IF(LineærRegression_Valg[[#This Row],[Indenfor range]],INDEX(DataTitel_liste,LineærRegression_Valg[[#This Row],[Afhængig variabel ID]]),INDEX(DataTitel_liste,1))</f>
        <v>Eksempel 1 (interval)</v>
      </c>
      <c r="G1287" s="45" t="str" cm="1">
        <f t="array" ref="G1287">IF(LineærRegression_Valg[[#This Row],[Indenfor range]],IF(LineærRegression_Valg[[#This Row],[Intet overlap]],INDEX(DataTitel_liste,LineærRegression_Valg[[#This Row],[Uafhængig variabel ID]]),INDEX(DataTitel_liste,IF(LineærRegression_Valg[[#This Row],[Afhængig variabel ID]]=1,2,1))),$B$7)</f>
        <v>Eksempel 2 (interval)</v>
      </c>
      <c r="H1287" s="45">
        <f>_xlfn.AGGREGATE(2,5,LineærRegression_Valg[[#This Row],[Tabel ID]])</f>
        <v>1</v>
      </c>
    </row>
    <row r="1288" spans="1:8" x14ac:dyDescent="0.2">
      <c r="A1288">
        <f>ROW(LineærRegression_Valg[[#This Row],[Tabel ID]])-ROW(LineærRegression_Valg[[#Headers],[Tabel ID]])</f>
        <v>1278</v>
      </c>
      <c r="B1288" s="45">
        <f>ROUNDDOWN((LineærRegression_Valg[[#This Row],[Tabel ID]]-1)/$B$5,0)+1</f>
        <v>320</v>
      </c>
      <c r="C1288" s="45">
        <f t="shared" si="19"/>
        <v>2</v>
      </c>
      <c r="D1288" s="45" t="b">
        <f>LineærRegression_Valg[[#This Row],[Afhængig variabel ID]]&lt;&gt;LineærRegression_Valg[[#This Row],[Uafhængig variabel ID]]</f>
        <v>1</v>
      </c>
      <c r="E1288" t="b">
        <f>LineærRegression_Valg[[#This Row],[Afhængig variabel ID]]&lt;=$B$5</f>
        <v>0</v>
      </c>
      <c r="F1288" t="str" cm="1">
        <f t="array" ref="F1288">IF(LineærRegression_Valg[[#This Row],[Indenfor range]],INDEX(DataTitel_liste,LineærRegression_Valg[[#This Row],[Afhængig variabel ID]]),INDEX(DataTitel_liste,1))</f>
        <v>Eksempel 1 (interval)</v>
      </c>
      <c r="G1288" s="45" t="str" cm="1">
        <f t="array" ref="G1288">IF(LineærRegression_Valg[[#This Row],[Indenfor range]],IF(LineærRegression_Valg[[#This Row],[Intet overlap]],INDEX(DataTitel_liste,LineærRegression_Valg[[#This Row],[Uafhængig variabel ID]]),INDEX(DataTitel_liste,IF(LineærRegression_Valg[[#This Row],[Afhængig variabel ID]]=1,2,1))),$B$7)</f>
        <v>Eksempel 2 (interval)</v>
      </c>
      <c r="H1288" s="45">
        <f>_xlfn.AGGREGATE(2,5,LineærRegression_Valg[[#This Row],[Tabel ID]])</f>
        <v>1</v>
      </c>
    </row>
    <row r="1289" spans="1:8" x14ac:dyDescent="0.2">
      <c r="A1289">
        <f>ROW(LineærRegression_Valg[[#This Row],[Tabel ID]])-ROW(LineærRegression_Valg[[#Headers],[Tabel ID]])</f>
        <v>1279</v>
      </c>
      <c r="B1289" s="45">
        <f>ROUNDDOWN((LineærRegression_Valg[[#This Row],[Tabel ID]]-1)/$B$5,0)+1</f>
        <v>320</v>
      </c>
      <c r="C1289" s="45">
        <f t="shared" si="19"/>
        <v>3</v>
      </c>
      <c r="D1289" s="45" t="b">
        <f>LineærRegression_Valg[[#This Row],[Afhængig variabel ID]]&lt;&gt;LineærRegression_Valg[[#This Row],[Uafhængig variabel ID]]</f>
        <v>1</v>
      </c>
      <c r="E1289" t="b">
        <f>LineærRegression_Valg[[#This Row],[Afhængig variabel ID]]&lt;=$B$5</f>
        <v>0</v>
      </c>
      <c r="F1289" t="str" cm="1">
        <f t="array" ref="F1289">IF(LineærRegression_Valg[[#This Row],[Indenfor range]],INDEX(DataTitel_liste,LineærRegression_Valg[[#This Row],[Afhængig variabel ID]]),INDEX(DataTitel_liste,1))</f>
        <v>Eksempel 1 (interval)</v>
      </c>
      <c r="G1289" s="45" t="str" cm="1">
        <f t="array" ref="G1289">IF(LineærRegression_Valg[[#This Row],[Indenfor range]],IF(LineærRegression_Valg[[#This Row],[Intet overlap]],INDEX(DataTitel_liste,LineærRegression_Valg[[#This Row],[Uafhængig variabel ID]]),INDEX(DataTitel_liste,IF(LineærRegression_Valg[[#This Row],[Afhængig variabel ID]]=1,2,1))),$B$7)</f>
        <v>Eksempel 2 (interval)</v>
      </c>
      <c r="H1289" s="45">
        <f>_xlfn.AGGREGATE(2,5,LineærRegression_Valg[[#This Row],[Tabel ID]])</f>
        <v>1</v>
      </c>
    </row>
    <row r="1290" spans="1:8" x14ac:dyDescent="0.2">
      <c r="A1290">
        <f>ROW(LineærRegression_Valg[[#This Row],[Tabel ID]])-ROW(LineærRegression_Valg[[#Headers],[Tabel ID]])</f>
        <v>1280</v>
      </c>
      <c r="B1290" s="45">
        <f>ROUNDDOWN((LineærRegression_Valg[[#This Row],[Tabel ID]]-1)/$B$5,0)+1</f>
        <v>320</v>
      </c>
      <c r="C1290" s="45">
        <f t="shared" si="19"/>
        <v>4</v>
      </c>
      <c r="D1290" s="45" t="b">
        <f>LineærRegression_Valg[[#This Row],[Afhængig variabel ID]]&lt;&gt;LineærRegression_Valg[[#This Row],[Uafhængig variabel ID]]</f>
        <v>1</v>
      </c>
      <c r="E1290" t="b">
        <f>LineærRegression_Valg[[#This Row],[Afhængig variabel ID]]&lt;=$B$5</f>
        <v>0</v>
      </c>
      <c r="F1290" t="str" cm="1">
        <f t="array" ref="F1290">IF(LineærRegression_Valg[[#This Row],[Indenfor range]],INDEX(DataTitel_liste,LineærRegression_Valg[[#This Row],[Afhængig variabel ID]]),INDEX(DataTitel_liste,1))</f>
        <v>Eksempel 1 (interval)</v>
      </c>
      <c r="G1290" s="45" t="str" cm="1">
        <f t="array" ref="G1290">IF(LineærRegression_Valg[[#This Row],[Indenfor range]],IF(LineærRegression_Valg[[#This Row],[Intet overlap]],INDEX(DataTitel_liste,LineærRegression_Valg[[#This Row],[Uafhængig variabel ID]]),INDEX(DataTitel_liste,IF(LineærRegression_Valg[[#This Row],[Afhængig variabel ID]]=1,2,1))),$B$7)</f>
        <v>Eksempel 2 (interval)</v>
      </c>
      <c r="H1290" s="45">
        <f>_xlfn.AGGREGATE(2,5,LineærRegression_Valg[[#This Row],[Tabel ID]])</f>
        <v>1</v>
      </c>
    </row>
    <row r="1291" spans="1:8" x14ac:dyDescent="0.2">
      <c r="A1291">
        <f>ROW(LineærRegression_Valg[[#This Row],[Tabel ID]])-ROW(LineærRegression_Valg[[#Headers],[Tabel ID]])</f>
        <v>1281</v>
      </c>
      <c r="B1291" s="45">
        <f>ROUNDDOWN((LineærRegression_Valg[[#This Row],[Tabel ID]]-1)/$B$5,0)+1</f>
        <v>321</v>
      </c>
      <c r="C1291" s="45">
        <f t="shared" ref="C1291:C1354" si="20">MOD(A1291-1,$B$5)+1</f>
        <v>1</v>
      </c>
      <c r="D1291" s="45" t="b">
        <f>LineærRegression_Valg[[#This Row],[Afhængig variabel ID]]&lt;&gt;LineærRegression_Valg[[#This Row],[Uafhængig variabel ID]]</f>
        <v>1</v>
      </c>
      <c r="E1291" t="b">
        <f>LineærRegression_Valg[[#This Row],[Afhængig variabel ID]]&lt;=$B$5</f>
        <v>0</v>
      </c>
      <c r="F1291" t="str" cm="1">
        <f t="array" ref="F1291">IF(LineærRegression_Valg[[#This Row],[Indenfor range]],INDEX(DataTitel_liste,LineærRegression_Valg[[#This Row],[Afhængig variabel ID]]),INDEX(DataTitel_liste,1))</f>
        <v>Eksempel 1 (interval)</v>
      </c>
      <c r="G1291" s="45" t="str" cm="1">
        <f t="array" ref="G1291">IF(LineærRegression_Valg[[#This Row],[Indenfor range]],IF(LineærRegression_Valg[[#This Row],[Intet overlap]],INDEX(DataTitel_liste,LineærRegression_Valg[[#This Row],[Uafhængig variabel ID]]),INDEX(DataTitel_liste,IF(LineærRegression_Valg[[#This Row],[Afhængig variabel ID]]=1,2,1))),$B$7)</f>
        <v>Eksempel 2 (interval)</v>
      </c>
      <c r="H1291" s="45">
        <f>_xlfn.AGGREGATE(2,5,LineærRegression_Valg[[#This Row],[Tabel ID]])</f>
        <v>1</v>
      </c>
    </row>
    <row r="1292" spans="1:8" x14ac:dyDescent="0.2">
      <c r="A1292">
        <f>ROW(LineærRegression_Valg[[#This Row],[Tabel ID]])-ROW(LineærRegression_Valg[[#Headers],[Tabel ID]])</f>
        <v>1282</v>
      </c>
      <c r="B1292" s="45">
        <f>ROUNDDOWN((LineærRegression_Valg[[#This Row],[Tabel ID]]-1)/$B$5,0)+1</f>
        <v>321</v>
      </c>
      <c r="C1292" s="45">
        <f t="shared" si="20"/>
        <v>2</v>
      </c>
      <c r="D1292" s="45" t="b">
        <f>LineærRegression_Valg[[#This Row],[Afhængig variabel ID]]&lt;&gt;LineærRegression_Valg[[#This Row],[Uafhængig variabel ID]]</f>
        <v>1</v>
      </c>
      <c r="E1292" t="b">
        <f>LineærRegression_Valg[[#This Row],[Afhængig variabel ID]]&lt;=$B$5</f>
        <v>0</v>
      </c>
      <c r="F1292" t="str" cm="1">
        <f t="array" ref="F1292">IF(LineærRegression_Valg[[#This Row],[Indenfor range]],INDEX(DataTitel_liste,LineærRegression_Valg[[#This Row],[Afhængig variabel ID]]),INDEX(DataTitel_liste,1))</f>
        <v>Eksempel 1 (interval)</v>
      </c>
      <c r="G1292" s="45" t="str" cm="1">
        <f t="array" ref="G1292">IF(LineærRegression_Valg[[#This Row],[Indenfor range]],IF(LineærRegression_Valg[[#This Row],[Intet overlap]],INDEX(DataTitel_liste,LineærRegression_Valg[[#This Row],[Uafhængig variabel ID]]),INDEX(DataTitel_liste,IF(LineærRegression_Valg[[#This Row],[Afhængig variabel ID]]=1,2,1))),$B$7)</f>
        <v>Eksempel 2 (interval)</v>
      </c>
      <c r="H1292" s="45">
        <f>_xlfn.AGGREGATE(2,5,LineærRegression_Valg[[#This Row],[Tabel ID]])</f>
        <v>1</v>
      </c>
    </row>
    <row r="1293" spans="1:8" x14ac:dyDescent="0.2">
      <c r="A1293">
        <f>ROW(LineærRegression_Valg[[#This Row],[Tabel ID]])-ROW(LineærRegression_Valg[[#Headers],[Tabel ID]])</f>
        <v>1283</v>
      </c>
      <c r="B1293" s="45">
        <f>ROUNDDOWN((LineærRegression_Valg[[#This Row],[Tabel ID]]-1)/$B$5,0)+1</f>
        <v>321</v>
      </c>
      <c r="C1293" s="45">
        <f t="shared" si="20"/>
        <v>3</v>
      </c>
      <c r="D1293" s="45" t="b">
        <f>LineærRegression_Valg[[#This Row],[Afhængig variabel ID]]&lt;&gt;LineærRegression_Valg[[#This Row],[Uafhængig variabel ID]]</f>
        <v>1</v>
      </c>
      <c r="E1293" t="b">
        <f>LineærRegression_Valg[[#This Row],[Afhængig variabel ID]]&lt;=$B$5</f>
        <v>0</v>
      </c>
      <c r="F1293" t="str" cm="1">
        <f t="array" ref="F1293">IF(LineærRegression_Valg[[#This Row],[Indenfor range]],INDEX(DataTitel_liste,LineærRegression_Valg[[#This Row],[Afhængig variabel ID]]),INDEX(DataTitel_liste,1))</f>
        <v>Eksempel 1 (interval)</v>
      </c>
      <c r="G1293" s="45" t="str" cm="1">
        <f t="array" ref="G1293">IF(LineærRegression_Valg[[#This Row],[Indenfor range]],IF(LineærRegression_Valg[[#This Row],[Intet overlap]],INDEX(DataTitel_liste,LineærRegression_Valg[[#This Row],[Uafhængig variabel ID]]),INDEX(DataTitel_liste,IF(LineærRegression_Valg[[#This Row],[Afhængig variabel ID]]=1,2,1))),$B$7)</f>
        <v>Eksempel 2 (interval)</v>
      </c>
      <c r="H1293" s="45">
        <f>_xlfn.AGGREGATE(2,5,LineærRegression_Valg[[#This Row],[Tabel ID]])</f>
        <v>1</v>
      </c>
    </row>
    <row r="1294" spans="1:8" x14ac:dyDescent="0.2">
      <c r="A1294">
        <f>ROW(LineærRegression_Valg[[#This Row],[Tabel ID]])-ROW(LineærRegression_Valg[[#Headers],[Tabel ID]])</f>
        <v>1284</v>
      </c>
      <c r="B1294" s="45">
        <f>ROUNDDOWN((LineærRegression_Valg[[#This Row],[Tabel ID]]-1)/$B$5,0)+1</f>
        <v>321</v>
      </c>
      <c r="C1294" s="45">
        <f t="shared" si="20"/>
        <v>4</v>
      </c>
      <c r="D1294" s="45" t="b">
        <f>LineærRegression_Valg[[#This Row],[Afhængig variabel ID]]&lt;&gt;LineærRegression_Valg[[#This Row],[Uafhængig variabel ID]]</f>
        <v>1</v>
      </c>
      <c r="E1294" t="b">
        <f>LineærRegression_Valg[[#This Row],[Afhængig variabel ID]]&lt;=$B$5</f>
        <v>0</v>
      </c>
      <c r="F1294" t="str" cm="1">
        <f t="array" ref="F1294">IF(LineærRegression_Valg[[#This Row],[Indenfor range]],INDEX(DataTitel_liste,LineærRegression_Valg[[#This Row],[Afhængig variabel ID]]),INDEX(DataTitel_liste,1))</f>
        <v>Eksempel 1 (interval)</v>
      </c>
      <c r="G1294" s="45" t="str" cm="1">
        <f t="array" ref="G1294">IF(LineærRegression_Valg[[#This Row],[Indenfor range]],IF(LineærRegression_Valg[[#This Row],[Intet overlap]],INDEX(DataTitel_liste,LineærRegression_Valg[[#This Row],[Uafhængig variabel ID]]),INDEX(DataTitel_liste,IF(LineærRegression_Valg[[#This Row],[Afhængig variabel ID]]=1,2,1))),$B$7)</f>
        <v>Eksempel 2 (interval)</v>
      </c>
      <c r="H1294" s="45">
        <f>_xlfn.AGGREGATE(2,5,LineærRegression_Valg[[#This Row],[Tabel ID]])</f>
        <v>1</v>
      </c>
    </row>
    <row r="1295" spans="1:8" x14ac:dyDescent="0.2">
      <c r="A1295">
        <f>ROW(LineærRegression_Valg[[#This Row],[Tabel ID]])-ROW(LineærRegression_Valg[[#Headers],[Tabel ID]])</f>
        <v>1285</v>
      </c>
      <c r="B1295" s="45">
        <f>ROUNDDOWN((LineærRegression_Valg[[#This Row],[Tabel ID]]-1)/$B$5,0)+1</f>
        <v>322</v>
      </c>
      <c r="C1295" s="45">
        <f t="shared" si="20"/>
        <v>1</v>
      </c>
      <c r="D1295" s="45" t="b">
        <f>LineærRegression_Valg[[#This Row],[Afhængig variabel ID]]&lt;&gt;LineærRegression_Valg[[#This Row],[Uafhængig variabel ID]]</f>
        <v>1</v>
      </c>
      <c r="E1295" t="b">
        <f>LineærRegression_Valg[[#This Row],[Afhængig variabel ID]]&lt;=$B$5</f>
        <v>0</v>
      </c>
      <c r="F1295" t="str" cm="1">
        <f t="array" ref="F1295">IF(LineærRegression_Valg[[#This Row],[Indenfor range]],INDEX(DataTitel_liste,LineærRegression_Valg[[#This Row],[Afhængig variabel ID]]),INDEX(DataTitel_liste,1))</f>
        <v>Eksempel 1 (interval)</v>
      </c>
      <c r="G1295" s="45" t="str" cm="1">
        <f t="array" ref="G1295">IF(LineærRegression_Valg[[#This Row],[Indenfor range]],IF(LineærRegression_Valg[[#This Row],[Intet overlap]],INDEX(DataTitel_liste,LineærRegression_Valg[[#This Row],[Uafhængig variabel ID]]),INDEX(DataTitel_liste,IF(LineærRegression_Valg[[#This Row],[Afhængig variabel ID]]=1,2,1))),$B$7)</f>
        <v>Eksempel 2 (interval)</v>
      </c>
      <c r="H1295" s="45">
        <f>_xlfn.AGGREGATE(2,5,LineærRegression_Valg[[#This Row],[Tabel ID]])</f>
        <v>1</v>
      </c>
    </row>
    <row r="1296" spans="1:8" x14ac:dyDescent="0.2">
      <c r="A1296">
        <f>ROW(LineærRegression_Valg[[#This Row],[Tabel ID]])-ROW(LineærRegression_Valg[[#Headers],[Tabel ID]])</f>
        <v>1286</v>
      </c>
      <c r="B1296" s="45">
        <f>ROUNDDOWN((LineærRegression_Valg[[#This Row],[Tabel ID]]-1)/$B$5,0)+1</f>
        <v>322</v>
      </c>
      <c r="C1296" s="45">
        <f t="shared" si="20"/>
        <v>2</v>
      </c>
      <c r="D1296" s="45" t="b">
        <f>LineærRegression_Valg[[#This Row],[Afhængig variabel ID]]&lt;&gt;LineærRegression_Valg[[#This Row],[Uafhængig variabel ID]]</f>
        <v>1</v>
      </c>
      <c r="E1296" t="b">
        <f>LineærRegression_Valg[[#This Row],[Afhængig variabel ID]]&lt;=$B$5</f>
        <v>0</v>
      </c>
      <c r="F1296" t="str" cm="1">
        <f t="array" ref="F1296">IF(LineærRegression_Valg[[#This Row],[Indenfor range]],INDEX(DataTitel_liste,LineærRegression_Valg[[#This Row],[Afhængig variabel ID]]),INDEX(DataTitel_liste,1))</f>
        <v>Eksempel 1 (interval)</v>
      </c>
      <c r="G1296" s="45" t="str" cm="1">
        <f t="array" ref="G1296">IF(LineærRegression_Valg[[#This Row],[Indenfor range]],IF(LineærRegression_Valg[[#This Row],[Intet overlap]],INDEX(DataTitel_liste,LineærRegression_Valg[[#This Row],[Uafhængig variabel ID]]),INDEX(DataTitel_liste,IF(LineærRegression_Valg[[#This Row],[Afhængig variabel ID]]=1,2,1))),$B$7)</f>
        <v>Eksempel 2 (interval)</v>
      </c>
      <c r="H1296" s="45">
        <f>_xlfn.AGGREGATE(2,5,LineærRegression_Valg[[#This Row],[Tabel ID]])</f>
        <v>1</v>
      </c>
    </row>
    <row r="1297" spans="1:8" x14ac:dyDescent="0.2">
      <c r="A1297">
        <f>ROW(LineærRegression_Valg[[#This Row],[Tabel ID]])-ROW(LineærRegression_Valg[[#Headers],[Tabel ID]])</f>
        <v>1287</v>
      </c>
      <c r="B1297" s="45">
        <f>ROUNDDOWN((LineærRegression_Valg[[#This Row],[Tabel ID]]-1)/$B$5,0)+1</f>
        <v>322</v>
      </c>
      <c r="C1297" s="45">
        <f t="shared" si="20"/>
        <v>3</v>
      </c>
      <c r="D1297" s="45" t="b">
        <f>LineærRegression_Valg[[#This Row],[Afhængig variabel ID]]&lt;&gt;LineærRegression_Valg[[#This Row],[Uafhængig variabel ID]]</f>
        <v>1</v>
      </c>
      <c r="E1297" t="b">
        <f>LineærRegression_Valg[[#This Row],[Afhængig variabel ID]]&lt;=$B$5</f>
        <v>0</v>
      </c>
      <c r="F1297" t="str" cm="1">
        <f t="array" ref="F1297">IF(LineærRegression_Valg[[#This Row],[Indenfor range]],INDEX(DataTitel_liste,LineærRegression_Valg[[#This Row],[Afhængig variabel ID]]),INDEX(DataTitel_liste,1))</f>
        <v>Eksempel 1 (interval)</v>
      </c>
      <c r="G1297" s="45" t="str" cm="1">
        <f t="array" ref="G1297">IF(LineærRegression_Valg[[#This Row],[Indenfor range]],IF(LineærRegression_Valg[[#This Row],[Intet overlap]],INDEX(DataTitel_liste,LineærRegression_Valg[[#This Row],[Uafhængig variabel ID]]),INDEX(DataTitel_liste,IF(LineærRegression_Valg[[#This Row],[Afhængig variabel ID]]=1,2,1))),$B$7)</f>
        <v>Eksempel 2 (interval)</v>
      </c>
      <c r="H1297" s="45">
        <f>_xlfn.AGGREGATE(2,5,LineærRegression_Valg[[#This Row],[Tabel ID]])</f>
        <v>1</v>
      </c>
    </row>
    <row r="1298" spans="1:8" x14ac:dyDescent="0.2">
      <c r="A1298">
        <f>ROW(LineærRegression_Valg[[#This Row],[Tabel ID]])-ROW(LineærRegression_Valg[[#Headers],[Tabel ID]])</f>
        <v>1288</v>
      </c>
      <c r="B1298" s="45">
        <f>ROUNDDOWN((LineærRegression_Valg[[#This Row],[Tabel ID]]-1)/$B$5,0)+1</f>
        <v>322</v>
      </c>
      <c r="C1298" s="45">
        <f t="shared" si="20"/>
        <v>4</v>
      </c>
      <c r="D1298" s="45" t="b">
        <f>LineærRegression_Valg[[#This Row],[Afhængig variabel ID]]&lt;&gt;LineærRegression_Valg[[#This Row],[Uafhængig variabel ID]]</f>
        <v>1</v>
      </c>
      <c r="E1298" t="b">
        <f>LineærRegression_Valg[[#This Row],[Afhængig variabel ID]]&lt;=$B$5</f>
        <v>0</v>
      </c>
      <c r="F1298" t="str" cm="1">
        <f t="array" ref="F1298">IF(LineærRegression_Valg[[#This Row],[Indenfor range]],INDEX(DataTitel_liste,LineærRegression_Valg[[#This Row],[Afhængig variabel ID]]),INDEX(DataTitel_liste,1))</f>
        <v>Eksempel 1 (interval)</v>
      </c>
      <c r="G1298" s="45" t="str" cm="1">
        <f t="array" ref="G1298">IF(LineærRegression_Valg[[#This Row],[Indenfor range]],IF(LineærRegression_Valg[[#This Row],[Intet overlap]],INDEX(DataTitel_liste,LineærRegression_Valg[[#This Row],[Uafhængig variabel ID]]),INDEX(DataTitel_liste,IF(LineærRegression_Valg[[#This Row],[Afhængig variabel ID]]=1,2,1))),$B$7)</f>
        <v>Eksempel 2 (interval)</v>
      </c>
      <c r="H1298" s="45">
        <f>_xlfn.AGGREGATE(2,5,LineærRegression_Valg[[#This Row],[Tabel ID]])</f>
        <v>1</v>
      </c>
    </row>
    <row r="1299" spans="1:8" x14ac:dyDescent="0.2">
      <c r="A1299">
        <f>ROW(LineærRegression_Valg[[#This Row],[Tabel ID]])-ROW(LineærRegression_Valg[[#Headers],[Tabel ID]])</f>
        <v>1289</v>
      </c>
      <c r="B1299" s="45">
        <f>ROUNDDOWN((LineærRegression_Valg[[#This Row],[Tabel ID]]-1)/$B$5,0)+1</f>
        <v>323</v>
      </c>
      <c r="C1299" s="45">
        <f t="shared" si="20"/>
        <v>1</v>
      </c>
      <c r="D1299" s="45" t="b">
        <f>LineærRegression_Valg[[#This Row],[Afhængig variabel ID]]&lt;&gt;LineærRegression_Valg[[#This Row],[Uafhængig variabel ID]]</f>
        <v>1</v>
      </c>
      <c r="E1299" t="b">
        <f>LineærRegression_Valg[[#This Row],[Afhængig variabel ID]]&lt;=$B$5</f>
        <v>0</v>
      </c>
      <c r="F1299" t="str" cm="1">
        <f t="array" ref="F1299">IF(LineærRegression_Valg[[#This Row],[Indenfor range]],INDEX(DataTitel_liste,LineærRegression_Valg[[#This Row],[Afhængig variabel ID]]),INDEX(DataTitel_liste,1))</f>
        <v>Eksempel 1 (interval)</v>
      </c>
      <c r="G1299" s="45" t="str" cm="1">
        <f t="array" ref="G1299">IF(LineærRegression_Valg[[#This Row],[Indenfor range]],IF(LineærRegression_Valg[[#This Row],[Intet overlap]],INDEX(DataTitel_liste,LineærRegression_Valg[[#This Row],[Uafhængig variabel ID]]),INDEX(DataTitel_liste,IF(LineærRegression_Valg[[#This Row],[Afhængig variabel ID]]=1,2,1))),$B$7)</f>
        <v>Eksempel 2 (interval)</v>
      </c>
      <c r="H1299" s="45">
        <f>_xlfn.AGGREGATE(2,5,LineærRegression_Valg[[#This Row],[Tabel ID]])</f>
        <v>1</v>
      </c>
    </row>
    <row r="1300" spans="1:8" x14ac:dyDescent="0.2">
      <c r="A1300">
        <f>ROW(LineærRegression_Valg[[#This Row],[Tabel ID]])-ROW(LineærRegression_Valg[[#Headers],[Tabel ID]])</f>
        <v>1290</v>
      </c>
      <c r="B1300" s="45">
        <f>ROUNDDOWN((LineærRegression_Valg[[#This Row],[Tabel ID]]-1)/$B$5,0)+1</f>
        <v>323</v>
      </c>
      <c r="C1300" s="45">
        <f t="shared" si="20"/>
        <v>2</v>
      </c>
      <c r="D1300" s="45" t="b">
        <f>LineærRegression_Valg[[#This Row],[Afhængig variabel ID]]&lt;&gt;LineærRegression_Valg[[#This Row],[Uafhængig variabel ID]]</f>
        <v>1</v>
      </c>
      <c r="E1300" t="b">
        <f>LineærRegression_Valg[[#This Row],[Afhængig variabel ID]]&lt;=$B$5</f>
        <v>0</v>
      </c>
      <c r="F1300" t="str" cm="1">
        <f t="array" ref="F1300">IF(LineærRegression_Valg[[#This Row],[Indenfor range]],INDEX(DataTitel_liste,LineærRegression_Valg[[#This Row],[Afhængig variabel ID]]),INDEX(DataTitel_liste,1))</f>
        <v>Eksempel 1 (interval)</v>
      </c>
      <c r="G1300" s="45" t="str" cm="1">
        <f t="array" ref="G1300">IF(LineærRegression_Valg[[#This Row],[Indenfor range]],IF(LineærRegression_Valg[[#This Row],[Intet overlap]],INDEX(DataTitel_liste,LineærRegression_Valg[[#This Row],[Uafhængig variabel ID]]),INDEX(DataTitel_liste,IF(LineærRegression_Valg[[#This Row],[Afhængig variabel ID]]=1,2,1))),$B$7)</f>
        <v>Eksempel 2 (interval)</v>
      </c>
      <c r="H1300" s="45">
        <f>_xlfn.AGGREGATE(2,5,LineærRegression_Valg[[#This Row],[Tabel ID]])</f>
        <v>1</v>
      </c>
    </row>
    <row r="1301" spans="1:8" x14ac:dyDescent="0.2">
      <c r="A1301">
        <f>ROW(LineærRegression_Valg[[#This Row],[Tabel ID]])-ROW(LineærRegression_Valg[[#Headers],[Tabel ID]])</f>
        <v>1291</v>
      </c>
      <c r="B1301" s="45">
        <f>ROUNDDOWN((LineærRegression_Valg[[#This Row],[Tabel ID]]-1)/$B$5,0)+1</f>
        <v>323</v>
      </c>
      <c r="C1301" s="45">
        <f t="shared" si="20"/>
        <v>3</v>
      </c>
      <c r="D1301" s="45" t="b">
        <f>LineærRegression_Valg[[#This Row],[Afhængig variabel ID]]&lt;&gt;LineærRegression_Valg[[#This Row],[Uafhængig variabel ID]]</f>
        <v>1</v>
      </c>
      <c r="E1301" t="b">
        <f>LineærRegression_Valg[[#This Row],[Afhængig variabel ID]]&lt;=$B$5</f>
        <v>0</v>
      </c>
      <c r="F1301" t="str" cm="1">
        <f t="array" ref="F1301">IF(LineærRegression_Valg[[#This Row],[Indenfor range]],INDEX(DataTitel_liste,LineærRegression_Valg[[#This Row],[Afhængig variabel ID]]),INDEX(DataTitel_liste,1))</f>
        <v>Eksempel 1 (interval)</v>
      </c>
      <c r="G1301" s="45" t="str" cm="1">
        <f t="array" ref="G1301">IF(LineærRegression_Valg[[#This Row],[Indenfor range]],IF(LineærRegression_Valg[[#This Row],[Intet overlap]],INDEX(DataTitel_liste,LineærRegression_Valg[[#This Row],[Uafhængig variabel ID]]),INDEX(DataTitel_liste,IF(LineærRegression_Valg[[#This Row],[Afhængig variabel ID]]=1,2,1))),$B$7)</f>
        <v>Eksempel 2 (interval)</v>
      </c>
      <c r="H1301" s="45">
        <f>_xlfn.AGGREGATE(2,5,LineærRegression_Valg[[#This Row],[Tabel ID]])</f>
        <v>1</v>
      </c>
    </row>
    <row r="1302" spans="1:8" x14ac:dyDescent="0.2">
      <c r="A1302">
        <f>ROW(LineærRegression_Valg[[#This Row],[Tabel ID]])-ROW(LineærRegression_Valg[[#Headers],[Tabel ID]])</f>
        <v>1292</v>
      </c>
      <c r="B1302" s="45">
        <f>ROUNDDOWN((LineærRegression_Valg[[#This Row],[Tabel ID]]-1)/$B$5,0)+1</f>
        <v>323</v>
      </c>
      <c r="C1302" s="45">
        <f t="shared" si="20"/>
        <v>4</v>
      </c>
      <c r="D1302" s="45" t="b">
        <f>LineærRegression_Valg[[#This Row],[Afhængig variabel ID]]&lt;&gt;LineærRegression_Valg[[#This Row],[Uafhængig variabel ID]]</f>
        <v>1</v>
      </c>
      <c r="E1302" t="b">
        <f>LineærRegression_Valg[[#This Row],[Afhængig variabel ID]]&lt;=$B$5</f>
        <v>0</v>
      </c>
      <c r="F1302" t="str" cm="1">
        <f t="array" ref="F1302">IF(LineærRegression_Valg[[#This Row],[Indenfor range]],INDEX(DataTitel_liste,LineærRegression_Valg[[#This Row],[Afhængig variabel ID]]),INDEX(DataTitel_liste,1))</f>
        <v>Eksempel 1 (interval)</v>
      </c>
      <c r="G1302" s="45" t="str" cm="1">
        <f t="array" ref="G1302">IF(LineærRegression_Valg[[#This Row],[Indenfor range]],IF(LineærRegression_Valg[[#This Row],[Intet overlap]],INDEX(DataTitel_liste,LineærRegression_Valg[[#This Row],[Uafhængig variabel ID]]),INDEX(DataTitel_liste,IF(LineærRegression_Valg[[#This Row],[Afhængig variabel ID]]=1,2,1))),$B$7)</f>
        <v>Eksempel 2 (interval)</v>
      </c>
      <c r="H1302" s="45">
        <f>_xlfn.AGGREGATE(2,5,LineærRegression_Valg[[#This Row],[Tabel ID]])</f>
        <v>1</v>
      </c>
    </row>
    <row r="1303" spans="1:8" x14ac:dyDescent="0.2">
      <c r="A1303">
        <f>ROW(LineærRegression_Valg[[#This Row],[Tabel ID]])-ROW(LineærRegression_Valg[[#Headers],[Tabel ID]])</f>
        <v>1293</v>
      </c>
      <c r="B1303" s="45">
        <f>ROUNDDOWN((LineærRegression_Valg[[#This Row],[Tabel ID]]-1)/$B$5,0)+1</f>
        <v>324</v>
      </c>
      <c r="C1303" s="45">
        <f t="shared" si="20"/>
        <v>1</v>
      </c>
      <c r="D1303" s="45" t="b">
        <f>LineærRegression_Valg[[#This Row],[Afhængig variabel ID]]&lt;&gt;LineærRegression_Valg[[#This Row],[Uafhængig variabel ID]]</f>
        <v>1</v>
      </c>
      <c r="E1303" t="b">
        <f>LineærRegression_Valg[[#This Row],[Afhængig variabel ID]]&lt;=$B$5</f>
        <v>0</v>
      </c>
      <c r="F1303" t="str" cm="1">
        <f t="array" ref="F1303">IF(LineærRegression_Valg[[#This Row],[Indenfor range]],INDEX(DataTitel_liste,LineærRegression_Valg[[#This Row],[Afhængig variabel ID]]),INDEX(DataTitel_liste,1))</f>
        <v>Eksempel 1 (interval)</v>
      </c>
      <c r="G1303" s="45" t="str" cm="1">
        <f t="array" ref="G1303">IF(LineærRegression_Valg[[#This Row],[Indenfor range]],IF(LineærRegression_Valg[[#This Row],[Intet overlap]],INDEX(DataTitel_liste,LineærRegression_Valg[[#This Row],[Uafhængig variabel ID]]),INDEX(DataTitel_liste,IF(LineærRegression_Valg[[#This Row],[Afhængig variabel ID]]=1,2,1))),$B$7)</f>
        <v>Eksempel 2 (interval)</v>
      </c>
      <c r="H1303" s="45">
        <f>_xlfn.AGGREGATE(2,5,LineærRegression_Valg[[#This Row],[Tabel ID]])</f>
        <v>1</v>
      </c>
    </row>
    <row r="1304" spans="1:8" x14ac:dyDescent="0.2">
      <c r="A1304">
        <f>ROW(LineærRegression_Valg[[#This Row],[Tabel ID]])-ROW(LineærRegression_Valg[[#Headers],[Tabel ID]])</f>
        <v>1294</v>
      </c>
      <c r="B1304" s="45">
        <f>ROUNDDOWN((LineærRegression_Valg[[#This Row],[Tabel ID]]-1)/$B$5,0)+1</f>
        <v>324</v>
      </c>
      <c r="C1304" s="45">
        <f t="shared" si="20"/>
        <v>2</v>
      </c>
      <c r="D1304" s="45" t="b">
        <f>LineærRegression_Valg[[#This Row],[Afhængig variabel ID]]&lt;&gt;LineærRegression_Valg[[#This Row],[Uafhængig variabel ID]]</f>
        <v>1</v>
      </c>
      <c r="E1304" t="b">
        <f>LineærRegression_Valg[[#This Row],[Afhængig variabel ID]]&lt;=$B$5</f>
        <v>0</v>
      </c>
      <c r="F1304" t="str" cm="1">
        <f t="array" ref="F1304">IF(LineærRegression_Valg[[#This Row],[Indenfor range]],INDEX(DataTitel_liste,LineærRegression_Valg[[#This Row],[Afhængig variabel ID]]),INDEX(DataTitel_liste,1))</f>
        <v>Eksempel 1 (interval)</v>
      </c>
      <c r="G1304" s="45" t="str" cm="1">
        <f t="array" ref="G1304">IF(LineærRegression_Valg[[#This Row],[Indenfor range]],IF(LineærRegression_Valg[[#This Row],[Intet overlap]],INDEX(DataTitel_liste,LineærRegression_Valg[[#This Row],[Uafhængig variabel ID]]),INDEX(DataTitel_liste,IF(LineærRegression_Valg[[#This Row],[Afhængig variabel ID]]=1,2,1))),$B$7)</f>
        <v>Eksempel 2 (interval)</v>
      </c>
      <c r="H1304" s="45">
        <f>_xlfn.AGGREGATE(2,5,LineærRegression_Valg[[#This Row],[Tabel ID]])</f>
        <v>1</v>
      </c>
    </row>
    <row r="1305" spans="1:8" x14ac:dyDescent="0.2">
      <c r="A1305">
        <f>ROW(LineærRegression_Valg[[#This Row],[Tabel ID]])-ROW(LineærRegression_Valg[[#Headers],[Tabel ID]])</f>
        <v>1295</v>
      </c>
      <c r="B1305" s="45">
        <f>ROUNDDOWN((LineærRegression_Valg[[#This Row],[Tabel ID]]-1)/$B$5,0)+1</f>
        <v>324</v>
      </c>
      <c r="C1305" s="45">
        <f t="shared" si="20"/>
        <v>3</v>
      </c>
      <c r="D1305" s="45" t="b">
        <f>LineærRegression_Valg[[#This Row],[Afhængig variabel ID]]&lt;&gt;LineærRegression_Valg[[#This Row],[Uafhængig variabel ID]]</f>
        <v>1</v>
      </c>
      <c r="E1305" t="b">
        <f>LineærRegression_Valg[[#This Row],[Afhængig variabel ID]]&lt;=$B$5</f>
        <v>0</v>
      </c>
      <c r="F1305" t="str" cm="1">
        <f t="array" ref="F1305">IF(LineærRegression_Valg[[#This Row],[Indenfor range]],INDEX(DataTitel_liste,LineærRegression_Valg[[#This Row],[Afhængig variabel ID]]),INDEX(DataTitel_liste,1))</f>
        <v>Eksempel 1 (interval)</v>
      </c>
      <c r="G1305" s="45" t="str" cm="1">
        <f t="array" ref="G1305">IF(LineærRegression_Valg[[#This Row],[Indenfor range]],IF(LineærRegression_Valg[[#This Row],[Intet overlap]],INDEX(DataTitel_liste,LineærRegression_Valg[[#This Row],[Uafhængig variabel ID]]),INDEX(DataTitel_liste,IF(LineærRegression_Valg[[#This Row],[Afhængig variabel ID]]=1,2,1))),$B$7)</f>
        <v>Eksempel 2 (interval)</v>
      </c>
      <c r="H1305" s="45">
        <f>_xlfn.AGGREGATE(2,5,LineærRegression_Valg[[#This Row],[Tabel ID]])</f>
        <v>1</v>
      </c>
    </row>
    <row r="1306" spans="1:8" x14ac:dyDescent="0.2">
      <c r="A1306">
        <f>ROW(LineærRegression_Valg[[#This Row],[Tabel ID]])-ROW(LineærRegression_Valg[[#Headers],[Tabel ID]])</f>
        <v>1296</v>
      </c>
      <c r="B1306" s="45">
        <f>ROUNDDOWN((LineærRegression_Valg[[#This Row],[Tabel ID]]-1)/$B$5,0)+1</f>
        <v>324</v>
      </c>
      <c r="C1306" s="45">
        <f t="shared" si="20"/>
        <v>4</v>
      </c>
      <c r="D1306" s="45" t="b">
        <f>LineærRegression_Valg[[#This Row],[Afhængig variabel ID]]&lt;&gt;LineærRegression_Valg[[#This Row],[Uafhængig variabel ID]]</f>
        <v>1</v>
      </c>
      <c r="E1306" t="b">
        <f>LineærRegression_Valg[[#This Row],[Afhængig variabel ID]]&lt;=$B$5</f>
        <v>0</v>
      </c>
      <c r="F1306" t="str" cm="1">
        <f t="array" ref="F1306">IF(LineærRegression_Valg[[#This Row],[Indenfor range]],INDEX(DataTitel_liste,LineærRegression_Valg[[#This Row],[Afhængig variabel ID]]),INDEX(DataTitel_liste,1))</f>
        <v>Eksempel 1 (interval)</v>
      </c>
      <c r="G1306" s="45" t="str" cm="1">
        <f t="array" ref="G1306">IF(LineærRegression_Valg[[#This Row],[Indenfor range]],IF(LineærRegression_Valg[[#This Row],[Intet overlap]],INDEX(DataTitel_liste,LineærRegression_Valg[[#This Row],[Uafhængig variabel ID]]),INDEX(DataTitel_liste,IF(LineærRegression_Valg[[#This Row],[Afhængig variabel ID]]=1,2,1))),$B$7)</f>
        <v>Eksempel 2 (interval)</v>
      </c>
      <c r="H1306" s="45">
        <f>_xlfn.AGGREGATE(2,5,LineærRegression_Valg[[#This Row],[Tabel ID]])</f>
        <v>1</v>
      </c>
    </row>
    <row r="1307" spans="1:8" x14ac:dyDescent="0.2">
      <c r="A1307">
        <f>ROW(LineærRegression_Valg[[#This Row],[Tabel ID]])-ROW(LineærRegression_Valg[[#Headers],[Tabel ID]])</f>
        <v>1297</v>
      </c>
      <c r="B1307" s="45">
        <f>ROUNDDOWN((LineærRegression_Valg[[#This Row],[Tabel ID]]-1)/$B$5,0)+1</f>
        <v>325</v>
      </c>
      <c r="C1307" s="45">
        <f t="shared" si="20"/>
        <v>1</v>
      </c>
      <c r="D1307" s="45" t="b">
        <f>LineærRegression_Valg[[#This Row],[Afhængig variabel ID]]&lt;&gt;LineærRegression_Valg[[#This Row],[Uafhængig variabel ID]]</f>
        <v>1</v>
      </c>
      <c r="E1307" t="b">
        <f>LineærRegression_Valg[[#This Row],[Afhængig variabel ID]]&lt;=$B$5</f>
        <v>0</v>
      </c>
      <c r="F1307" t="str" cm="1">
        <f t="array" ref="F1307">IF(LineærRegression_Valg[[#This Row],[Indenfor range]],INDEX(DataTitel_liste,LineærRegression_Valg[[#This Row],[Afhængig variabel ID]]),INDEX(DataTitel_liste,1))</f>
        <v>Eksempel 1 (interval)</v>
      </c>
      <c r="G1307" s="45" t="str" cm="1">
        <f t="array" ref="G1307">IF(LineærRegression_Valg[[#This Row],[Indenfor range]],IF(LineærRegression_Valg[[#This Row],[Intet overlap]],INDEX(DataTitel_liste,LineærRegression_Valg[[#This Row],[Uafhængig variabel ID]]),INDEX(DataTitel_liste,IF(LineærRegression_Valg[[#This Row],[Afhængig variabel ID]]=1,2,1))),$B$7)</f>
        <v>Eksempel 2 (interval)</v>
      </c>
      <c r="H1307" s="45">
        <f>_xlfn.AGGREGATE(2,5,LineærRegression_Valg[[#This Row],[Tabel ID]])</f>
        <v>1</v>
      </c>
    </row>
    <row r="1308" spans="1:8" x14ac:dyDescent="0.2">
      <c r="A1308">
        <f>ROW(LineærRegression_Valg[[#This Row],[Tabel ID]])-ROW(LineærRegression_Valg[[#Headers],[Tabel ID]])</f>
        <v>1298</v>
      </c>
      <c r="B1308" s="45">
        <f>ROUNDDOWN((LineærRegression_Valg[[#This Row],[Tabel ID]]-1)/$B$5,0)+1</f>
        <v>325</v>
      </c>
      <c r="C1308" s="45">
        <f t="shared" si="20"/>
        <v>2</v>
      </c>
      <c r="D1308" s="45" t="b">
        <f>LineærRegression_Valg[[#This Row],[Afhængig variabel ID]]&lt;&gt;LineærRegression_Valg[[#This Row],[Uafhængig variabel ID]]</f>
        <v>1</v>
      </c>
      <c r="E1308" t="b">
        <f>LineærRegression_Valg[[#This Row],[Afhængig variabel ID]]&lt;=$B$5</f>
        <v>0</v>
      </c>
      <c r="F1308" t="str" cm="1">
        <f t="array" ref="F1308">IF(LineærRegression_Valg[[#This Row],[Indenfor range]],INDEX(DataTitel_liste,LineærRegression_Valg[[#This Row],[Afhængig variabel ID]]),INDEX(DataTitel_liste,1))</f>
        <v>Eksempel 1 (interval)</v>
      </c>
      <c r="G1308" s="45" t="str" cm="1">
        <f t="array" ref="G1308">IF(LineærRegression_Valg[[#This Row],[Indenfor range]],IF(LineærRegression_Valg[[#This Row],[Intet overlap]],INDEX(DataTitel_liste,LineærRegression_Valg[[#This Row],[Uafhængig variabel ID]]),INDEX(DataTitel_liste,IF(LineærRegression_Valg[[#This Row],[Afhængig variabel ID]]=1,2,1))),$B$7)</f>
        <v>Eksempel 2 (interval)</v>
      </c>
      <c r="H1308" s="45">
        <f>_xlfn.AGGREGATE(2,5,LineærRegression_Valg[[#This Row],[Tabel ID]])</f>
        <v>1</v>
      </c>
    </row>
    <row r="1309" spans="1:8" x14ac:dyDescent="0.2">
      <c r="A1309">
        <f>ROW(LineærRegression_Valg[[#This Row],[Tabel ID]])-ROW(LineærRegression_Valg[[#Headers],[Tabel ID]])</f>
        <v>1299</v>
      </c>
      <c r="B1309" s="45">
        <f>ROUNDDOWN((LineærRegression_Valg[[#This Row],[Tabel ID]]-1)/$B$5,0)+1</f>
        <v>325</v>
      </c>
      <c r="C1309" s="45">
        <f t="shared" si="20"/>
        <v>3</v>
      </c>
      <c r="D1309" s="45" t="b">
        <f>LineærRegression_Valg[[#This Row],[Afhængig variabel ID]]&lt;&gt;LineærRegression_Valg[[#This Row],[Uafhængig variabel ID]]</f>
        <v>1</v>
      </c>
      <c r="E1309" t="b">
        <f>LineærRegression_Valg[[#This Row],[Afhængig variabel ID]]&lt;=$B$5</f>
        <v>0</v>
      </c>
      <c r="F1309" t="str" cm="1">
        <f t="array" ref="F1309">IF(LineærRegression_Valg[[#This Row],[Indenfor range]],INDEX(DataTitel_liste,LineærRegression_Valg[[#This Row],[Afhængig variabel ID]]),INDEX(DataTitel_liste,1))</f>
        <v>Eksempel 1 (interval)</v>
      </c>
      <c r="G1309" s="45" t="str" cm="1">
        <f t="array" ref="G1309">IF(LineærRegression_Valg[[#This Row],[Indenfor range]],IF(LineærRegression_Valg[[#This Row],[Intet overlap]],INDEX(DataTitel_liste,LineærRegression_Valg[[#This Row],[Uafhængig variabel ID]]),INDEX(DataTitel_liste,IF(LineærRegression_Valg[[#This Row],[Afhængig variabel ID]]=1,2,1))),$B$7)</f>
        <v>Eksempel 2 (interval)</v>
      </c>
      <c r="H1309" s="45">
        <f>_xlfn.AGGREGATE(2,5,LineærRegression_Valg[[#This Row],[Tabel ID]])</f>
        <v>1</v>
      </c>
    </row>
    <row r="1310" spans="1:8" x14ac:dyDescent="0.2">
      <c r="A1310">
        <f>ROW(LineærRegression_Valg[[#This Row],[Tabel ID]])-ROW(LineærRegression_Valg[[#Headers],[Tabel ID]])</f>
        <v>1300</v>
      </c>
      <c r="B1310" s="45">
        <f>ROUNDDOWN((LineærRegression_Valg[[#This Row],[Tabel ID]]-1)/$B$5,0)+1</f>
        <v>325</v>
      </c>
      <c r="C1310" s="45">
        <f t="shared" si="20"/>
        <v>4</v>
      </c>
      <c r="D1310" s="45" t="b">
        <f>LineærRegression_Valg[[#This Row],[Afhængig variabel ID]]&lt;&gt;LineærRegression_Valg[[#This Row],[Uafhængig variabel ID]]</f>
        <v>1</v>
      </c>
      <c r="E1310" t="b">
        <f>LineærRegression_Valg[[#This Row],[Afhængig variabel ID]]&lt;=$B$5</f>
        <v>0</v>
      </c>
      <c r="F1310" t="str" cm="1">
        <f t="array" ref="F1310">IF(LineærRegression_Valg[[#This Row],[Indenfor range]],INDEX(DataTitel_liste,LineærRegression_Valg[[#This Row],[Afhængig variabel ID]]),INDEX(DataTitel_liste,1))</f>
        <v>Eksempel 1 (interval)</v>
      </c>
      <c r="G1310" s="45" t="str" cm="1">
        <f t="array" ref="G1310">IF(LineærRegression_Valg[[#This Row],[Indenfor range]],IF(LineærRegression_Valg[[#This Row],[Intet overlap]],INDEX(DataTitel_liste,LineærRegression_Valg[[#This Row],[Uafhængig variabel ID]]),INDEX(DataTitel_liste,IF(LineærRegression_Valg[[#This Row],[Afhængig variabel ID]]=1,2,1))),$B$7)</f>
        <v>Eksempel 2 (interval)</v>
      </c>
      <c r="H1310" s="45">
        <f>_xlfn.AGGREGATE(2,5,LineærRegression_Valg[[#This Row],[Tabel ID]])</f>
        <v>1</v>
      </c>
    </row>
    <row r="1311" spans="1:8" x14ac:dyDescent="0.2">
      <c r="A1311">
        <f>ROW(LineærRegression_Valg[[#This Row],[Tabel ID]])-ROW(LineærRegression_Valg[[#Headers],[Tabel ID]])</f>
        <v>1301</v>
      </c>
      <c r="B1311" s="45">
        <f>ROUNDDOWN((LineærRegression_Valg[[#This Row],[Tabel ID]]-1)/$B$5,0)+1</f>
        <v>326</v>
      </c>
      <c r="C1311" s="45">
        <f t="shared" si="20"/>
        <v>1</v>
      </c>
      <c r="D1311" s="45" t="b">
        <f>LineærRegression_Valg[[#This Row],[Afhængig variabel ID]]&lt;&gt;LineærRegression_Valg[[#This Row],[Uafhængig variabel ID]]</f>
        <v>1</v>
      </c>
      <c r="E1311" t="b">
        <f>LineærRegression_Valg[[#This Row],[Afhængig variabel ID]]&lt;=$B$5</f>
        <v>0</v>
      </c>
      <c r="F1311" t="str" cm="1">
        <f t="array" ref="F1311">IF(LineærRegression_Valg[[#This Row],[Indenfor range]],INDEX(DataTitel_liste,LineærRegression_Valg[[#This Row],[Afhængig variabel ID]]),INDEX(DataTitel_liste,1))</f>
        <v>Eksempel 1 (interval)</v>
      </c>
      <c r="G1311" s="45" t="str" cm="1">
        <f t="array" ref="G1311">IF(LineærRegression_Valg[[#This Row],[Indenfor range]],IF(LineærRegression_Valg[[#This Row],[Intet overlap]],INDEX(DataTitel_liste,LineærRegression_Valg[[#This Row],[Uafhængig variabel ID]]),INDEX(DataTitel_liste,IF(LineærRegression_Valg[[#This Row],[Afhængig variabel ID]]=1,2,1))),$B$7)</f>
        <v>Eksempel 2 (interval)</v>
      </c>
      <c r="H1311" s="45">
        <f>_xlfn.AGGREGATE(2,5,LineærRegression_Valg[[#This Row],[Tabel ID]])</f>
        <v>1</v>
      </c>
    </row>
    <row r="1312" spans="1:8" x14ac:dyDescent="0.2">
      <c r="A1312">
        <f>ROW(LineærRegression_Valg[[#This Row],[Tabel ID]])-ROW(LineærRegression_Valg[[#Headers],[Tabel ID]])</f>
        <v>1302</v>
      </c>
      <c r="B1312" s="45">
        <f>ROUNDDOWN((LineærRegression_Valg[[#This Row],[Tabel ID]]-1)/$B$5,0)+1</f>
        <v>326</v>
      </c>
      <c r="C1312" s="45">
        <f t="shared" si="20"/>
        <v>2</v>
      </c>
      <c r="D1312" s="45" t="b">
        <f>LineærRegression_Valg[[#This Row],[Afhængig variabel ID]]&lt;&gt;LineærRegression_Valg[[#This Row],[Uafhængig variabel ID]]</f>
        <v>1</v>
      </c>
      <c r="E1312" t="b">
        <f>LineærRegression_Valg[[#This Row],[Afhængig variabel ID]]&lt;=$B$5</f>
        <v>0</v>
      </c>
      <c r="F1312" t="str" cm="1">
        <f t="array" ref="F1312">IF(LineærRegression_Valg[[#This Row],[Indenfor range]],INDEX(DataTitel_liste,LineærRegression_Valg[[#This Row],[Afhængig variabel ID]]),INDEX(DataTitel_liste,1))</f>
        <v>Eksempel 1 (interval)</v>
      </c>
      <c r="G1312" s="45" t="str" cm="1">
        <f t="array" ref="G1312">IF(LineærRegression_Valg[[#This Row],[Indenfor range]],IF(LineærRegression_Valg[[#This Row],[Intet overlap]],INDEX(DataTitel_liste,LineærRegression_Valg[[#This Row],[Uafhængig variabel ID]]),INDEX(DataTitel_liste,IF(LineærRegression_Valg[[#This Row],[Afhængig variabel ID]]=1,2,1))),$B$7)</f>
        <v>Eksempel 2 (interval)</v>
      </c>
      <c r="H1312" s="45">
        <f>_xlfn.AGGREGATE(2,5,LineærRegression_Valg[[#This Row],[Tabel ID]])</f>
        <v>1</v>
      </c>
    </row>
    <row r="1313" spans="1:8" x14ac:dyDescent="0.2">
      <c r="A1313">
        <f>ROW(LineærRegression_Valg[[#This Row],[Tabel ID]])-ROW(LineærRegression_Valg[[#Headers],[Tabel ID]])</f>
        <v>1303</v>
      </c>
      <c r="B1313" s="45">
        <f>ROUNDDOWN((LineærRegression_Valg[[#This Row],[Tabel ID]]-1)/$B$5,0)+1</f>
        <v>326</v>
      </c>
      <c r="C1313" s="45">
        <f t="shared" si="20"/>
        <v>3</v>
      </c>
      <c r="D1313" s="45" t="b">
        <f>LineærRegression_Valg[[#This Row],[Afhængig variabel ID]]&lt;&gt;LineærRegression_Valg[[#This Row],[Uafhængig variabel ID]]</f>
        <v>1</v>
      </c>
      <c r="E1313" t="b">
        <f>LineærRegression_Valg[[#This Row],[Afhængig variabel ID]]&lt;=$B$5</f>
        <v>0</v>
      </c>
      <c r="F1313" t="str" cm="1">
        <f t="array" ref="F1313">IF(LineærRegression_Valg[[#This Row],[Indenfor range]],INDEX(DataTitel_liste,LineærRegression_Valg[[#This Row],[Afhængig variabel ID]]),INDEX(DataTitel_liste,1))</f>
        <v>Eksempel 1 (interval)</v>
      </c>
      <c r="G1313" s="45" t="str" cm="1">
        <f t="array" ref="G1313">IF(LineærRegression_Valg[[#This Row],[Indenfor range]],IF(LineærRegression_Valg[[#This Row],[Intet overlap]],INDEX(DataTitel_liste,LineærRegression_Valg[[#This Row],[Uafhængig variabel ID]]),INDEX(DataTitel_liste,IF(LineærRegression_Valg[[#This Row],[Afhængig variabel ID]]=1,2,1))),$B$7)</f>
        <v>Eksempel 2 (interval)</v>
      </c>
      <c r="H1313" s="45">
        <f>_xlfn.AGGREGATE(2,5,LineærRegression_Valg[[#This Row],[Tabel ID]])</f>
        <v>1</v>
      </c>
    </row>
    <row r="1314" spans="1:8" x14ac:dyDescent="0.2">
      <c r="A1314">
        <f>ROW(LineærRegression_Valg[[#This Row],[Tabel ID]])-ROW(LineærRegression_Valg[[#Headers],[Tabel ID]])</f>
        <v>1304</v>
      </c>
      <c r="B1314" s="45">
        <f>ROUNDDOWN((LineærRegression_Valg[[#This Row],[Tabel ID]]-1)/$B$5,0)+1</f>
        <v>326</v>
      </c>
      <c r="C1314" s="45">
        <f t="shared" si="20"/>
        <v>4</v>
      </c>
      <c r="D1314" s="45" t="b">
        <f>LineærRegression_Valg[[#This Row],[Afhængig variabel ID]]&lt;&gt;LineærRegression_Valg[[#This Row],[Uafhængig variabel ID]]</f>
        <v>1</v>
      </c>
      <c r="E1314" t="b">
        <f>LineærRegression_Valg[[#This Row],[Afhængig variabel ID]]&lt;=$B$5</f>
        <v>0</v>
      </c>
      <c r="F1314" t="str" cm="1">
        <f t="array" ref="F1314">IF(LineærRegression_Valg[[#This Row],[Indenfor range]],INDEX(DataTitel_liste,LineærRegression_Valg[[#This Row],[Afhængig variabel ID]]),INDEX(DataTitel_liste,1))</f>
        <v>Eksempel 1 (interval)</v>
      </c>
      <c r="G1314" s="45" t="str" cm="1">
        <f t="array" ref="G1314">IF(LineærRegression_Valg[[#This Row],[Indenfor range]],IF(LineærRegression_Valg[[#This Row],[Intet overlap]],INDEX(DataTitel_liste,LineærRegression_Valg[[#This Row],[Uafhængig variabel ID]]),INDEX(DataTitel_liste,IF(LineærRegression_Valg[[#This Row],[Afhængig variabel ID]]=1,2,1))),$B$7)</f>
        <v>Eksempel 2 (interval)</v>
      </c>
      <c r="H1314" s="45">
        <f>_xlfn.AGGREGATE(2,5,LineærRegression_Valg[[#This Row],[Tabel ID]])</f>
        <v>1</v>
      </c>
    </row>
    <row r="1315" spans="1:8" x14ac:dyDescent="0.2">
      <c r="A1315">
        <f>ROW(LineærRegression_Valg[[#This Row],[Tabel ID]])-ROW(LineærRegression_Valg[[#Headers],[Tabel ID]])</f>
        <v>1305</v>
      </c>
      <c r="B1315" s="45">
        <f>ROUNDDOWN((LineærRegression_Valg[[#This Row],[Tabel ID]]-1)/$B$5,0)+1</f>
        <v>327</v>
      </c>
      <c r="C1315" s="45">
        <f t="shared" si="20"/>
        <v>1</v>
      </c>
      <c r="D1315" s="45" t="b">
        <f>LineærRegression_Valg[[#This Row],[Afhængig variabel ID]]&lt;&gt;LineærRegression_Valg[[#This Row],[Uafhængig variabel ID]]</f>
        <v>1</v>
      </c>
      <c r="E1315" t="b">
        <f>LineærRegression_Valg[[#This Row],[Afhængig variabel ID]]&lt;=$B$5</f>
        <v>0</v>
      </c>
      <c r="F1315" t="str" cm="1">
        <f t="array" ref="F1315">IF(LineærRegression_Valg[[#This Row],[Indenfor range]],INDEX(DataTitel_liste,LineærRegression_Valg[[#This Row],[Afhængig variabel ID]]),INDEX(DataTitel_liste,1))</f>
        <v>Eksempel 1 (interval)</v>
      </c>
      <c r="G1315" s="45" t="str" cm="1">
        <f t="array" ref="G1315">IF(LineærRegression_Valg[[#This Row],[Indenfor range]],IF(LineærRegression_Valg[[#This Row],[Intet overlap]],INDEX(DataTitel_liste,LineærRegression_Valg[[#This Row],[Uafhængig variabel ID]]),INDEX(DataTitel_liste,IF(LineærRegression_Valg[[#This Row],[Afhængig variabel ID]]=1,2,1))),$B$7)</f>
        <v>Eksempel 2 (interval)</v>
      </c>
      <c r="H1315" s="45">
        <f>_xlfn.AGGREGATE(2,5,LineærRegression_Valg[[#This Row],[Tabel ID]])</f>
        <v>1</v>
      </c>
    </row>
    <row r="1316" spans="1:8" x14ac:dyDescent="0.2">
      <c r="A1316">
        <f>ROW(LineærRegression_Valg[[#This Row],[Tabel ID]])-ROW(LineærRegression_Valg[[#Headers],[Tabel ID]])</f>
        <v>1306</v>
      </c>
      <c r="B1316" s="45">
        <f>ROUNDDOWN((LineærRegression_Valg[[#This Row],[Tabel ID]]-1)/$B$5,0)+1</f>
        <v>327</v>
      </c>
      <c r="C1316" s="45">
        <f t="shared" si="20"/>
        <v>2</v>
      </c>
      <c r="D1316" s="45" t="b">
        <f>LineærRegression_Valg[[#This Row],[Afhængig variabel ID]]&lt;&gt;LineærRegression_Valg[[#This Row],[Uafhængig variabel ID]]</f>
        <v>1</v>
      </c>
      <c r="E1316" t="b">
        <f>LineærRegression_Valg[[#This Row],[Afhængig variabel ID]]&lt;=$B$5</f>
        <v>0</v>
      </c>
      <c r="F1316" t="str" cm="1">
        <f t="array" ref="F1316">IF(LineærRegression_Valg[[#This Row],[Indenfor range]],INDEX(DataTitel_liste,LineærRegression_Valg[[#This Row],[Afhængig variabel ID]]),INDEX(DataTitel_liste,1))</f>
        <v>Eksempel 1 (interval)</v>
      </c>
      <c r="G1316" s="45" t="str" cm="1">
        <f t="array" ref="G1316">IF(LineærRegression_Valg[[#This Row],[Indenfor range]],IF(LineærRegression_Valg[[#This Row],[Intet overlap]],INDEX(DataTitel_liste,LineærRegression_Valg[[#This Row],[Uafhængig variabel ID]]),INDEX(DataTitel_liste,IF(LineærRegression_Valg[[#This Row],[Afhængig variabel ID]]=1,2,1))),$B$7)</f>
        <v>Eksempel 2 (interval)</v>
      </c>
      <c r="H1316" s="45">
        <f>_xlfn.AGGREGATE(2,5,LineærRegression_Valg[[#This Row],[Tabel ID]])</f>
        <v>1</v>
      </c>
    </row>
    <row r="1317" spans="1:8" x14ac:dyDescent="0.2">
      <c r="A1317">
        <f>ROW(LineærRegression_Valg[[#This Row],[Tabel ID]])-ROW(LineærRegression_Valg[[#Headers],[Tabel ID]])</f>
        <v>1307</v>
      </c>
      <c r="B1317" s="45">
        <f>ROUNDDOWN((LineærRegression_Valg[[#This Row],[Tabel ID]]-1)/$B$5,0)+1</f>
        <v>327</v>
      </c>
      <c r="C1317" s="45">
        <f t="shared" si="20"/>
        <v>3</v>
      </c>
      <c r="D1317" s="45" t="b">
        <f>LineærRegression_Valg[[#This Row],[Afhængig variabel ID]]&lt;&gt;LineærRegression_Valg[[#This Row],[Uafhængig variabel ID]]</f>
        <v>1</v>
      </c>
      <c r="E1317" t="b">
        <f>LineærRegression_Valg[[#This Row],[Afhængig variabel ID]]&lt;=$B$5</f>
        <v>0</v>
      </c>
      <c r="F1317" t="str" cm="1">
        <f t="array" ref="F1317">IF(LineærRegression_Valg[[#This Row],[Indenfor range]],INDEX(DataTitel_liste,LineærRegression_Valg[[#This Row],[Afhængig variabel ID]]),INDEX(DataTitel_liste,1))</f>
        <v>Eksempel 1 (interval)</v>
      </c>
      <c r="G1317" s="45" t="str" cm="1">
        <f t="array" ref="G1317">IF(LineærRegression_Valg[[#This Row],[Indenfor range]],IF(LineærRegression_Valg[[#This Row],[Intet overlap]],INDEX(DataTitel_liste,LineærRegression_Valg[[#This Row],[Uafhængig variabel ID]]),INDEX(DataTitel_liste,IF(LineærRegression_Valg[[#This Row],[Afhængig variabel ID]]=1,2,1))),$B$7)</f>
        <v>Eksempel 2 (interval)</v>
      </c>
      <c r="H1317" s="45">
        <f>_xlfn.AGGREGATE(2,5,LineærRegression_Valg[[#This Row],[Tabel ID]])</f>
        <v>1</v>
      </c>
    </row>
    <row r="1318" spans="1:8" x14ac:dyDescent="0.2">
      <c r="A1318">
        <f>ROW(LineærRegression_Valg[[#This Row],[Tabel ID]])-ROW(LineærRegression_Valg[[#Headers],[Tabel ID]])</f>
        <v>1308</v>
      </c>
      <c r="B1318" s="45">
        <f>ROUNDDOWN((LineærRegression_Valg[[#This Row],[Tabel ID]]-1)/$B$5,0)+1</f>
        <v>327</v>
      </c>
      <c r="C1318" s="45">
        <f t="shared" si="20"/>
        <v>4</v>
      </c>
      <c r="D1318" s="45" t="b">
        <f>LineærRegression_Valg[[#This Row],[Afhængig variabel ID]]&lt;&gt;LineærRegression_Valg[[#This Row],[Uafhængig variabel ID]]</f>
        <v>1</v>
      </c>
      <c r="E1318" t="b">
        <f>LineærRegression_Valg[[#This Row],[Afhængig variabel ID]]&lt;=$B$5</f>
        <v>0</v>
      </c>
      <c r="F1318" t="str" cm="1">
        <f t="array" ref="F1318">IF(LineærRegression_Valg[[#This Row],[Indenfor range]],INDEX(DataTitel_liste,LineærRegression_Valg[[#This Row],[Afhængig variabel ID]]),INDEX(DataTitel_liste,1))</f>
        <v>Eksempel 1 (interval)</v>
      </c>
      <c r="G1318" s="45" t="str" cm="1">
        <f t="array" ref="G1318">IF(LineærRegression_Valg[[#This Row],[Indenfor range]],IF(LineærRegression_Valg[[#This Row],[Intet overlap]],INDEX(DataTitel_liste,LineærRegression_Valg[[#This Row],[Uafhængig variabel ID]]),INDEX(DataTitel_liste,IF(LineærRegression_Valg[[#This Row],[Afhængig variabel ID]]=1,2,1))),$B$7)</f>
        <v>Eksempel 2 (interval)</v>
      </c>
      <c r="H1318" s="45">
        <f>_xlfn.AGGREGATE(2,5,LineærRegression_Valg[[#This Row],[Tabel ID]])</f>
        <v>1</v>
      </c>
    </row>
    <row r="1319" spans="1:8" x14ac:dyDescent="0.2">
      <c r="A1319">
        <f>ROW(LineærRegression_Valg[[#This Row],[Tabel ID]])-ROW(LineærRegression_Valg[[#Headers],[Tabel ID]])</f>
        <v>1309</v>
      </c>
      <c r="B1319" s="45">
        <f>ROUNDDOWN((LineærRegression_Valg[[#This Row],[Tabel ID]]-1)/$B$5,0)+1</f>
        <v>328</v>
      </c>
      <c r="C1319" s="45">
        <f t="shared" si="20"/>
        <v>1</v>
      </c>
      <c r="D1319" s="45" t="b">
        <f>LineærRegression_Valg[[#This Row],[Afhængig variabel ID]]&lt;&gt;LineærRegression_Valg[[#This Row],[Uafhængig variabel ID]]</f>
        <v>1</v>
      </c>
      <c r="E1319" t="b">
        <f>LineærRegression_Valg[[#This Row],[Afhængig variabel ID]]&lt;=$B$5</f>
        <v>0</v>
      </c>
      <c r="F1319" t="str" cm="1">
        <f t="array" ref="F1319">IF(LineærRegression_Valg[[#This Row],[Indenfor range]],INDEX(DataTitel_liste,LineærRegression_Valg[[#This Row],[Afhængig variabel ID]]),INDEX(DataTitel_liste,1))</f>
        <v>Eksempel 1 (interval)</v>
      </c>
      <c r="G1319" s="45" t="str" cm="1">
        <f t="array" ref="G1319">IF(LineærRegression_Valg[[#This Row],[Indenfor range]],IF(LineærRegression_Valg[[#This Row],[Intet overlap]],INDEX(DataTitel_liste,LineærRegression_Valg[[#This Row],[Uafhængig variabel ID]]),INDEX(DataTitel_liste,IF(LineærRegression_Valg[[#This Row],[Afhængig variabel ID]]=1,2,1))),$B$7)</f>
        <v>Eksempel 2 (interval)</v>
      </c>
      <c r="H1319" s="45">
        <f>_xlfn.AGGREGATE(2,5,LineærRegression_Valg[[#This Row],[Tabel ID]])</f>
        <v>1</v>
      </c>
    </row>
    <row r="1320" spans="1:8" x14ac:dyDescent="0.2">
      <c r="A1320">
        <f>ROW(LineærRegression_Valg[[#This Row],[Tabel ID]])-ROW(LineærRegression_Valg[[#Headers],[Tabel ID]])</f>
        <v>1310</v>
      </c>
      <c r="B1320" s="45">
        <f>ROUNDDOWN((LineærRegression_Valg[[#This Row],[Tabel ID]]-1)/$B$5,0)+1</f>
        <v>328</v>
      </c>
      <c r="C1320" s="45">
        <f t="shared" si="20"/>
        <v>2</v>
      </c>
      <c r="D1320" s="45" t="b">
        <f>LineærRegression_Valg[[#This Row],[Afhængig variabel ID]]&lt;&gt;LineærRegression_Valg[[#This Row],[Uafhængig variabel ID]]</f>
        <v>1</v>
      </c>
      <c r="E1320" t="b">
        <f>LineærRegression_Valg[[#This Row],[Afhængig variabel ID]]&lt;=$B$5</f>
        <v>0</v>
      </c>
      <c r="F1320" t="str" cm="1">
        <f t="array" ref="F1320">IF(LineærRegression_Valg[[#This Row],[Indenfor range]],INDEX(DataTitel_liste,LineærRegression_Valg[[#This Row],[Afhængig variabel ID]]),INDEX(DataTitel_liste,1))</f>
        <v>Eksempel 1 (interval)</v>
      </c>
      <c r="G1320" s="45" t="str" cm="1">
        <f t="array" ref="G1320">IF(LineærRegression_Valg[[#This Row],[Indenfor range]],IF(LineærRegression_Valg[[#This Row],[Intet overlap]],INDEX(DataTitel_liste,LineærRegression_Valg[[#This Row],[Uafhængig variabel ID]]),INDEX(DataTitel_liste,IF(LineærRegression_Valg[[#This Row],[Afhængig variabel ID]]=1,2,1))),$B$7)</f>
        <v>Eksempel 2 (interval)</v>
      </c>
      <c r="H1320" s="45">
        <f>_xlfn.AGGREGATE(2,5,LineærRegression_Valg[[#This Row],[Tabel ID]])</f>
        <v>1</v>
      </c>
    </row>
    <row r="1321" spans="1:8" x14ac:dyDescent="0.2">
      <c r="A1321">
        <f>ROW(LineærRegression_Valg[[#This Row],[Tabel ID]])-ROW(LineærRegression_Valg[[#Headers],[Tabel ID]])</f>
        <v>1311</v>
      </c>
      <c r="B1321" s="45">
        <f>ROUNDDOWN((LineærRegression_Valg[[#This Row],[Tabel ID]]-1)/$B$5,0)+1</f>
        <v>328</v>
      </c>
      <c r="C1321" s="45">
        <f t="shared" si="20"/>
        <v>3</v>
      </c>
      <c r="D1321" s="45" t="b">
        <f>LineærRegression_Valg[[#This Row],[Afhængig variabel ID]]&lt;&gt;LineærRegression_Valg[[#This Row],[Uafhængig variabel ID]]</f>
        <v>1</v>
      </c>
      <c r="E1321" t="b">
        <f>LineærRegression_Valg[[#This Row],[Afhængig variabel ID]]&lt;=$B$5</f>
        <v>0</v>
      </c>
      <c r="F1321" t="str" cm="1">
        <f t="array" ref="F1321">IF(LineærRegression_Valg[[#This Row],[Indenfor range]],INDEX(DataTitel_liste,LineærRegression_Valg[[#This Row],[Afhængig variabel ID]]),INDEX(DataTitel_liste,1))</f>
        <v>Eksempel 1 (interval)</v>
      </c>
      <c r="G1321" s="45" t="str" cm="1">
        <f t="array" ref="G1321">IF(LineærRegression_Valg[[#This Row],[Indenfor range]],IF(LineærRegression_Valg[[#This Row],[Intet overlap]],INDEX(DataTitel_liste,LineærRegression_Valg[[#This Row],[Uafhængig variabel ID]]),INDEX(DataTitel_liste,IF(LineærRegression_Valg[[#This Row],[Afhængig variabel ID]]=1,2,1))),$B$7)</f>
        <v>Eksempel 2 (interval)</v>
      </c>
      <c r="H1321" s="45">
        <f>_xlfn.AGGREGATE(2,5,LineærRegression_Valg[[#This Row],[Tabel ID]])</f>
        <v>1</v>
      </c>
    </row>
    <row r="1322" spans="1:8" x14ac:dyDescent="0.2">
      <c r="A1322">
        <f>ROW(LineærRegression_Valg[[#This Row],[Tabel ID]])-ROW(LineærRegression_Valg[[#Headers],[Tabel ID]])</f>
        <v>1312</v>
      </c>
      <c r="B1322" s="45">
        <f>ROUNDDOWN((LineærRegression_Valg[[#This Row],[Tabel ID]]-1)/$B$5,0)+1</f>
        <v>328</v>
      </c>
      <c r="C1322" s="45">
        <f t="shared" si="20"/>
        <v>4</v>
      </c>
      <c r="D1322" s="45" t="b">
        <f>LineærRegression_Valg[[#This Row],[Afhængig variabel ID]]&lt;&gt;LineærRegression_Valg[[#This Row],[Uafhængig variabel ID]]</f>
        <v>1</v>
      </c>
      <c r="E1322" t="b">
        <f>LineærRegression_Valg[[#This Row],[Afhængig variabel ID]]&lt;=$B$5</f>
        <v>0</v>
      </c>
      <c r="F1322" t="str" cm="1">
        <f t="array" ref="F1322">IF(LineærRegression_Valg[[#This Row],[Indenfor range]],INDEX(DataTitel_liste,LineærRegression_Valg[[#This Row],[Afhængig variabel ID]]),INDEX(DataTitel_liste,1))</f>
        <v>Eksempel 1 (interval)</v>
      </c>
      <c r="G1322" s="45" t="str" cm="1">
        <f t="array" ref="G1322">IF(LineærRegression_Valg[[#This Row],[Indenfor range]],IF(LineærRegression_Valg[[#This Row],[Intet overlap]],INDEX(DataTitel_liste,LineærRegression_Valg[[#This Row],[Uafhængig variabel ID]]),INDEX(DataTitel_liste,IF(LineærRegression_Valg[[#This Row],[Afhængig variabel ID]]=1,2,1))),$B$7)</f>
        <v>Eksempel 2 (interval)</v>
      </c>
      <c r="H1322" s="45">
        <f>_xlfn.AGGREGATE(2,5,LineærRegression_Valg[[#This Row],[Tabel ID]])</f>
        <v>1</v>
      </c>
    </row>
    <row r="1323" spans="1:8" x14ac:dyDescent="0.2">
      <c r="A1323">
        <f>ROW(LineærRegression_Valg[[#This Row],[Tabel ID]])-ROW(LineærRegression_Valg[[#Headers],[Tabel ID]])</f>
        <v>1313</v>
      </c>
      <c r="B1323" s="45">
        <f>ROUNDDOWN((LineærRegression_Valg[[#This Row],[Tabel ID]]-1)/$B$5,0)+1</f>
        <v>329</v>
      </c>
      <c r="C1323" s="45">
        <f t="shared" si="20"/>
        <v>1</v>
      </c>
      <c r="D1323" s="45" t="b">
        <f>LineærRegression_Valg[[#This Row],[Afhængig variabel ID]]&lt;&gt;LineærRegression_Valg[[#This Row],[Uafhængig variabel ID]]</f>
        <v>1</v>
      </c>
      <c r="E1323" t="b">
        <f>LineærRegression_Valg[[#This Row],[Afhængig variabel ID]]&lt;=$B$5</f>
        <v>0</v>
      </c>
      <c r="F1323" t="str" cm="1">
        <f t="array" ref="F1323">IF(LineærRegression_Valg[[#This Row],[Indenfor range]],INDEX(DataTitel_liste,LineærRegression_Valg[[#This Row],[Afhængig variabel ID]]),INDEX(DataTitel_liste,1))</f>
        <v>Eksempel 1 (interval)</v>
      </c>
      <c r="G1323" s="45" t="str" cm="1">
        <f t="array" ref="G1323">IF(LineærRegression_Valg[[#This Row],[Indenfor range]],IF(LineærRegression_Valg[[#This Row],[Intet overlap]],INDEX(DataTitel_liste,LineærRegression_Valg[[#This Row],[Uafhængig variabel ID]]),INDEX(DataTitel_liste,IF(LineærRegression_Valg[[#This Row],[Afhængig variabel ID]]=1,2,1))),$B$7)</f>
        <v>Eksempel 2 (interval)</v>
      </c>
      <c r="H1323" s="45">
        <f>_xlfn.AGGREGATE(2,5,LineærRegression_Valg[[#This Row],[Tabel ID]])</f>
        <v>1</v>
      </c>
    </row>
    <row r="1324" spans="1:8" x14ac:dyDescent="0.2">
      <c r="A1324">
        <f>ROW(LineærRegression_Valg[[#This Row],[Tabel ID]])-ROW(LineærRegression_Valg[[#Headers],[Tabel ID]])</f>
        <v>1314</v>
      </c>
      <c r="B1324" s="45">
        <f>ROUNDDOWN((LineærRegression_Valg[[#This Row],[Tabel ID]]-1)/$B$5,0)+1</f>
        <v>329</v>
      </c>
      <c r="C1324" s="45">
        <f t="shared" si="20"/>
        <v>2</v>
      </c>
      <c r="D1324" s="45" t="b">
        <f>LineærRegression_Valg[[#This Row],[Afhængig variabel ID]]&lt;&gt;LineærRegression_Valg[[#This Row],[Uafhængig variabel ID]]</f>
        <v>1</v>
      </c>
      <c r="E1324" t="b">
        <f>LineærRegression_Valg[[#This Row],[Afhængig variabel ID]]&lt;=$B$5</f>
        <v>0</v>
      </c>
      <c r="F1324" t="str" cm="1">
        <f t="array" ref="F1324">IF(LineærRegression_Valg[[#This Row],[Indenfor range]],INDEX(DataTitel_liste,LineærRegression_Valg[[#This Row],[Afhængig variabel ID]]),INDEX(DataTitel_liste,1))</f>
        <v>Eksempel 1 (interval)</v>
      </c>
      <c r="G1324" s="45" t="str" cm="1">
        <f t="array" ref="G1324">IF(LineærRegression_Valg[[#This Row],[Indenfor range]],IF(LineærRegression_Valg[[#This Row],[Intet overlap]],INDEX(DataTitel_liste,LineærRegression_Valg[[#This Row],[Uafhængig variabel ID]]),INDEX(DataTitel_liste,IF(LineærRegression_Valg[[#This Row],[Afhængig variabel ID]]=1,2,1))),$B$7)</f>
        <v>Eksempel 2 (interval)</v>
      </c>
      <c r="H1324" s="45">
        <f>_xlfn.AGGREGATE(2,5,LineærRegression_Valg[[#This Row],[Tabel ID]])</f>
        <v>1</v>
      </c>
    </row>
    <row r="1325" spans="1:8" x14ac:dyDescent="0.2">
      <c r="A1325">
        <f>ROW(LineærRegression_Valg[[#This Row],[Tabel ID]])-ROW(LineærRegression_Valg[[#Headers],[Tabel ID]])</f>
        <v>1315</v>
      </c>
      <c r="B1325" s="45">
        <f>ROUNDDOWN((LineærRegression_Valg[[#This Row],[Tabel ID]]-1)/$B$5,0)+1</f>
        <v>329</v>
      </c>
      <c r="C1325" s="45">
        <f t="shared" si="20"/>
        <v>3</v>
      </c>
      <c r="D1325" s="45" t="b">
        <f>LineærRegression_Valg[[#This Row],[Afhængig variabel ID]]&lt;&gt;LineærRegression_Valg[[#This Row],[Uafhængig variabel ID]]</f>
        <v>1</v>
      </c>
      <c r="E1325" t="b">
        <f>LineærRegression_Valg[[#This Row],[Afhængig variabel ID]]&lt;=$B$5</f>
        <v>0</v>
      </c>
      <c r="F1325" t="str" cm="1">
        <f t="array" ref="F1325">IF(LineærRegression_Valg[[#This Row],[Indenfor range]],INDEX(DataTitel_liste,LineærRegression_Valg[[#This Row],[Afhængig variabel ID]]),INDEX(DataTitel_liste,1))</f>
        <v>Eksempel 1 (interval)</v>
      </c>
      <c r="G1325" s="45" t="str" cm="1">
        <f t="array" ref="G1325">IF(LineærRegression_Valg[[#This Row],[Indenfor range]],IF(LineærRegression_Valg[[#This Row],[Intet overlap]],INDEX(DataTitel_liste,LineærRegression_Valg[[#This Row],[Uafhængig variabel ID]]),INDEX(DataTitel_liste,IF(LineærRegression_Valg[[#This Row],[Afhængig variabel ID]]=1,2,1))),$B$7)</f>
        <v>Eksempel 2 (interval)</v>
      </c>
      <c r="H1325" s="45">
        <f>_xlfn.AGGREGATE(2,5,LineærRegression_Valg[[#This Row],[Tabel ID]])</f>
        <v>1</v>
      </c>
    </row>
    <row r="1326" spans="1:8" x14ac:dyDescent="0.2">
      <c r="A1326">
        <f>ROW(LineærRegression_Valg[[#This Row],[Tabel ID]])-ROW(LineærRegression_Valg[[#Headers],[Tabel ID]])</f>
        <v>1316</v>
      </c>
      <c r="B1326" s="45">
        <f>ROUNDDOWN((LineærRegression_Valg[[#This Row],[Tabel ID]]-1)/$B$5,0)+1</f>
        <v>329</v>
      </c>
      <c r="C1326" s="45">
        <f t="shared" si="20"/>
        <v>4</v>
      </c>
      <c r="D1326" s="45" t="b">
        <f>LineærRegression_Valg[[#This Row],[Afhængig variabel ID]]&lt;&gt;LineærRegression_Valg[[#This Row],[Uafhængig variabel ID]]</f>
        <v>1</v>
      </c>
      <c r="E1326" t="b">
        <f>LineærRegression_Valg[[#This Row],[Afhængig variabel ID]]&lt;=$B$5</f>
        <v>0</v>
      </c>
      <c r="F1326" t="str" cm="1">
        <f t="array" ref="F1326">IF(LineærRegression_Valg[[#This Row],[Indenfor range]],INDEX(DataTitel_liste,LineærRegression_Valg[[#This Row],[Afhængig variabel ID]]),INDEX(DataTitel_liste,1))</f>
        <v>Eksempel 1 (interval)</v>
      </c>
      <c r="G1326" s="45" t="str" cm="1">
        <f t="array" ref="G1326">IF(LineærRegression_Valg[[#This Row],[Indenfor range]],IF(LineærRegression_Valg[[#This Row],[Intet overlap]],INDEX(DataTitel_liste,LineærRegression_Valg[[#This Row],[Uafhængig variabel ID]]),INDEX(DataTitel_liste,IF(LineærRegression_Valg[[#This Row],[Afhængig variabel ID]]=1,2,1))),$B$7)</f>
        <v>Eksempel 2 (interval)</v>
      </c>
      <c r="H1326" s="45">
        <f>_xlfn.AGGREGATE(2,5,LineærRegression_Valg[[#This Row],[Tabel ID]])</f>
        <v>1</v>
      </c>
    </row>
    <row r="1327" spans="1:8" x14ac:dyDescent="0.2">
      <c r="A1327">
        <f>ROW(LineærRegression_Valg[[#This Row],[Tabel ID]])-ROW(LineærRegression_Valg[[#Headers],[Tabel ID]])</f>
        <v>1317</v>
      </c>
      <c r="B1327" s="45">
        <f>ROUNDDOWN((LineærRegression_Valg[[#This Row],[Tabel ID]]-1)/$B$5,0)+1</f>
        <v>330</v>
      </c>
      <c r="C1327" s="45">
        <f t="shared" si="20"/>
        <v>1</v>
      </c>
      <c r="D1327" s="45" t="b">
        <f>LineærRegression_Valg[[#This Row],[Afhængig variabel ID]]&lt;&gt;LineærRegression_Valg[[#This Row],[Uafhængig variabel ID]]</f>
        <v>1</v>
      </c>
      <c r="E1327" t="b">
        <f>LineærRegression_Valg[[#This Row],[Afhængig variabel ID]]&lt;=$B$5</f>
        <v>0</v>
      </c>
      <c r="F1327" t="str" cm="1">
        <f t="array" ref="F1327">IF(LineærRegression_Valg[[#This Row],[Indenfor range]],INDEX(DataTitel_liste,LineærRegression_Valg[[#This Row],[Afhængig variabel ID]]),INDEX(DataTitel_liste,1))</f>
        <v>Eksempel 1 (interval)</v>
      </c>
      <c r="G1327" s="45" t="str" cm="1">
        <f t="array" ref="G1327">IF(LineærRegression_Valg[[#This Row],[Indenfor range]],IF(LineærRegression_Valg[[#This Row],[Intet overlap]],INDEX(DataTitel_liste,LineærRegression_Valg[[#This Row],[Uafhængig variabel ID]]),INDEX(DataTitel_liste,IF(LineærRegression_Valg[[#This Row],[Afhængig variabel ID]]=1,2,1))),$B$7)</f>
        <v>Eksempel 2 (interval)</v>
      </c>
      <c r="H1327" s="45">
        <f>_xlfn.AGGREGATE(2,5,LineærRegression_Valg[[#This Row],[Tabel ID]])</f>
        <v>1</v>
      </c>
    </row>
    <row r="1328" spans="1:8" x14ac:dyDescent="0.2">
      <c r="A1328">
        <f>ROW(LineærRegression_Valg[[#This Row],[Tabel ID]])-ROW(LineærRegression_Valg[[#Headers],[Tabel ID]])</f>
        <v>1318</v>
      </c>
      <c r="B1328" s="45">
        <f>ROUNDDOWN((LineærRegression_Valg[[#This Row],[Tabel ID]]-1)/$B$5,0)+1</f>
        <v>330</v>
      </c>
      <c r="C1328" s="45">
        <f t="shared" si="20"/>
        <v>2</v>
      </c>
      <c r="D1328" s="45" t="b">
        <f>LineærRegression_Valg[[#This Row],[Afhængig variabel ID]]&lt;&gt;LineærRegression_Valg[[#This Row],[Uafhængig variabel ID]]</f>
        <v>1</v>
      </c>
      <c r="E1328" t="b">
        <f>LineærRegression_Valg[[#This Row],[Afhængig variabel ID]]&lt;=$B$5</f>
        <v>0</v>
      </c>
      <c r="F1328" t="str" cm="1">
        <f t="array" ref="F1328">IF(LineærRegression_Valg[[#This Row],[Indenfor range]],INDEX(DataTitel_liste,LineærRegression_Valg[[#This Row],[Afhængig variabel ID]]),INDEX(DataTitel_liste,1))</f>
        <v>Eksempel 1 (interval)</v>
      </c>
      <c r="G1328" s="45" t="str" cm="1">
        <f t="array" ref="G1328">IF(LineærRegression_Valg[[#This Row],[Indenfor range]],IF(LineærRegression_Valg[[#This Row],[Intet overlap]],INDEX(DataTitel_liste,LineærRegression_Valg[[#This Row],[Uafhængig variabel ID]]),INDEX(DataTitel_liste,IF(LineærRegression_Valg[[#This Row],[Afhængig variabel ID]]=1,2,1))),$B$7)</f>
        <v>Eksempel 2 (interval)</v>
      </c>
      <c r="H1328" s="45">
        <f>_xlfn.AGGREGATE(2,5,LineærRegression_Valg[[#This Row],[Tabel ID]])</f>
        <v>1</v>
      </c>
    </row>
    <row r="1329" spans="1:8" x14ac:dyDescent="0.2">
      <c r="A1329">
        <f>ROW(LineærRegression_Valg[[#This Row],[Tabel ID]])-ROW(LineærRegression_Valg[[#Headers],[Tabel ID]])</f>
        <v>1319</v>
      </c>
      <c r="B1329" s="45">
        <f>ROUNDDOWN((LineærRegression_Valg[[#This Row],[Tabel ID]]-1)/$B$5,0)+1</f>
        <v>330</v>
      </c>
      <c r="C1329" s="45">
        <f t="shared" si="20"/>
        <v>3</v>
      </c>
      <c r="D1329" s="45" t="b">
        <f>LineærRegression_Valg[[#This Row],[Afhængig variabel ID]]&lt;&gt;LineærRegression_Valg[[#This Row],[Uafhængig variabel ID]]</f>
        <v>1</v>
      </c>
      <c r="E1329" t="b">
        <f>LineærRegression_Valg[[#This Row],[Afhængig variabel ID]]&lt;=$B$5</f>
        <v>0</v>
      </c>
      <c r="F1329" t="str" cm="1">
        <f t="array" ref="F1329">IF(LineærRegression_Valg[[#This Row],[Indenfor range]],INDEX(DataTitel_liste,LineærRegression_Valg[[#This Row],[Afhængig variabel ID]]),INDEX(DataTitel_liste,1))</f>
        <v>Eksempel 1 (interval)</v>
      </c>
      <c r="G1329" s="45" t="str" cm="1">
        <f t="array" ref="G1329">IF(LineærRegression_Valg[[#This Row],[Indenfor range]],IF(LineærRegression_Valg[[#This Row],[Intet overlap]],INDEX(DataTitel_liste,LineærRegression_Valg[[#This Row],[Uafhængig variabel ID]]),INDEX(DataTitel_liste,IF(LineærRegression_Valg[[#This Row],[Afhængig variabel ID]]=1,2,1))),$B$7)</f>
        <v>Eksempel 2 (interval)</v>
      </c>
      <c r="H1329" s="45">
        <f>_xlfn.AGGREGATE(2,5,LineærRegression_Valg[[#This Row],[Tabel ID]])</f>
        <v>1</v>
      </c>
    </row>
    <row r="1330" spans="1:8" x14ac:dyDescent="0.2">
      <c r="A1330">
        <f>ROW(LineærRegression_Valg[[#This Row],[Tabel ID]])-ROW(LineærRegression_Valg[[#Headers],[Tabel ID]])</f>
        <v>1320</v>
      </c>
      <c r="B1330" s="45">
        <f>ROUNDDOWN((LineærRegression_Valg[[#This Row],[Tabel ID]]-1)/$B$5,0)+1</f>
        <v>330</v>
      </c>
      <c r="C1330" s="45">
        <f t="shared" si="20"/>
        <v>4</v>
      </c>
      <c r="D1330" s="45" t="b">
        <f>LineærRegression_Valg[[#This Row],[Afhængig variabel ID]]&lt;&gt;LineærRegression_Valg[[#This Row],[Uafhængig variabel ID]]</f>
        <v>1</v>
      </c>
      <c r="E1330" t="b">
        <f>LineærRegression_Valg[[#This Row],[Afhængig variabel ID]]&lt;=$B$5</f>
        <v>0</v>
      </c>
      <c r="F1330" t="str" cm="1">
        <f t="array" ref="F1330">IF(LineærRegression_Valg[[#This Row],[Indenfor range]],INDEX(DataTitel_liste,LineærRegression_Valg[[#This Row],[Afhængig variabel ID]]),INDEX(DataTitel_liste,1))</f>
        <v>Eksempel 1 (interval)</v>
      </c>
      <c r="G1330" s="45" t="str" cm="1">
        <f t="array" ref="G1330">IF(LineærRegression_Valg[[#This Row],[Indenfor range]],IF(LineærRegression_Valg[[#This Row],[Intet overlap]],INDEX(DataTitel_liste,LineærRegression_Valg[[#This Row],[Uafhængig variabel ID]]),INDEX(DataTitel_liste,IF(LineærRegression_Valg[[#This Row],[Afhængig variabel ID]]=1,2,1))),$B$7)</f>
        <v>Eksempel 2 (interval)</v>
      </c>
      <c r="H1330" s="45">
        <f>_xlfn.AGGREGATE(2,5,LineærRegression_Valg[[#This Row],[Tabel ID]])</f>
        <v>1</v>
      </c>
    </row>
    <row r="1331" spans="1:8" x14ac:dyDescent="0.2">
      <c r="A1331">
        <f>ROW(LineærRegression_Valg[[#This Row],[Tabel ID]])-ROW(LineærRegression_Valg[[#Headers],[Tabel ID]])</f>
        <v>1321</v>
      </c>
      <c r="B1331" s="45">
        <f>ROUNDDOWN((LineærRegression_Valg[[#This Row],[Tabel ID]]-1)/$B$5,0)+1</f>
        <v>331</v>
      </c>
      <c r="C1331" s="45">
        <f t="shared" si="20"/>
        <v>1</v>
      </c>
      <c r="D1331" s="45" t="b">
        <f>LineærRegression_Valg[[#This Row],[Afhængig variabel ID]]&lt;&gt;LineærRegression_Valg[[#This Row],[Uafhængig variabel ID]]</f>
        <v>1</v>
      </c>
      <c r="E1331" t="b">
        <f>LineærRegression_Valg[[#This Row],[Afhængig variabel ID]]&lt;=$B$5</f>
        <v>0</v>
      </c>
      <c r="F1331" t="str" cm="1">
        <f t="array" ref="F1331">IF(LineærRegression_Valg[[#This Row],[Indenfor range]],INDEX(DataTitel_liste,LineærRegression_Valg[[#This Row],[Afhængig variabel ID]]),INDEX(DataTitel_liste,1))</f>
        <v>Eksempel 1 (interval)</v>
      </c>
      <c r="G1331" s="45" t="str" cm="1">
        <f t="array" ref="G1331">IF(LineærRegression_Valg[[#This Row],[Indenfor range]],IF(LineærRegression_Valg[[#This Row],[Intet overlap]],INDEX(DataTitel_liste,LineærRegression_Valg[[#This Row],[Uafhængig variabel ID]]),INDEX(DataTitel_liste,IF(LineærRegression_Valg[[#This Row],[Afhængig variabel ID]]=1,2,1))),$B$7)</f>
        <v>Eksempel 2 (interval)</v>
      </c>
      <c r="H1331" s="45">
        <f>_xlfn.AGGREGATE(2,5,LineærRegression_Valg[[#This Row],[Tabel ID]])</f>
        <v>1</v>
      </c>
    </row>
    <row r="1332" spans="1:8" x14ac:dyDescent="0.2">
      <c r="A1332">
        <f>ROW(LineærRegression_Valg[[#This Row],[Tabel ID]])-ROW(LineærRegression_Valg[[#Headers],[Tabel ID]])</f>
        <v>1322</v>
      </c>
      <c r="B1332" s="45">
        <f>ROUNDDOWN((LineærRegression_Valg[[#This Row],[Tabel ID]]-1)/$B$5,0)+1</f>
        <v>331</v>
      </c>
      <c r="C1332" s="45">
        <f t="shared" si="20"/>
        <v>2</v>
      </c>
      <c r="D1332" s="45" t="b">
        <f>LineærRegression_Valg[[#This Row],[Afhængig variabel ID]]&lt;&gt;LineærRegression_Valg[[#This Row],[Uafhængig variabel ID]]</f>
        <v>1</v>
      </c>
      <c r="E1332" t="b">
        <f>LineærRegression_Valg[[#This Row],[Afhængig variabel ID]]&lt;=$B$5</f>
        <v>0</v>
      </c>
      <c r="F1332" t="str" cm="1">
        <f t="array" ref="F1332">IF(LineærRegression_Valg[[#This Row],[Indenfor range]],INDEX(DataTitel_liste,LineærRegression_Valg[[#This Row],[Afhængig variabel ID]]),INDEX(DataTitel_liste,1))</f>
        <v>Eksempel 1 (interval)</v>
      </c>
      <c r="G1332" s="45" t="str" cm="1">
        <f t="array" ref="G1332">IF(LineærRegression_Valg[[#This Row],[Indenfor range]],IF(LineærRegression_Valg[[#This Row],[Intet overlap]],INDEX(DataTitel_liste,LineærRegression_Valg[[#This Row],[Uafhængig variabel ID]]),INDEX(DataTitel_liste,IF(LineærRegression_Valg[[#This Row],[Afhængig variabel ID]]=1,2,1))),$B$7)</f>
        <v>Eksempel 2 (interval)</v>
      </c>
      <c r="H1332" s="45">
        <f>_xlfn.AGGREGATE(2,5,LineærRegression_Valg[[#This Row],[Tabel ID]])</f>
        <v>1</v>
      </c>
    </row>
    <row r="1333" spans="1:8" x14ac:dyDescent="0.2">
      <c r="A1333">
        <f>ROW(LineærRegression_Valg[[#This Row],[Tabel ID]])-ROW(LineærRegression_Valg[[#Headers],[Tabel ID]])</f>
        <v>1323</v>
      </c>
      <c r="B1333" s="45">
        <f>ROUNDDOWN((LineærRegression_Valg[[#This Row],[Tabel ID]]-1)/$B$5,0)+1</f>
        <v>331</v>
      </c>
      <c r="C1333" s="45">
        <f t="shared" si="20"/>
        <v>3</v>
      </c>
      <c r="D1333" s="45" t="b">
        <f>LineærRegression_Valg[[#This Row],[Afhængig variabel ID]]&lt;&gt;LineærRegression_Valg[[#This Row],[Uafhængig variabel ID]]</f>
        <v>1</v>
      </c>
      <c r="E1333" t="b">
        <f>LineærRegression_Valg[[#This Row],[Afhængig variabel ID]]&lt;=$B$5</f>
        <v>0</v>
      </c>
      <c r="F1333" t="str" cm="1">
        <f t="array" ref="F1333">IF(LineærRegression_Valg[[#This Row],[Indenfor range]],INDEX(DataTitel_liste,LineærRegression_Valg[[#This Row],[Afhængig variabel ID]]),INDEX(DataTitel_liste,1))</f>
        <v>Eksempel 1 (interval)</v>
      </c>
      <c r="G1333" s="45" t="str" cm="1">
        <f t="array" ref="G1333">IF(LineærRegression_Valg[[#This Row],[Indenfor range]],IF(LineærRegression_Valg[[#This Row],[Intet overlap]],INDEX(DataTitel_liste,LineærRegression_Valg[[#This Row],[Uafhængig variabel ID]]),INDEX(DataTitel_liste,IF(LineærRegression_Valg[[#This Row],[Afhængig variabel ID]]=1,2,1))),$B$7)</f>
        <v>Eksempel 2 (interval)</v>
      </c>
      <c r="H1333" s="45">
        <f>_xlfn.AGGREGATE(2,5,LineærRegression_Valg[[#This Row],[Tabel ID]])</f>
        <v>1</v>
      </c>
    </row>
    <row r="1334" spans="1:8" x14ac:dyDescent="0.2">
      <c r="A1334">
        <f>ROW(LineærRegression_Valg[[#This Row],[Tabel ID]])-ROW(LineærRegression_Valg[[#Headers],[Tabel ID]])</f>
        <v>1324</v>
      </c>
      <c r="B1334" s="45">
        <f>ROUNDDOWN((LineærRegression_Valg[[#This Row],[Tabel ID]]-1)/$B$5,0)+1</f>
        <v>331</v>
      </c>
      <c r="C1334" s="45">
        <f t="shared" si="20"/>
        <v>4</v>
      </c>
      <c r="D1334" s="45" t="b">
        <f>LineærRegression_Valg[[#This Row],[Afhængig variabel ID]]&lt;&gt;LineærRegression_Valg[[#This Row],[Uafhængig variabel ID]]</f>
        <v>1</v>
      </c>
      <c r="E1334" t="b">
        <f>LineærRegression_Valg[[#This Row],[Afhængig variabel ID]]&lt;=$B$5</f>
        <v>0</v>
      </c>
      <c r="F1334" t="str" cm="1">
        <f t="array" ref="F1334">IF(LineærRegression_Valg[[#This Row],[Indenfor range]],INDEX(DataTitel_liste,LineærRegression_Valg[[#This Row],[Afhængig variabel ID]]),INDEX(DataTitel_liste,1))</f>
        <v>Eksempel 1 (interval)</v>
      </c>
      <c r="G1334" s="45" t="str" cm="1">
        <f t="array" ref="G1334">IF(LineærRegression_Valg[[#This Row],[Indenfor range]],IF(LineærRegression_Valg[[#This Row],[Intet overlap]],INDEX(DataTitel_liste,LineærRegression_Valg[[#This Row],[Uafhængig variabel ID]]),INDEX(DataTitel_liste,IF(LineærRegression_Valg[[#This Row],[Afhængig variabel ID]]=1,2,1))),$B$7)</f>
        <v>Eksempel 2 (interval)</v>
      </c>
      <c r="H1334" s="45">
        <f>_xlfn.AGGREGATE(2,5,LineærRegression_Valg[[#This Row],[Tabel ID]])</f>
        <v>1</v>
      </c>
    </row>
    <row r="1335" spans="1:8" x14ac:dyDescent="0.2">
      <c r="A1335">
        <f>ROW(LineærRegression_Valg[[#This Row],[Tabel ID]])-ROW(LineærRegression_Valg[[#Headers],[Tabel ID]])</f>
        <v>1325</v>
      </c>
      <c r="B1335" s="45">
        <f>ROUNDDOWN((LineærRegression_Valg[[#This Row],[Tabel ID]]-1)/$B$5,0)+1</f>
        <v>332</v>
      </c>
      <c r="C1335" s="45">
        <f t="shared" si="20"/>
        <v>1</v>
      </c>
      <c r="D1335" s="45" t="b">
        <f>LineærRegression_Valg[[#This Row],[Afhængig variabel ID]]&lt;&gt;LineærRegression_Valg[[#This Row],[Uafhængig variabel ID]]</f>
        <v>1</v>
      </c>
      <c r="E1335" t="b">
        <f>LineærRegression_Valg[[#This Row],[Afhængig variabel ID]]&lt;=$B$5</f>
        <v>0</v>
      </c>
      <c r="F1335" t="str" cm="1">
        <f t="array" ref="F1335">IF(LineærRegression_Valg[[#This Row],[Indenfor range]],INDEX(DataTitel_liste,LineærRegression_Valg[[#This Row],[Afhængig variabel ID]]),INDEX(DataTitel_liste,1))</f>
        <v>Eksempel 1 (interval)</v>
      </c>
      <c r="G1335" s="45" t="str" cm="1">
        <f t="array" ref="G1335">IF(LineærRegression_Valg[[#This Row],[Indenfor range]],IF(LineærRegression_Valg[[#This Row],[Intet overlap]],INDEX(DataTitel_liste,LineærRegression_Valg[[#This Row],[Uafhængig variabel ID]]),INDEX(DataTitel_liste,IF(LineærRegression_Valg[[#This Row],[Afhængig variabel ID]]=1,2,1))),$B$7)</f>
        <v>Eksempel 2 (interval)</v>
      </c>
      <c r="H1335" s="45">
        <f>_xlfn.AGGREGATE(2,5,LineærRegression_Valg[[#This Row],[Tabel ID]])</f>
        <v>1</v>
      </c>
    </row>
    <row r="1336" spans="1:8" x14ac:dyDescent="0.2">
      <c r="A1336">
        <f>ROW(LineærRegression_Valg[[#This Row],[Tabel ID]])-ROW(LineærRegression_Valg[[#Headers],[Tabel ID]])</f>
        <v>1326</v>
      </c>
      <c r="B1336" s="45">
        <f>ROUNDDOWN((LineærRegression_Valg[[#This Row],[Tabel ID]]-1)/$B$5,0)+1</f>
        <v>332</v>
      </c>
      <c r="C1336" s="45">
        <f t="shared" si="20"/>
        <v>2</v>
      </c>
      <c r="D1336" s="45" t="b">
        <f>LineærRegression_Valg[[#This Row],[Afhængig variabel ID]]&lt;&gt;LineærRegression_Valg[[#This Row],[Uafhængig variabel ID]]</f>
        <v>1</v>
      </c>
      <c r="E1336" t="b">
        <f>LineærRegression_Valg[[#This Row],[Afhængig variabel ID]]&lt;=$B$5</f>
        <v>0</v>
      </c>
      <c r="F1336" t="str" cm="1">
        <f t="array" ref="F1336">IF(LineærRegression_Valg[[#This Row],[Indenfor range]],INDEX(DataTitel_liste,LineærRegression_Valg[[#This Row],[Afhængig variabel ID]]),INDEX(DataTitel_liste,1))</f>
        <v>Eksempel 1 (interval)</v>
      </c>
      <c r="G1336" s="45" t="str" cm="1">
        <f t="array" ref="G1336">IF(LineærRegression_Valg[[#This Row],[Indenfor range]],IF(LineærRegression_Valg[[#This Row],[Intet overlap]],INDEX(DataTitel_liste,LineærRegression_Valg[[#This Row],[Uafhængig variabel ID]]),INDEX(DataTitel_liste,IF(LineærRegression_Valg[[#This Row],[Afhængig variabel ID]]=1,2,1))),$B$7)</f>
        <v>Eksempel 2 (interval)</v>
      </c>
      <c r="H1336" s="45">
        <f>_xlfn.AGGREGATE(2,5,LineærRegression_Valg[[#This Row],[Tabel ID]])</f>
        <v>1</v>
      </c>
    </row>
    <row r="1337" spans="1:8" x14ac:dyDescent="0.2">
      <c r="A1337">
        <f>ROW(LineærRegression_Valg[[#This Row],[Tabel ID]])-ROW(LineærRegression_Valg[[#Headers],[Tabel ID]])</f>
        <v>1327</v>
      </c>
      <c r="B1337" s="45">
        <f>ROUNDDOWN((LineærRegression_Valg[[#This Row],[Tabel ID]]-1)/$B$5,0)+1</f>
        <v>332</v>
      </c>
      <c r="C1337" s="45">
        <f t="shared" si="20"/>
        <v>3</v>
      </c>
      <c r="D1337" s="45" t="b">
        <f>LineærRegression_Valg[[#This Row],[Afhængig variabel ID]]&lt;&gt;LineærRegression_Valg[[#This Row],[Uafhængig variabel ID]]</f>
        <v>1</v>
      </c>
      <c r="E1337" t="b">
        <f>LineærRegression_Valg[[#This Row],[Afhængig variabel ID]]&lt;=$B$5</f>
        <v>0</v>
      </c>
      <c r="F1337" t="str" cm="1">
        <f t="array" ref="F1337">IF(LineærRegression_Valg[[#This Row],[Indenfor range]],INDEX(DataTitel_liste,LineærRegression_Valg[[#This Row],[Afhængig variabel ID]]),INDEX(DataTitel_liste,1))</f>
        <v>Eksempel 1 (interval)</v>
      </c>
      <c r="G1337" s="45" t="str" cm="1">
        <f t="array" ref="G1337">IF(LineærRegression_Valg[[#This Row],[Indenfor range]],IF(LineærRegression_Valg[[#This Row],[Intet overlap]],INDEX(DataTitel_liste,LineærRegression_Valg[[#This Row],[Uafhængig variabel ID]]),INDEX(DataTitel_liste,IF(LineærRegression_Valg[[#This Row],[Afhængig variabel ID]]=1,2,1))),$B$7)</f>
        <v>Eksempel 2 (interval)</v>
      </c>
      <c r="H1337" s="45">
        <f>_xlfn.AGGREGATE(2,5,LineærRegression_Valg[[#This Row],[Tabel ID]])</f>
        <v>1</v>
      </c>
    </row>
    <row r="1338" spans="1:8" x14ac:dyDescent="0.2">
      <c r="A1338">
        <f>ROW(LineærRegression_Valg[[#This Row],[Tabel ID]])-ROW(LineærRegression_Valg[[#Headers],[Tabel ID]])</f>
        <v>1328</v>
      </c>
      <c r="B1338" s="45">
        <f>ROUNDDOWN((LineærRegression_Valg[[#This Row],[Tabel ID]]-1)/$B$5,0)+1</f>
        <v>332</v>
      </c>
      <c r="C1338" s="45">
        <f t="shared" si="20"/>
        <v>4</v>
      </c>
      <c r="D1338" s="45" t="b">
        <f>LineærRegression_Valg[[#This Row],[Afhængig variabel ID]]&lt;&gt;LineærRegression_Valg[[#This Row],[Uafhængig variabel ID]]</f>
        <v>1</v>
      </c>
      <c r="E1338" t="b">
        <f>LineærRegression_Valg[[#This Row],[Afhængig variabel ID]]&lt;=$B$5</f>
        <v>0</v>
      </c>
      <c r="F1338" t="str" cm="1">
        <f t="array" ref="F1338">IF(LineærRegression_Valg[[#This Row],[Indenfor range]],INDEX(DataTitel_liste,LineærRegression_Valg[[#This Row],[Afhængig variabel ID]]),INDEX(DataTitel_liste,1))</f>
        <v>Eksempel 1 (interval)</v>
      </c>
      <c r="G1338" s="45" t="str" cm="1">
        <f t="array" ref="G1338">IF(LineærRegression_Valg[[#This Row],[Indenfor range]],IF(LineærRegression_Valg[[#This Row],[Intet overlap]],INDEX(DataTitel_liste,LineærRegression_Valg[[#This Row],[Uafhængig variabel ID]]),INDEX(DataTitel_liste,IF(LineærRegression_Valg[[#This Row],[Afhængig variabel ID]]=1,2,1))),$B$7)</f>
        <v>Eksempel 2 (interval)</v>
      </c>
      <c r="H1338" s="45">
        <f>_xlfn.AGGREGATE(2,5,LineærRegression_Valg[[#This Row],[Tabel ID]])</f>
        <v>1</v>
      </c>
    </row>
    <row r="1339" spans="1:8" x14ac:dyDescent="0.2">
      <c r="A1339">
        <f>ROW(LineærRegression_Valg[[#This Row],[Tabel ID]])-ROW(LineærRegression_Valg[[#Headers],[Tabel ID]])</f>
        <v>1329</v>
      </c>
      <c r="B1339" s="45">
        <f>ROUNDDOWN((LineærRegression_Valg[[#This Row],[Tabel ID]]-1)/$B$5,0)+1</f>
        <v>333</v>
      </c>
      <c r="C1339" s="45">
        <f t="shared" si="20"/>
        <v>1</v>
      </c>
      <c r="D1339" s="45" t="b">
        <f>LineærRegression_Valg[[#This Row],[Afhængig variabel ID]]&lt;&gt;LineærRegression_Valg[[#This Row],[Uafhængig variabel ID]]</f>
        <v>1</v>
      </c>
      <c r="E1339" t="b">
        <f>LineærRegression_Valg[[#This Row],[Afhængig variabel ID]]&lt;=$B$5</f>
        <v>0</v>
      </c>
      <c r="F1339" t="str" cm="1">
        <f t="array" ref="F1339">IF(LineærRegression_Valg[[#This Row],[Indenfor range]],INDEX(DataTitel_liste,LineærRegression_Valg[[#This Row],[Afhængig variabel ID]]),INDEX(DataTitel_liste,1))</f>
        <v>Eksempel 1 (interval)</v>
      </c>
      <c r="G1339" s="45" t="str" cm="1">
        <f t="array" ref="G1339">IF(LineærRegression_Valg[[#This Row],[Indenfor range]],IF(LineærRegression_Valg[[#This Row],[Intet overlap]],INDEX(DataTitel_liste,LineærRegression_Valg[[#This Row],[Uafhængig variabel ID]]),INDEX(DataTitel_liste,IF(LineærRegression_Valg[[#This Row],[Afhængig variabel ID]]=1,2,1))),$B$7)</f>
        <v>Eksempel 2 (interval)</v>
      </c>
      <c r="H1339" s="45">
        <f>_xlfn.AGGREGATE(2,5,LineærRegression_Valg[[#This Row],[Tabel ID]])</f>
        <v>1</v>
      </c>
    </row>
    <row r="1340" spans="1:8" x14ac:dyDescent="0.2">
      <c r="A1340">
        <f>ROW(LineærRegression_Valg[[#This Row],[Tabel ID]])-ROW(LineærRegression_Valg[[#Headers],[Tabel ID]])</f>
        <v>1330</v>
      </c>
      <c r="B1340" s="45">
        <f>ROUNDDOWN((LineærRegression_Valg[[#This Row],[Tabel ID]]-1)/$B$5,0)+1</f>
        <v>333</v>
      </c>
      <c r="C1340" s="45">
        <f t="shared" si="20"/>
        <v>2</v>
      </c>
      <c r="D1340" s="45" t="b">
        <f>LineærRegression_Valg[[#This Row],[Afhængig variabel ID]]&lt;&gt;LineærRegression_Valg[[#This Row],[Uafhængig variabel ID]]</f>
        <v>1</v>
      </c>
      <c r="E1340" t="b">
        <f>LineærRegression_Valg[[#This Row],[Afhængig variabel ID]]&lt;=$B$5</f>
        <v>0</v>
      </c>
      <c r="F1340" t="str" cm="1">
        <f t="array" ref="F1340">IF(LineærRegression_Valg[[#This Row],[Indenfor range]],INDEX(DataTitel_liste,LineærRegression_Valg[[#This Row],[Afhængig variabel ID]]),INDEX(DataTitel_liste,1))</f>
        <v>Eksempel 1 (interval)</v>
      </c>
      <c r="G1340" s="45" t="str" cm="1">
        <f t="array" ref="G1340">IF(LineærRegression_Valg[[#This Row],[Indenfor range]],IF(LineærRegression_Valg[[#This Row],[Intet overlap]],INDEX(DataTitel_liste,LineærRegression_Valg[[#This Row],[Uafhængig variabel ID]]),INDEX(DataTitel_liste,IF(LineærRegression_Valg[[#This Row],[Afhængig variabel ID]]=1,2,1))),$B$7)</f>
        <v>Eksempel 2 (interval)</v>
      </c>
      <c r="H1340" s="45">
        <f>_xlfn.AGGREGATE(2,5,LineærRegression_Valg[[#This Row],[Tabel ID]])</f>
        <v>1</v>
      </c>
    </row>
    <row r="1341" spans="1:8" x14ac:dyDescent="0.2">
      <c r="A1341">
        <f>ROW(LineærRegression_Valg[[#This Row],[Tabel ID]])-ROW(LineærRegression_Valg[[#Headers],[Tabel ID]])</f>
        <v>1331</v>
      </c>
      <c r="B1341" s="45">
        <f>ROUNDDOWN((LineærRegression_Valg[[#This Row],[Tabel ID]]-1)/$B$5,0)+1</f>
        <v>333</v>
      </c>
      <c r="C1341" s="45">
        <f t="shared" si="20"/>
        <v>3</v>
      </c>
      <c r="D1341" s="45" t="b">
        <f>LineærRegression_Valg[[#This Row],[Afhængig variabel ID]]&lt;&gt;LineærRegression_Valg[[#This Row],[Uafhængig variabel ID]]</f>
        <v>1</v>
      </c>
      <c r="E1341" t="b">
        <f>LineærRegression_Valg[[#This Row],[Afhængig variabel ID]]&lt;=$B$5</f>
        <v>0</v>
      </c>
      <c r="F1341" t="str" cm="1">
        <f t="array" ref="F1341">IF(LineærRegression_Valg[[#This Row],[Indenfor range]],INDEX(DataTitel_liste,LineærRegression_Valg[[#This Row],[Afhængig variabel ID]]),INDEX(DataTitel_liste,1))</f>
        <v>Eksempel 1 (interval)</v>
      </c>
      <c r="G1341" s="45" t="str" cm="1">
        <f t="array" ref="G1341">IF(LineærRegression_Valg[[#This Row],[Indenfor range]],IF(LineærRegression_Valg[[#This Row],[Intet overlap]],INDEX(DataTitel_liste,LineærRegression_Valg[[#This Row],[Uafhængig variabel ID]]),INDEX(DataTitel_liste,IF(LineærRegression_Valg[[#This Row],[Afhængig variabel ID]]=1,2,1))),$B$7)</f>
        <v>Eksempel 2 (interval)</v>
      </c>
      <c r="H1341" s="45">
        <f>_xlfn.AGGREGATE(2,5,LineærRegression_Valg[[#This Row],[Tabel ID]])</f>
        <v>1</v>
      </c>
    </row>
    <row r="1342" spans="1:8" x14ac:dyDescent="0.2">
      <c r="A1342">
        <f>ROW(LineærRegression_Valg[[#This Row],[Tabel ID]])-ROW(LineærRegression_Valg[[#Headers],[Tabel ID]])</f>
        <v>1332</v>
      </c>
      <c r="B1342" s="45">
        <f>ROUNDDOWN((LineærRegression_Valg[[#This Row],[Tabel ID]]-1)/$B$5,0)+1</f>
        <v>333</v>
      </c>
      <c r="C1342" s="45">
        <f t="shared" si="20"/>
        <v>4</v>
      </c>
      <c r="D1342" s="45" t="b">
        <f>LineærRegression_Valg[[#This Row],[Afhængig variabel ID]]&lt;&gt;LineærRegression_Valg[[#This Row],[Uafhængig variabel ID]]</f>
        <v>1</v>
      </c>
      <c r="E1342" t="b">
        <f>LineærRegression_Valg[[#This Row],[Afhængig variabel ID]]&lt;=$B$5</f>
        <v>0</v>
      </c>
      <c r="F1342" t="str" cm="1">
        <f t="array" ref="F1342">IF(LineærRegression_Valg[[#This Row],[Indenfor range]],INDEX(DataTitel_liste,LineærRegression_Valg[[#This Row],[Afhængig variabel ID]]),INDEX(DataTitel_liste,1))</f>
        <v>Eksempel 1 (interval)</v>
      </c>
      <c r="G1342" s="45" t="str" cm="1">
        <f t="array" ref="G1342">IF(LineærRegression_Valg[[#This Row],[Indenfor range]],IF(LineærRegression_Valg[[#This Row],[Intet overlap]],INDEX(DataTitel_liste,LineærRegression_Valg[[#This Row],[Uafhængig variabel ID]]),INDEX(DataTitel_liste,IF(LineærRegression_Valg[[#This Row],[Afhængig variabel ID]]=1,2,1))),$B$7)</f>
        <v>Eksempel 2 (interval)</v>
      </c>
      <c r="H1342" s="45">
        <f>_xlfn.AGGREGATE(2,5,LineærRegression_Valg[[#This Row],[Tabel ID]])</f>
        <v>1</v>
      </c>
    </row>
    <row r="1343" spans="1:8" x14ac:dyDescent="0.2">
      <c r="A1343">
        <f>ROW(LineærRegression_Valg[[#This Row],[Tabel ID]])-ROW(LineærRegression_Valg[[#Headers],[Tabel ID]])</f>
        <v>1333</v>
      </c>
      <c r="B1343" s="45">
        <f>ROUNDDOWN((LineærRegression_Valg[[#This Row],[Tabel ID]]-1)/$B$5,0)+1</f>
        <v>334</v>
      </c>
      <c r="C1343" s="45">
        <f t="shared" si="20"/>
        <v>1</v>
      </c>
      <c r="D1343" s="45" t="b">
        <f>LineærRegression_Valg[[#This Row],[Afhængig variabel ID]]&lt;&gt;LineærRegression_Valg[[#This Row],[Uafhængig variabel ID]]</f>
        <v>1</v>
      </c>
      <c r="E1343" t="b">
        <f>LineærRegression_Valg[[#This Row],[Afhængig variabel ID]]&lt;=$B$5</f>
        <v>0</v>
      </c>
      <c r="F1343" t="str" cm="1">
        <f t="array" ref="F1343">IF(LineærRegression_Valg[[#This Row],[Indenfor range]],INDEX(DataTitel_liste,LineærRegression_Valg[[#This Row],[Afhængig variabel ID]]),INDEX(DataTitel_liste,1))</f>
        <v>Eksempel 1 (interval)</v>
      </c>
      <c r="G1343" s="45" t="str" cm="1">
        <f t="array" ref="G1343">IF(LineærRegression_Valg[[#This Row],[Indenfor range]],IF(LineærRegression_Valg[[#This Row],[Intet overlap]],INDEX(DataTitel_liste,LineærRegression_Valg[[#This Row],[Uafhængig variabel ID]]),INDEX(DataTitel_liste,IF(LineærRegression_Valg[[#This Row],[Afhængig variabel ID]]=1,2,1))),$B$7)</f>
        <v>Eksempel 2 (interval)</v>
      </c>
      <c r="H1343" s="45">
        <f>_xlfn.AGGREGATE(2,5,LineærRegression_Valg[[#This Row],[Tabel ID]])</f>
        <v>1</v>
      </c>
    </row>
    <row r="1344" spans="1:8" x14ac:dyDescent="0.2">
      <c r="A1344">
        <f>ROW(LineærRegression_Valg[[#This Row],[Tabel ID]])-ROW(LineærRegression_Valg[[#Headers],[Tabel ID]])</f>
        <v>1334</v>
      </c>
      <c r="B1344" s="45">
        <f>ROUNDDOWN((LineærRegression_Valg[[#This Row],[Tabel ID]]-1)/$B$5,0)+1</f>
        <v>334</v>
      </c>
      <c r="C1344" s="45">
        <f t="shared" si="20"/>
        <v>2</v>
      </c>
      <c r="D1344" s="45" t="b">
        <f>LineærRegression_Valg[[#This Row],[Afhængig variabel ID]]&lt;&gt;LineærRegression_Valg[[#This Row],[Uafhængig variabel ID]]</f>
        <v>1</v>
      </c>
      <c r="E1344" t="b">
        <f>LineærRegression_Valg[[#This Row],[Afhængig variabel ID]]&lt;=$B$5</f>
        <v>0</v>
      </c>
      <c r="F1344" t="str" cm="1">
        <f t="array" ref="F1344">IF(LineærRegression_Valg[[#This Row],[Indenfor range]],INDEX(DataTitel_liste,LineærRegression_Valg[[#This Row],[Afhængig variabel ID]]),INDEX(DataTitel_liste,1))</f>
        <v>Eksempel 1 (interval)</v>
      </c>
      <c r="G1344" s="45" t="str" cm="1">
        <f t="array" ref="G1344">IF(LineærRegression_Valg[[#This Row],[Indenfor range]],IF(LineærRegression_Valg[[#This Row],[Intet overlap]],INDEX(DataTitel_liste,LineærRegression_Valg[[#This Row],[Uafhængig variabel ID]]),INDEX(DataTitel_liste,IF(LineærRegression_Valg[[#This Row],[Afhængig variabel ID]]=1,2,1))),$B$7)</f>
        <v>Eksempel 2 (interval)</v>
      </c>
      <c r="H1344" s="45">
        <f>_xlfn.AGGREGATE(2,5,LineærRegression_Valg[[#This Row],[Tabel ID]])</f>
        <v>1</v>
      </c>
    </row>
    <row r="1345" spans="1:8" x14ac:dyDescent="0.2">
      <c r="A1345">
        <f>ROW(LineærRegression_Valg[[#This Row],[Tabel ID]])-ROW(LineærRegression_Valg[[#Headers],[Tabel ID]])</f>
        <v>1335</v>
      </c>
      <c r="B1345" s="45">
        <f>ROUNDDOWN((LineærRegression_Valg[[#This Row],[Tabel ID]]-1)/$B$5,0)+1</f>
        <v>334</v>
      </c>
      <c r="C1345" s="45">
        <f t="shared" si="20"/>
        <v>3</v>
      </c>
      <c r="D1345" s="45" t="b">
        <f>LineærRegression_Valg[[#This Row],[Afhængig variabel ID]]&lt;&gt;LineærRegression_Valg[[#This Row],[Uafhængig variabel ID]]</f>
        <v>1</v>
      </c>
      <c r="E1345" t="b">
        <f>LineærRegression_Valg[[#This Row],[Afhængig variabel ID]]&lt;=$B$5</f>
        <v>0</v>
      </c>
      <c r="F1345" t="str" cm="1">
        <f t="array" ref="F1345">IF(LineærRegression_Valg[[#This Row],[Indenfor range]],INDEX(DataTitel_liste,LineærRegression_Valg[[#This Row],[Afhængig variabel ID]]),INDEX(DataTitel_liste,1))</f>
        <v>Eksempel 1 (interval)</v>
      </c>
      <c r="G1345" s="45" t="str" cm="1">
        <f t="array" ref="G1345">IF(LineærRegression_Valg[[#This Row],[Indenfor range]],IF(LineærRegression_Valg[[#This Row],[Intet overlap]],INDEX(DataTitel_liste,LineærRegression_Valg[[#This Row],[Uafhængig variabel ID]]),INDEX(DataTitel_liste,IF(LineærRegression_Valg[[#This Row],[Afhængig variabel ID]]=1,2,1))),$B$7)</f>
        <v>Eksempel 2 (interval)</v>
      </c>
      <c r="H1345" s="45">
        <f>_xlfn.AGGREGATE(2,5,LineærRegression_Valg[[#This Row],[Tabel ID]])</f>
        <v>1</v>
      </c>
    </row>
    <row r="1346" spans="1:8" x14ac:dyDescent="0.2">
      <c r="A1346">
        <f>ROW(LineærRegression_Valg[[#This Row],[Tabel ID]])-ROW(LineærRegression_Valg[[#Headers],[Tabel ID]])</f>
        <v>1336</v>
      </c>
      <c r="B1346" s="45">
        <f>ROUNDDOWN((LineærRegression_Valg[[#This Row],[Tabel ID]]-1)/$B$5,0)+1</f>
        <v>334</v>
      </c>
      <c r="C1346" s="45">
        <f t="shared" si="20"/>
        <v>4</v>
      </c>
      <c r="D1346" s="45" t="b">
        <f>LineærRegression_Valg[[#This Row],[Afhængig variabel ID]]&lt;&gt;LineærRegression_Valg[[#This Row],[Uafhængig variabel ID]]</f>
        <v>1</v>
      </c>
      <c r="E1346" t="b">
        <f>LineærRegression_Valg[[#This Row],[Afhængig variabel ID]]&lt;=$B$5</f>
        <v>0</v>
      </c>
      <c r="F1346" t="str" cm="1">
        <f t="array" ref="F1346">IF(LineærRegression_Valg[[#This Row],[Indenfor range]],INDEX(DataTitel_liste,LineærRegression_Valg[[#This Row],[Afhængig variabel ID]]),INDEX(DataTitel_liste,1))</f>
        <v>Eksempel 1 (interval)</v>
      </c>
      <c r="G1346" s="45" t="str" cm="1">
        <f t="array" ref="G1346">IF(LineærRegression_Valg[[#This Row],[Indenfor range]],IF(LineærRegression_Valg[[#This Row],[Intet overlap]],INDEX(DataTitel_liste,LineærRegression_Valg[[#This Row],[Uafhængig variabel ID]]),INDEX(DataTitel_liste,IF(LineærRegression_Valg[[#This Row],[Afhængig variabel ID]]=1,2,1))),$B$7)</f>
        <v>Eksempel 2 (interval)</v>
      </c>
      <c r="H1346" s="45">
        <f>_xlfn.AGGREGATE(2,5,LineærRegression_Valg[[#This Row],[Tabel ID]])</f>
        <v>1</v>
      </c>
    </row>
    <row r="1347" spans="1:8" x14ac:dyDescent="0.2">
      <c r="A1347">
        <f>ROW(LineærRegression_Valg[[#This Row],[Tabel ID]])-ROW(LineærRegression_Valg[[#Headers],[Tabel ID]])</f>
        <v>1337</v>
      </c>
      <c r="B1347" s="45">
        <f>ROUNDDOWN((LineærRegression_Valg[[#This Row],[Tabel ID]]-1)/$B$5,0)+1</f>
        <v>335</v>
      </c>
      <c r="C1347" s="45">
        <f t="shared" si="20"/>
        <v>1</v>
      </c>
      <c r="D1347" s="45" t="b">
        <f>LineærRegression_Valg[[#This Row],[Afhængig variabel ID]]&lt;&gt;LineærRegression_Valg[[#This Row],[Uafhængig variabel ID]]</f>
        <v>1</v>
      </c>
      <c r="E1347" t="b">
        <f>LineærRegression_Valg[[#This Row],[Afhængig variabel ID]]&lt;=$B$5</f>
        <v>0</v>
      </c>
      <c r="F1347" t="str" cm="1">
        <f t="array" ref="F1347">IF(LineærRegression_Valg[[#This Row],[Indenfor range]],INDEX(DataTitel_liste,LineærRegression_Valg[[#This Row],[Afhængig variabel ID]]),INDEX(DataTitel_liste,1))</f>
        <v>Eksempel 1 (interval)</v>
      </c>
      <c r="G1347" s="45" t="str" cm="1">
        <f t="array" ref="G1347">IF(LineærRegression_Valg[[#This Row],[Indenfor range]],IF(LineærRegression_Valg[[#This Row],[Intet overlap]],INDEX(DataTitel_liste,LineærRegression_Valg[[#This Row],[Uafhængig variabel ID]]),INDEX(DataTitel_liste,IF(LineærRegression_Valg[[#This Row],[Afhængig variabel ID]]=1,2,1))),$B$7)</f>
        <v>Eksempel 2 (interval)</v>
      </c>
      <c r="H1347" s="45">
        <f>_xlfn.AGGREGATE(2,5,LineærRegression_Valg[[#This Row],[Tabel ID]])</f>
        <v>1</v>
      </c>
    </row>
    <row r="1348" spans="1:8" x14ac:dyDescent="0.2">
      <c r="A1348">
        <f>ROW(LineærRegression_Valg[[#This Row],[Tabel ID]])-ROW(LineærRegression_Valg[[#Headers],[Tabel ID]])</f>
        <v>1338</v>
      </c>
      <c r="B1348" s="45">
        <f>ROUNDDOWN((LineærRegression_Valg[[#This Row],[Tabel ID]]-1)/$B$5,0)+1</f>
        <v>335</v>
      </c>
      <c r="C1348" s="45">
        <f t="shared" si="20"/>
        <v>2</v>
      </c>
      <c r="D1348" s="45" t="b">
        <f>LineærRegression_Valg[[#This Row],[Afhængig variabel ID]]&lt;&gt;LineærRegression_Valg[[#This Row],[Uafhængig variabel ID]]</f>
        <v>1</v>
      </c>
      <c r="E1348" t="b">
        <f>LineærRegression_Valg[[#This Row],[Afhængig variabel ID]]&lt;=$B$5</f>
        <v>0</v>
      </c>
      <c r="F1348" t="str" cm="1">
        <f t="array" ref="F1348">IF(LineærRegression_Valg[[#This Row],[Indenfor range]],INDEX(DataTitel_liste,LineærRegression_Valg[[#This Row],[Afhængig variabel ID]]),INDEX(DataTitel_liste,1))</f>
        <v>Eksempel 1 (interval)</v>
      </c>
      <c r="G1348" s="45" t="str" cm="1">
        <f t="array" ref="G1348">IF(LineærRegression_Valg[[#This Row],[Indenfor range]],IF(LineærRegression_Valg[[#This Row],[Intet overlap]],INDEX(DataTitel_liste,LineærRegression_Valg[[#This Row],[Uafhængig variabel ID]]),INDEX(DataTitel_liste,IF(LineærRegression_Valg[[#This Row],[Afhængig variabel ID]]=1,2,1))),$B$7)</f>
        <v>Eksempel 2 (interval)</v>
      </c>
      <c r="H1348" s="45">
        <f>_xlfn.AGGREGATE(2,5,LineærRegression_Valg[[#This Row],[Tabel ID]])</f>
        <v>1</v>
      </c>
    </row>
    <row r="1349" spans="1:8" x14ac:dyDescent="0.2">
      <c r="A1349">
        <f>ROW(LineærRegression_Valg[[#This Row],[Tabel ID]])-ROW(LineærRegression_Valg[[#Headers],[Tabel ID]])</f>
        <v>1339</v>
      </c>
      <c r="B1349" s="45">
        <f>ROUNDDOWN((LineærRegression_Valg[[#This Row],[Tabel ID]]-1)/$B$5,0)+1</f>
        <v>335</v>
      </c>
      <c r="C1349" s="45">
        <f t="shared" si="20"/>
        <v>3</v>
      </c>
      <c r="D1349" s="45" t="b">
        <f>LineærRegression_Valg[[#This Row],[Afhængig variabel ID]]&lt;&gt;LineærRegression_Valg[[#This Row],[Uafhængig variabel ID]]</f>
        <v>1</v>
      </c>
      <c r="E1349" t="b">
        <f>LineærRegression_Valg[[#This Row],[Afhængig variabel ID]]&lt;=$B$5</f>
        <v>0</v>
      </c>
      <c r="F1349" t="str" cm="1">
        <f t="array" ref="F1349">IF(LineærRegression_Valg[[#This Row],[Indenfor range]],INDEX(DataTitel_liste,LineærRegression_Valg[[#This Row],[Afhængig variabel ID]]),INDEX(DataTitel_liste,1))</f>
        <v>Eksempel 1 (interval)</v>
      </c>
      <c r="G1349" s="45" t="str" cm="1">
        <f t="array" ref="G1349">IF(LineærRegression_Valg[[#This Row],[Indenfor range]],IF(LineærRegression_Valg[[#This Row],[Intet overlap]],INDEX(DataTitel_liste,LineærRegression_Valg[[#This Row],[Uafhængig variabel ID]]),INDEX(DataTitel_liste,IF(LineærRegression_Valg[[#This Row],[Afhængig variabel ID]]=1,2,1))),$B$7)</f>
        <v>Eksempel 2 (interval)</v>
      </c>
      <c r="H1349" s="45">
        <f>_xlfn.AGGREGATE(2,5,LineærRegression_Valg[[#This Row],[Tabel ID]])</f>
        <v>1</v>
      </c>
    </row>
    <row r="1350" spans="1:8" x14ac:dyDescent="0.2">
      <c r="A1350">
        <f>ROW(LineærRegression_Valg[[#This Row],[Tabel ID]])-ROW(LineærRegression_Valg[[#Headers],[Tabel ID]])</f>
        <v>1340</v>
      </c>
      <c r="B1350" s="45">
        <f>ROUNDDOWN((LineærRegression_Valg[[#This Row],[Tabel ID]]-1)/$B$5,0)+1</f>
        <v>335</v>
      </c>
      <c r="C1350" s="45">
        <f t="shared" si="20"/>
        <v>4</v>
      </c>
      <c r="D1350" s="45" t="b">
        <f>LineærRegression_Valg[[#This Row],[Afhængig variabel ID]]&lt;&gt;LineærRegression_Valg[[#This Row],[Uafhængig variabel ID]]</f>
        <v>1</v>
      </c>
      <c r="E1350" t="b">
        <f>LineærRegression_Valg[[#This Row],[Afhængig variabel ID]]&lt;=$B$5</f>
        <v>0</v>
      </c>
      <c r="F1350" t="str" cm="1">
        <f t="array" ref="F1350">IF(LineærRegression_Valg[[#This Row],[Indenfor range]],INDEX(DataTitel_liste,LineærRegression_Valg[[#This Row],[Afhængig variabel ID]]),INDEX(DataTitel_liste,1))</f>
        <v>Eksempel 1 (interval)</v>
      </c>
      <c r="G1350" s="45" t="str" cm="1">
        <f t="array" ref="G1350">IF(LineærRegression_Valg[[#This Row],[Indenfor range]],IF(LineærRegression_Valg[[#This Row],[Intet overlap]],INDEX(DataTitel_liste,LineærRegression_Valg[[#This Row],[Uafhængig variabel ID]]),INDEX(DataTitel_liste,IF(LineærRegression_Valg[[#This Row],[Afhængig variabel ID]]=1,2,1))),$B$7)</f>
        <v>Eksempel 2 (interval)</v>
      </c>
      <c r="H1350" s="45">
        <f>_xlfn.AGGREGATE(2,5,LineærRegression_Valg[[#This Row],[Tabel ID]])</f>
        <v>1</v>
      </c>
    </row>
    <row r="1351" spans="1:8" x14ac:dyDescent="0.2">
      <c r="A1351">
        <f>ROW(LineærRegression_Valg[[#This Row],[Tabel ID]])-ROW(LineærRegression_Valg[[#Headers],[Tabel ID]])</f>
        <v>1341</v>
      </c>
      <c r="B1351" s="45">
        <f>ROUNDDOWN((LineærRegression_Valg[[#This Row],[Tabel ID]]-1)/$B$5,0)+1</f>
        <v>336</v>
      </c>
      <c r="C1351" s="45">
        <f t="shared" si="20"/>
        <v>1</v>
      </c>
      <c r="D1351" s="45" t="b">
        <f>LineærRegression_Valg[[#This Row],[Afhængig variabel ID]]&lt;&gt;LineærRegression_Valg[[#This Row],[Uafhængig variabel ID]]</f>
        <v>1</v>
      </c>
      <c r="E1351" t="b">
        <f>LineærRegression_Valg[[#This Row],[Afhængig variabel ID]]&lt;=$B$5</f>
        <v>0</v>
      </c>
      <c r="F1351" t="str" cm="1">
        <f t="array" ref="F1351">IF(LineærRegression_Valg[[#This Row],[Indenfor range]],INDEX(DataTitel_liste,LineærRegression_Valg[[#This Row],[Afhængig variabel ID]]),INDEX(DataTitel_liste,1))</f>
        <v>Eksempel 1 (interval)</v>
      </c>
      <c r="G1351" s="45" t="str" cm="1">
        <f t="array" ref="G1351">IF(LineærRegression_Valg[[#This Row],[Indenfor range]],IF(LineærRegression_Valg[[#This Row],[Intet overlap]],INDEX(DataTitel_liste,LineærRegression_Valg[[#This Row],[Uafhængig variabel ID]]),INDEX(DataTitel_liste,IF(LineærRegression_Valg[[#This Row],[Afhængig variabel ID]]=1,2,1))),$B$7)</f>
        <v>Eksempel 2 (interval)</v>
      </c>
      <c r="H1351" s="45">
        <f>_xlfn.AGGREGATE(2,5,LineærRegression_Valg[[#This Row],[Tabel ID]])</f>
        <v>1</v>
      </c>
    </row>
    <row r="1352" spans="1:8" x14ac:dyDescent="0.2">
      <c r="A1352">
        <f>ROW(LineærRegression_Valg[[#This Row],[Tabel ID]])-ROW(LineærRegression_Valg[[#Headers],[Tabel ID]])</f>
        <v>1342</v>
      </c>
      <c r="B1352" s="45">
        <f>ROUNDDOWN((LineærRegression_Valg[[#This Row],[Tabel ID]]-1)/$B$5,0)+1</f>
        <v>336</v>
      </c>
      <c r="C1352" s="45">
        <f t="shared" si="20"/>
        <v>2</v>
      </c>
      <c r="D1352" s="45" t="b">
        <f>LineærRegression_Valg[[#This Row],[Afhængig variabel ID]]&lt;&gt;LineærRegression_Valg[[#This Row],[Uafhængig variabel ID]]</f>
        <v>1</v>
      </c>
      <c r="E1352" t="b">
        <f>LineærRegression_Valg[[#This Row],[Afhængig variabel ID]]&lt;=$B$5</f>
        <v>0</v>
      </c>
      <c r="F1352" t="str" cm="1">
        <f t="array" ref="F1352">IF(LineærRegression_Valg[[#This Row],[Indenfor range]],INDEX(DataTitel_liste,LineærRegression_Valg[[#This Row],[Afhængig variabel ID]]),INDEX(DataTitel_liste,1))</f>
        <v>Eksempel 1 (interval)</v>
      </c>
      <c r="G1352" s="45" t="str" cm="1">
        <f t="array" ref="G1352">IF(LineærRegression_Valg[[#This Row],[Indenfor range]],IF(LineærRegression_Valg[[#This Row],[Intet overlap]],INDEX(DataTitel_liste,LineærRegression_Valg[[#This Row],[Uafhængig variabel ID]]),INDEX(DataTitel_liste,IF(LineærRegression_Valg[[#This Row],[Afhængig variabel ID]]=1,2,1))),$B$7)</f>
        <v>Eksempel 2 (interval)</v>
      </c>
      <c r="H1352" s="45">
        <f>_xlfn.AGGREGATE(2,5,LineærRegression_Valg[[#This Row],[Tabel ID]])</f>
        <v>1</v>
      </c>
    </row>
    <row r="1353" spans="1:8" x14ac:dyDescent="0.2">
      <c r="A1353">
        <f>ROW(LineærRegression_Valg[[#This Row],[Tabel ID]])-ROW(LineærRegression_Valg[[#Headers],[Tabel ID]])</f>
        <v>1343</v>
      </c>
      <c r="B1353" s="45">
        <f>ROUNDDOWN((LineærRegression_Valg[[#This Row],[Tabel ID]]-1)/$B$5,0)+1</f>
        <v>336</v>
      </c>
      <c r="C1353" s="45">
        <f t="shared" si="20"/>
        <v>3</v>
      </c>
      <c r="D1353" s="45" t="b">
        <f>LineærRegression_Valg[[#This Row],[Afhængig variabel ID]]&lt;&gt;LineærRegression_Valg[[#This Row],[Uafhængig variabel ID]]</f>
        <v>1</v>
      </c>
      <c r="E1353" t="b">
        <f>LineærRegression_Valg[[#This Row],[Afhængig variabel ID]]&lt;=$B$5</f>
        <v>0</v>
      </c>
      <c r="F1353" t="str" cm="1">
        <f t="array" ref="F1353">IF(LineærRegression_Valg[[#This Row],[Indenfor range]],INDEX(DataTitel_liste,LineærRegression_Valg[[#This Row],[Afhængig variabel ID]]),INDEX(DataTitel_liste,1))</f>
        <v>Eksempel 1 (interval)</v>
      </c>
      <c r="G1353" s="45" t="str" cm="1">
        <f t="array" ref="G1353">IF(LineærRegression_Valg[[#This Row],[Indenfor range]],IF(LineærRegression_Valg[[#This Row],[Intet overlap]],INDEX(DataTitel_liste,LineærRegression_Valg[[#This Row],[Uafhængig variabel ID]]),INDEX(DataTitel_liste,IF(LineærRegression_Valg[[#This Row],[Afhængig variabel ID]]=1,2,1))),$B$7)</f>
        <v>Eksempel 2 (interval)</v>
      </c>
      <c r="H1353" s="45">
        <f>_xlfn.AGGREGATE(2,5,LineærRegression_Valg[[#This Row],[Tabel ID]])</f>
        <v>1</v>
      </c>
    </row>
    <row r="1354" spans="1:8" x14ac:dyDescent="0.2">
      <c r="A1354">
        <f>ROW(LineærRegression_Valg[[#This Row],[Tabel ID]])-ROW(LineærRegression_Valg[[#Headers],[Tabel ID]])</f>
        <v>1344</v>
      </c>
      <c r="B1354" s="45">
        <f>ROUNDDOWN((LineærRegression_Valg[[#This Row],[Tabel ID]]-1)/$B$5,0)+1</f>
        <v>336</v>
      </c>
      <c r="C1354" s="45">
        <f t="shared" si="20"/>
        <v>4</v>
      </c>
      <c r="D1354" s="45" t="b">
        <f>LineærRegression_Valg[[#This Row],[Afhængig variabel ID]]&lt;&gt;LineærRegression_Valg[[#This Row],[Uafhængig variabel ID]]</f>
        <v>1</v>
      </c>
      <c r="E1354" t="b">
        <f>LineærRegression_Valg[[#This Row],[Afhængig variabel ID]]&lt;=$B$5</f>
        <v>0</v>
      </c>
      <c r="F1354" t="str" cm="1">
        <f t="array" ref="F1354">IF(LineærRegression_Valg[[#This Row],[Indenfor range]],INDEX(DataTitel_liste,LineærRegression_Valg[[#This Row],[Afhængig variabel ID]]),INDEX(DataTitel_liste,1))</f>
        <v>Eksempel 1 (interval)</v>
      </c>
      <c r="G1354" s="45" t="str" cm="1">
        <f t="array" ref="G1354">IF(LineærRegression_Valg[[#This Row],[Indenfor range]],IF(LineærRegression_Valg[[#This Row],[Intet overlap]],INDEX(DataTitel_liste,LineærRegression_Valg[[#This Row],[Uafhængig variabel ID]]),INDEX(DataTitel_liste,IF(LineærRegression_Valg[[#This Row],[Afhængig variabel ID]]=1,2,1))),$B$7)</f>
        <v>Eksempel 2 (interval)</v>
      </c>
      <c r="H1354" s="45">
        <f>_xlfn.AGGREGATE(2,5,LineærRegression_Valg[[#This Row],[Tabel ID]])</f>
        <v>1</v>
      </c>
    </row>
    <row r="1355" spans="1:8" x14ac:dyDescent="0.2">
      <c r="A1355">
        <f>ROW(LineærRegression_Valg[[#This Row],[Tabel ID]])-ROW(LineærRegression_Valg[[#Headers],[Tabel ID]])</f>
        <v>1345</v>
      </c>
      <c r="B1355" s="45">
        <f>ROUNDDOWN((LineærRegression_Valg[[#This Row],[Tabel ID]]-1)/$B$5,0)+1</f>
        <v>337</v>
      </c>
      <c r="C1355" s="45">
        <f t="shared" ref="C1355:C1418" si="21">MOD(A1355-1,$B$5)+1</f>
        <v>1</v>
      </c>
      <c r="D1355" s="45" t="b">
        <f>LineærRegression_Valg[[#This Row],[Afhængig variabel ID]]&lt;&gt;LineærRegression_Valg[[#This Row],[Uafhængig variabel ID]]</f>
        <v>1</v>
      </c>
      <c r="E1355" t="b">
        <f>LineærRegression_Valg[[#This Row],[Afhængig variabel ID]]&lt;=$B$5</f>
        <v>0</v>
      </c>
      <c r="F1355" t="str" cm="1">
        <f t="array" ref="F1355">IF(LineærRegression_Valg[[#This Row],[Indenfor range]],INDEX(DataTitel_liste,LineærRegression_Valg[[#This Row],[Afhængig variabel ID]]),INDEX(DataTitel_liste,1))</f>
        <v>Eksempel 1 (interval)</v>
      </c>
      <c r="G1355" s="45" t="str" cm="1">
        <f t="array" ref="G1355">IF(LineærRegression_Valg[[#This Row],[Indenfor range]],IF(LineærRegression_Valg[[#This Row],[Intet overlap]],INDEX(DataTitel_liste,LineærRegression_Valg[[#This Row],[Uafhængig variabel ID]]),INDEX(DataTitel_liste,IF(LineærRegression_Valg[[#This Row],[Afhængig variabel ID]]=1,2,1))),$B$7)</f>
        <v>Eksempel 2 (interval)</v>
      </c>
      <c r="H1355" s="45">
        <f>_xlfn.AGGREGATE(2,5,LineærRegression_Valg[[#This Row],[Tabel ID]])</f>
        <v>1</v>
      </c>
    </row>
    <row r="1356" spans="1:8" x14ac:dyDescent="0.2">
      <c r="A1356">
        <f>ROW(LineærRegression_Valg[[#This Row],[Tabel ID]])-ROW(LineærRegression_Valg[[#Headers],[Tabel ID]])</f>
        <v>1346</v>
      </c>
      <c r="B1356" s="45">
        <f>ROUNDDOWN((LineærRegression_Valg[[#This Row],[Tabel ID]]-1)/$B$5,0)+1</f>
        <v>337</v>
      </c>
      <c r="C1356" s="45">
        <f t="shared" si="21"/>
        <v>2</v>
      </c>
      <c r="D1356" s="45" t="b">
        <f>LineærRegression_Valg[[#This Row],[Afhængig variabel ID]]&lt;&gt;LineærRegression_Valg[[#This Row],[Uafhængig variabel ID]]</f>
        <v>1</v>
      </c>
      <c r="E1356" t="b">
        <f>LineærRegression_Valg[[#This Row],[Afhængig variabel ID]]&lt;=$B$5</f>
        <v>0</v>
      </c>
      <c r="F1356" t="str" cm="1">
        <f t="array" ref="F1356">IF(LineærRegression_Valg[[#This Row],[Indenfor range]],INDEX(DataTitel_liste,LineærRegression_Valg[[#This Row],[Afhængig variabel ID]]),INDEX(DataTitel_liste,1))</f>
        <v>Eksempel 1 (interval)</v>
      </c>
      <c r="G1356" s="45" t="str" cm="1">
        <f t="array" ref="G1356">IF(LineærRegression_Valg[[#This Row],[Indenfor range]],IF(LineærRegression_Valg[[#This Row],[Intet overlap]],INDEX(DataTitel_liste,LineærRegression_Valg[[#This Row],[Uafhængig variabel ID]]),INDEX(DataTitel_liste,IF(LineærRegression_Valg[[#This Row],[Afhængig variabel ID]]=1,2,1))),$B$7)</f>
        <v>Eksempel 2 (interval)</v>
      </c>
      <c r="H1356" s="45">
        <f>_xlfn.AGGREGATE(2,5,LineærRegression_Valg[[#This Row],[Tabel ID]])</f>
        <v>1</v>
      </c>
    </row>
    <row r="1357" spans="1:8" x14ac:dyDescent="0.2">
      <c r="A1357">
        <f>ROW(LineærRegression_Valg[[#This Row],[Tabel ID]])-ROW(LineærRegression_Valg[[#Headers],[Tabel ID]])</f>
        <v>1347</v>
      </c>
      <c r="B1357" s="45">
        <f>ROUNDDOWN((LineærRegression_Valg[[#This Row],[Tabel ID]]-1)/$B$5,0)+1</f>
        <v>337</v>
      </c>
      <c r="C1357" s="45">
        <f t="shared" si="21"/>
        <v>3</v>
      </c>
      <c r="D1357" s="45" t="b">
        <f>LineærRegression_Valg[[#This Row],[Afhængig variabel ID]]&lt;&gt;LineærRegression_Valg[[#This Row],[Uafhængig variabel ID]]</f>
        <v>1</v>
      </c>
      <c r="E1357" t="b">
        <f>LineærRegression_Valg[[#This Row],[Afhængig variabel ID]]&lt;=$B$5</f>
        <v>0</v>
      </c>
      <c r="F1357" t="str" cm="1">
        <f t="array" ref="F1357">IF(LineærRegression_Valg[[#This Row],[Indenfor range]],INDEX(DataTitel_liste,LineærRegression_Valg[[#This Row],[Afhængig variabel ID]]),INDEX(DataTitel_liste,1))</f>
        <v>Eksempel 1 (interval)</v>
      </c>
      <c r="G1357" s="45" t="str" cm="1">
        <f t="array" ref="G1357">IF(LineærRegression_Valg[[#This Row],[Indenfor range]],IF(LineærRegression_Valg[[#This Row],[Intet overlap]],INDEX(DataTitel_liste,LineærRegression_Valg[[#This Row],[Uafhængig variabel ID]]),INDEX(DataTitel_liste,IF(LineærRegression_Valg[[#This Row],[Afhængig variabel ID]]=1,2,1))),$B$7)</f>
        <v>Eksempel 2 (interval)</v>
      </c>
      <c r="H1357" s="45">
        <f>_xlfn.AGGREGATE(2,5,LineærRegression_Valg[[#This Row],[Tabel ID]])</f>
        <v>1</v>
      </c>
    </row>
    <row r="1358" spans="1:8" x14ac:dyDescent="0.2">
      <c r="A1358">
        <f>ROW(LineærRegression_Valg[[#This Row],[Tabel ID]])-ROW(LineærRegression_Valg[[#Headers],[Tabel ID]])</f>
        <v>1348</v>
      </c>
      <c r="B1358" s="45">
        <f>ROUNDDOWN((LineærRegression_Valg[[#This Row],[Tabel ID]]-1)/$B$5,0)+1</f>
        <v>337</v>
      </c>
      <c r="C1358" s="45">
        <f t="shared" si="21"/>
        <v>4</v>
      </c>
      <c r="D1358" s="45" t="b">
        <f>LineærRegression_Valg[[#This Row],[Afhængig variabel ID]]&lt;&gt;LineærRegression_Valg[[#This Row],[Uafhængig variabel ID]]</f>
        <v>1</v>
      </c>
      <c r="E1358" t="b">
        <f>LineærRegression_Valg[[#This Row],[Afhængig variabel ID]]&lt;=$B$5</f>
        <v>0</v>
      </c>
      <c r="F1358" t="str" cm="1">
        <f t="array" ref="F1358">IF(LineærRegression_Valg[[#This Row],[Indenfor range]],INDEX(DataTitel_liste,LineærRegression_Valg[[#This Row],[Afhængig variabel ID]]),INDEX(DataTitel_liste,1))</f>
        <v>Eksempel 1 (interval)</v>
      </c>
      <c r="G1358" s="45" t="str" cm="1">
        <f t="array" ref="G1358">IF(LineærRegression_Valg[[#This Row],[Indenfor range]],IF(LineærRegression_Valg[[#This Row],[Intet overlap]],INDEX(DataTitel_liste,LineærRegression_Valg[[#This Row],[Uafhængig variabel ID]]),INDEX(DataTitel_liste,IF(LineærRegression_Valg[[#This Row],[Afhængig variabel ID]]=1,2,1))),$B$7)</f>
        <v>Eksempel 2 (interval)</v>
      </c>
      <c r="H1358" s="45">
        <f>_xlfn.AGGREGATE(2,5,LineærRegression_Valg[[#This Row],[Tabel ID]])</f>
        <v>1</v>
      </c>
    </row>
    <row r="1359" spans="1:8" x14ac:dyDescent="0.2">
      <c r="A1359">
        <f>ROW(LineærRegression_Valg[[#This Row],[Tabel ID]])-ROW(LineærRegression_Valg[[#Headers],[Tabel ID]])</f>
        <v>1349</v>
      </c>
      <c r="B1359" s="45">
        <f>ROUNDDOWN((LineærRegression_Valg[[#This Row],[Tabel ID]]-1)/$B$5,0)+1</f>
        <v>338</v>
      </c>
      <c r="C1359" s="45">
        <f t="shared" si="21"/>
        <v>1</v>
      </c>
      <c r="D1359" s="45" t="b">
        <f>LineærRegression_Valg[[#This Row],[Afhængig variabel ID]]&lt;&gt;LineærRegression_Valg[[#This Row],[Uafhængig variabel ID]]</f>
        <v>1</v>
      </c>
      <c r="E1359" t="b">
        <f>LineærRegression_Valg[[#This Row],[Afhængig variabel ID]]&lt;=$B$5</f>
        <v>0</v>
      </c>
      <c r="F1359" t="str" cm="1">
        <f t="array" ref="F1359">IF(LineærRegression_Valg[[#This Row],[Indenfor range]],INDEX(DataTitel_liste,LineærRegression_Valg[[#This Row],[Afhængig variabel ID]]),INDEX(DataTitel_liste,1))</f>
        <v>Eksempel 1 (interval)</v>
      </c>
      <c r="G1359" s="45" t="str" cm="1">
        <f t="array" ref="G1359">IF(LineærRegression_Valg[[#This Row],[Indenfor range]],IF(LineærRegression_Valg[[#This Row],[Intet overlap]],INDEX(DataTitel_liste,LineærRegression_Valg[[#This Row],[Uafhængig variabel ID]]),INDEX(DataTitel_liste,IF(LineærRegression_Valg[[#This Row],[Afhængig variabel ID]]=1,2,1))),$B$7)</f>
        <v>Eksempel 2 (interval)</v>
      </c>
      <c r="H1359" s="45">
        <f>_xlfn.AGGREGATE(2,5,LineærRegression_Valg[[#This Row],[Tabel ID]])</f>
        <v>1</v>
      </c>
    </row>
    <row r="1360" spans="1:8" x14ac:dyDescent="0.2">
      <c r="A1360">
        <f>ROW(LineærRegression_Valg[[#This Row],[Tabel ID]])-ROW(LineærRegression_Valg[[#Headers],[Tabel ID]])</f>
        <v>1350</v>
      </c>
      <c r="B1360" s="45">
        <f>ROUNDDOWN((LineærRegression_Valg[[#This Row],[Tabel ID]]-1)/$B$5,0)+1</f>
        <v>338</v>
      </c>
      <c r="C1360" s="45">
        <f t="shared" si="21"/>
        <v>2</v>
      </c>
      <c r="D1360" s="45" t="b">
        <f>LineærRegression_Valg[[#This Row],[Afhængig variabel ID]]&lt;&gt;LineærRegression_Valg[[#This Row],[Uafhængig variabel ID]]</f>
        <v>1</v>
      </c>
      <c r="E1360" t="b">
        <f>LineærRegression_Valg[[#This Row],[Afhængig variabel ID]]&lt;=$B$5</f>
        <v>0</v>
      </c>
      <c r="F1360" t="str" cm="1">
        <f t="array" ref="F1360">IF(LineærRegression_Valg[[#This Row],[Indenfor range]],INDEX(DataTitel_liste,LineærRegression_Valg[[#This Row],[Afhængig variabel ID]]),INDEX(DataTitel_liste,1))</f>
        <v>Eksempel 1 (interval)</v>
      </c>
      <c r="G1360" s="45" t="str" cm="1">
        <f t="array" ref="G1360">IF(LineærRegression_Valg[[#This Row],[Indenfor range]],IF(LineærRegression_Valg[[#This Row],[Intet overlap]],INDEX(DataTitel_liste,LineærRegression_Valg[[#This Row],[Uafhængig variabel ID]]),INDEX(DataTitel_liste,IF(LineærRegression_Valg[[#This Row],[Afhængig variabel ID]]=1,2,1))),$B$7)</f>
        <v>Eksempel 2 (interval)</v>
      </c>
      <c r="H1360" s="45">
        <f>_xlfn.AGGREGATE(2,5,LineærRegression_Valg[[#This Row],[Tabel ID]])</f>
        <v>1</v>
      </c>
    </row>
    <row r="1361" spans="1:8" x14ac:dyDescent="0.2">
      <c r="A1361">
        <f>ROW(LineærRegression_Valg[[#This Row],[Tabel ID]])-ROW(LineærRegression_Valg[[#Headers],[Tabel ID]])</f>
        <v>1351</v>
      </c>
      <c r="B1361" s="45">
        <f>ROUNDDOWN((LineærRegression_Valg[[#This Row],[Tabel ID]]-1)/$B$5,0)+1</f>
        <v>338</v>
      </c>
      <c r="C1361" s="45">
        <f t="shared" si="21"/>
        <v>3</v>
      </c>
      <c r="D1361" s="45" t="b">
        <f>LineærRegression_Valg[[#This Row],[Afhængig variabel ID]]&lt;&gt;LineærRegression_Valg[[#This Row],[Uafhængig variabel ID]]</f>
        <v>1</v>
      </c>
      <c r="E1361" t="b">
        <f>LineærRegression_Valg[[#This Row],[Afhængig variabel ID]]&lt;=$B$5</f>
        <v>0</v>
      </c>
      <c r="F1361" t="str" cm="1">
        <f t="array" ref="F1361">IF(LineærRegression_Valg[[#This Row],[Indenfor range]],INDEX(DataTitel_liste,LineærRegression_Valg[[#This Row],[Afhængig variabel ID]]),INDEX(DataTitel_liste,1))</f>
        <v>Eksempel 1 (interval)</v>
      </c>
      <c r="G1361" s="45" t="str" cm="1">
        <f t="array" ref="G1361">IF(LineærRegression_Valg[[#This Row],[Indenfor range]],IF(LineærRegression_Valg[[#This Row],[Intet overlap]],INDEX(DataTitel_liste,LineærRegression_Valg[[#This Row],[Uafhængig variabel ID]]),INDEX(DataTitel_liste,IF(LineærRegression_Valg[[#This Row],[Afhængig variabel ID]]=1,2,1))),$B$7)</f>
        <v>Eksempel 2 (interval)</v>
      </c>
      <c r="H1361" s="45">
        <f>_xlfn.AGGREGATE(2,5,LineærRegression_Valg[[#This Row],[Tabel ID]])</f>
        <v>1</v>
      </c>
    </row>
    <row r="1362" spans="1:8" x14ac:dyDescent="0.2">
      <c r="A1362">
        <f>ROW(LineærRegression_Valg[[#This Row],[Tabel ID]])-ROW(LineærRegression_Valg[[#Headers],[Tabel ID]])</f>
        <v>1352</v>
      </c>
      <c r="B1362" s="45">
        <f>ROUNDDOWN((LineærRegression_Valg[[#This Row],[Tabel ID]]-1)/$B$5,0)+1</f>
        <v>338</v>
      </c>
      <c r="C1362" s="45">
        <f t="shared" si="21"/>
        <v>4</v>
      </c>
      <c r="D1362" s="45" t="b">
        <f>LineærRegression_Valg[[#This Row],[Afhængig variabel ID]]&lt;&gt;LineærRegression_Valg[[#This Row],[Uafhængig variabel ID]]</f>
        <v>1</v>
      </c>
      <c r="E1362" t="b">
        <f>LineærRegression_Valg[[#This Row],[Afhængig variabel ID]]&lt;=$B$5</f>
        <v>0</v>
      </c>
      <c r="F1362" t="str" cm="1">
        <f t="array" ref="F1362">IF(LineærRegression_Valg[[#This Row],[Indenfor range]],INDEX(DataTitel_liste,LineærRegression_Valg[[#This Row],[Afhængig variabel ID]]),INDEX(DataTitel_liste,1))</f>
        <v>Eksempel 1 (interval)</v>
      </c>
      <c r="G1362" s="45" t="str" cm="1">
        <f t="array" ref="G1362">IF(LineærRegression_Valg[[#This Row],[Indenfor range]],IF(LineærRegression_Valg[[#This Row],[Intet overlap]],INDEX(DataTitel_liste,LineærRegression_Valg[[#This Row],[Uafhængig variabel ID]]),INDEX(DataTitel_liste,IF(LineærRegression_Valg[[#This Row],[Afhængig variabel ID]]=1,2,1))),$B$7)</f>
        <v>Eksempel 2 (interval)</v>
      </c>
      <c r="H1362" s="45">
        <f>_xlfn.AGGREGATE(2,5,LineærRegression_Valg[[#This Row],[Tabel ID]])</f>
        <v>1</v>
      </c>
    </row>
    <row r="1363" spans="1:8" x14ac:dyDescent="0.2">
      <c r="A1363">
        <f>ROW(LineærRegression_Valg[[#This Row],[Tabel ID]])-ROW(LineærRegression_Valg[[#Headers],[Tabel ID]])</f>
        <v>1353</v>
      </c>
      <c r="B1363" s="45">
        <f>ROUNDDOWN((LineærRegression_Valg[[#This Row],[Tabel ID]]-1)/$B$5,0)+1</f>
        <v>339</v>
      </c>
      <c r="C1363" s="45">
        <f t="shared" si="21"/>
        <v>1</v>
      </c>
      <c r="D1363" s="45" t="b">
        <f>LineærRegression_Valg[[#This Row],[Afhængig variabel ID]]&lt;&gt;LineærRegression_Valg[[#This Row],[Uafhængig variabel ID]]</f>
        <v>1</v>
      </c>
      <c r="E1363" t="b">
        <f>LineærRegression_Valg[[#This Row],[Afhængig variabel ID]]&lt;=$B$5</f>
        <v>0</v>
      </c>
      <c r="F1363" t="str" cm="1">
        <f t="array" ref="F1363">IF(LineærRegression_Valg[[#This Row],[Indenfor range]],INDEX(DataTitel_liste,LineærRegression_Valg[[#This Row],[Afhængig variabel ID]]),INDEX(DataTitel_liste,1))</f>
        <v>Eksempel 1 (interval)</v>
      </c>
      <c r="G1363" s="45" t="str" cm="1">
        <f t="array" ref="G1363">IF(LineærRegression_Valg[[#This Row],[Indenfor range]],IF(LineærRegression_Valg[[#This Row],[Intet overlap]],INDEX(DataTitel_liste,LineærRegression_Valg[[#This Row],[Uafhængig variabel ID]]),INDEX(DataTitel_liste,IF(LineærRegression_Valg[[#This Row],[Afhængig variabel ID]]=1,2,1))),$B$7)</f>
        <v>Eksempel 2 (interval)</v>
      </c>
      <c r="H1363" s="45">
        <f>_xlfn.AGGREGATE(2,5,LineærRegression_Valg[[#This Row],[Tabel ID]])</f>
        <v>1</v>
      </c>
    </row>
    <row r="1364" spans="1:8" x14ac:dyDescent="0.2">
      <c r="A1364">
        <f>ROW(LineærRegression_Valg[[#This Row],[Tabel ID]])-ROW(LineærRegression_Valg[[#Headers],[Tabel ID]])</f>
        <v>1354</v>
      </c>
      <c r="B1364" s="45">
        <f>ROUNDDOWN((LineærRegression_Valg[[#This Row],[Tabel ID]]-1)/$B$5,0)+1</f>
        <v>339</v>
      </c>
      <c r="C1364" s="45">
        <f t="shared" si="21"/>
        <v>2</v>
      </c>
      <c r="D1364" s="45" t="b">
        <f>LineærRegression_Valg[[#This Row],[Afhængig variabel ID]]&lt;&gt;LineærRegression_Valg[[#This Row],[Uafhængig variabel ID]]</f>
        <v>1</v>
      </c>
      <c r="E1364" t="b">
        <f>LineærRegression_Valg[[#This Row],[Afhængig variabel ID]]&lt;=$B$5</f>
        <v>0</v>
      </c>
      <c r="F1364" t="str" cm="1">
        <f t="array" ref="F1364">IF(LineærRegression_Valg[[#This Row],[Indenfor range]],INDEX(DataTitel_liste,LineærRegression_Valg[[#This Row],[Afhængig variabel ID]]),INDEX(DataTitel_liste,1))</f>
        <v>Eksempel 1 (interval)</v>
      </c>
      <c r="G1364" s="45" t="str" cm="1">
        <f t="array" ref="G1364">IF(LineærRegression_Valg[[#This Row],[Indenfor range]],IF(LineærRegression_Valg[[#This Row],[Intet overlap]],INDEX(DataTitel_liste,LineærRegression_Valg[[#This Row],[Uafhængig variabel ID]]),INDEX(DataTitel_liste,IF(LineærRegression_Valg[[#This Row],[Afhængig variabel ID]]=1,2,1))),$B$7)</f>
        <v>Eksempel 2 (interval)</v>
      </c>
      <c r="H1364" s="45">
        <f>_xlfn.AGGREGATE(2,5,LineærRegression_Valg[[#This Row],[Tabel ID]])</f>
        <v>1</v>
      </c>
    </row>
    <row r="1365" spans="1:8" x14ac:dyDescent="0.2">
      <c r="A1365">
        <f>ROW(LineærRegression_Valg[[#This Row],[Tabel ID]])-ROW(LineærRegression_Valg[[#Headers],[Tabel ID]])</f>
        <v>1355</v>
      </c>
      <c r="B1365" s="45">
        <f>ROUNDDOWN((LineærRegression_Valg[[#This Row],[Tabel ID]]-1)/$B$5,0)+1</f>
        <v>339</v>
      </c>
      <c r="C1365" s="45">
        <f t="shared" si="21"/>
        <v>3</v>
      </c>
      <c r="D1365" s="45" t="b">
        <f>LineærRegression_Valg[[#This Row],[Afhængig variabel ID]]&lt;&gt;LineærRegression_Valg[[#This Row],[Uafhængig variabel ID]]</f>
        <v>1</v>
      </c>
      <c r="E1365" t="b">
        <f>LineærRegression_Valg[[#This Row],[Afhængig variabel ID]]&lt;=$B$5</f>
        <v>0</v>
      </c>
      <c r="F1365" t="str" cm="1">
        <f t="array" ref="F1365">IF(LineærRegression_Valg[[#This Row],[Indenfor range]],INDEX(DataTitel_liste,LineærRegression_Valg[[#This Row],[Afhængig variabel ID]]),INDEX(DataTitel_liste,1))</f>
        <v>Eksempel 1 (interval)</v>
      </c>
      <c r="G1365" s="45" t="str" cm="1">
        <f t="array" ref="G1365">IF(LineærRegression_Valg[[#This Row],[Indenfor range]],IF(LineærRegression_Valg[[#This Row],[Intet overlap]],INDEX(DataTitel_liste,LineærRegression_Valg[[#This Row],[Uafhængig variabel ID]]),INDEX(DataTitel_liste,IF(LineærRegression_Valg[[#This Row],[Afhængig variabel ID]]=1,2,1))),$B$7)</f>
        <v>Eksempel 2 (interval)</v>
      </c>
      <c r="H1365" s="45">
        <f>_xlfn.AGGREGATE(2,5,LineærRegression_Valg[[#This Row],[Tabel ID]])</f>
        <v>1</v>
      </c>
    </row>
    <row r="1366" spans="1:8" x14ac:dyDescent="0.2">
      <c r="A1366">
        <f>ROW(LineærRegression_Valg[[#This Row],[Tabel ID]])-ROW(LineærRegression_Valg[[#Headers],[Tabel ID]])</f>
        <v>1356</v>
      </c>
      <c r="B1366" s="45">
        <f>ROUNDDOWN((LineærRegression_Valg[[#This Row],[Tabel ID]]-1)/$B$5,0)+1</f>
        <v>339</v>
      </c>
      <c r="C1366" s="45">
        <f t="shared" si="21"/>
        <v>4</v>
      </c>
      <c r="D1366" s="45" t="b">
        <f>LineærRegression_Valg[[#This Row],[Afhængig variabel ID]]&lt;&gt;LineærRegression_Valg[[#This Row],[Uafhængig variabel ID]]</f>
        <v>1</v>
      </c>
      <c r="E1366" t="b">
        <f>LineærRegression_Valg[[#This Row],[Afhængig variabel ID]]&lt;=$B$5</f>
        <v>0</v>
      </c>
      <c r="F1366" t="str" cm="1">
        <f t="array" ref="F1366">IF(LineærRegression_Valg[[#This Row],[Indenfor range]],INDEX(DataTitel_liste,LineærRegression_Valg[[#This Row],[Afhængig variabel ID]]),INDEX(DataTitel_liste,1))</f>
        <v>Eksempel 1 (interval)</v>
      </c>
      <c r="G1366" s="45" t="str" cm="1">
        <f t="array" ref="G1366">IF(LineærRegression_Valg[[#This Row],[Indenfor range]],IF(LineærRegression_Valg[[#This Row],[Intet overlap]],INDEX(DataTitel_liste,LineærRegression_Valg[[#This Row],[Uafhængig variabel ID]]),INDEX(DataTitel_liste,IF(LineærRegression_Valg[[#This Row],[Afhængig variabel ID]]=1,2,1))),$B$7)</f>
        <v>Eksempel 2 (interval)</v>
      </c>
      <c r="H1366" s="45">
        <f>_xlfn.AGGREGATE(2,5,LineærRegression_Valg[[#This Row],[Tabel ID]])</f>
        <v>1</v>
      </c>
    </row>
    <row r="1367" spans="1:8" x14ac:dyDescent="0.2">
      <c r="A1367">
        <f>ROW(LineærRegression_Valg[[#This Row],[Tabel ID]])-ROW(LineærRegression_Valg[[#Headers],[Tabel ID]])</f>
        <v>1357</v>
      </c>
      <c r="B1367" s="45">
        <f>ROUNDDOWN((LineærRegression_Valg[[#This Row],[Tabel ID]]-1)/$B$5,0)+1</f>
        <v>340</v>
      </c>
      <c r="C1367" s="45">
        <f t="shared" si="21"/>
        <v>1</v>
      </c>
      <c r="D1367" s="45" t="b">
        <f>LineærRegression_Valg[[#This Row],[Afhængig variabel ID]]&lt;&gt;LineærRegression_Valg[[#This Row],[Uafhængig variabel ID]]</f>
        <v>1</v>
      </c>
      <c r="E1367" t="b">
        <f>LineærRegression_Valg[[#This Row],[Afhængig variabel ID]]&lt;=$B$5</f>
        <v>0</v>
      </c>
      <c r="F1367" t="str" cm="1">
        <f t="array" ref="F1367">IF(LineærRegression_Valg[[#This Row],[Indenfor range]],INDEX(DataTitel_liste,LineærRegression_Valg[[#This Row],[Afhængig variabel ID]]),INDEX(DataTitel_liste,1))</f>
        <v>Eksempel 1 (interval)</v>
      </c>
      <c r="G1367" s="45" t="str" cm="1">
        <f t="array" ref="G1367">IF(LineærRegression_Valg[[#This Row],[Indenfor range]],IF(LineærRegression_Valg[[#This Row],[Intet overlap]],INDEX(DataTitel_liste,LineærRegression_Valg[[#This Row],[Uafhængig variabel ID]]),INDEX(DataTitel_liste,IF(LineærRegression_Valg[[#This Row],[Afhængig variabel ID]]=1,2,1))),$B$7)</f>
        <v>Eksempel 2 (interval)</v>
      </c>
      <c r="H1367" s="45">
        <f>_xlfn.AGGREGATE(2,5,LineærRegression_Valg[[#This Row],[Tabel ID]])</f>
        <v>1</v>
      </c>
    </row>
    <row r="1368" spans="1:8" x14ac:dyDescent="0.2">
      <c r="A1368">
        <f>ROW(LineærRegression_Valg[[#This Row],[Tabel ID]])-ROW(LineærRegression_Valg[[#Headers],[Tabel ID]])</f>
        <v>1358</v>
      </c>
      <c r="B1368" s="45">
        <f>ROUNDDOWN((LineærRegression_Valg[[#This Row],[Tabel ID]]-1)/$B$5,0)+1</f>
        <v>340</v>
      </c>
      <c r="C1368" s="45">
        <f t="shared" si="21"/>
        <v>2</v>
      </c>
      <c r="D1368" s="45" t="b">
        <f>LineærRegression_Valg[[#This Row],[Afhængig variabel ID]]&lt;&gt;LineærRegression_Valg[[#This Row],[Uafhængig variabel ID]]</f>
        <v>1</v>
      </c>
      <c r="E1368" t="b">
        <f>LineærRegression_Valg[[#This Row],[Afhængig variabel ID]]&lt;=$B$5</f>
        <v>0</v>
      </c>
      <c r="F1368" t="str" cm="1">
        <f t="array" ref="F1368">IF(LineærRegression_Valg[[#This Row],[Indenfor range]],INDEX(DataTitel_liste,LineærRegression_Valg[[#This Row],[Afhængig variabel ID]]),INDEX(DataTitel_liste,1))</f>
        <v>Eksempel 1 (interval)</v>
      </c>
      <c r="G1368" s="45" t="str" cm="1">
        <f t="array" ref="G1368">IF(LineærRegression_Valg[[#This Row],[Indenfor range]],IF(LineærRegression_Valg[[#This Row],[Intet overlap]],INDEX(DataTitel_liste,LineærRegression_Valg[[#This Row],[Uafhængig variabel ID]]),INDEX(DataTitel_liste,IF(LineærRegression_Valg[[#This Row],[Afhængig variabel ID]]=1,2,1))),$B$7)</f>
        <v>Eksempel 2 (interval)</v>
      </c>
      <c r="H1368" s="45">
        <f>_xlfn.AGGREGATE(2,5,LineærRegression_Valg[[#This Row],[Tabel ID]])</f>
        <v>1</v>
      </c>
    </row>
    <row r="1369" spans="1:8" x14ac:dyDescent="0.2">
      <c r="A1369">
        <f>ROW(LineærRegression_Valg[[#This Row],[Tabel ID]])-ROW(LineærRegression_Valg[[#Headers],[Tabel ID]])</f>
        <v>1359</v>
      </c>
      <c r="B1369" s="45">
        <f>ROUNDDOWN((LineærRegression_Valg[[#This Row],[Tabel ID]]-1)/$B$5,0)+1</f>
        <v>340</v>
      </c>
      <c r="C1369" s="45">
        <f t="shared" si="21"/>
        <v>3</v>
      </c>
      <c r="D1369" s="45" t="b">
        <f>LineærRegression_Valg[[#This Row],[Afhængig variabel ID]]&lt;&gt;LineærRegression_Valg[[#This Row],[Uafhængig variabel ID]]</f>
        <v>1</v>
      </c>
      <c r="E1369" t="b">
        <f>LineærRegression_Valg[[#This Row],[Afhængig variabel ID]]&lt;=$B$5</f>
        <v>0</v>
      </c>
      <c r="F1369" t="str" cm="1">
        <f t="array" ref="F1369">IF(LineærRegression_Valg[[#This Row],[Indenfor range]],INDEX(DataTitel_liste,LineærRegression_Valg[[#This Row],[Afhængig variabel ID]]),INDEX(DataTitel_liste,1))</f>
        <v>Eksempel 1 (interval)</v>
      </c>
      <c r="G1369" s="45" t="str" cm="1">
        <f t="array" ref="G1369">IF(LineærRegression_Valg[[#This Row],[Indenfor range]],IF(LineærRegression_Valg[[#This Row],[Intet overlap]],INDEX(DataTitel_liste,LineærRegression_Valg[[#This Row],[Uafhængig variabel ID]]),INDEX(DataTitel_liste,IF(LineærRegression_Valg[[#This Row],[Afhængig variabel ID]]=1,2,1))),$B$7)</f>
        <v>Eksempel 2 (interval)</v>
      </c>
      <c r="H1369" s="45">
        <f>_xlfn.AGGREGATE(2,5,LineærRegression_Valg[[#This Row],[Tabel ID]])</f>
        <v>1</v>
      </c>
    </row>
    <row r="1370" spans="1:8" x14ac:dyDescent="0.2">
      <c r="A1370">
        <f>ROW(LineærRegression_Valg[[#This Row],[Tabel ID]])-ROW(LineærRegression_Valg[[#Headers],[Tabel ID]])</f>
        <v>1360</v>
      </c>
      <c r="B1370" s="45">
        <f>ROUNDDOWN((LineærRegression_Valg[[#This Row],[Tabel ID]]-1)/$B$5,0)+1</f>
        <v>340</v>
      </c>
      <c r="C1370" s="45">
        <f t="shared" si="21"/>
        <v>4</v>
      </c>
      <c r="D1370" s="45" t="b">
        <f>LineærRegression_Valg[[#This Row],[Afhængig variabel ID]]&lt;&gt;LineærRegression_Valg[[#This Row],[Uafhængig variabel ID]]</f>
        <v>1</v>
      </c>
      <c r="E1370" t="b">
        <f>LineærRegression_Valg[[#This Row],[Afhængig variabel ID]]&lt;=$B$5</f>
        <v>0</v>
      </c>
      <c r="F1370" t="str" cm="1">
        <f t="array" ref="F1370">IF(LineærRegression_Valg[[#This Row],[Indenfor range]],INDEX(DataTitel_liste,LineærRegression_Valg[[#This Row],[Afhængig variabel ID]]),INDEX(DataTitel_liste,1))</f>
        <v>Eksempel 1 (interval)</v>
      </c>
      <c r="G1370" s="45" t="str" cm="1">
        <f t="array" ref="G1370">IF(LineærRegression_Valg[[#This Row],[Indenfor range]],IF(LineærRegression_Valg[[#This Row],[Intet overlap]],INDEX(DataTitel_liste,LineærRegression_Valg[[#This Row],[Uafhængig variabel ID]]),INDEX(DataTitel_liste,IF(LineærRegression_Valg[[#This Row],[Afhængig variabel ID]]=1,2,1))),$B$7)</f>
        <v>Eksempel 2 (interval)</v>
      </c>
      <c r="H1370" s="45">
        <f>_xlfn.AGGREGATE(2,5,LineærRegression_Valg[[#This Row],[Tabel ID]])</f>
        <v>1</v>
      </c>
    </row>
    <row r="1371" spans="1:8" x14ac:dyDescent="0.2">
      <c r="A1371">
        <f>ROW(LineærRegression_Valg[[#This Row],[Tabel ID]])-ROW(LineærRegression_Valg[[#Headers],[Tabel ID]])</f>
        <v>1361</v>
      </c>
      <c r="B1371" s="45">
        <f>ROUNDDOWN((LineærRegression_Valg[[#This Row],[Tabel ID]]-1)/$B$5,0)+1</f>
        <v>341</v>
      </c>
      <c r="C1371" s="45">
        <f t="shared" si="21"/>
        <v>1</v>
      </c>
      <c r="D1371" s="45" t="b">
        <f>LineærRegression_Valg[[#This Row],[Afhængig variabel ID]]&lt;&gt;LineærRegression_Valg[[#This Row],[Uafhængig variabel ID]]</f>
        <v>1</v>
      </c>
      <c r="E1371" t="b">
        <f>LineærRegression_Valg[[#This Row],[Afhængig variabel ID]]&lt;=$B$5</f>
        <v>0</v>
      </c>
      <c r="F1371" t="str" cm="1">
        <f t="array" ref="F1371">IF(LineærRegression_Valg[[#This Row],[Indenfor range]],INDEX(DataTitel_liste,LineærRegression_Valg[[#This Row],[Afhængig variabel ID]]),INDEX(DataTitel_liste,1))</f>
        <v>Eksempel 1 (interval)</v>
      </c>
      <c r="G1371" s="45" t="str" cm="1">
        <f t="array" ref="G1371">IF(LineærRegression_Valg[[#This Row],[Indenfor range]],IF(LineærRegression_Valg[[#This Row],[Intet overlap]],INDEX(DataTitel_liste,LineærRegression_Valg[[#This Row],[Uafhængig variabel ID]]),INDEX(DataTitel_liste,IF(LineærRegression_Valg[[#This Row],[Afhængig variabel ID]]=1,2,1))),$B$7)</f>
        <v>Eksempel 2 (interval)</v>
      </c>
      <c r="H1371" s="45">
        <f>_xlfn.AGGREGATE(2,5,LineærRegression_Valg[[#This Row],[Tabel ID]])</f>
        <v>1</v>
      </c>
    </row>
    <row r="1372" spans="1:8" x14ac:dyDescent="0.2">
      <c r="A1372">
        <f>ROW(LineærRegression_Valg[[#This Row],[Tabel ID]])-ROW(LineærRegression_Valg[[#Headers],[Tabel ID]])</f>
        <v>1362</v>
      </c>
      <c r="B1372" s="45">
        <f>ROUNDDOWN((LineærRegression_Valg[[#This Row],[Tabel ID]]-1)/$B$5,0)+1</f>
        <v>341</v>
      </c>
      <c r="C1372" s="45">
        <f t="shared" si="21"/>
        <v>2</v>
      </c>
      <c r="D1372" s="45" t="b">
        <f>LineærRegression_Valg[[#This Row],[Afhængig variabel ID]]&lt;&gt;LineærRegression_Valg[[#This Row],[Uafhængig variabel ID]]</f>
        <v>1</v>
      </c>
      <c r="E1372" t="b">
        <f>LineærRegression_Valg[[#This Row],[Afhængig variabel ID]]&lt;=$B$5</f>
        <v>0</v>
      </c>
      <c r="F1372" t="str" cm="1">
        <f t="array" ref="F1372">IF(LineærRegression_Valg[[#This Row],[Indenfor range]],INDEX(DataTitel_liste,LineærRegression_Valg[[#This Row],[Afhængig variabel ID]]),INDEX(DataTitel_liste,1))</f>
        <v>Eksempel 1 (interval)</v>
      </c>
      <c r="G1372" s="45" t="str" cm="1">
        <f t="array" ref="G1372">IF(LineærRegression_Valg[[#This Row],[Indenfor range]],IF(LineærRegression_Valg[[#This Row],[Intet overlap]],INDEX(DataTitel_liste,LineærRegression_Valg[[#This Row],[Uafhængig variabel ID]]),INDEX(DataTitel_liste,IF(LineærRegression_Valg[[#This Row],[Afhængig variabel ID]]=1,2,1))),$B$7)</f>
        <v>Eksempel 2 (interval)</v>
      </c>
      <c r="H1372" s="45">
        <f>_xlfn.AGGREGATE(2,5,LineærRegression_Valg[[#This Row],[Tabel ID]])</f>
        <v>1</v>
      </c>
    </row>
    <row r="1373" spans="1:8" x14ac:dyDescent="0.2">
      <c r="A1373">
        <f>ROW(LineærRegression_Valg[[#This Row],[Tabel ID]])-ROW(LineærRegression_Valg[[#Headers],[Tabel ID]])</f>
        <v>1363</v>
      </c>
      <c r="B1373" s="45">
        <f>ROUNDDOWN((LineærRegression_Valg[[#This Row],[Tabel ID]]-1)/$B$5,0)+1</f>
        <v>341</v>
      </c>
      <c r="C1373" s="45">
        <f t="shared" si="21"/>
        <v>3</v>
      </c>
      <c r="D1373" s="45" t="b">
        <f>LineærRegression_Valg[[#This Row],[Afhængig variabel ID]]&lt;&gt;LineærRegression_Valg[[#This Row],[Uafhængig variabel ID]]</f>
        <v>1</v>
      </c>
      <c r="E1373" t="b">
        <f>LineærRegression_Valg[[#This Row],[Afhængig variabel ID]]&lt;=$B$5</f>
        <v>0</v>
      </c>
      <c r="F1373" t="str" cm="1">
        <f t="array" ref="F1373">IF(LineærRegression_Valg[[#This Row],[Indenfor range]],INDEX(DataTitel_liste,LineærRegression_Valg[[#This Row],[Afhængig variabel ID]]),INDEX(DataTitel_liste,1))</f>
        <v>Eksempel 1 (interval)</v>
      </c>
      <c r="G1373" s="45" t="str" cm="1">
        <f t="array" ref="G1373">IF(LineærRegression_Valg[[#This Row],[Indenfor range]],IF(LineærRegression_Valg[[#This Row],[Intet overlap]],INDEX(DataTitel_liste,LineærRegression_Valg[[#This Row],[Uafhængig variabel ID]]),INDEX(DataTitel_liste,IF(LineærRegression_Valg[[#This Row],[Afhængig variabel ID]]=1,2,1))),$B$7)</f>
        <v>Eksempel 2 (interval)</v>
      </c>
      <c r="H1373" s="45">
        <f>_xlfn.AGGREGATE(2,5,LineærRegression_Valg[[#This Row],[Tabel ID]])</f>
        <v>1</v>
      </c>
    </row>
    <row r="1374" spans="1:8" x14ac:dyDescent="0.2">
      <c r="A1374">
        <f>ROW(LineærRegression_Valg[[#This Row],[Tabel ID]])-ROW(LineærRegression_Valg[[#Headers],[Tabel ID]])</f>
        <v>1364</v>
      </c>
      <c r="B1374" s="45">
        <f>ROUNDDOWN((LineærRegression_Valg[[#This Row],[Tabel ID]]-1)/$B$5,0)+1</f>
        <v>341</v>
      </c>
      <c r="C1374" s="45">
        <f t="shared" si="21"/>
        <v>4</v>
      </c>
      <c r="D1374" s="45" t="b">
        <f>LineærRegression_Valg[[#This Row],[Afhængig variabel ID]]&lt;&gt;LineærRegression_Valg[[#This Row],[Uafhængig variabel ID]]</f>
        <v>1</v>
      </c>
      <c r="E1374" t="b">
        <f>LineærRegression_Valg[[#This Row],[Afhængig variabel ID]]&lt;=$B$5</f>
        <v>0</v>
      </c>
      <c r="F1374" t="str" cm="1">
        <f t="array" ref="F1374">IF(LineærRegression_Valg[[#This Row],[Indenfor range]],INDEX(DataTitel_liste,LineærRegression_Valg[[#This Row],[Afhængig variabel ID]]),INDEX(DataTitel_liste,1))</f>
        <v>Eksempel 1 (interval)</v>
      </c>
      <c r="G1374" s="45" t="str" cm="1">
        <f t="array" ref="G1374">IF(LineærRegression_Valg[[#This Row],[Indenfor range]],IF(LineærRegression_Valg[[#This Row],[Intet overlap]],INDEX(DataTitel_liste,LineærRegression_Valg[[#This Row],[Uafhængig variabel ID]]),INDEX(DataTitel_liste,IF(LineærRegression_Valg[[#This Row],[Afhængig variabel ID]]=1,2,1))),$B$7)</f>
        <v>Eksempel 2 (interval)</v>
      </c>
      <c r="H1374" s="45">
        <f>_xlfn.AGGREGATE(2,5,LineærRegression_Valg[[#This Row],[Tabel ID]])</f>
        <v>1</v>
      </c>
    </row>
    <row r="1375" spans="1:8" x14ac:dyDescent="0.2">
      <c r="A1375">
        <f>ROW(LineærRegression_Valg[[#This Row],[Tabel ID]])-ROW(LineærRegression_Valg[[#Headers],[Tabel ID]])</f>
        <v>1365</v>
      </c>
      <c r="B1375" s="45">
        <f>ROUNDDOWN((LineærRegression_Valg[[#This Row],[Tabel ID]]-1)/$B$5,0)+1</f>
        <v>342</v>
      </c>
      <c r="C1375" s="45">
        <f t="shared" si="21"/>
        <v>1</v>
      </c>
      <c r="D1375" s="45" t="b">
        <f>LineærRegression_Valg[[#This Row],[Afhængig variabel ID]]&lt;&gt;LineærRegression_Valg[[#This Row],[Uafhængig variabel ID]]</f>
        <v>1</v>
      </c>
      <c r="E1375" t="b">
        <f>LineærRegression_Valg[[#This Row],[Afhængig variabel ID]]&lt;=$B$5</f>
        <v>0</v>
      </c>
      <c r="F1375" t="str" cm="1">
        <f t="array" ref="F1375">IF(LineærRegression_Valg[[#This Row],[Indenfor range]],INDEX(DataTitel_liste,LineærRegression_Valg[[#This Row],[Afhængig variabel ID]]),INDEX(DataTitel_liste,1))</f>
        <v>Eksempel 1 (interval)</v>
      </c>
      <c r="G1375" s="45" t="str" cm="1">
        <f t="array" ref="G1375">IF(LineærRegression_Valg[[#This Row],[Indenfor range]],IF(LineærRegression_Valg[[#This Row],[Intet overlap]],INDEX(DataTitel_liste,LineærRegression_Valg[[#This Row],[Uafhængig variabel ID]]),INDEX(DataTitel_liste,IF(LineærRegression_Valg[[#This Row],[Afhængig variabel ID]]=1,2,1))),$B$7)</f>
        <v>Eksempel 2 (interval)</v>
      </c>
      <c r="H1375" s="45">
        <f>_xlfn.AGGREGATE(2,5,LineærRegression_Valg[[#This Row],[Tabel ID]])</f>
        <v>1</v>
      </c>
    </row>
    <row r="1376" spans="1:8" x14ac:dyDescent="0.2">
      <c r="A1376">
        <f>ROW(LineærRegression_Valg[[#This Row],[Tabel ID]])-ROW(LineærRegression_Valg[[#Headers],[Tabel ID]])</f>
        <v>1366</v>
      </c>
      <c r="B1376" s="45">
        <f>ROUNDDOWN((LineærRegression_Valg[[#This Row],[Tabel ID]]-1)/$B$5,0)+1</f>
        <v>342</v>
      </c>
      <c r="C1376" s="45">
        <f t="shared" si="21"/>
        <v>2</v>
      </c>
      <c r="D1376" s="45" t="b">
        <f>LineærRegression_Valg[[#This Row],[Afhængig variabel ID]]&lt;&gt;LineærRegression_Valg[[#This Row],[Uafhængig variabel ID]]</f>
        <v>1</v>
      </c>
      <c r="E1376" t="b">
        <f>LineærRegression_Valg[[#This Row],[Afhængig variabel ID]]&lt;=$B$5</f>
        <v>0</v>
      </c>
      <c r="F1376" t="str" cm="1">
        <f t="array" ref="F1376">IF(LineærRegression_Valg[[#This Row],[Indenfor range]],INDEX(DataTitel_liste,LineærRegression_Valg[[#This Row],[Afhængig variabel ID]]),INDEX(DataTitel_liste,1))</f>
        <v>Eksempel 1 (interval)</v>
      </c>
      <c r="G1376" s="45" t="str" cm="1">
        <f t="array" ref="G1376">IF(LineærRegression_Valg[[#This Row],[Indenfor range]],IF(LineærRegression_Valg[[#This Row],[Intet overlap]],INDEX(DataTitel_liste,LineærRegression_Valg[[#This Row],[Uafhængig variabel ID]]),INDEX(DataTitel_liste,IF(LineærRegression_Valg[[#This Row],[Afhængig variabel ID]]=1,2,1))),$B$7)</f>
        <v>Eksempel 2 (interval)</v>
      </c>
      <c r="H1376" s="45">
        <f>_xlfn.AGGREGATE(2,5,LineærRegression_Valg[[#This Row],[Tabel ID]])</f>
        <v>1</v>
      </c>
    </row>
    <row r="1377" spans="1:8" x14ac:dyDescent="0.2">
      <c r="A1377">
        <f>ROW(LineærRegression_Valg[[#This Row],[Tabel ID]])-ROW(LineærRegression_Valg[[#Headers],[Tabel ID]])</f>
        <v>1367</v>
      </c>
      <c r="B1377" s="45">
        <f>ROUNDDOWN((LineærRegression_Valg[[#This Row],[Tabel ID]]-1)/$B$5,0)+1</f>
        <v>342</v>
      </c>
      <c r="C1377" s="45">
        <f t="shared" si="21"/>
        <v>3</v>
      </c>
      <c r="D1377" s="45" t="b">
        <f>LineærRegression_Valg[[#This Row],[Afhængig variabel ID]]&lt;&gt;LineærRegression_Valg[[#This Row],[Uafhængig variabel ID]]</f>
        <v>1</v>
      </c>
      <c r="E1377" t="b">
        <f>LineærRegression_Valg[[#This Row],[Afhængig variabel ID]]&lt;=$B$5</f>
        <v>0</v>
      </c>
      <c r="F1377" t="str" cm="1">
        <f t="array" ref="F1377">IF(LineærRegression_Valg[[#This Row],[Indenfor range]],INDEX(DataTitel_liste,LineærRegression_Valg[[#This Row],[Afhængig variabel ID]]),INDEX(DataTitel_liste,1))</f>
        <v>Eksempel 1 (interval)</v>
      </c>
      <c r="G1377" s="45" t="str" cm="1">
        <f t="array" ref="G1377">IF(LineærRegression_Valg[[#This Row],[Indenfor range]],IF(LineærRegression_Valg[[#This Row],[Intet overlap]],INDEX(DataTitel_liste,LineærRegression_Valg[[#This Row],[Uafhængig variabel ID]]),INDEX(DataTitel_liste,IF(LineærRegression_Valg[[#This Row],[Afhængig variabel ID]]=1,2,1))),$B$7)</f>
        <v>Eksempel 2 (interval)</v>
      </c>
      <c r="H1377" s="45">
        <f>_xlfn.AGGREGATE(2,5,LineærRegression_Valg[[#This Row],[Tabel ID]])</f>
        <v>1</v>
      </c>
    </row>
    <row r="1378" spans="1:8" x14ac:dyDescent="0.2">
      <c r="A1378">
        <f>ROW(LineærRegression_Valg[[#This Row],[Tabel ID]])-ROW(LineærRegression_Valg[[#Headers],[Tabel ID]])</f>
        <v>1368</v>
      </c>
      <c r="B1378" s="45">
        <f>ROUNDDOWN((LineærRegression_Valg[[#This Row],[Tabel ID]]-1)/$B$5,0)+1</f>
        <v>342</v>
      </c>
      <c r="C1378" s="45">
        <f t="shared" si="21"/>
        <v>4</v>
      </c>
      <c r="D1378" s="45" t="b">
        <f>LineærRegression_Valg[[#This Row],[Afhængig variabel ID]]&lt;&gt;LineærRegression_Valg[[#This Row],[Uafhængig variabel ID]]</f>
        <v>1</v>
      </c>
      <c r="E1378" t="b">
        <f>LineærRegression_Valg[[#This Row],[Afhængig variabel ID]]&lt;=$B$5</f>
        <v>0</v>
      </c>
      <c r="F1378" t="str" cm="1">
        <f t="array" ref="F1378">IF(LineærRegression_Valg[[#This Row],[Indenfor range]],INDEX(DataTitel_liste,LineærRegression_Valg[[#This Row],[Afhængig variabel ID]]),INDEX(DataTitel_liste,1))</f>
        <v>Eksempel 1 (interval)</v>
      </c>
      <c r="G1378" s="45" t="str" cm="1">
        <f t="array" ref="G1378">IF(LineærRegression_Valg[[#This Row],[Indenfor range]],IF(LineærRegression_Valg[[#This Row],[Intet overlap]],INDEX(DataTitel_liste,LineærRegression_Valg[[#This Row],[Uafhængig variabel ID]]),INDEX(DataTitel_liste,IF(LineærRegression_Valg[[#This Row],[Afhængig variabel ID]]=1,2,1))),$B$7)</f>
        <v>Eksempel 2 (interval)</v>
      </c>
      <c r="H1378" s="45">
        <f>_xlfn.AGGREGATE(2,5,LineærRegression_Valg[[#This Row],[Tabel ID]])</f>
        <v>1</v>
      </c>
    </row>
    <row r="1379" spans="1:8" x14ac:dyDescent="0.2">
      <c r="A1379">
        <f>ROW(LineærRegression_Valg[[#This Row],[Tabel ID]])-ROW(LineærRegression_Valg[[#Headers],[Tabel ID]])</f>
        <v>1369</v>
      </c>
      <c r="B1379" s="45">
        <f>ROUNDDOWN((LineærRegression_Valg[[#This Row],[Tabel ID]]-1)/$B$5,0)+1</f>
        <v>343</v>
      </c>
      <c r="C1379" s="45">
        <f t="shared" si="21"/>
        <v>1</v>
      </c>
      <c r="D1379" s="45" t="b">
        <f>LineærRegression_Valg[[#This Row],[Afhængig variabel ID]]&lt;&gt;LineærRegression_Valg[[#This Row],[Uafhængig variabel ID]]</f>
        <v>1</v>
      </c>
      <c r="E1379" t="b">
        <f>LineærRegression_Valg[[#This Row],[Afhængig variabel ID]]&lt;=$B$5</f>
        <v>0</v>
      </c>
      <c r="F1379" t="str" cm="1">
        <f t="array" ref="F1379">IF(LineærRegression_Valg[[#This Row],[Indenfor range]],INDEX(DataTitel_liste,LineærRegression_Valg[[#This Row],[Afhængig variabel ID]]),INDEX(DataTitel_liste,1))</f>
        <v>Eksempel 1 (interval)</v>
      </c>
      <c r="G1379" s="45" t="str" cm="1">
        <f t="array" ref="G1379">IF(LineærRegression_Valg[[#This Row],[Indenfor range]],IF(LineærRegression_Valg[[#This Row],[Intet overlap]],INDEX(DataTitel_liste,LineærRegression_Valg[[#This Row],[Uafhængig variabel ID]]),INDEX(DataTitel_liste,IF(LineærRegression_Valg[[#This Row],[Afhængig variabel ID]]=1,2,1))),$B$7)</f>
        <v>Eksempel 2 (interval)</v>
      </c>
      <c r="H1379" s="45">
        <f>_xlfn.AGGREGATE(2,5,LineærRegression_Valg[[#This Row],[Tabel ID]])</f>
        <v>1</v>
      </c>
    </row>
    <row r="1380" spans="1:8" x14ac:dyDescent="0.2">
      <c r="A1380">
        <f>ROW(LineærRegression_Valg[[#This Row],[Tabel ID]])-ROW(LineærRegression_Valg[[#Headers],[Tabel ID]])</f>
        <v>1370</v>
      </c>
      <c r="B1380" s="45">
        <f>ROUNDDOWN((LineærRegression_Valg[[#This Row],[Tabel ID]]-1)/$B$5,0)+1</f>
        <v>343</v>
      </c>
      <c r="C1380" s="45">
        <f t="shared" si="21"/>
        <v>2</v>
      </c>
      <c r="D1380" s="45" t="b">
        <f>LineærRegression_Valg[[#This Row],[Afhængig variabel ID]]&lt;&gt;LineærRegression_Valg[[#This Row],[Uafhængig variabel ID]]</f>
        <v>1</v>
      </c>
      <c r="E1380" t="b">
        <f>LineærRegression_Valg[[#This Row],[Afhængig variabel ID]]&lt;=$B$5</f>
        <v>0</v>
      </c>
      <c r="F1380" t="str" cm="1">
        <f t="array" ref="F1380">IF(LineærRegression_Valg[[#This Row],[Indenfor range]],INDEX(DataTitel_liste,LineærRegression_Valg[[#This Row],[Afhængig variabel ID]]),INDEX(DataTitel_liste,1))</f>
        <v>Eksempel 1 (interval)</v>
      </c>
      <c r="G1380" s="45" t="str" cm="1">
        <f t="array" ref="G1380">IF(LineærRegression_Valg[[#This Row],[Indenfor range]],IF(LineærRegression_Valg[[#This Row],[Intet overlap]],INDEX(DataTitel_liste,LineærRegression_Valg[[#This Row],[Uafhængig variabel ID]]),INDEX(DataTitel_liste,IF(LineærRegression_Valg[[#This Row],[Afhængig variabel ID]]=1,2,1))),$B$7)</f>
        <v>Eksempel 2 (interval)</v>
      </c>
      <c r="H1380" s="45">
        <f>_xlfn.AGGREGATE(2,5,LineærRegression_Valg[[#This Row],[Tabel ID]])</f>
        <v>1</v>
      </c>
    </row>
    <row r="1381" spans="1:8" x14ac:dyDescent="0.2">
      <c r="A1381">
        <f>ROW(LineærRegression_Valg[[#This Row],[Tabel ID]])-ROW(LineærRegression_Valg[[#Headers],[Tabel ID]])</f>
        <v>1371</v>
      </c>
      <c r="B1381" s="45">
        <f>ROUNDDOWN((LineærRegression_Valg[[#This Row],[Tabel ID]]-1)/$B$5,0)+1</f>
        <v>343</v>
      </c>
      <c r="C1381" s="45">
        <f t="shared" si="21"/>
        <v>3</v>
      </c>
      <c r="D1381" s="45" t="b">
        <f>LineærRegression_Valg[[#This Row],[Afhængig variabel ID]]&lt;&gt;LineærRegression_Valg[[#This Row],[Uafhængig variabel ID]]</f>
        <v>1</v>
      </c>
      <c r="E1381" t="b">
        <f>LineærRegression_Valg[[#This Row],[Afhængig variabel ID]]&lt;=$B$5</f>
        <v>0</v>
      </c>
      <c r="F1381" t="str" cm="1">
        <f t="array" ref="F1381">IF(LineærRegression_Valg[[#This Row],[Indenfor range]],INDEX(DataTitel_liste,LineærRegression_Valg[[#This Row],[Afhængig variabel ID]]),INDEX(DataTitel_liste,1))</f>
        <v>Eksempel 1 (interval)</v>
      </c>
      <c r="G1381" s="45" t="str" cm="1">
        <f t="array" ref="G1381">IF(LineærRegression_Valg[[#This Row],[Indenfor range]],IF(LineærRegression_Valg[[#This Row],[Intet overlap]],INDEX(DataTitel_liste,LineærRegression_Valg[[#This Row],[Uafhængig variabel ID]]),INDEX(DataTitel_liste,IF(LineærRegression_Valg[[#This Row],[Afhængig variabel ID]]=1,2,1))),$B$7)</f>
        <v>Eksempel 2 (interval)</v>
      </c>
      <c r="H1381" s="45">
        <f>_xlfn.AGGREGATE(2,5,LineærRegression_Valg[[#This Row],[Tabel ID]])</f>
        <v>1</v>
      </c>
    </row>
    <row r="1382" spans="1:8" x14ac:dyDescent="0.2">
      <c r="A1382">
        <f>ROW(LineærRegression_Valg[[#This Row],[Tabel ID]])-ROW(LineærRegression_Valg[[#Headers],[Tabel ID]])</f>
        <v>1372</v>
      </c>
      <c r="B1382" s="45">
        <f>ROUNDDOWN((LineærRegression_Valg[[#This Row],[Tabel ID]]-1)/$B$5,0)+1</f>
        <v>343</v>
      </c>
      <c r="C1382" s="45">
        <f t="shared" si="21"/>
        <v>4</v>
      </c>
      <c r="D1382" s="45" t="b">
        <f>LineærRegression_Valg[[#This Row],[Afhængig variabel ID]]&lt;&gt;LineærRegression_Valg[[#This Row],[Uafhængig variabel ID]]</f>
        <v>1</v>
      </c>
      <c r="E1382" t="b">
        <f>LineærRegression_Valg[[#This Row],[Afhængig variabel ID]]&lt;=$B$5</f>
        <v>0</v>
      </c>
      <c r="F1382" t="str" cm="1">
        <f t="array" ref="F1382">IF(LineærRegression_Valg[[#This Row],[Indenfor range]],INDEX(DataTitel_liste,LineærRegression_Valg[[#This Row],[Afhængig variabel ID]]),INDEX(DataTitel_liste,1))</f>
        <v>Eksempel 1 (interval)</v>
      </c>
      <c r="G1382" s="45" t="str" cm="1">
        <f t="array" ref="G1382">IF(LineærRegression_Valg[[#This Row],[Indenfor range]],IF(LineærRegression_Valg[[#This Row],[Intet overlap]],INDEX(DataTitel_liste,LineærRegression_Valg[[#This Row],[Uafhængig variabel ID]]),INDEX(DataTitel_liste,IF(LineærRegression_Valg[[#This Row],[Afhængig variabel ID]]=1,2,1))),$B$7)</f>
        <v>Eksempel 2 (interval)</v>
      </c>
      <c r="H1382" s="45">
        <f>_xlfn.AGGREGATE(2,5,LineærRegression_Valg[[#This Row],[Tabel ID]])</f>
        <v>1</v>
      </c>
    </row>
    <row r="1383" spans="1:8" x14ac:dyDescent="0.2">
      <c r="A1383">
        <f>ROW(LineærRegression_Valg[[#This Row],[Tabel ID]])-ROW(LineærRegression_Valg[[#Headers],[Tabel ID]])</f>
        <v>1373</v>
      </c>
      <c r="B1383" s="45">
        <f>ROUNDDOWN((LineærRegression_Valg[[#This Row],[Tabel ID]]-1)/$B$5,0)+1</f>
        <v>344</v>
      </c>
      <c r="C1383" s="45">
        <f t="shared" si="21"/>
        <v>1</v>
      </c>
      <c r="D1383" s="45" t="b">
        <f>LineærRegression_Valg[[#This Row],[Afhængig variabel ID]]&lt;&gt;LineærRegression_Valg[[#This Row],[Uafhængig variabel ID]]</f>
        <v>1</v>
      </c>
      <c r="E1383" t="b">
        <f>LineærRegression_Valg[[#This Row],[Afhængig variabel ID]]&lt;=$B$5</f>
        <v>0</v>
      </c>
      <c r="F1383" t="str" cm="1">
        <f t="array" ref="F1383">IF(LineærRegression_Valg[[#This Row],[Indenfor range]],INDEX(DataTitel_liste,LineærRegression_Valg[[#This Row],[Afhængig variabel ID]]),INDEX(DataTitel_liste,1))</f>
        <v>Eksempel 1 (interval)</v>
      </c>
      <c r="G1383" s="45" t="str" cm="1">
        <f t="array" ref="G1383">IF(LineærRegression_Valg[[#This Row],[Indenfor range]],IF(LineærRegression_Valg[[#This Row],[Intet overlap]],INDEX(DataTitel_liste,LineærRegression_Valg[[#This Row],[Uafhængig variabel ID]]),INDEX(DataTitel_liste,IF(LineærRegression_Valg[[#This Row],[Afhængig variabel ID]]=1,2,1))),$B$7)</f>
        <v>Eksempel 2 (interval)</v>
      </c>
      <c r="H1383" s="45">
        <f>_xlfn.AGGREGATE(2,5,LineærRegression_Valg[[#This Row],[Tabel ID]])</f>
        <v>1</v>
      </c>
    </row>
    <row r="1384" spans="1:8" x14ac:dyDescent="0.2">
      <c r="A1384">
        <f>ROW(LineærRegression_Valg[[#This Row],[Tabel ID]])-ROW(LineærRegression_Valg[[#Headers],[Tabel ID]])</f>
        <v>1374</v>
      </c>
      <c r="B1384" s="45">
        <f>ROUNDDOWN((LineærRegression_Valg[[#This Row],[Tabel ID]]-1)/$B$5,0)+1</f>
        <v>344</v>
      </c>
      <c r="C1384" s="45">
        <f t="shared" si="21"/>
        <v>2</v>
      </c>
      <c r="D1384" s="45" t="b">
        <f>LineærRegression_Valg[[#This Row],[Afhængig variabel ID]]&lt;&gt;LineærRegression_Valg[[#This Row],[Uafhængig variabel ID]]</f>
        <v>1</v>
      </c>
      <c r="E1384" t="b">
        <f>LineærRegression_Valg[[#This Row],[Afhængig variabel ID]]&lt;=$B$5</f>
        <v>0</v>
      </c>
      <c r="F1384" t="str" cm="1">
        <f t="array" ref="F1384">IF(LineærRegression_Valg[[#This Row],[Indenfor range]],INDEX(DataTitel_liste,LineærRegression_Valg[[#This Row],[Afhængig variabel ID]]),INDEX(DataTitel_liste,1))</f>
        <v>Eksempel 1 (interval)</v>
      </c>
      <c r="G1384" s="45" t="str" cm="1">
        <f t="array" ref="G1384">IF(LineærRegression_Valg[[#This Row],[Indenfor range]],IF(LineærRegression_Valg[[#This Row],[Intet overlap]],INDEX(DataTitel_liste,LineærRegression_Valg[[#This Row],[Uafhængig variabel ID]]),INDEX(DataTitel_liste,IF(LineærRegression_Valg[[#This Row],[Afhængig variabel ID]]=1,2,1))),$B$7)</f>
        <v>Eksempel 2 (interval)</v>
      </c>
      <c r="H1384" s="45">
        <f>_xlfn.AGGREGATE(2,5,LineærRegression_Valg[[#This Row],[Tabel ID]])</f>
        <v>1</v>
      </c>
    </row>
    <row r="1385" spans="1:8" x14ac:dyDescent="0.2">
      <c r="A1385">
        <f>ROW(LineærRegression_Valg[[#This Row],[Tabel ID]])-ROW(LineærRegression_Valg[[#Headers],[Tabel ID]])</f>
        <v>1375</v>
      </c>
      <c r="B1385" s="45">
        <f>ROUNDDOWN((LineærRegression_Valg[[#This Row],[Tabel ID]]-1)/$B$5,0)+1</f>
        <v>344</v>
      </c>
      <c r="C1385" s="45">
        <f t="shared" si="21"/>
        <v>3</v>
      </c>
      <c r="D1385" s="45" t="b">
        <f>LineærRegression_Valg[[#This Row],[Afhængig variabel ID]]&lt;&gt;LineærRegression_Valg[[#This Row],[Uafhængig variabel ID]]</f>
        <v>1</v>
      </c>
      <c r="E1385" t="b">
        <f>LineærRegression_Valg[[#This Row],[Afhængig variabel ID]]&lt;=$B$5</f>
        <v>0</v>
      </c>
      <c r="F1385" t="str" cm="1">
        <f t="array" ref="F1385">IF(LineærRegression_Valg[[#This Row],[Indenfor range]],INDEX(DataTitel_liste,LineærRegression_Valg[[#This Row],[Afhængig variabel ID]]),INDEX(DataTitel_liste,1))</f>
        <v>Eksempel 1 (interval)</v>
      </c>
      <c r="G1385" s="45" t="str" cm="1">
        <f t="array" ref="G1385">IF(LineærRegression_Valg[[#This Row],[Indenfor range]],IF(LineærRegression_Valg[[#This Row],[Intet overlap]],INDEX(DataTitel_liste,LineærRegression_Valg[[#This Row],[Uafhængig variabel ID]]),INDEX(DataTitel_liste,IF(LineærRegression_Valg[[#This Row],[Afhængig variabel ID]]=1,2,1))),$B$7)</f>
        <v>Eksempel 2 (interval)</v>
      </c>
      <c r="H1385" s="45">
        <f>_xlfn.AGGREGATE(2,5,LineærRegression_Valg[[#This Row],[Tabel ID]])</f>
        <v>1</v>
      </c>
    </row>
    <row r="1386" spans="1:8" x14ac:dyDescent="0.2">
      <c r="A1386">
        <f>ROW(LineærRegression_Valg[[#This Row],[Tabel ID]])-ROW(LineærRegression_Valg[[#Headers],[Tabel ID]])</f>
        <v>1376</v>
      </c>
      <c r="B1386" s="45">
        <f>ROUNDDOWN((LineærRegression_Valg[[#This Row],[Tabel ID]]-1)/$B$5,0)+1</f>
        <v>344</v>
      </c>
      <c r="C1386" s="45">
        <f t="shared" si="21"/>
        <v>4</v>
      </c>
      <c r="D1386" s="45" t="b">
        <f>LineærRegression_Valg[[#This Row],[Afhængig variabel ID]]&lt;&gt;LineærRegression_Valg[[#This Row],[Uafhængig variabel ID]]</f>
        <v>1</v>
      </c>
      <c r="E1386" t="b">
        <f>LineærRegression_Valg[[#This Row],[Afhængig variabel ID]]&lt;=$B$5</f>
        <v>0</v>
      </c>
      <c r="F1386" t="str" cm="1">
        <f t="array" ref="F1386">IF(LineærRegression_Valg[[#This Row],[Indenfor range]],INDEX(DataTitel_liste,LineærRegression_Valg[[#This Row],[Afhængig variabel ID]]),INDEX(DataTitel_liste,1))</f>
        <v>Eksempel 1 (interval)</v>
      </c>
      <c r="G1386" s="45" t="str" cm="1">
        <f t="array" ref="G1386">IF(LineærRegression_Valg[[#This Row],[Indenfor range]],IF(LineærRegression_Valg[[#This Row],[Intet overlap]],INDEX(DataTitel_liste,LineærRegression_Valg[[#This Row],[Uafhængig variabel ID]]),INDEX(DataTitel_liste,IF(LineærRegression_Valg[[#This Row],[Afhængig variabel ID]]=1,2,1))),$B$7)</f>
        <v>Eksempel 2 (interval)</v>
      </c>
      <c r="H1386" s="45">
        <f>_xlfn.AGGREGATE(2,5,LineærRegression_Valg[[#This Row],[Tabel ID]])</f>
        <v>1</v>
      </c>
    </row>
    <row r="1387" spans="1:8" x14ac:dyDescent="0.2">
      <c r="A1387">
        <f>ROW(LineærRegression_Valg[[#This Row],[Tabel ID]])-ROW(LineærRegression_Valg[[#Headers],[Tabel ID]])</f>
        <v>1377</v>
      </c>
      <c r="B1387" s="45">
        <f>ROUNDDOWN((LineærRegression_Valg[[#This Row],[Tabel ID]]-1)/$B$5,0)+1</f>
        <v>345</v>
      </c>
      <c r="C1387" s="45">
        <f t="shared" si="21"/>
        <v>1</v>
      </c>
      <c r="D1387" s="45" t="b">
        <f>LineærRegression_Valg[[#This Row],[Afhængig variabel ID]]&lt;&gt;LineærRegression_Valg[[#This Row],[Uafhængig variabel ID]]</f>
        <v>1</v>
      </c>
      <c r="E1387" t="b">
        <f>LineærRegression_Valg[[#This Row],[Afhængig variabel ID]]&lt;=$B$5</f>
        <v>0</v>
      </c>
      <c r="F1387" t="str" cm="1">
        <f t="array" ref="F1387">IF(LineærRegression_Valg[[#This Row],[Indenfor range]],INDEX(DataTitel_liste,LineærRegression_Valg[[#This Row],[Afhængig variabel ID]]),INDEX(DataTitel_liste,1))</f>
        <v>Eksempel 1 (interval)</v>
      </c>
      <c r="G1387" s="45" t="str" cm="1">
        <f t="array" ref="G1387">IF(LineærRegression_Valg[[#This Row],[Indenfor range]],IF(LineærRegression_Valg[[#This Row],[Intet overlap]],INDEX(DataTitel_liste,LineærRegression_Valg[[#This Row],[Uafhængig variabel ID]]),INDEX(DataTitel_liste,IF(LineærRegression_Valg[[#This Row],[Afhængig variabel ID]]=1,2,1))),$B$7)</f>
        <v>Eksempel 2 (interval)</v>
      </c>
      <c r="H1387" s="45">
        <f>_xlfn.AGGREGATE(2,5,LineærRegression_Valg[[#This Row],[Tabel ID]])</f>
        <v>1</v>
      </c>
    </row>
    <row r="1388" spans="1:8" x14ac:dyDescent="0.2">
      <c r="A1388">
        <f>ROW(LineærRegression_Valg[[#This Row],[Tabel ID]])-ROW(LineærRegression_Valg[[#Headers],[Tabel ID]])</f>
        <v>1378</v>
      </c>
      <c r="B1388" s="45">
        <f>ROUNDDOWN((LineærRegression_Valg[[#This Row],[Tabel ID]]-1)/$B$5,0)+1</f>
        <v>345</v>
      </c>
      <c r="C1388" s="45">
        <f t="shared" si="21"/>
        <v>2</v>
      </c>
      <c r="D1388" s="45" t="b">
        <f>LineærRegression_Valg[[#This Row],[Afhængig variabel ID]]&lt;&gt;LineærRegression_Valg[[#This Row],[Uafhængig variabel ID]]</f>
        <v>1</v>
      </c>
      <c r="E1388" t="b">
        <f>LineærRegression_Valg[[#This Row],[Afhængig variabel ID]]&lt;=$B$5</f>
        <v>0</v>
      </c>
      <c r="F1388" t="str" cm="1">
        <f t="array" ref="F1388">IF(LineærRegression_Valg[[#This Row],[Indenfor range]],INDEX(DataTitel_liste,LineærRegression_Valg[[#This Row],[Afhængig variabel ID]]),INDEX(DataTitel_liste,1))</f>
        <v>Eksempel 1 (interval)</v>
      </c>
      <c r="G1388" s="45" t="str" cm="1">
        <f t="array" ref="G1388">IF(LineærRegression_Valg[[#This Row],[Indenfor range]],IF(LineærRegression_Valg[[#This Row],[Intet overlap]],INDEX(DataTitel_liste,LineærRegression_Valg[[#This Row],[Uafhængig variabel ID]]),INDEX(DataTitel_liste,IF(LineærRegression_Valg[[#This Row],[Afhængig variabel ID]]=1,2,1))),$B$7)</f>
        <v>Eksempel 2 (interval)</v>
      </c>
      <c r="H1388" s="45">
        <f>_xlfn.AGGREGATE(2,5,LineærRegression_Valg[[#This Row],[Tabel ID]])</f>
        <v>1</v>
      </c>
    </row>
    <row r="1389" spans="1:8" x14ac:dyDescent="0.2">
      <c r="A1389">
        <f>ROW(LineærRegression_Valg[[#This Row],[Tabel ID]])-ROW(LineærRegression_Valg[[#Headers],[Tabel ID]])</f>
        <v>1379</v>
      </c>
      <c r="B1389" s="45">
        <f>ROUNDDOWN((LineærRegression_Valg[[#This Row],[Tabel ID]]-1)/$B$5,0)+1</f>
        <v>345</v>
      </c>
      <c r="C1389" s="45">
        <f t="shared" si="21"/>
        <v>3</v>
      </c>
      <c r="D1389" s="45" t="b">
        <f>LineærRegression_Valg[[#This Row],[Afhængig variabel ID]]&lt;&gt;LineærRegression_Valg[[#This Row],[Uafhængig variabel ID]]</f>
        <v>1</v>
      </c>
      <c r="E1389" t="b">
        <f>LineærRegression_Valg[[#This Row],[Afhængig variabel ID]]&lt;=$B$5</f>
        <v>0</v>
      </c>
      <c r="F1389" t="str" cm="1">
        <f t="array" ref="F1389">IF(LineærRegression_Valg[[#This Row],[Indenfor range]],INDEX(DataTitel_liste,LineærRegression_Valg[[#This Row],[Afhængig variabel ID]]),INDEX(DataTitel_liste,1))</f>
        <v>Eksempel 1 (interval)</v>
      </c>
      <c r="G1389" s="45" t="str" cm="1">
        <f t="array" ref="G1389">IF(LineærRegression_Valg[[#This Row],[Indenfor range]],IF(LineærRegression_Valg[[#This Row],[Intet overlap]],INDEX(DataTitel_liste,LineærRegression_Valg[[#This Row],[Uafhængig variabel ID]]),INDEX(DataTitel_liste,IF(LineærRegression_Valg[[#This Row],[Afhængig variabel ID]]=1,2,1))),$B$7)</f>
        <v>Eksempel 2 (interval)</v>
      </c>
      <c r="H1389" s="45">
        <f>_xlfn.AGGREGATE(2,5,LineærRegression_Valg[[#This Row],[Tabel ID]])</f>
        <v>1</v>
      </c>
    </row>
    <row r="1390" spans="1:8" x14ac:dyDescent="0.2">
      <c r="A1390">
        <f>ROW(LineærRegression_Valg[[#This Row],[Tabel ID]])-ROW(LineærRegression_Valg[[#Headers],[Tabel ID]])</f>
        <v>1380</v>
      </c>
      <c r="B1390" s="45">
        <f>ROUNDDOWN((LineærRegression_Valg[[#This Row],[Tabel ID]]-1)/$B$5,0)+1</f>
        <v>345</v>
      </c>
      <c r="C1390" s="45">
        <f t="shared" si="21"/>
        <v>4</v>
      </c>
      <c r="D1390" s="45" t="b">
        <f>LineærRegression_Valg[[#This Row],[Afhængig variabel ID]]&lt;&gt;LineærRegression_Valg[[#This Row],[Uafhængig variabel ID]]</f>
        <v>1</v>
      </c>
      <c r="E1390" t="b">
        <f>LineærRegression_Valg[[#This Row],[Afhængig variabel ID]]&lt;=$B$5</f>
        <v>0</v>
      </c>
      <c r="F1390" t="str" cm="1">
        <f t="array" ref="F1390">IF(LineærRegression_Valg[[#This Row],[Indenfor range]],INDEX(DataTitel_liste,LineærRegression_Valg[[#This Row],[Afhængig variabel ID]]),INDEX(DataTitel_liste,1))</f>
        <v>Eksempel 1 (interval)</v>
      </c>
      <c r="G1390" s="45" t="str" cm="1">
        <f t="array" ref="G1390">IF(LineærRegression_Valg[[#This Row],[Indenfor range]],IF(LineærRegression_Valg[[#This Row],[Intet overlap]],INDEX(DataTitel_liste,LineærRegression_Valg[[#This Row],[Uafhængig variabel ID]]),INDEX(DataTitel_liste,IF(LineærRegression_Valg[[#This Row],[Afhængig variabel ID]]=1,2,1))),$B$7)</f>
        <v>Eksempel 2 (interval)</v>
      </c>
      <c r="H1390" s="45">
        <f>_xlfn.AGGREGATE(2,5,LineærRegression_Valg[[#This Row],[Tabel ID]])</f>
        <v>1</v>
      </c>
    </row>
    <row r="1391" spans="1:8" x14ac:dyDescent="0.2">
      <c r="A1391">
        <f>ROW(LineærRegression_Valg[[#This Row],[Tabel ID]])-ROW(LineærRegression_Valg[[#Headers],[Tabel ID]])</f>
        <v>1381</v>
      </c>
      <c r="B1391" s="45">
        <f>ROUNDDOWN((LineærRegression_Valg[[#This Row],[Tabel ID]]-1)/$B$5,0)+1</f>
        <v>346</v>
      </c>
      <c r="C1391" s="45">
        <f t="shared" si="21"/>
        <v>1</v>
      </c>
      <c r="D1391" s="45" t="b">
        <f>LineærRegression_Valg[[#This Row],[Afhængig variabel ID]]&lt;&gt;LineærRegression_Valg[[#This Row],[Uafhængig variabel ID]]</f>
        <v>1</v>
      </c>
      <c r="E1391" t="b">
        <f>LineærRegression_Valg[[#This Row],[Afhængig variabel ID]]&lt;=$B$5</f>
        <v>0</v>
      </c>
      <c r="F1391" t="str" cm="1">
        <f t="array" ref="F1391">IF(LineærRegression_Valg[[#This Row],[Indenfor range]],INDEX(DataTitel_liste,LineærRegression_Valg[[#This Row],[Afhængig variabel ID]]),INDEX(DataTitel_liste,1))</f>
        <v>Eksempel 1 (interval)</v>
      </c>
      <c r="G1391" s="45" t="str" cm="1">
        <f t="array" ref="G1391">IF(LineærRegression_Valg[[#This Row],[Indenfor range]],IF(LineærRegression_Valg[[#This Row],[Intet overlap]],INDEX(DataTitel_liste,LineærRegression_Valg[[#This Row],[Uafhængig variabel ID]]),INDEX(DataTitel_liste,IF(LineærRegression_Valg[[#This Row],[Afhængig variabel ID]]=1,2,1))),$B$7)</f>
        <v>Eksempel 2 (interval)</v>
      </c>
      <c r="H1391" s="45">
        <f>_xlfn.AGGREGATE(2,5,LineærRegression_Valg[[#This Row],[Tabel ID]])</f>
        <v>1</v>
      </c>
    </row>
    <row r="1392" spans="1:8" x14ac:dyDescent="0.2">
      <c r="A1392">
        <f>ROW(LineærRegression_Valg[[#This Row],[Tabel ID]])-ROW(LineærRegression_Valg[[#Headers],[Tabel ID]])</f>
        <v>1382</v>
      </c>
      <c r="B1392" s="45">
        <f>ROUNDDOWN((LineærRegression_Valg[[#This Row],[Tabel ID]]-1)/$B$5,0)+1</f>
        <v>346</v>
      </c>
      <c r="C1392" s="45">
        <f t="shared" si="21"/>
        <v>2</v>
      </c>
      <c r="D1392" s="45" t="b">
        <f>LineærRegression_Valg[[#This Row],[Afhængig variabel ID]]&lt;&gt;LineærRegression_Valg[[#This Row],[Uafhængig variabel ID]]</f>
        <v>1</v>
      </c>
      <c r="E1392" t="b">
        <f>LineærRegression_Valg[[#This Row],[Afhængig variabel ID]]&lt;=$B$5</f>
        <v>0</v>
      </c>
      <c r="F1392" t="str" cm="1">
        <f t="array" ref="F1392">IF(LineærRegression_Valg[[#This Row],[Indenfor range]],INDEX(DataTitel_liste,LineærRegression_Valg[[#This Row],[Afhængig variabel ID]]),INDEX(DataTitel_liste,1))</f>
        <v>Eksempel 1 (interval)</v>
      </c>
      <c r="G1392" s="45" t="str" cm="1">
        <f t="array" ref="G1392">IF(LineærRegression_Valg[[#This Row],[Indenfor range]],IF(LineærRegression_Valg[[#This Row],[Intet overlap]],INDEX(DataTitel_liste,LineærRegression_Valg[[#This Row],[Uafhængig variabel ID]]),INDEX(DataTitel_liste,IF(LineærRegression_Valg[[#This Row],[Afhængig variabel ID]]=1,2,1))),$B$7)</f>
        <v>Eksempel 2 (interval)</v>
      </c>
      <c r="H1392" s="45">
        <f>_xlfn.AGGREGATE(2,5,LineærRegression_Valg[[#This Row],[Tabel ID]])</f>
        <v>1</v>
      </c>
    </row>
    <row r="1393" spans="1:8" x14ac:dyDescent="0.2">
      <c r="A1393">
        <f>ROW(LineærRegression_Valg[[#This Row],[Tabel ID]])-ROW(LineærRegression_Valg[[#Headers],[Tabel ID]])</f>
        <v>1383</v>
      </c>
      <c r="B1393" s="45">
        <f>ROUNDDOWN((LineærRegression_Valg[[#This Row],[Tabel ID]]-1)/$B$5,0)+1</f>
        <v>346</v>
      </c>
      <c r="C1393" s="45">
        <f t="shared" si="21"/>
        <v>3</v>
      </c>
      <c r="D1393" s="45" t="b">
        <f>LineærRegression_Valg[[#This Row],[Afhængig variabel ID]]&lt;&gt;LineærRegression_Valg[[#This Row],[Uafhængig variabel ID]]</f>
        <v>1</v>
      </c>
      <c r="E1393" t="b">
        <f>LineærRegression_Valg[[#This Row],[Afhængig variabel ID]]&lt;=$B$5</f>
        <v>0</v>
      </c>
      <c r="F1393" t="str" cm="1">
        <f t="array" ref="F1393">IF(LineærRegression_Valg[[#This Row],[Indenfor range]],INDEX(DataTitel_liste,LineærRegression_Valg[[#This Row],[Afhængig variabel ID]]),INDEX(DataTitel_liste,1))</f>
        <v>Eksempel 1 (interval)</v>
      </c>
      <c r="G1393" s="45" t="str" cm="1">
        <f t="array" ref="G1393">IF(LineærRegression_Valg[[#This Row],[Indenfor range]],IF(LineærRegression_Valg[[#This Row],[Intet overlap]],INDEX(DataTitel_liste,LineærRegression_Valg[[#This Row],[Uafhængig variabel ID]]),INDEX(DataTitel_liste,IF(LineærRegression_Valg[[#This Row],[Afhængig variabel ID]]=1,2,1))),$B$7)</f>
        <v>Eksempel 2 (interval)</v>
      </c>
      <c r="H1393" s="45">
        <f>_xlfn.AGGREGATE(2,5,LineærRegression_Valg[[#This Row],[Tabel ID]])</f>
        <v>1</v>
      </c>
    </row>
    <row r="1394" spans="1:8" x14ac:dyDescent="0.2">
      <c r="A1394">
        <f>ROW(LineærRegression_Valg[[#This Row],[Tabel ID]])-ROW(LineærRegression_Valg[[#Headers],[Tabel ID]])</f>
        <v>1384</v>
      </c>
      <c r="B1394" s="45">
        <f>ROUNDDOWN((LineærRegression_Valg[[#This Row],[Tabel ID]]-1)/$B$5,0)+1</f>
        <v>346</v>
      </c>
      <c r="C1394" s="45">
        <f t="shared" si="21"/>
        <v>4</v>
      </c>
      <c r="D1394" s="45" t="b">
        <f>LineærRegression_Valg[[#This Row],[Afhængig variabel ID]]&lt;&gt;LineærRegression_Valg[[#This Row],[Uafhængig variabel ID]]</f>
        <v>1</v>
      </c>
      <c r="E1394" t="b">
        <f>LineærRegression_Valg[[#This Row],[Afhængig variabel ID]]&lt;=$B$5</f>
        <v>0</v>
      </c>
      <c r="F1394" t="str" cm="1">
        <f t="array" ref="F1394">IF(LineærRegression_Valg[[#This Row],[Indenfor range]],INDEX(DataTitel_liste,LineærRegression_Valg[[#This Row],[Afhængig variabel ID]]),INDEX(DataTitel_liste,1))</f>
        <v>Eksempel 1 (interval)</v>
      </c>
      <c r="G1394" s="45" t="str" cm="1">
        <f t="array" ref="G1394">IF(LineærRegression_Valg[[#This Row],[Indenfor range]],IF(LineærRegression_Valg[[#This Row],[Intet overlap]],INDEX(DataTitel_liste,LineærRegression_Valg[[#This Row],[Uafhængig variabel ID]]),INDEX(DataTitel_liste,IF(LineærRegression_Valg[[#This Row],[Afhængig variabel ID]]=1,2,1))),$B$7)</f>
        <v>Eksempel 2 (interval)</v>
      </c>
      <c r="H1394" s="45">
        <f>_xlfn.AGGREGATE(2,5,LineærRegression_Valg[[#This Row],[Tabel ID]])</f>
        <v>1</v>
      </c>
    </row>
    <row r="1395" spans="1:8" x14ac:dyDescent="0.2">
      <c r="A1395">
        <f>ROW(LineærRegression_Valg[[#This Row],[Tabel ID]])-ROW(LineærRegression_Valg[[#Headers],[Tabel ID]])</f>
        <v>1385</v>
      </c>
      <c r="B1395" s="45">
        <f>ROUNDDOWN((LineærRegression_Valg[[#This Row],[Tabel ID]]-1)/$B$5,0)+1</f>
        <v>347</v>
      </c>
      <c r="C1395" s="45">
        <f t="shared" si="21"/>
        <v>1</v>
      </c>
      <c r="D1395" s="45" t="b">
        <f>LineærRegression_Valg[[#This Row],[Afhængig variabel ID]]&lt;&gt;LineærRegression_Valg[[#This Row],[Uafhængig variabel ID]]</f>
        <v>1</v>
      </c>
      <c r="E1395" t="b">
        <f>LineærRegression_Valg[[#This Row],[Afhængig variabel ID]]&lt;=$B$5</f>
        <v>0</v>
      </c>
      <c r="F1395" t="str" cm="1">
        <f t="array" ref="F1395">IF(LineærRegression_Valg[[#This Row],[Indenfor range]],INDEX(DataTitel_liste,LineærRegression_Valg[[#This Row],[Afhængig variabel ID]]),INDEX(DataTitel_liste,1))</f>
        <v>Eksempel 1 (interval)</v>
      </c>
      <c r="G1395" s="45" t="str" cm="1">
        <f t="array" ref="G1395">IF(LineærRegression_Valg[[#This Row],[Indenfor range]],IF(LineærRegression_Valg[[#This Row],[Intet overlap]],INDEX(DataTitel_liste,LineærRegression_Valg[[#This Row],[Uafhængig variabel ID]]),INDEX(DataTitel_liste,IF(LineærRegression_Valg[[#This Row],[Afhængig variabel ID]]=1,2,1))),$B$7)</f>
        <v>Eksempel 2 (interval)</v>
      </c>
      <c r="H1395" s="45">
        <f>_xlfn.AGGREGATE(2,5,LineærRegression_Valg[[#This Row],[Tabel ID]])</f>
        <v>1</v>
      </c>
    </row>
    <row r="1396" spans="1:8" x14ac:dyDescent="0.2">
      <c r="A1396">
        <f>ROW(LineærRegression_Valg[[#This Row],[Tabel ID]])-ROW(LineærRegression_Valg[[#Headers],[Tabel ID]])</f>
        <v>1386</v>
      </c>
      <c r="B1396" s="45">
        <f>ROUNDDOWN((LineærRegression_Valg[[#This Row],[Tabel ID]]-1)/$B$5,0)+1</f>
        <v>347</v>
      </c>
      <c r="C1396" s="45">
        <f t="shared" si="21"/>
        <v>2</v>
      </c>
      <c r="D1396" s="45" t="b">
        <f>LineærRegression_Valg[[#This Row],[Afhængig variabel ID]]&lt;&gt;LineærRegression_Valg[[#This Row],[Uafhængig variabel ID]]</f>
        <v>1</v>
      </c>
      <c r="E1396" t="b">
        <f>LineærRegression_Valg[[#This Row],[Afhængig variabel ID]]&lt;=$B$5</f>
        <v>0</v>
      </c>
      <c r="F1396" t="str" cm="1">
        <f t="array" ref="F1396">IF(LineærRegression_Valg[[#This Row],[Indenfor range]],INDEX(DataTitel_liste,LineærRegression_Valg[[#This Row],[Afhængig variabel ID]]),INDEX(DataTitel_liste,1))</f>
        <v>Eksempel 1 (interval)</v>
      </c>
      <c r="G1396" s="45" t="str" cm="1">
        <f t="array" ref="G1396">IF(LineærRegression_Valg[[#This Row],[Indenfor range]],IF(LineærRegression_Valg[[#This Row],[Intet overlap]],INDEX(DataTitel_liste,LineærRegression_Valg[[#This Row],[Uafhængig variabel ID]]),INDEX(DataTitel_liste,IF(LineærRegression_Valg[[#This Row],[Afhængig variabel ID]]=1,2,1))),$B$7)</f>
        <v>Eksempel 2 (interval)</v>
      </c>
      <c r="H1396" s="45">
        <f>_xlfn.AGGREGATE(2,5,LineærRegression_Valg[[#This Row],[Tabel ID]])</f>
        <v>1</v>
      </c>
    </row>
    <row r="1397" spans="1:8" x14ac:dyDescent="0.2">
      <c r="A1397">
        <f>ROW(LineærRegression_Valg[[#This Row],[Tabel ID]])-ROW(LineærRegression_Valg[[#Headers],[Tabel ID]])</f>
        <v>1387</v>
      </c>
      <c r="B1397" s="45">
        <f>ROUNDDOWN((LineærRegression_Valg[[#This Row],[Tabel ID]]-1)/$B$5,0)+1</f>
        <v>347</v>
      </c>
      <c r="C1397" s="45">
        <f t="shared" si="21"/>
        <v>3</v>
      </c>
      <c r="D1397" s="45" t="b">
        <f>LineærRegression_Valg[[#This Row],[Afhængig variabel ID]]&lt;&gt;LineærRegression_Valg[[#This Row],[Uafhængig variabel ID]]</f>
        <v>1</v>
      </c>
      <c r="E1397" t="b">
        <f>LineærRegression_Valg[[#This Row],[Afhængig variabel ID]]&lt;=$B$5</f>
        <v>0</v>
      </c>
      <c r="F1397" t="str" cm="1">
        <f t="array" ref="F1397">IF(LineærRegression_Valg[[#This Row],[Indenfor range]],INDEX(DataTitel_liste,LineærRegression_Valg[[#This Row],[Afhængig variabel ID]]),INDEX(DataTitel_liste,1))</f>
        <v>Eksempel 1 (interval)</v>
      </c>
      <c r="G1397" s="45" t="str" cm="1">
        <f t="array" ref="G1397">IF(LineærRegression_Valg[[#This Row],[Indenfor range]],IF(LineærRegression_Valg[[#This Row],[Intet overlap]],INDEX(DataTitel_liste,LineærRegression_Valg[[#This Row],[Uafhængig variabel ID]]),INDEX(DataTitel_liste,IF(LineærRegression_Valg[[#This Row],[Afhængig variabel ID]]=1,2,1))),$B$7)</f>
        <v>Eksempel 2 (interval)</v>
      </c>
      <c r="H1397" s="45">
        <f>_xlfn.AGGREGATE(2,5,LineærRegression_Valg[[#This Row],[Tabel ID]])</f>
        <v>1</v>
      </c>
    </row>
    <row r="1398" spans="1:8" x14ac:dyDescent="0.2">
      <c r="A1398">
        <f>ROW(LineærRegression_Valg[[#This Row],[Tabel ID]])-ROW(LineærRegression_Valg[[#Headers],[Tabel ID]])</f>
        <v>1388</v>
      </c>
      <c r="B1398" s="45">
        <f>ROUNDDOWN((LineærRegression_Valg[[#This Row],[Tabel ID]]-1)/$B$5,0)+1</f>
        <v>347</v>
      </c>
      <c r="C1398" s="45">
        <f t="shared" si="21"/>
        <v>4</v>
      </c>
      <c r="D1398" s="45" t="b">
        <f>LineærRegression_Valg[[#This Row],[Afhængig variabel ID]]&lt;&gt;LineærRegression_Valg[[#This Row],[Uafhængig variabel ID]]</f>
        <v>1</v>
      </c>
      <c r="E1398" t="b">
        <f>LineærRegression_Valg[[#This Row],[Afhængig variabel ID]]&lt;=$B$5</f>
        <v>0</v>
      </c>
      <c r="F1398" t="str" cm="1">
        <f t="array" ref="F1398">IF(LineærRegression_Valg[[#This Row],[Indenfor range]],INDEX(DataTitel_liste,LineærRegression_Valg[[#This Row],[Afhængig variabel ID]]),INDEX(DataTitel_liste,1))</f>
        <v>Eksempel 1 (interval)</v>
      </c>
      <c r="G1398" s="45" t="str" cm="1">
        <f t="array" ref="G1398">IF(LineærRegression_Valg[[#This Row],[Indenfor range]],IF(LineærRegression_Valg[[#This Row],[Intet overlap]],INDEX(DataTitel_liste,LineærRegression_Valg[[#This Row],[Uafhængig variabel ID]]),INDEX(DataTitel_liste,IF(LineærRegression_Valg[[#This Row],[Afhængig variabel ID]]=1,2,1))),$B$7)</f>
        <v>Eksempel 2 (interval)</v>
      </c>
      <c r="H1398" s="45">
        <f>_xlfn.AGGREGATE(2,5,LineærRegression_Valg[[#This Row],[Tabel ID]])</f>
        <v>1</v>
      </c>
    </row>
    <row r="1399" spans="1:8" x14ac:dyDescent="0.2">
      <c r="A1399">
        <f>ROW(LineærRegression_Valg[[#This Row],[Tabel ID]])-ROW(LineærRegression_Valg[[#Headers],[Tabel ID]])</f>
        <v>1389</v>
      </c>
      <c r="B1399" s="45">
        <f>ROUNDDOWN((LineærRegression_Valg[[#This Row],[Tabel ID]]-1)/$B$5,0)+1</f>
        <v>348</v>
      </c>
      <c r="C1399" s="45">
        <f t="shared" si="21"/>
        <v>1</v>
      </c>
      <c r="D1399" s="45" t="b">
        <f>LineærRegression_Valg[[#This Row],[Afhængig variabel ID]]&lt;&gt;LineærRegression_Valg[[#This Row],[Uafhængig variabel ID]]</f>
        <v>1</v>
      </c>
      <c r="E1399" t="b">
        <f>LineærRegression_Valg[[#This Row],[Afhængig variabel ID]]&lt;=$B$5</f>
        <v>0</v>
      </c>
      <c r="F1399" t="str" cm="1">
        <f t="array" ref="F1399">IF(LineærRegression_Valg[[#This Row],[Indenfor range]],INDEX(DataTitel_liste,LineærRegression_Valg[[#This Row],[Afhængig variabel ID]]),INDEX(DataTitel_liste,1))</f>
        <v>Eksempel 1 (interval)</v>
      </c>
      <c r="G1399" s="45" t="str" cm="1">
        <f t="array" ref="G1399">IF(LineærRegression_Valg[[#This Row],[Indenfor range]],IF(LineærRegression_Valg[[#This Row],[Intet overlap]],INDEX(DataTitel_liste,LineærRegression_Valg[[#This Row],[Uafhængig variabel ID]]),INDEX(DataTitel_liste,IF(LineærRegression_Valg[[#This Row],[Afhængig variabel ID]]=1,2,1))),$B$7)</f>
        <v>Eksempel 2 (interval)</v>
      </c>
      <c r="H1399" s="45">
        <f>_xlfn.AGGREGATE(2,5,LineærRegression_Valg[[#This Row],[Tabel ID]])</f>
        <v>1</v>
      </c>
    </row>
    <row r="1400" spans="1:8" x14ac:dyDescent="0.2">
      <c r="A1400">
        <f>ROW(LineærRegression_Valg[[#This Row],[Tabel ID]])-ROW(LineærRegression_Valg[[#Headers],[Tabel ID]])</f>
        <v>1390</v>
      </c>
      <c r="B1400" s="45">
        <f>ROUNDDOWN((LineærRegression_Valg[[#This Row],[Tabel ID]]-1)/$B$5,0)+1</f>
        <v>348</v>
      </c>
      <c r="C1400" s="45">
        <f t="shared" si="21"/>
        <v>2</v>
      </c>
      <c r="D1400" s="45" t="b">
        <f>LineærRegression_Valg[[#This Row],[Afhængig variabel ID]]&lt;&gt;LineærRegression_Valg[[#This Row],[Uafhængig variabel ID]]</f>
        <v>1</v>
      </c>
      <c r="E1400" t="b">
        <f>LineærRegression_Valg[[#This Row],[Afhængig variabel ID]]&lt;=$B$5</f>
        <v>0</v>
      </c>
      <c r="F1400" t="str" cm="1">
        <f t="array" ref="F1400">IF(LineærRegression_Valg[[#This Row],[Indenfor range]],INDEX(DataTitel_liste,LineærRegression_Valg[[#This Row],[Afhængig variabel ID]]),INDEX(DataTitel_liste,1))</f>
        <v>Eksempel 1 (interval)</v>
      </c>
      <c r="G1400" s="45" t="str" cm="1">
        <f t="array" ref="G1400">IF(LineærRegression_Valg[[#This Row],[Indenfor range]],IF(LineærRegression_Valg[[#This Row],[Intet overlap]],INDEX(DataTitel_liste,LineærRegression_Valg[[#This Row],[Uafhængig variabel ID]]),INDEX(DataTitel_liste,IF(LineærRegression_Valg[[#This Row],[Afhængig variabel ID]]=1,2,1))),$B$7)</f>
        <v>Eksempel 2 (interval)</v>
      </c>
      <c r="H1400" s="45">
        <f>_xlfn.AGGREGATE(2,5,LineærRegression_Valg[[#This Row],[Tabel ID]])</f>
        <v>1</v>
      </c>
    </row>
    <row r="1401" spans="1:8" x14ac:dyDescent="0.2">
      <c r="A1401">
        <f>ROW(LineærRegression_Valg[[#This Row],[Tabel ID]])-ROW(LineærRegression_Valg[[#Headers],[Tabel ID]])</f>
        <v>1391</v>
      </c>
      <c r="B1401" s="45">
        <f>ROUNDDOWN((LineærRegression_Valg[[#This Row],[Tabel ID]]-1)/$B$5,0)+1</f>
        <v>348</v>
      </c>
      <c r="C1401" s="45">
        <f t="shared" si="21"/>
        <v>3</v>
      </c>
      <c r="D1401" s="45" t="b">
        <f>LineærRegression_Valg[[#This Row],[Afhængig variabel ID]]&lt;&gt;LineærRegression_Valg[[#This Row],[Uafhængig variabel ID]]</f>
        <v>1</v>
      </c>
      <c r="E1401" t="b">
        <f>LineærRegression_Valg[[#This Row],[Afhængig variabel ID]]&lt;=$B$5</f>
        <v>0</v>
      </c>
      <c r="F1401" t="str" cm="1">
        <f t="array" ref="F1401">IF(LineærRegression_Valg[[#This Row],[Indenfor range]],INDEX(DataTitel_liste,LineærRegression_Valg[[#This Row],[Afhængig variabel ID]]),INDEX(DataTitel_liste,1))</f>
        <v>Eksempel 1 (interval)</v>
      </c>
      <c r="G1401" s="45" t="str" cm="1">
        <f t="array" ref="G1401">IF(LineærRegression_Valg[[#This Row],[Indenfor range]],IF(LineærRegression_Valg[[#This Row],[Intet overlap]],INDEX(DataTitel_liste,LineærRegression_Valg[[#This Row],[Uafhængig variabel ID]]),INDEX(DataTitel_liste,IF(LineærRegression_Valg[[#This Row],[Afhængig variabel ID]]=1,2,1))),$B$7)</f>
        <v>Eksempel 2 (interval)</v>
      </c>
      <c r="H1401" s="45">
        <f>_xlfn.AGGREGATE(2,5,LineærRegression_Valg[[#This Row],[Tabel ID]])</f>
        <v>1</v>
      </c>
    </row>
    <row r="1402" spans="1:8" x14ac:dyDescent="0.2">
      <c r="A1402">
        <f>ROW(LineærRegression_Valg[[#This Row],[Tabel ID]])-ROW(LineærRegression_Valg[[#Headers],[Tabel ID]])</f>
        <v>1392</v>
      </c>
      <c r="B1402" s="45">
        <f>ROUNDDOWN((LineærRegression_Valg[[#This Row],[Tabel ID]]-1)/$B$5,0)+1</f>
        <v>348</v>
      </c>
      <c r="C1402" s="45">
        <f t="shared" si="21"/>
        <v>4</v>
      </c>
      <c r="D1402" s="45" t="b">
        <f>LineærRegression_Valg[[#This Row],[Afhængig variabel ID]]&lt;&gt;LineærRegression_Valg[[#This Row],[Uafhængig variabel ID]]</f>
        <v>1</v>
      </c>
      <c r="E1402" t="b">
        <f>LineærRegression_Valg[[#This Row],[Afhængig variabel ID]]&lt;=$B$5</f>
        <v>0</v>
      </c>
      <c r="F1402" t="str" cm="1">
        <f t="array" ref="F1402">IF(LineærRegression_Valg[[#This Row],[Indenfor range]],INDEX(DataTitel_liste,LineærRegression_Valg[[#This Row],[Afhængig variabel ID]]),INDEX(DataTitel_liste,1))</f>
        <v>Eksempel 1 (interval)</v>
      </c>
      <c r="G1402" s="45" t="str" cm="1">
        <f t="array" ref="G1402">IF(LineærRegression_Valg[[#This Row],[Indenfor range]],IF(LineærRegression_Valg[[#This Row],[Intet overlap]],INDEX(DataTitel_liste,LineærRegression_Valg[[#This Row],[Uafhængig variabel ID]]),INDEX(DataTitel_liste,IF(LineærRegression_Valg[[#This Row],[Afhængig variabel ID]]=1,2,1))),$B$7)</f>
        <v>Eksempel 2 (interval)</v>
      </c>
      <c r="H1402" s="45">
        <f>_xlfn.AGGREGATE(2,5,LineærRegression_Valg[[#This Row],[Tabel ID]])</f>
        <v>1</v>
      </c>
    </row>
    <row r="1403" spans="1:8" x14ac:dyDescent="0.2">
      <c r="A1403">
        <f>ROW(LineærRegression_Valg[[#This Row],[Tabel ID]])-ROW(LineærRegression_Valg[[#Headers],[Tabel ID]])</f>
        <v>1393</v>
      </c>
      <c r="B1403" s="45">
        <f>ROUNDDOWN((LineærRegression_Valg[[#This Row],[Tabel ID]]-1)/$B$5,0)+1</f>
        <v>349</v>
      </c>
      <c r="C1403" s="45">
        <f t="shared" si="21"/>
        <v>1</v>
      </c>
      <c r="D1403" s="45" t="b">
        <f>LineærRegression_Valg[[#This Row],[Afhængig variabel ID]]&lt;&gt;LineærRegression_Valg[[#This Row],[Uafhængig variabel ID]]</f>
        <v>1</v>
      </c>
      <c r="E1403" t="b">
        <f>LineærRegression_Valg[[#This Row],[Afhængig variabel ID]]&lt;=$B$5</f>
        <v>0</v>
      </c>
      <c r="F1403" t="str" cm="1">
        <f t="array" ref="F1403">IF(LineærRegression_Valg[[#This Row],[Indenfor range]],INDEX(DataTitel_liste,LineærRegression_Valg[[#This Row],[Afhængig variabel ID]]),INDEX(DataTitel_liste,1))</f>
        <v>Eksempel 1 (interval)</v>
      </c>
      <c r="G1403" s="45" t="str" cm="1">
        <f t="array" ref="G1403">IF(LineærRegression_Valg[[#This Row],[Indenfor range]],IF(LineærRegression_Valg[[#This Row],[Intet overlap]],INDEX(DataTitel_liste,LineærRegression_Valg[[#This Row],[Uafhængig variabel ID]]),INDEX(DataTitel_liste,IF(LineærRegression_Valg[[#This Row],[Afhængig variabel ID]]=1,2,1))),$B$7)</f>
        <v>Eksempel 2 (interval)</v>
      </c>
      <c r="H1403" s="45">
        <f>_xlfn.AGGREGATE(2,5,LineærRegression_Valg[[#This Row],[Tabel ID]])</f>
        <v>1</v>
      </c>
    </row>
    <row r="1404" spans="1:8" x14ac:dyDescent="0.2">
      <c r="A1404">
        <f>ROW(LineærRegression_Valg[[#This Row],[Tabel ID]])-ROW(LineærRegression_Valg[[#Headers],[Tabel ID]])</f>
        <v>1394</v>
      </c>
      <c r="B1404" s="45">
        <f>ROUNDDOWN((LineærRegression_Valg[[#This Row],[Tabel ID]]-1)/$B$5,0)+1</f>
        <v>349</v>
      </c>
      <c r="C1404" s="45">
        <f t="shared" si="21"/>
        <v>2</v>
      </c>
      <c r="D1404" s="45" t="b">
        <f>LineærRegression_Valg[[#This Row],[Afhængig variabel ID]]&lt;&gt;LineærRegression_Valg[[#This Row],[Uafhængig variabel ID]]</f>
        <v>1</v>
      </c>
      <c r="E1404" t="b">
        <f>LineærRegression_Valg[[#This Row],[Afhængig variabel ID]]&lt;=$B$5</f>
        <v>0</v>
      </c>
      <c r="F1404" t="str" cm="1">
        <f t="array" ref="F1404">IF(LineærRegression_Valg[[#This Row],[Indenfor range]],INDEX(DataTitel_liste,LineærRegression_Valg[[#This Row],[Afhængig variabel ID]]),INDEX(DataTitel_liste,1))</f>
        <v>Eksempel 1 (interval)</v>
      </c>
      <c r="G1404" s="45" t="str" cm="1">
        <f t="array" ref="G1404">IF(LineærRegression_Valg[[#This Row],[Indenfor range]],IF(LineærRegression_Valg[[#This Row],[Intet overlap]],INDEX(DataTitel_liste,LineærRegression_Valg[[#This Row],[Uafhængig variabel ID]]),INDEX(DataTitel_liste,IF(LineærRegression_Valg[[#This Row],[Afhængig variabel ID]]=1,2,1))),$B$7)</f>
        <v>Eksempel 2 (interval)</v>
      </c>
      <c r="H1404" s="45">
        <f>_xlfn.AGGREGATE(2,5,LineærRegression_Valg[[#This Row],[Tabel ID]])</f>
        <v>1</v>
      </c>
    </row>
    <row r="1405" spans="1:8" x14ac:dyDescent="0.2">
      <c r="A1405">
        <f>ROW(LineærRegression_Valg[[#This Row],[Tabel ID]])-ROW(LineærRegression_Valg[[#Headers],[Tabel ID]])</f>
        <v>1395</v>
      </c>
      <c r="B1405" s="45">
        <f>ROUNDDOWN((LineærRegression_Valg[[#This Row],[Tabel ID]]-1)/$B$5,0)+1</f>
        <v>349</v>
      </c>
      <c r="C1405" s="45">
        <f t="shared" si="21"/>
        <v>3</v>
      </c>
      <c r="D1405" s="45" t="b">
        <f>LineærRegression_Valg[[#This Row],[Afhængig variabel ID]]&lt;&gt;LineærRegression_Valg[[#This Row],[Uafhængig variabel ID]]</f>
        <v>1</v>
      </c>
      <c r="E1405" t="b">
        <f>LineærRegression_Valg[[#This Row],[Afhængig variabel ID]]&lt;=$B$5</f>
        <v>0</v>
      </c>
      <c r="F1405" t="str" cm="1">
        <f t="array" ref="F1405">IF(LineærRegression_Valg[[#This Row],[Indenfor range]],INDEX(DataTitel_liste,LineærRegression_Valg[[#This Row],[Afhængig variabel ID]]),INDEX(DataTitel_liste,1))</f>
        <v>Eksempel 1 (interval)</v>
      </c>
      <c r="G1405" s="45" t="str" cm="1">
        <f t="array" ref="G1405">IF(LineærRegression_Valg[[#This Row],[Indenfor range]],IF(LineærRegression_Valg[[#This Row],[Intet overlap]],INDEX(DataTitel_liste,LineærRegression_Valg[[#This Row],[Uafhængig variabel ID]]),INDEX(DataTitel_liste,IF(LineærRegression_Valg[[#This Row],[Afhængig variabel ID]]=1,2,1))),$B$7)</f>
        <v>Eksempel 2 (interval)</v>
      </c>
      <c r="H1405" s="45">
        <f>_xlfn.AGGREGATE(2,5,LineærRegression_Valg[[#This Row],[Tabel ID]])</f>
        <v>1</v>
      </c>
    </row>
    <row r="1406" spans="1:8" x14ac:dyDescent="0.2">
      <c r="A1406">
        <f>ROW(LineærRegression_Valg[[#This Row],[Tabel ID]])-ROW(LineærRegression_Valg[[#Headers],[Tabel ID]])</f>
        <v>1396</v>
      </c>
      <c r="B1406" s="45">
        <f>ROUNDDOWN((LineærRegression_Valg[[#This Row],[Tabel ID]]-1)/$B$5,0)+1</f>
        <v>349</v>
      </c>
      <c r="C1406" s="45">
        <f t="shared" si="21"/>
        <v>4</v>
      </c>
      <c r="D1406" s="45" t="b">
        <f>LineærRegression_Valg[[#This Row],[Afhængig variabel ID]]&lt;&gt;LineærRegression_Valg[[#This Row],[Uafhængig variabel ID]]</f>
        <v>1</v>
      </c>
      <c r="E1406" t="b">
        <f>LineærRegression_Valg[[#This Row],[Afhængig variabel ID]]&lt;=$B$5</f>
        <v>0</v>
      </c>
      <c r="F1406" t="str" cm="1">
        <f t="array" ref="F1406">IF(LineærRegression_Valg[[#This Row],[Indenfor range]],INDEX(DataTitel_liste,LineærRegression_Valg[[#This Row],[Afhængig variabel ID]]),INDEX(DataTitel_liste,1))</f>
        <v>Eksempel 1 (interval)</v>
      </c>
      <c r="G1406" s="45" t="str" cm="1">
        <f t="array" ref="G1406">IF(LineærRegression_Valg[[#This Row],[Indenfor range]],IF(LineærRegression_Valg[[#This Row],[Intet overlap]],INDEX(DataTitel_liste,LineærRegression_Valg[[#This Row],[Uafhængig variabel ID]]),INDEX(DataTitel_liste,IF(LineærRegression_Valg[[#This Row],[Afhængig variabel ID]]=1,2,1))),$B$7)</f>
        <v>Eksempel 2 (interval)</v>
      </c>
      <c r="H1406" s="45">
        <f>_xlfn.AGGREGATE(2,5,LineærRegression_Valg[[#This Row],[Tabel ID]])</f>
        <v>1</v>
      </c>
    </row>
    <row r="1407" spans="1:8" x14ac:dyDescent="0.2">
      <c r="A1407">
        <f>ROW(LineærRegression_Valg[[#This Row],[Tabel ID]])-ROW(LineærRegression_Valg[[#Headers],[Tabel ID]])</f>
        <v>1397</v>
      </c>
      <c r="B1407" s="45">
        <f>ROUNDDOWN((LineærRegression_Valg[[#This Row],[Tabel ID]]-1)/$B$5,0)+1</f>
        <v>350</v>
      </c>
      <c r="C1407" s="45">
        <f t="shared" si="21"/>
        <v>1</v>
      </c>
      <c r="D1407" s="45" t="b">
        <f>LineærRegression_Valg[[#This Row],[Afhængig variabel ID]]&lt;&gt;LineærRegression_Valg[[#This Row],[Uafhængig variabel ID]]</f>
        <v>1</v>
      </c>
      <c r="E1407" t="b">
        <f>LineærRegression_Valg[[#This Row],[Afhængig variabel ID]]&lt;=$B$5</f>
        <v>0</v>
      </c>
      <c r="F1407" t="str" cm="1">
        <f t="array" ref="F1407">IF(LineærRegression_Valg[[#This Row],[Indenfor range]],INDEX(DataTitel_liste,LineærRegression_Valg[[#This Row],[Afhængig variabel ID]]),INDEX(DataTitel_liste,1))</f>
        <v>Eksempel 1 (interval)</v>
      </c>
      <c r="G1407" s="45" t="str" cm="1">
        <f t="array" ref="G1407">IF(LineærRegression_Valg[[#This Row],[Indenfor range]],IF(LineærRegression_Valg[[#This Row],[Intet overlap]],INDEX(DataTitel_liste,LineærRegression_Valg[[#This Row],[Uafhængig variabel ID]]),INDEX(DataTitel_liste,IF(LineærRegression_Valg[[#This Row],[Afhængig variabel ID]]=1,2,1))),$B$7)</f>
        <v>Eksempel 2 (interval)</v>
      </c>
      <c r="H1407" s="45">
        <f>_xlfn.AGGREGATE(2,5,LineærRegression_Valg[[#This Row],[Tabel ID]])</f>
        <v>1</v>
      </c>
    </row>
    <row r="1408" spans="1:8" x14ac:dyDescent="0.2">
      <c r="A1408">
        <f>ROW(LineærRegression_Valg[[#This Row],[Tabel ID]])-ROW(LineærRegression_Valg[[#Headers],[Tabel ID]])</f>
        <v>1398</v>
      </c>
      <c r="B1408" s="45">
        <f>ROUNDDOWN((LineærRegression_Valg[[#This Row],[Tabel ID]]-1)/$B$5,0)+1</f>
        <v>350</v>
      </c>
      <c r="C1408" s="45">
        <f t="shared" si="21"/>
        <v>2</v>
      </c>
      <c r="D1408" s="45" t="b">
        <f>LineærRegression_Valg[[#This Row],[Afhængig variabel ID]]&lt;&gt;LineærRegression_Valg[[#This Row],[Uafhængig variabel ID]]</f>
        <v>1</v>
      </c>
      <c r="E1408" t="b">
        <f>LineærRegression_Valg[[#This Row],[Afhængig variabel ID]]&lt;=$B$5</f>
        <v>0</v>
      </c>
      <c r="F1408" t="str" cm="1">
        <f t="array" ref="F1408">IF(LineærRegression_Valg[[#This Row],[Indenfor range]],INDEX(DataTitel_liste,LineærRegression_Valg[[#This Row],[Afhængig variabel ID]]),INDEX(DataTitel_liste,1))</f>
        <v>Eksempel 1 (interval)</v>
      </c>
      <c r="G1408" s="45" t="str" cm="1">
        <f t="array" ref="G1408">IF(LineærRegression_Valg[[#This Row],[Indenfor range]],IF(LineærRegression_Valg[[#This Row],[Intet overlap]],INDEX(DataTitel_liste,LineærRegression_Valg[[#This Row],[Uafhængig variabel ID]]),INDEX(DataTitel_liste,IF(LineærRegression_Valg[[#This Row],[Afhængig variabel ID]]=1,2,1))),$B$7)</f>
        <v>Eksempel 2 (interval)</v>
      </c>
      <c r="H1408" s="45">
        <f>_xlfn.AGGREGATE(2,5,LineærRegression_Valg[[#This Row],[Tabel ID]])</f>
        <v>1</v>
      </c>
    </row>
    <row r="1409" spans="1:8" x14ac:dyDescent="0.2">
      <c r="A1409">
        <f>ROW(LineærRegression_Valg[[#This Row],[Tabel ID]])-ROW(LineærRegression_Valg[[#Headers],[Tabel ID]])</f>
        <v>1399</v>
      </c>
      <c r="B1409" s="45">
        <f>ROUNDDOWN((LineærRegression_Valg[[#This Row],[Tabel ID]]-1)/$B$5,0)+1</f>
        <v>350</v>
      </c>
      <c r="C1409" s="45">
        <f t="shared" si="21"/>
        <v>3</v>
      </c>
      <c r="D1409" s="45" t="b">
        <f>LineærRegression_Valg[[#This Row],[Afhængig variabel ID]]&lt;&gt;LineærRegression_Valg[[#This Row],[Uafhængig variabel ID]]</f>
        <v>1</v>
      </c>
      <c r="E1409" t="b">
        <f>LineærRegression_Valg[[#This Row],[Afhængig variabel ID]]&lt;=$B$5</f>
        <v>0</v>
      </c>
      <c r="F1409" t="str" cm="1">
        <f t="array" ref="F1409">IF(LineærRegression_Valg[[#This Row],[Indenfor range]],INDEX(DataTitel_liste,LineærRegression_Valg[[#This Row],[Afhængig variabel ID]]),INDEX(DataTitel_liste,1))</f>
        <v>Eksempel 1 (interval)</v>
      </c>
      <c r="G1409" s="45" t="str" cm="1">
        <f t="array" ref="G1409">IF(LineærRegression_Valg[[#This Row],[Indenfor range]],IF(LineærRegression_Valg[[#This Row],[Intet overlap]],INDEX(DataTitel_liste,LineærRegression_Valg[[#This Row],[Uafhængig variabel ID]]),INDEX(DataTitel_liste,IF(LineærRegression_Valg[[#This Row],[Afhængig variabel ID]]=1,2,1))),$B$7)</f>
        <v>Eksempel 2 (interval)</v>
      </c>
      <c r="H1409" s="45">
        <f>_xlfn.AGGREGATE(2,5,LineærRegression_Valg[[#This Row],[Tabel ID]])</f>
        <v>1</v>
      </c>
    </row>
    <row r="1410" spans="1:8" x14ac:dyDescent="0.2">
      <c r="A1410">
        <f>ROW(LineærRegression_Valg[[#This Row],[Tabel ID]])-ROW(LineærRegression_Valg[[#Headers],[Tabel ID]])</f>
        <v>1400</v>
      </c>
      <c r="B1410" s="45">
        <f>ROUNDDOWN((LineærRegression_Valg[[#This Row],[Tabel ID]]-1)/$B$5,0)+1</f>
        <v>350</v>
      </c>
      <c r="C1410" s="45">
        <f t="shared" si="21"/>
        <v>4</v>
      </c>
      <c r="D1410" s="45" t="b">
        <f>LineærRegression_Valg[[#This Row],[Afhængig variabel ID]]&lt;&gt;LineærRegression_Valg[[#This Row],[Uafhængig variabel ID]]</f>
        <v>1</v>
      </c>
      <c r="E1410" t="b">
        <f>LineærRegression_Valg[[#This Row],[Afhængig variabel ID]]&lt;=$B$5</f>
        <v>0</v>
      </c>
      <c r="F1410" t="str" cm="1">
        <f t="array" ref="F1410">IF(LineærRegression_Valg[[#This Row],[Indenfor range]],INDEX(DataTitel_liste,LineærRegression_Valg[[#This Row],[Afhængig variabel ID]]),INDEX(DataTitel_liste,1))</f>
        <v>Eksempel 1 (interval)</v>
      </c>
      <c r="G1410" s="45" t="str" cm="1">
        <f t="array" ref="G1410">IF(LineærRegression_Valg[[#This Row],[Indenfor range]],IF(LineærRegression_Valg[[#This Row],[Intet overlap]],INDEX(DataTitel_liste,LineærRegression_Valg[[#This Row],[Uafhængig variabel ID]]),INDEX(DataTitel_liste,IF(LineærRegression_Valg[[#This Row],[Afhængig variabel ID]]=1,2,1))),$B$7)</f>
        <v>Eksempel 2 (interval)</v>
      </c>
      <c r="H1410" s="45">
        <f>_xlfn.AGGREGATE(2,5,LineærRegression_Valg[[#This Row],[Tabel ID]])</f>
        <v>1</v>
      </c>
    </row>
    <row r="1411" spans="1:8" x14ac:dyDescent="0.2">
      <c r="A1411">
        <f>ROW(LineærRegression_Valg[[#This Row],[Tabel ID]])-ROW(LineærRegression_Valg[[#Headers],[Tabel ID]])</f>
        <v>1401</v>
      </c>
      <c r="B1411" s="45">
        <f>ROUNDDOWN((LineærRegression_Valg[[#This Row],[Tabel ID]]-1)/$B$5,0)+1</f>
        <v>351</v>
      </c>
      <c r="C1411" s="45">
        <f t="shared" si="21"/>
        <v>1</v>
      </c>
      <c r="D1411" s="45" t="b">
        <f>LineærRegression_Valg[[#This Row],[Afhængig variabel ID]]&lt;&gt;LineærRegression_Valg[[#This Row],[Uafhængig variabel ID]]</f>
        <v>1</v>
      </c>
      <c r="E1411" t="b">
        <f>LineærRegression_Valg[[#This Row],[Afhængig variabel ID]]&lt;=$B$5</f>
        <v>0</v>
      </c>
      <c r="F1411" t="str" cm="1">
        <f t="array" ref="F1411">IF(LineærRegression_Valg[[#This Row],[Indenfor range]],INDEX(DataTitel_liste,LineærRegression_Valg[[#This Row],[Afhængig variabel ID]]),INDEX(DataTitel_liste,1))</f>
        <v>Eksempel 1 (interval)</v>
      </c>
      <c r="G1411" s="45" t="str" cm="1">
        <f t="array" ref="G1411">IF(LineærRegression_Valg[[#This Row],[Indenfor range]],IF(LineærRegression_Valg[[#This Row],[Intet overlap]],INDEX(DataTitel_liste,LineærRegression_Valg[[#This Row],[Uafhængig variabel ID]]),INDEX(DataTitel_liste,IF(LineærRegression_Valg[[#This Row],[Afhængig variabel ID]]=1,2,1))),$B$7)</f>
        <v>Eksempel 2 (interval)</v>
      </c>
      <c r="H1411" s="45">
        <f>_xlfn.AGGREGATE(2,5,LineærRegression_Valg[[#This Row],[Tabel ID]])</f>
        <v>1</v>
      </c>
    </row>
    <row r="1412" spans="1:8" x14ac:dyDescent="0.2">
      <c r="A1412">
        <f>ROW(LineærRegression_Valg[[#This Row],[Tabel ID]])-ROW(LineærRegression_Valg[[#Headers],[Tabel ID]])</f>
        <v>1402</v>
      </c>
      <c r="B1412" s="45">
        <f>ROUNDDOWN((LineærRegression_Valg[[#This Row],[Tabel ID]]-1)/$B$5,0)+1</f>
        <v>351</v>
      </c>
      <c r="C1412" s="45">
        <f t="shared" si="21"/>
        <v>2</v>
      </c>
      <c r="D1412" s="45" t="b">
        <f>LineærRegression_Valg[[#This Row],[Afhængig variabel ID]]&lt;&gt;LineærRegression_Valg[[#This Row],[Uafhængig variabel ID]]</f>
        <v>1</v>
      </c>
      <c r="E1412" t="b">
        <f>LineærRegression_Valg[[#This Row],[Afhængig variabel ID]]&lt;=$B$5</f>
        <v>0</v>
      </c>
      <c r="F1412" t="str" cm="1">
        <f t="array" ref="F1412">IF(LineærRegression_Valg[[#This Row],[Indenfor range]],INDEX(DataTitel_liste,LineærRegression_Valg[[#This Row],[Afhængig variabel ID]]),INDEX(DataTitel_liste,1))</f>
        <v>Eksempel 1 (interval)</v>
      </c>
      <c r="G1412" s="45" t="str" cm="1">
        <f t="array" ref="G1412">IF(LineærRegression_Valg[[#This Row],[Indenfor range]],IF(LineærRegression_Valg[[#This Row],[Intet overlap]],INDEX(DataTitel_liste,LineærRegression_Valg[[#This Row],[Uafhængig variabel ID]]),INDEX(DataTitel_liste,IF(LineærRegression_Valg[[#This Row],[Afhængig variabel ID]]=1,2,1))),$B$7)</f>
        <v>Eksempel 2 (interval)</v>
      </c>
      <c r="H1412" s="45">
        <f>_xlfn.AGGREGATE(2,5,LineærRegression_Valg[[#This Row],[Tabel ID]])</f>
        <v>1</v>
      </c>
    </row>
    <row r="1413" spans="1:8" x14ac:dyDescent="0.2">
      <c r="A1413">
        <f>ROW(LineærRegression_Valg[[#This Row],[Tabel ID]])-ROW(LineærRegression_Valg[[#Headers],[Tabel ID]])</f>
        <v>1403</v>
      </c>
      <c r="B1413" s="45">
        <f>ROUNDDOWN((LineærRegression_Valg[[#This Row],[Tabel ID]]-1)/$B$5,0)+1</f>
        <v>351</v>
      </c>
      <c r="C1413" s="45">
        <f t="shared" si="21"/>
        <v>3</v>
      </c>
      <c r="D1413" s="45" t="b">
        <f>LineærRegression_Valg[[#This Row],[Afhængig variabel ID]]&lt;&gt;LineærRegression_Valg[[#This Row],[Uafhængig variabel ID]]</f>
        <v>1</v>
      </c>
      <c r="E1413" t="b">
        <f>LineærRegression_Valg[[#This Row],[Afhængig variabel ID]]&lt;=$B$5</f>
        <v>0</v>
      </c>
      <c r="F1413" t="str" cm="1">
        <f t="array" ref="F1413">IF(LineærRegression_Valg[[#This Row],[Indenfor range]],INDEX(DataTitel_liste,LineærRegression_Valg[[#This Row],[Afhængig variabel ID]]),INDEX(DataTitel_liste,1))</f>
        <v>Eksempel 1 (interval)</v>
      </c>
      <c r="G1413" s="45" t="str" cm="1">
        <f t="array" ref="G1413">IF(LineærRegression_Valg[[#This Row],[Indenfor range]],IF(LineærRegression_Valg[[#This Row],[Intet overlap]],INDEX(DataTitel_liste,LineærRegression_Valg[[#This Row],[Uafhængig variabel ID]]),INDEX(DataTitel_liste,IF(LineærRegression_Valg[[#This Row],[Afhængig variabel ID]]=1,2,1))),$B$7)</f>
        <v>Eksempel 2 (interval)</v>
      </c>
      <c r="H1413" s="45">
        <f>_xlfn.AGGREGATE(2,5,LineærRegression_Valg[[#This Row],[Tabel ID]])</f>
        <v>1</v>
      </c>
    </row>
    <row r="1414" spans="1:8" x14ac:dyDescent="0.2">
      <c r="A1414">
        <f>ROW(LineærRegression_Valg[[#This Row],[Tabel ID]])-ROW(LineærRegression_Valg[[#Headers],[Tabel ID]])</f>
        <v>1404</v>
      </c>
      <c r="B1414" s="45">
        <f>ROUNDDOWN((LineærRegression_Valg[[#This Row],[Tabel ID]]-1)/$B$5,0)+1</f>
        <v>351</v>
      </c>
      <c r="C1414" s="45">
        <f t="shared" si="21"/>
        <v>4</v>
      </c>
      <c r="D1414" s="45" t="b">
        <f>LineærRegression_Valg[[#This Row],[Afhængig variabel ID]]&lt;&gt;LineærRegression_Valg[[#This Row],[Uafhængig variabel ID]]</f>
        <v>1</v>
      </c>
      <c r="E1414" t="b">
        <f>LineærRegression_Valg[[#This Row],[Afhængig variabel ID]]&lt;=$B$5</f>
        <v>0</v>
      </c>
      <c r="F1414" t="str" cm="1">
        <f t="array" ref="F1414">IF(LineærRegression_Valg[[#This Row],[Indenfor range]],INDEX(DataTitel_liste,LineærRegression_Valg[[#This Row],[Afhængig variabel ID]]),INDEX(DataTitel_liste,1))</f>
        <v>Eksempel 1 (interval)</v>
      </c>
      <c r="G1414" s="45" t="str" cm="1">
        <f t="array" ref="G1414">IF(LineærRegression_Valg[[#This Row],[Indenfor range]],IF(LineærRegression_Valg[[#This Row],[Intet overlap]],INDEX(DataTitel_liste,LineærRegression_Valg[[#This Row],[Uafhængig variabel ID]]),INDEX(DataTitel_liste,IF(LineærRegression_Valg[[#This Row],[Afhængig variabel ID]]=1,2,1))),$B$7)</f>
        <v>Eksempel 2 (interval)</v>
      </c>
      <c r="H1414" s="45">
        <f>_xlfn.AGGREGATE(2,5,LineærRegression_Valg[[#This Row],[Tabel ID]])</f>
        <v>1</v>
      </c>
    </row>
    <row r="1415" spans="1:8" x14ac:dyDescent="0.2">
      <c r="A1415">
        <f>ROW(LineærRegression_Valg[[#This Row],[Tabel ID]])-ROW(LineærRegression_Valg[[#Headers],[Tabel ID]])</f>
        <v>1405</v>
      </c>
      <c r="B1415" s="45">
        <f>ROUNDDOWN((LineærRegression_Valg[[#This Row],[Tabel ID]]-1)/$B$5,0)+1</f>
        <v>352</v>
      </c>
      <c r="C1415" s="45">
        <f t="shared" si="21"/>
        <v>1</v>
      </c>
      <c r="D1415" s="45" t="b">
        <f>LineærRegression_Valg[[#This Row],[Afhængig variabel ID]]&lt;&gt;LineærRegression_Valg[[#This Row],[Uafhængig variabel ID]]</f>
        <v>1</v>
      </c>
      <c r="E1415" t="b">
        <f>LineærRegression_Valg[[#This Row],[Afhængig variabel ID]]&lt;=$B$5</f>
        <v>0</v>
      </c>
      <c r="F1415" t="str" cm="1">
        <f t="array" ref="F1415">IF(LineærRegression_Valg[[#This Row],[Indenfor range]],INDEX(DataTitel_liste,LineærRegression_Valg[[#This Row],[Afhængig variabel ID]]),INDEX(DataTitel_liste,1))</f>
        <v>Eksempel 1 (interval)</v>
      </c>
      <c r="G1415" s="45" t="str" cm="1">
        <f t="array" ref="G1415">IF(LineærRegression_Valg[[#This Row],[Indenfor range]],IF(LineærRegression_Valg[[#This Row],[Intet overlap]],INDEX(DataTitel_liste,LineærRegression_Valg[[#This Row],[Uafhængig variabel ID]]),INDEX(DataTitel_liste,IF(LineærRegression_Valg[[#This Row],[Afhængig variabel ID]]=1,2,1))),$B$7)</f>
        <v>Eksempel 2 (interval)</v>
      </c>
      <c r="H1415" s="45">
        <f>_xlfn.AGGREGATE(2,5,LineærRegression_Valg[[#This Row],[Tabel ID]])</f>
        <v>1</v>
      </c>
    </row>
    <row r="1416" spans="1:8" x14ac:dyDescent="0.2">
      <c r="A1416">
        <f>ROW(LineærRegression_Valg[[#This Row],[Tabel ID]])-ROW(LineærRegression_Valg[[#Headers],[Tabel ID]])</f>
        <v>1406</v>
      </c>
      <c r="B1416" s="45">
        <f>ROUNDDOWN((LineærRegression_Valg[[#This Row],[Tabel ID]]-1)/$B$5,0)+1</f>
        <v>352</v>
      </c>
      <c r="C1416" s="45">
        <f t="shared" si="21"/>
        <v>2</v>
      </c>
      <c r="D1416" s="45" t="b">
        <f>LineærRegression_Valg[[#This Row],[Afhængig variabel ID]]&lt;&gt;LineærRegression_Valg[[#This Row],[Uafhængig variabel ID]]</f>
        <v>1</v>
      </c>
      <c r="E1416" t="b">
        <f>LineærRegression_Valg[[#This Row],[Afhængig variabel ID]]&lt;=$B$5</f>
        <v>0</v>
      </c>
      <c r="F1416" t="str" cm="1">
        <f t="array" ref="F1416">IF(LineærRegression_Valg[[#This Row],[Indenfor range]],INDEX(DataTitel_liste,LineærRegression_Valg[[#This Row],[Afhængig variabel ID]]),INDEX(DataTitel_liste,1))</f>
        <v>Eksempel 1 (interval)</v>
      </c>
      <c r="G1416" s="45" t="str" cm="1">
        <f t="array" ref="G1416">IF(LineærRegression_Valg[[#This Row],[Indenfor range]],IF(LineærRegression_Valg[[#This Row],[Intet overlap]],INDEX(DataTitel_liste,LineærRegression_Valg[[#This Row],[Uafhængig variabel ID]]),INDEX(DataTitel_liste,IF(LineærRegression_Valg[[#This Row],[Afhængig variabel ID]]=1,2,1))),$B$7)</f>
        <v>Eksempel 2 (interval)</v>
      </c>
      <c r="H1416" s="45">
        <f>_xlfn.AGGREGATE(2,5,LineærRegression_Valg[[#This Row],[Tabel ID]])</f>
        <v>1</v>
      </c>
    </row>
    <row r="1417" spans="1:8" x14ac:dyDescent="0.2">
      <c r="A1417">
        <f>ROW(LineærRegression_Valg[[#This Row],[Tabel ID]])-ROW(LineærRegression_Valg[[#Headers],[Tabel ID]])</f>
        <v>1407</v>
      </c>
      <c r="B1417" s="45">
        <f>ROUNDDOWN((LineærRegression_Valg[[#This Row],[Tabel ID]]-1)/$B$5,0)+1</f>
        <v>352</v>
      </c>
      <c r="C1417" s="45">
        <f t="shared" si="21"/>
        <v>3</v>
      </c>
      <c r="D1417" s="45" t="b">
        <f>LineærRegression_Valg[[#This Row],[Afhængig variabel ID]]&lt;&gt;LineærRegression_Valg[[#This Row],[Uafhængig variabel ID]]</f>
        <v>1</v>
      </c>
      <c r="E1417" t="b">
        <f>LineærRegression_Valg[[#This Row],[Afhængig variabel ID]]&lt;=$B$5</f>
        <v>0</v>
      </c>
      <c r="F1417" t="str" cm="1">
        <f t="array" ref="F1417">IF(LineærRegression_Valg[[#This Row],[Indenfor range]],INDEX(DataTitel_liste,LineærRegression_Valg[[#This Row],[Afhængig variabel ID]]),INDEX(DataTitel_liste,1))</f>
        <v>Eksempel 1 (interval)</v>
      </c>
      <c r="G1417" s="45" t="str" cm="1">
        <f t="array" ref="G1417">IF(LineærRegression_Valg[[#This Row],[Indenfor range]],IF(LineærRegression_Valg[[#This Row],[Intet overlap]],INDEX(DataTitel_liste,LineærRegression_Valg[[#This Row],[Uafhængig variabel ID]]),INDEX(DataTitel_liste,IF(LineærRegression_Valg[[#This Row],[Afhængig variabel ID]]=1,2,1))),$B$7)</f>
        <v>Eksempel 2 (interval)</v>
      </c>
      <c r="H1417" s="45">
        <f>_xlfn.AGGREGATE(2,5,LineærRegression_Valg[[#This Row],[Tabel ID]])</f>
        <v>1</v>
      </c>
    </row>
    <row r="1418" spans="1:8" x14ac:dyDescent="0.2">
      <c r="A1418">
        <f>ROW(LineærRegression_Valg[[#This Row],[Tabel ID]])-ROW(LineærRegression_Valg[[#Headers],[Tabel ID]])</f>
        <v>1408</v>
      </c>
      <c r="B1418" s="45">
        <f>ROUNDDOWN((LineærRegression_Valg[[#This Row],[Tabel ID]]-1)/$B$5,0)+1</f>
        <v>352</v>
      </c>
      <c r="C1418" s="45">
        <f t="shared" si="21"/>
        <v>4</v>
      </c>
      <c r="D1418" s="45" t="b">
        <f>LineærRegression_Valg[[#This Row],[Afhængig variabel ID]]&lt;&gt;LineærRegression_Valg[[#This Row],[Uafhængig variabel ID]]</f>
        <v>1</v>
      </c>
      <c r="E1418" t="b">
        <f>LineærRegression_Valg[[#This Row],[Afhængig variabel ID]]&lt;=$B$5</f>
        <v>0</v>
      </c>
      <c r="F1418" t="str" cm="1">
        <f t="array" ref="F1418">IF(LineærRegression_Valg[[#This Row],[Indenfor range]],INDEX(DataTitel_liste,LineærRegression_Valg[[#This Row],[Afhængig variabel ID]]),INDEX(DataTitel_liste,1))</f>
        <v>Eksempel 1 (interval)</v>
      </c>
      <c r="G1418" s="45" t="str" cm="1">
        <f t="array" ref="G1418">IF(LineærRegression_Valg[[#This Row],[Indenfor range]],IF(LineærRegression_Valg[[#This Row],[Intet overlap]],INDEX(DataTitel_liste,LineærRegression_Valg[[#This Row],[Uafhængig variabel ID]]),INDEX(DataTitel_liste,IF(LineærRegression_Valg[[#This Row],[Afhængig variabel ID]]=1,2,1))),$B$7)</f>
        <v>Eksempel 2 (interval)</v>
      </c>
      <c r="H1418" s="45">
        <f>_xlfn.AGGREGATE(2,5,LineærRegression_Valg[[#This Row],[Tabel ID]])</f>
        <v>1</v>
      </c>
    </row>
    <row r="1419" spans="1:8" x14ac:dyDescent="0.2">
      <c r="A1419">
        <f>ROW(LineærRegression_Valg[[#This Row],[Tabel ID]])-ROW(LineærRegression_Valg[[#Headers],[Tabel ID]])</f>
        <v>1409</v>
      </c>
      <c r="B1419" s="45">
        <f>ROUNDDOWN((LineærRegression_Valg[[#This Row],[Tabel ID]]-1)/$B$5,0)+1</f>
        <v>353</v>
      </c>
      <c r="C1419" s="45">
        <f t="shared" ref="C1419:C1482" si="22">MOD(A1419-1,$B$5)+1</f>
        <v>1</v>
      </c>
      <c r="D1419" s="45" t="b">
        <f>LineærRegression_Valg[[#This Row],[Afhængig variabel ID]]&lt;&gt;LineærRegression_Valg[[#This Row],[Uafhængig variabel ID]]</f>
        <v>1</v>
      </c>
      <c r="E1419" t="b">
        <f>LineærRegression_Valg[[#This Row],[Afhængig variabel ID]]&lt;=$B$5</f>
        <v>0</v>
      </c>
      <c r="F1419" t="str" cm="1">
        <f t="array" ref="F1419">IF(LineærRegression_Valg[[#This Row],[Indenfor range]],INDEX(DataTitel_liste,LineærRegression_Valg[[#This Row],[Afhængig variabel ID]]),INDEX(DataTitel_liste,1))</f>
        <v>Eksempel 1 (interval)</v>
      </c>
      <c r="G1419" s="45" t="str" cm="1">
        <f t="array" ref="G1419">IF(LineærRegression_Valg[[#This Row],[Indenfor range]],IF(LineærRegression_Valg[[#This Row],[Intet overlap]],INDEX(DataTitel_liste,LineærRegression_Valg[[#This Row],[Uafhængig variabel ID]]),INDEX(DataTitel_liste,IF(LineærRegression_Valg[[#This Row],[Afhængig variabel ID]]=1,2,1))),$B$7)</f>
        <v>Eksempel 2 (interval)</v>
      </c>
      <c r="H1419" s="45">
        <f>_xlfn.AGGREGATE(2,5,LineærRegression_Valg[[#This Row],[Tabel ID]])</f>
        <v>1</v>
      </c>
    </row>
    <row r="1420" spans="1:8" x14ac:dyDescent="0.2">
      <c r="A1420">
        <f>ROW(LineærRegression_Valg[[#This Row],[Tabel ID]])-ROW(LineærRegression_Valg[[#Headers],[Tabel ID]])</f>
        <v>1410</v>
      </c>
      <c r="B1420" s="45">
        <f>ROUNDDOWN((LineærRegression_Valg[[#This Row],[Tabel ID]]-1)/$B$5,0)+1</f>
        <v>353</v>
      </c>
      <c r="C1420" s="45">
        <f t="shared" si="22"/>
        <v>2</v>
      </c>
      <c r="D1420" s="45" t="b">
        <f>LineærRegression_Valg[[#This Row],[Afhængig variabel ID]]&lt;&gt;LineærRegression_Valg[[#This Row],[Uafhængig variabel ID]]</f>
        <v>1</v>
      </c>
      <c r="E1420" t="b">
        <f>LineærRegression_Valg[[#This Row],[Afhængig variabel ID]]&lt;=$B$5</f>
        <v>0</v>
      </c>
      <c r="F1420" t="str" cm="1">
        <f t="array" ref="F1420">IF(LineærRegression_Valg[[#This Row],[Indenfor range]],INDEX(DataTitel_liste,LineærRegression_Valg[[#This Row],[Afhængig variabel ID]]),INDEX(DataTitel_liste,1))</f>
        <v>Eksempel 1 (interval)</v>
      </c>
      <c r="G1420" s="45" t="str" cm="1">
        <f t="array" ref="G1420">IF(LineærRegression_Valg[[#This Row],[Indenfor range]],IF(LineærRegression_Valg[[#This Row],[Intet overlap]],INDEX(DataTitel_liste,LineærRegression_Valg[[#This Row],[Uafhængig variabel ID]]),INDEX(DataTitel_liste,IF(LineærRegression_Valg[[#This Row],[Afhængig variabel ID]]=1,2,1))),$B$7)</f>
        <v>Eksempel 2 (interval)</v>
      </c>
      <c r="H1420" s="45">
        <f>_xlfn.AGGREGATE(2,5,LineærRegression_Valg[[#This Row],[Tabel ID]])</f>
        <v>1</v>
      </c>
    </row>
    <row r="1421" spans="1:8" x14ac:dyDescent="0.2">
      <c r="A1421">
        <f>ROW(LineærRegression_Valg[[#This Row],[Tabel ID]])-ROW(LineærRegression_Valg[[#Headers],[Tabel ID]])</f>
        <v>1411</v>
      </c>
      <c r="B1421" s="45">
        <f>ROUNDDOWN((LineærRegression_Valg[[#This Row],[Tabel ID]]-1)/$B$5,0)+1</f>
        <v>353</v>
      </c>
      <c r="C1421" s="45">
        <f t="shared" si="22"/>
        <v>3</v>
      </c>
      <c r="D1421" s="45" t="b">
        <f>LineærRegression_Valg[[#This Row],[Afhængig variabel ID]]&lt;&gt;LineærRegression_Valg[[#This Row],[Uafhængig variabel ID]]</f>
        <v>1</v>
      </c>
      <c r="E1421" t="b">
        <f>LineærRegression_Valg[[#This Row],[Afhængig variabel ID]]&lt;=$B$5</f>
        <v>0</v>
      </c>
      <c r="F1421" t="str" cm="1">
        <f t="array" ref="F1421">IF(LineærRegression_Valg[[#This Row],[Indenfor range]],INDEX(DataTitel_liste,LineærRegression_Valg[[#This Row],[Afhængig variabel ID]]),INDEX(DataTitel_liste,1))</f>
        <v>Eksempel 1 (interval)</v>
      </c>
      <c r="G1421" s="45" t="str" cm="1">
        <f t="array" ref="G1421">IF(LineærRegression_Valg[[#This Row],[Indenfor range]],IF(LineærRegression_Valg[[#This Row],[Intet overlap]],INDEX(DataTitel_liste,LineærRegression_Valg[[#This Row],[Uafhængig variabel ID]]),INDEX(DataTitel_liste,IF(LineærRegression_Valg[[#This Row],[Afhængig variabel ID]]=1,2,1))),$B$7)</f>
        <v>Eksempel 2 (interval)</v>
      </c>
      <c r="H1421" s="45">
        <f>_xlfn.AGGREGATE(2,5,LineærRegression_Valg[[#This Row],[Tabel ID]])</f>
        <v>1</v>
      </c>
    </row>
    <row r="1422" spans="1:8" x14ac:dyDescent="0.2">
      <c r="A1422">
        <f>ROW(LineærRegression_Valg[[#This Row],[Tabel ID]])-ROW(LineærRegression_Valg[[#Headers],[Tabel ID]])</f>
        <v>1412</v>
      </c>
      <c r="B1422" s="45">
        <f>ROUNDDOWN((LineærRegression_Valg[[#This Row],[Tabel ID]]-1)/$B$5,0)+1</f>
        <v>353</v>
      </c>
      <c r="C1422" s="45">
        <f t="shared" si="22"/>
        <v>4</v>
      </c>
      <c r="D1422" s="45" t="b">
        <f>LineærRegression_Valg[[#This Row],[Afhængig variabel ID]]&lt;&gt;LineærRegression_Valg[[#This Row],[Uafhængig variabel ID]]</f>
        <v>1</v>
      </c>
      <c r="E1422" t="b">
        <f>LineærRegression_Valg[[#This Row],[Afhængig variabel ID]]&lt;=$B$5</f>
        <v>0</v>
      </c>
      <c r="F1422" t="str" cm="1">
        <f t="array" ref="F1422">IF(LineærRegression_Valg[[#This Row],[Indenfor range]],INDEX(DataTitel_liste,LineærRegression_Valg[[#This Row],[Afhængig variabel ID]]),INDEX(DataTitel_liste,1))</f>
        <v>Eksempel 1 (interval)</v>
      </c>
      <c r="G1422" s="45" t="str" cm="1">
        <f t="array" ref="G1422">IF(LineærRegression_Valg[[#This Row],[Indenfor range]],IF(LineærRegression_Valg[[#This Row],[Intet overlap]],INDEX(DataTitel_liste,LineærRegression_Valg[[#This Row],[Uafhængig variabel ID]]),INDEX(DataTitel_liste,IF(LineærRegression_Valg[[#This Row],[Afhængig variabel ID]]=1,2,1))),$B$7)</f>
        <v>Eksempel 2 (interval)</v>
      </c>
      <c r="H1422" s="45">
        <f>_xlfn.AGGREGATE(2,5,LineærRegression_Valg[[#This Row],[Tabel ID]])</f>
        <v>1</v>
      </c>
    </row>
    <row r="1423" spans="1:8" x14ac:dyDescent="0.2">
      <c r="A1423">
        <f>ROW(LineærRegression_Valg[[#This Row],[Tabel ID]])-ROW(LineærRegression_Valg[[#Headers],[Tabel ID]])</f>
        <v>1413</v>
      </c>
      <c r="B1423" s="45">
        <f>ROUNDDOWN((LineærRegression_Valg[[#This Row],[Tabel ID]]-1)/$B$5,0)+1</f>
        <v>354</v>
      </c>
      <c r="C1423" s="45">
        <f t="shared" si="22"/>
        <v>1</v>
      </c>
      <c r="D1423" s="45" t="b">
        <f>LineærRegression_Valg[[#This Row],[Afhængig variabel ID]]&lt;&gt;LineærRegression_Valg[[#This Row],[Uafhængig variabel ID]]</f>
        <v>1</v>
      </c>
      <c r="E1423" t="b">
        <f>LineærRegression_Valg[[#This Row],[Afhængig variabel ID]]&lt;=$B$5</f>
        <v>0</v>
      </c>
      <c r="F1423" t="str" cm="1">
        <f t="array" ref="F1423">IF(LineærRegression_Valg[[#This Row],[Indenfor range]],INDEX(DataTitel_liste,LineærRegression_Valg[[#This Row],[Afhængig variabel ID]]),INDEX(DataTitel_liste,1))</f>
        <v>Eksempel 1 (interval)</v>
      </c>
      <c r="G1423" s="45" t="str" cm="1">
        <f t="array" ref="G1423">IF(LineærRegression_Valg[[#This Row],[Indenfor range]],IF(LineærRegression_Valg[[#This Row],[Intet overlap]],INDEX(DataTitel_liste,LineærRegression_Valg[[#This Row],[Uafhængig variabel ID]]),INDEX(DataTitel_liste,IF(LineærRegression_Valg[[#This Row],[Afhængig variabel ID]]=1,2,1))),$B$7)</f>
        <v>Eksempel 2 (interval)</v>
      </c>
      <c r="H1423" s="45">
        <f>_xlfn.AGGREGATE(2,5,LineærRegression_Valg[[#This Row],[Tabel ID]])</f>
        <v>1</v>
      </c>
    </row>
    <row r="1424" spans="1:8" x14ac:dyDescent="0.2">
      <c r="A1424">
        <f>ROW(LineærRegression_Valg[[#This Row],[Tabel ID]])-ROW(LineærRegression_Valg[[#Headers],[Tabel ID]])</f>
        <v>1414</v>
      </c>
      <c r="B1424" s="45">
        <f>ROUNDDOWN((LineærRegression_Valg[[#This Row],[Tabel ID]]-1)/$B$5,0)+1</f>
        <v>354</v>
      </c>
      <c r="C1424" s="45">
        <f t="shared" si="22"/>
        <v>2</v>
      </c>
      <c r="D1424" s="45" t="b">
        <f>LineærRegression_Valg[[#This Row],[Afhængig variabel ID]]&lt;&gt;LineærRegression_Valg[[#This Row],[Uafhængig variabel ID]]</f>
        <v>1</v>
      </c>
      <c r="E1424" t="b">
        <f>LineærRegression_Valg[[#This Row],[Afhængig variabel ID]]&lt;=$B$5</f>
        <v>0</v>
      </c>
      <c r="F1424" t="str" cm="1">
        <f t="array" ref="F1424">IF(LineærRegression_Valg[[#This Row],[Indenfor range]],INDEX(DataTitel_liste,LineærRegression_Valg[[#This Row],[Afhængig variabel ID]]),INDEX(DataTitel_liste,1))</f>
        <v>Eksempel 1 (interval)</v>
      </c>
      <c r="G1424" s="45" t="str" cm="1">
        <f t="array" ref="G1424">IF(LineærRegression_Valg[[#This Row],[Indenfor range]],IF(LineærRegression_Valg[[#This Row],[Intet overlap]],INDEX(DataTitel_liste,LineærRegression_Valg[[#This Row],[Uafhængig variabel ID]]),INDEX(DataTitel_liste,IF(LineærRegression_Valg[[#This Row],[Afhængig variabel ID]]=1,2,1))),$B$7)</f>
        <v>Eksempel 2 (interval)</v>
      </c>
      <c r="H1424" s="45">
        <f>_xlfn.AGGREGATE(2,5,LineærRegression_Valg[[#This Row],[Tabel ID]])</f>
        <v>1</v>
      </c>
    </row>
    <row r="1425" spans="1:8" x14ac:dyDescent="0.2">
      <c r="A1425">
        <f>ROW(LineærRegression_Valg[[#This Row],[Tabel ID]])-ROW(LineærRegression_Valg[[#Headers],[Tabel ID]])</f>
        <v>1415</v>
      </c>
      <c r="B1425" s="45">
        <f>ROUNDDOWN((LineærRegression_Valg[[#This Row],[Tabel ID]]-1)/$B$5,0)+1</f>
        <v>354</v>
      </c>
      <c r="C1425" s="45">
        <f t="shared" si="22"/>
        <v>3</v>
      </c>
      <c r="D1425" s="45" t="b">
        <f>LineærRegression_Valg[[#This Row],[Afhængig variabel ID]]&lt;&gt;LineærRegression_Valg[[#This Row],[Uafhængig variabel ID]]</f>
        <v>1</v>
      </c>
      <c r="E1425" t="b">
        <f>LineærRegression_Valg[[#This Row],[Afhængig variabel ID]]&lt;=$B$5</f>
        <v>0</v>
      </c>
      <c r="F1425" t="str" cm="1">
        <f t="array" ref="F1425">IF(LineærRegression_Valg[[#This Row],[Indenfor range]],INDEX(DataTitel_liste,LineærRegression_Valg[[#This Row],[Afhængig variabel ID]]),INDEX(DataTitel_liste,1))</f>
        <v>Eksempel 1 (interval)</v>
      </c>
      <c r="G1425" s="45" t="str" cm="1">
        <f t="array" ref="G1425">IF(LineærRegression_Valg[[#This Row],[Indenfor range]],IF(LineærRegression_Valg[[#This Row],[Intet overlap]],INDEX(DataTitel_liste,LineærRegression_Valg[[#This Row],[Uafhængig variabel ID]]),INDEX(DataTitel_liste,IF(LineærRegression_Valg[[#This Row],[Afhængig variabel ID]]=1,2,1))),$B$7)</f>
        <v>Eksempel 2 (interval)</v>
      </c>
      <c r="H1425" s="45">
        <f>_xlfn.AGGREGATE(2,5,LineærRegression_Valg[[#This Row],[Tabel ID]])</f>
        <v>1</v>
      </c>
    </row>
    <row r="1426" spans="1:8" x14ac:dyDescent="0.2">
      <c r="A1426">
        <f>ROW(LineærRegression_Valg[[#This Row],[Tabel ID]])-ROW(LineærRegression_Valg[[#Headers],[Tabel ID]])</f>
        <v>1416</v>
      </c>
      <c r="B1426" s="45">
        <f>ROUNDDOWN((LineærRegression_Valg[[#This Row],[Tabel ID]]-1)/$B$5,0)+1</f>
        <v>354</v>
      </c>
      <c r="C1426" s="45">
        <f t="shared" si="22"/>
        <v>4</v>
      </c>
      <c r="D1426" s="45" t="b">
        <f>LineærRegression_Valg[[#This Row],[Afhængig variabel ID]]&lt;&gt;LineærRegression_Valg[[#This Row],[Uafhængig variabel ID]]</f>
        <v>1</v>
      </c>
      <c r="E1426" t="b">
        <f>LineærRegression_Valg[[#This Row],[Afhængig variabel ID]]&lt;=$B$5</f>
        <v>0</v>
      </c>
      <c r="F1426" t="str" cm="1">
        <f t="array" ref="F1426">IF(LineærRegression_Valg[[#This Row],[Indenfor range]],INDEX(DataTitel_liste,LineærRegression_Valg[[#This Row],[Afhængig variabel ID]]),INDEX(DataTitel_liste,1))</f>
        <v>Eksempel 1 (interval)</v>
      </c>
      <c r="G1426" s="45" t="str" cm="1">
        <f t="array" ref="G1426">IF(LineærRegression_Valg[[#This Row],[Indenfor range]],IF(LineærRegression_Valg[[#This Row],[Intet overlap]],INDEX(DataTitel_liste,LineærRegression_Valg[[#This Row],[Uafhængig variabel ID]]),INDEX(DataTitel_liste,IF(LineærRegression_Valg[[#This Row],[Afhængig variabel ID]]=1,2,1))),$B$7)</f>
        <v>Eksempel 2 (interval)</v>
      </c>
      <c r="H1426" s="45">
        <f>_xlfn.AGGREGATE(2,5,LineærRegression_Valg[[#This Row],[Tabel ID]])</f>
        <v>1</v>
      </c>
    </row>
    <row r="1427" spans="1:8" x14ac:dyDescent="0.2">
      <c r="A1427">
        <f>ROW(LineærRegression_Valg[[#This Row],[Tabel ID]])-ROW(LineærRegression_Valg[[#Headers],[Tabel ID]])</f>
        <v>1417</v>
      </c>
      <c r="B1427" s="45">
        <f>ROUNDDOWN((LineærRegression_Valg[[#This Row],[Tabel ID]]-1)/$B$5,0)+1</f>
        <v>355</v>
      </c>
      <c r="C1427" s="45">
        <f t="shared" si="22"/>
        <v>1</v>
      </c>
      <c r="D1427" s="45" t="b">
        <f>LineærRegression_Valg[[#This Row],[Afhængig variabel ID]]&lt;&gt;LineærRegression_Valg[[#This Row],[Uafhængig variabel ID]]</f>
        <v>1</v>
      </c>
      <c r="E1427" t="b">
        <f>LineærRegression_Valg[[#This Row],[Afhængig variabel ID]]&lt;=$B$5</f>
        <v>0</v>
      </c>
      <c r="F1427" t="str" cm="1">
        <f t="array" ref="F1427">IF(LineærRegression_Valg[[#This Row],[Indenfor range]],INDEX(DataTitel_liste,LineærRegression_Valg[[#This Row],[Afhængig variabel ID]]),INDEX(DataTitel_liste,1))</f>
        <v>Eksempel 1 (interval)</v>
      </c>
      <c r="G1427" s="45" t="str" cm="1">
        <f t="array" ref="G1427">IF(LineærRegression_Valg[[#This Row],[Indenfor range]],IF(LineærRegression_Valg[[#This Row],[Intet overlap]],INDEX(DataTitel_liste,LineærRegression_Valg[[#This Row],[Uafhængig variabel ID]]),INDEX(DataTitel_liste,IF(LineærRegression_Valg[[#This Row],[Afhængig variabel ID]]=1,2,1))),$B$7)</f>
        <v>Eksempel 2 (interval)</v>
      </c>
      <c r="H1427" s="45">
        <f>_xlfn.AGGREGATE(2,5,LineærRegression_Valg[[#This Row],[Tabel ID]])</f>
        <v>1</v>
      </c>
    </row>
    <row r="1428" spans="1:8" x14ac:dyDescent="0.2">
      <c r="A1428">
        <f>ROW(LineærRegression_Valg[[#This Row],[Tabel ID]])-ROW(LineærRegression_Valg[[#Headers],[Tabel ID]])</f>
        <v>1418</v>
      </c>
      <c r="B1428" s="45">
        <f>ROUNDDOWN((LineærRegression_Valg[[#This Row],[Tabel ID]]-1)/$B$5,0)+1</f>
        <v>355</v>
      </c>
      <c r="C1428" s="45">
        <f t="shared" si="22"/>
        <v>2</v>
      </c>
      <c r="D1428" s="45" t="b">
        <f>LineærRegression_Valg[[#This Row],[Afhængig variabel ID]]&lt;&gt;LineærRegression_Valg[[#This Row],[Uafhængig variabel ID]]</f>
        <v>1</v>
      </c>
      <c r="E1428" t="b">
        <f>LineærRegression_Valg[[#This Row],[Afhængig variabel ID]]&lt;=$B$5</f>
        <v>0</v>
      </c>
      <c r="F1428" t="str" cm="1">
        <f t="array" ref="F1428">IF(LineærRegression_Valg[[#This Row],[Indenfor range]],INDEX(DataTitel_liste,LineærRegression_Valg[[#This Row],[Afhængig variabel ID]]),INDEX(DataTitel_liste,1))</f>
        <v>Eksempel 1 (interval)</v>
      </c>
      <c r="G1428" s="45" t="str" cm="1">
        <f t="array" ref="G1428">IF(LineærRegression_Valg[[#This Row],[Indenfor range]],IF(LineærRegression_Valg[[#This Row],[Intet overlap]],INDEX(DataTitel_liste,LineærRegression_Valg[[#This Row],[Uafhængig variabel ID]]),INDEX(DataTitel_liste,IF(LineærRegression_Valg[[#This Row],[Afhængig variabel ID]]=1,2,1))),$B$7)</f>
        <v>Eksempel 2 (interval)</v>
      </c>
      <c r="H1428" s="45">
        <f>_xlfn.AGGREGATE(2,5,LineærRegression_Valg[[#This Row],[Tabel ID]])</f>
        <v>1</v>
      </c>
    </row>
    <row r="1429" spans="1:8" x14ac:dyDescent="0.2">
      <c r="A1429">
        <f>ROW(LineærRegression_Valg[[#This Row],[Tabel ID]])-ROW(LineærRegression_Valg[[#Headers],[Tabel ID]])</f>
        <v>1419</v>
      </c>
      <c r="B1429" s="45">
        <f>ROUNDDOWN((LineærRegression_Valg[[#This Row],[Tabel ID]]-1)/$B$5,0)+1</f>
        <v>355</v>
      </c>
      <c r="C1429" s="45">
        <f t="shared" si="22"/>
        <v>3</v>
      </c>
      <c r="D1429" s="45" t="b">
        <f>LineærRegression_Valg[[#This Row],[Afhængig variabel ID]]&lt;&gt;LineærRegression_Valg[[#This Row],[Uafhængig variabel ID]]</f>
        <v>1</v>
      </c>
      <c r="E1429" t="b">
        <f>LineærRegression_Valg[[#This Row],[Afhængig variabel ID]]&lt;=$B$5</f>
        <v>0</v>
      </c>
      <c r="F1429" t="str" cm="1">
        <f t="array" ref="F1429">IF(LineærRegression_Valg[[#This Row],[Indenfor range]],INDEX(DataTitel_liste,LineærRegression_Valg[[#This Row],[Afhængig variabel ID]]),INDEX(DataTitel_liste,1))</f>
        <v>Eksempel 1 (interval)</v>
      </c>
      <c r="G1429" s="45" t="str" cm="1">
        <f t="array" ref="G1429">IF(LineærRegression_Valg[[#This Row],[Indenfor range]],IF(LineærRegression_Valg[[#This Row],[Intet overlap]],INDEX(DataTitel_liste,LineærRegression_Valg[[#This Row],[Uafhængig variabel ID]]),INDEX(DataTitel_liste,IF(LineærRegression_Valg[[#This Row],[Afhængig variabel ID]]=1,2,1))),$B$7)</f>
        <v>Eksempel 2 (interval)</v>
      </c>
      <c r="H1429" s="45">
        <f>_xlfn.AGGREGATE(2,5,LineærRegression_Valg[[#This Row],[Tabel ID]])</f>
        <v>1</v>
      </c>
    </row>
    <row r="1430" spans="1:8" x14ac:dyDescent="0.2">
      <c r="A1430">
        <f>ROW(LineærRegression_Valg[[#This Row],[Tabel ID]])-ROW(LineærRegression_Valg[[#Headers],[Tabel ID]])</f>
        <v>1420</v>
      </c>
      <c r="B1430" s="45">
        <f>ROUNDDOWN((LineærRegression_Valg[[#This Row],[Tabel ID]]-1)/$B$5,0)+1</f>
        <v>355</v>
      </c>
      <c r="C1430" s="45">
        <f t="shared" si="22"/>
        <v>4</v>
      </c>
      <c r="D1430" s="45" t="b">
        <f>LineærRegression_Valg[[#This Row],[Afhængig variabel ID]]&lt;&gt;LineærRegression_Valg[[#This Row],[Uafhængig variabel ID]]</f>
        <v>1</v>
      </c>
      <c r="E1430" t="b">
        <f>LineærRegression_Valg[[#This Row],[Afhængig variabel ID]]&lt;=$B$5</f>
        <v>0</v>
      </c>
      <c r="F1430" t="str" cm="1">
        <f t="array" ref="F1430">IF(LineærRegression_Valg[[#This Row],[Indenfor range]],INDEX(DataTitel_liste,LineærRegression_Valg[[#This Row],[Afhængig variabel ID]]),INDEX(DataTitel_liste,1))</f>
        <v>Eksempel 1 (interval)</v>
      </c>
      <c r="G1430" s="45" t="str" cm="1">
        <f t="array" ref="G1430">IF(LineærRegression_Valg[[#This Row],[Indenfor range]],IF(LineærRegression_Valg[[#This Row],[Intet overlap]],INDEX(DataTitel_liste,LineærRegression_Valg[[#This Row],[Uafhængig variabel ID]]),INDEX(DataTitel_liste,IF(LineærRegression_Valg[[#This Row],[Afhængig variabel ID]]=1,2,1))),$B$7)</f>
        <v>Eksempel 2 (interval)</v>
      </c>
      <c r="H1430" s="45">
        <f>_xlfn.AGGREGATE(2,5,LineærRegression_Valg[[#This Row],[Tabel ID]])</f>
        <v>1</v>
      </c>
    </row>
    <row r="1431" spans="1:8" x14ac:dyDescent="0.2">
      <c r="A1431">
        <f>ROW(LineærRegression_Valg[[#This Row],[Tabel ID]])-ROW(LineærRegression_Valg[[#Headers],[Tabel ID]])</f>
        <v>1421</v>
      </c>
      <c r="B1431" s="45">
        <f>ROUNDDOWN((LineærRegression_Valg[[#This Row],[Tabel ID]]-1)/$B$5,0)+1</f>
        <v>356</v>
      </c>
      <c r="C1431" s="45">
        <f t="shared" si="22"/>
        <v>1</v>
      </c>
      <c r="D1431" s="45" t="b">
        <f>LineærRegression_Valg[[#This Row],[Afhængig variabel ID]]&lt;&gt;LineærRegression_Valg[[#This Row],[Uafhængig variabel ID]]</f>
        <v>1</v>
      </c>
      <c r="E1431" t="b">
        <f>LineærRegression_Valg[[#This Row],[Afhængig variabel ID]]&lt;=$B$5</f>
        <v>0</v>
      </c>
      <c r="F1431" t="str" cm="1">
        <f t="array" ref="F1431">IF(LineærRegression_Valg[[#This Row],[Indenfor range]],INDEX(DataTitel_liste,LineærRegression_Valg[[#This Row],[Afhængig variabel ID]]),INDEX(DataTitel_liste,1))</f>
        <v>Eksempel 1 (interval)</v>
      </c>
      <c r="G1431" s="45" t="str" cm="1">
        <f t="array" ref="G1431">IF(LineærRegression_Valg[[#This Row],[Indenfor range]],IF(LineærRegression_Valg[[#This Row],[Intet overlap]],INDEX(DataTitel_liste,LineærRegression_Valg[[#This Row],[Uafhængig variabel ID]]),INDEX(DataTitel_liste,IF(LineærRegression_Valg[[#This Row],[Afhængig variabel ID]]=1,2,1))),$B$7)</f>
        <v>Eksempel 2 (interval)</v>
      </c>
      <c r="H1431" s="45">
        <f>_xlfn.AGGREGATE(2,5,LineærRegression_Valg[[#This Row],[Tabel ID]])</f>
        <v>1</v>
      </c>
    </row>
    <row r="1432" spans="1:8" x14ac:dyDescent="0.2">
      <c r="A1432">
        <f>ROW(LineærRegression_Valg[[#This Row],[Tabel ID]])-ROW(LineærRegression_Valg[[#Headers],[Tabel ID]])</f>
        <v>1422</v>
      </c>
      <c r="B1432" s="45">
        <f>ROUNDDOWN((LineærRegression_Valg[[#This Row],[Tabel ID]]-1)/$B$5,0)+1</f>
        <v>356</v>
      </c>
      <c r="C1432" s="45">
        <f t="shared" si="22"/>
        <v>2</v>
      </c>
      <c r="D1432" s="45" t="b">
        <f>LineærRegression_Valg[[#This Row],[Afhængig variabel ID]]&lt;&gt;LineærRegression_Valg[[#This Row],[Uafhængig variabel ID]]</f>
        <v>1</v>
      </c>
      <c r="E1432" t="b">
        <f>LineærRegression_Valg[[#This Row],[Afhængig variabel ID]]&lt;=$B$5</f>
        <v>0</v>
      </c>
      <c r="F1432" t="str" cm="1">
        <f t="array" ref="F1432">IF(LineærRegression_Valg[[#This Row],[Indenfor range]],INDEX(DataTitel_liste,LineærRegression_Valg[[#This Row],[Afhængig variabel ID]]),INDEX(DataTitel_liste,1))</f>
        <v>Eksempel 1 (interval)</v>
      </c>
      <c r="G1432" s="45" t="str" cm="1">
        <f t="array" ref="G1432">IF(LineærRegression_Valg[[#This Row],[Indenfor range]],IF(LineærRegression_Valg[[#This Row],[Intet overlap]],INDEX(DataTitel_liste,LineærRegression_Valg[[#This Row],[Uafhængig variabel ID]]),INDEX(DataTitel_liste,IF(LineærRegression_Valg[[#This Row],[Afhængig variabel ID]]=1,2,1))),$B$7)</f>
        <v>Eksempel 2 (interval)</v>
      </c>
      <c r="H1432" s="45">
        <f>_xlfn.AGGREGATE(2,5,LineærRegression_Valg[[#This Row],[Tabel ID]])</f>
        <v>1</v>
      </c>
    </row>
    <row r="1433" spans="1:8" x14ac:dyDescent="0.2">
      <c r="A1433">
        <f>ROW(LineærRegression_Valg[[#This Row],[Tabel ID]])-ROW(LineærRegression_Valg[[#Headers],[Tabel ID]])</f>
        <v>1423</v>
      </c>
      <c r="B1433" s="45">
        <f>ROUNDDOWN((LineærRegression_Valg[[#This Row],[Tabel ID]]-1)/$B$5,0)+1</f>
        <v>356</v>
      </c>
      <c r="C1433" s="45">
        <f t="shared" si="22"/>
        <v>3</v>
      </c>
      <c r="D1433" s="45" t="b">
        <f>LineærRegression_Valg[[#This Row],[Afhængig variabel ID]]&lt;&gt;LineærRegression_Valg[[#This Row],[Uafhængig variabel ID]]</f>
        <v>1</v>
      </c>
      <c r="E1433" t="b">
        <f>LineærRegression_Valg[[#This Row],[Afhængig variabel ID]]&lt;=$B$5</f>
        <v>0</v>
      </c>
      <c r="F1433" t="str" cm="1">
        <f t="array" ref="F1433">IF(LineærRegression_Valg[[#This Row],[Indenfor range]],INDEX(DataTitel_liste,LineærRegression_Valg[[#This Row],[Afhængig variabel ID]]),INDEX(DataTitel_liste,1))</f>
        <v>Eksempel 1 (interval)</v>
      </c>
      <c r="G1433" s="45" t="str" cm="1">
        <f t="array" ref="G1433">IF(LineærRegression_Valg[[#This Row],[Indenfor range]],IF(LineærRegression_Valg[[#This Row],[Intet overlap]],INDEX(DataTitel_liste,LineærRegression_Valg[[#This Row],[Uafhængig variabel ID]]),INDEX(DataTitel_liste,IF(LineærRegression_Valg[[#This Row],[Afhængig variabel ID]]=1,2,1))),$B$7)</f>
        <v>Eksempel 2 (interval)</v>
      </c>
      <c r="H1433" s="45">
        <f>_xlfn.AGGREGATE(2,5,LineærRegression_Valg[[#This Row],[Tabel ID]])</f>
        <v>1</v>
      </c>
    </row>
    <row r="1434" spans="1:8" x14ac:dyDescent="0.2">
      <c r="A1434">
        <f>ROW(LineærRegression_Valg[[#This Row],[Tabel ID]])-ROW(LineærRegression_Valg[[#Headers],[Tabel ID]])</f>
        <v>1424</v>
      </c>
      <c r="B1434" s="45">
        <f>ROUNDDOWN((LineærRegression_Valg[[#This Row],[Tabel ID]]-1)/$B$5,0)+1</f>
        <v>356</v>
      </c>
      <c r="C1434" s="45">
        <f t="shared" si="22"/>
        <v>4</v>
      </c>
      <c r="D1434" s="45" t="b">
        <f>LineærRegression_Valg[[#This Row],[Afhængig variabel ID]]&lt;&gt;LineærRegression_Valg[[#This Row],[Uafhængig variabel ID]]</f>
        <v>1</v>
      </c>
      <c r="E1434" t="b">
        <f>LineærRegression_Valg[[#This Row],[Afhængig variabel ID]]&lt;=$B$5</f>
        <v>0</v>
      </c>
      <c r="F1434" t="str" cm="1">
        <f t="array" ref="F1434">IF(LineærRegression_Valg[[#This Row],[Indenfor range]],INDEX(DataTitel_liste,LineærRegression_Valg[[#This Row],[Afhængig variabel ID]]),INDEX(DataTitel_liste,1))</f>
        <v>Eksempel 1 (interval)</v>
      </c>
      <c r="G1434" s="45" t="str" cm="1">
        <f t="array" ref="G1434">IF(LineærRegression_Valg[[#This Row],[Indenfor range]],IF(LineærRegression_Valg[[#This Row],[Intet overlap]],INDEX(DataTitel_liste,LineærRegression_Valg[[#This Row],[Uafhængig variabel ID]]),INDEX(DataTitel_liste,IF(LineærRegression_Valg[[#This Row],[Afhængig variabel ID]]=1,2,1))),$B$7)</f>
        <v>Eksempel 2 (interval)</v>
      </c>
      <c r="H1434" s="45">
        <f>_xlfn.AGGREGATE(2,5,LineærRegression_Valg[[#This Row],[Tabel ID]])</f>
        <v>1</v>
      </c>
    </row>
    <row r="1435" spans="1:8" x14ac:dyDescent="0.2">
      <c r="A1435">
        <f>ROW(LineærRegression_Valg[[#This Row],[Tabel ID]])-ROW(LineærRegression_Valg[[#Headers],[Tabel ID]])</f>
        <v>1425</v>
      </c>
      <c r="B1435" s="45">
        <f>ROUNDDOWN((LineærRegression_Valg[[#This Row],[Tabel ID]]-1)/$B$5,0)+1</f>
        <v>357</v>
      </c>
      <c r="C1435" s="45">
        <f t="shared" si="22"/>
        <v>1</v>
      </c>
      <c r="D1435" s="45" t="b">
        <f>LineærRegression_Valg[[#This Row],[Afhængig variabel ID]]&lt;&gt;LineærRegression_Valg[[#This Row],[Uafhængig variabel ID]]</f>
        <v>1</v>
      </c>
      <c r="E1435" t="b">
        <f>LineærRegression_Valg[[#This Row],[Afhængig variabel ID]]&lt;=$B$5</f>
        <v>0</v>
      </c>
      <c r="F1435" t="str" cm="1">
        <f t="array" ref="F1435">IF(LineærRegression_Valg[[#This Row],[Indenfor range]],INDEX(DataTitel_liste,LineærRegression_Valg[[#This Row],[Afhængig variabel ID]]),INDEX(DataTitel_liste,1))</f>
        <v>Eksempel 1 (interval)</v>
      </c>
      <c r="G1435" s="45" t="str" cm="1">
        <f t="array" ref="G1435">IF(LineærRegression_Valg[[#This Row],[Indenfor range]],IF(LineærRegression_Valg[[#This Row],[Intet overlap]],INDEX(DataTitel_liste,LineærRegression_Valg[[#This Row],[Uafhængig variabel ID]]),INDEX(DataTitel_liste,IF(LineærRegression_Valg[[#This Row],[Afhængig variabel ID]]=1,2,1))),$B$7)</f>
        <v>Eksempel 2 (interval)</v>
      </c>
      <c r="H1435" s="45">
        <f>_xlfn.AGGREGATE(2,5,LineærRegression_Valg[[#This Row],[Tabel ID]])</f>
        <v>1</v>
      </c>
    </row>
    <row r="1436" spans="1:8" x14ac:dyDescent="0.2">
      <c r="A1436">
        <f>ROW(LineærRegression_Valg[[#This Row],[Tabel ID]])-ROW(LineærRegression_Valg[[#Headers],[Tabel ID]])</f>
        <v>1426</v>
      </c>
      <c r="B1436" s="45">
        <f>ROUNDDOWN((LineærRegression_Valg[[#This Row],[Tabel ID]]-1)/$B$5,0)+1</f>
        <v>357</v>
      </c>
      <c r="C1436" s="45">
        <f t="shared" si="22"/>
        <v>2</v>
      </c>
      <c r="D1436" s="45" t="b">
        <f>LineærRegression_Valg[[#This Row],[Afhængig variabel ID]]&lt;&gt;LineærRegression_Valg[[#This Row],[Uafhængig variabel ID]]</f>
        <v>1</v>
      </c>
      <c r="E1436" t="b">
        <f>LineærRegression_Valg[[#This Row],[Afhængig variabel ID]]&lt;=$B$5</f>
        <v>0</v>
      </c>
      <c r="F1436" t="str" cm="1">
        <f t="array" ref="F1436">IF(LineærRegression_Valg[[#This Row],[Indenfor range]],INDEX(DataTitel_liste,LineærRegression_Valg[[#This Row],[Afhængig variabel ID]]),INDEX(DataTitel_liste,1))</f>
        <v>Eksempel 1 (interval)</v>
      </c>
      <c r="G1436" s="45" t="str" cm="1">
        <f t="array" ref="G1436">IF(LineærRegression_Valg[[#This Row],[Indenfor range]],IF(LineærRegression_Valg[[#This Row],[Intet overlap]],INDEX(DataTitel_liste,LineærRegression_Valg[[#This Row],[Uafhængig variabel ID]]),INDEX(DataTitel_liste,IF(LineærRegression_Valg[[#This Row],[Afhængig variabel ID]]=1,2,1))),$B$7)</f>
        <v>Eksempel 2 (interval)</v>
      </c>
      <c r="H1436" s="45">
        <f>_xlfn.AGGREGATE(2,5,LineærRegression_Valg[[#This Row],[Tabel ID]])</f>
        <v>1</v>
      </c>
    </row>
    <row r="1437" spans="1:8" x14ac:dyDescent="0.2">
      <c r="A1437">
        <f>ROW(LineærRegression_Valg[[#This Row],[Tabel ID]])-ROW(LineærRegression_Valg[[#Headers],[Tabel ID]])</f>
        <v>1427</v>
      </c>
      <c r="B1437" s="45">
        <f>ROUNDDOWN((LineærRegression_Valg[[#This Row],[Tabel ID]]-1)/$B$5,0)+1</f>
        <v>357</v>
      </c>
      <c r="C1437" s="45">
        <f t="shared" si="22"/>
        <v>3</v>
      </c>
      <c r="D1437" s="45" t="b">
        <f>LineærRegression_Valg[[#This Row],[Afhængig variabel ID]]&lt;&gt;LineærRegression_Valg[[#This Row],[Uafhængig variabel ID]]</f>
        <v>1</v>
      </c>
      <c r="E1437" t="b">
        <f>LineærRegression_Valg[[#This Row],[Afhængig variabel ID]]&lt;=$B$5</f>
        <v>0</v>
      </c>
      <c r="F1437" t="str" cm="1">
        <f t="array" ref="F1437">IF(LineærRegression_Valg[[#This Row],[Indenfor range]],INDEX(DataTitel_liste,LineærRegression_Valg[[#This Row],[Afhængig variabel ID]]),INDEX(DataTitel_liste,1))</f>
        <v>Eksempel 1 (interval)</v>
      </c>
      <c r="G1437" s="45" t="str" cm="1">
        <f t="array" ref="G1437">IF(LineærRegression_Valg[[#This Row],[Indenfor range]],IF(LineærRegression_Valg[[#This Row],[Intet overlap]],INDEX(DataTitel_liste,LineærRegression_Valg[[#This Row],[Uafhængig variabel ID]]),INDEX(DataTitel_liste,IF(LineærRegression_Valg[[#This Row],[Afhængig variabel ID]]=1,2,1))),$B$7)</f>
        <v>Eksempel 2 (interval)</v>
      </c>
      <c r="H1437" s="45">
        <f>_xlfn.AGGREGATE(2,5,LineærRegression_Valg[[#This Row],[Tabel ID]])</f>
        <v>1</v>
      </c>
    </row>
    <row r="1438" spans="1:8" x14ac:dyDescent="0.2">
      <c r="A1438">
        <f>ROW(LineærRegression_Valg[[#This Row],[Tabel ID]])-ROW(LineærRegression_Valg[[#Headers],[Tabel ID]])</f>
        <v>1428</v>
      </c>
      <c r="B1438" s="45">
        <f>ROUNDDOWN((LineærRegression_Valg[[#This Row],[Tabel ID]]-1)/$B$5,0)+1</f>
        <v>357</v>
      </c>
      <c r="C1438" s="45">
        <f t="shared" si="22"/>
        <v>4</v>
      </c>
      <c r="D1438" s="45" t="b">
        <f>LineærRegression_Valg[[#This Row],[Afhængig variabel ID]]&lt;&gt;LineærRegression_Valg[[#This Row],[Uafhængig variabel ID]]</f>
        <v>1</v>
      </c>
      <c r="E1438" t="b">
        <f>LineærRegression_Valg[[#This Row],[Afhængig variabel ID]]&lt;=$B$5</f>
        <v>0</v>
      </c>
      <c r="F1438" t="str" cm="1">
        <f t="array" ref="F1438">IF(LineærRegression_Valg[[#This Row],[Indenfor range]],INDEX(DataTitel_liste,LineærRegression_Valg[[#This Row],[Afhængig variabel ID]]),INDEX(DataTitel_liste,1))</f>
        <v>Eksempel 1 (interval)</v>
      </c>
      <c r="G1438" s="45" t="str" cm="1">
        <f t="array" ref="G1438">IF(LineærRegression_Valg[[#This Row],[Indenfor range]],IF(LineærRegression_Valg[[#This Row],[Intet overlap]],INDEX(DataTitel_liste,LineærRegression_Valg[[#This Row],[Uafhængig variabel ID]]),INDEX(DataTitel_liste,IF(LineærRegression_Valg[[#This Row],[Afhængig variabel ID]]=1,2,1))),$B$7)</f>
        <v>Eksempel 2 (interval)</v>
      </c>
      <c r="H1438" s="45">
        <f>_xlfn.AGGREGATE(2,5,LineærRegression_Valg[[#This Row],[Tabel ID]])</f>
        <v>1</v>
      </c>
    </row>
    <row r="1439" spans="1:8" x14ac:dyDescent="0.2">
      <c r="A1439">
        <f>ROW(LineærRegression_Valg[[#This Row],[Tabel ID]])-ROW(LineærRegression_Valg[[#Headers],[Tabel ID]])</f>
        <v>1429</v>
      </c>
      <c r="B1439" s="45">
        <f>ROUNDDOWN((LineærRegression_Valg[[#This Row],[Tabel ID]]-1)/$B$5,0)+1</f>
        <v>358</v>
      </c>
      <c r="C1439" s="45">
        <f t="shared" si="22"/>
        <v>1</v>
      </c>
      <c r="D1439" s="45" t="b">
        <f>LineærRegression_Valg[[#This Row],[Afhængig variabel ID]]&lt;&gt;LineærRegression_Valg[[#This Row],[Uafhængig variabel ID]]</f>
        <v>1</v>
      </c>
      <c r="E1439" t="b">
        <f>LineærRegression_Valg[[#This Row],[Afhængig variabel ID]]&lt;=$B$5</f>
        <v>0</v>
      </c>
      <c r="F1439" t="str" cm="1">
        <f t="array" ref="F1439">IF(LineærRegression_Valg[[#This Row],[Indenfor range]],INDEX(DataTitel_liste,LineærRegression_Valg[[#This Row],[Afhængig variabel ID]]),INDEX(DataTitel_liste,1))</f>
        <v>Eksempel 1 (interval)</v>
      </c>
      <c r="G1439" s="45" t="str" cm="1">
        <f t="array" ref="G1439">IF(LineærRegression_Valg[[#This Row],[Indenfor range]],IF(LineærRegression_Valg[[#This Row],[Intet overlap]],INDEX(DataTitel_liste,LineærRegression_Valg[[#This Row],[Uafhængig variabel ID]]),INDEX(DataTitel_liste,IF(LineærRegression_Valg[[#This Row],[Afhængig variabel ID]]=1,2,1))),$B$7)</f>
        <v>Eksempel 2 (interval)</v>
      </c>
      <c r="H1439" s="45">
        <f>_xlfn.AGGREGATE(2,5,LineærRegression_Valg[[#This Row],[Tabel ID]])</f>
        <v>1</v>
      </c>
    </row>
    <row r="1440" spans="1:8" x14ac:dyDescent="0.2">
      <c r="A1440">
        <f>ROW(LineærRegression_Valg[[#This Row],[Tabel ID]])-ROW(LineærRegression_Valg[[#Headers],[Tabel ID]])</f>
        <v>1430</v>
      </c>
      <c r="B1440" s="45">
        <f>ROUNDDOWN((LineærRegression_Valg[[#This Row],[Tabel ID]]-1)/$B$5,0)+1</f>
        <v>358</v>
      </c>
      <c r="C1440" s="45">
        <f t="shared" si="22"/>
        <v>2</v>
      </c>
      <c r="D1440" s="45" t="b">
        <f>LineærRegression_Valg[[#This Row],[Afhængig variabel ID]]&lt;&gt;LineærRegression_Valg[[#This Row],[Uafhængig variabel ID]]</f>
        <v>1</v>
      </c>
      <c r="E1440" t="b">
        <f>LineærRegression_Valg[[#This Row],[Afhængig variabel ID]]&lt;=$B$5</f>
        <v>0</v>
      </c>
      <c r="F1440" t="str" cm="1">
        <f t="array" ref="F1440">IF(LineærRegression_Valg[[#This Row],[Indenfor range]],INDEX(DataTitel_liste,LineærRegression_Valg[[#This Row],[Afhængig variabel ID]]),INDEX(DataTitel_liste,1))</f>
        <v>Eksempel 1 (interval)</v>
      </c>
      <c r="G1440" s="45" t="str" cm="1">
        <f t="array" ref="G1440">IF(LineærRegression_Valg[[#This Row],[Indenfor range]],IF(LineærRegression_Valg[[#This Row],[Intet overlap]],INDEX(DataTitel_liste,LineærRegression_Valg[[#This Row],[Uafhængig variabel ID]]),INDEX(DataTitel_liste,IF(LineærRegression_Valg[[#This Row],[Afhængig variabel ID]]=1,2,1))),$B$7)</f>
        <v>Eksempel 2 (interval)</v>
      </c>
      <c r="H1440" s="45">
        <f>_xlfn.AGGREGATE(2,5,LineærRegression_Valg[[#This Row],[Tabel ID]])</f>
        <v>1</v>
      </c>
    </row>
    <row r="1441" spans="1:8" x14ac:dyDescent="0.2">
      <c r="A1441">
        <f>ROW(LineærRegression_Valg[[#This Row],[Tabel ID]])-ROW(LineærRegression_Valg[[#Headers],[Tabel ID]])</f>
        <v>1431</v>
      </c>
      <c r="B1441" s="45">
        <f>ROUNDDOWN((LineærRegression_Valg[[#This Row],[Tabel ID]]-1)/$B$5,0)+1</f>
        <v>358</v>
      </c>
      <c r="C1441" s="45">
        <f t="shared" si="22"/>
        <v>3</v>
      </c>
      <c r="D1441" s="45" t="b">
        <f>LineærRegression_Valg[[#This Row],[Afhængig variabel ID]]&lt;&gt;LineærRegression_Valg[[#This Row],[Uafhængig variabel ID]]</f>
        <v>1</v>
      </c>
      <c r="E1441" t="b">
        <f>LineærRegression_Valg[[#This Row],[Afhængig variabel ID]]&lt;=$B$5</f>
        <v>0</v>
      </c>
      <c r="F1441" t="str" cm="1">
        <f t="array" ref="F1441">IF(LineærRegression_Valg[[#This Row],[Indenfor range]],INDEX(DataTitel_liste,LineærRegression_Valg[[#This Row],[Afhængig variabel ID]]),INDEX(DataTitel_liste,1))</f>
        <v>Eksempel 1 (interval)</v>
      </c>
      <c r="G1441" s="45" t="str" cm="1">
        <f t="array" ref="G1441">IF(LineærRegression_Valg[[#This Row],[Indenfor range]],IF(LineærRegression_Valg[[#This Row],[Intet overlap]],INDEX(DataTitel_liste,LineærRegression_Valg[[#This Row],[Uafhængig variabel ID]]),INDEX(DataTitel_liste,IF(LineærRegression_Valg[[#This Row],[Afhængig variabel ID]]=1,2,1))),$B$7)</f>
        <v>Eksempel 2 (interval)</v>
      </c>
      <c r="H1441" s="45">
        <f>_xlfn.AGGREGATE(2,5,LineærRegression_Valg[[#This Row],[Tabel ID]])</f>
        <v>1</v>
      </c>
    </row>
    <row r="1442" spans="1:8" x14ac:dyDescent="0.2">
      <c r="A1442">
        <f>ROW(LineærRegression_Valg[[#This Row],[Tabel ID]])-ROW(LineærRegression_Valg[[#Headers],[Tabel ID]])</f>
        <v>1432</v>
      </c>
      <c r="B1442" s="45">
        <f>ROUNDDOWN((LineærRegression_Valg[[#This Row],[Tabel ID]]-1)/$B$5,0)+1</f>
        <v>358</v>
      </c>
      <c r="C1442" s="45">
        <f t="shared" si="22"/>
        <v>4</v>
      </c>
      <c r="D1442" s="45" t="b">
        <f>LineærRegression_Valg[[#This Row],[Afhængig variabel ID]]&lt;&gt;LineærRegression_Valg[[#This Row],[Uafhængig variabel ID]]</f>
        <v>1</v>
      </c>
      <c r="E1442" t="b">
        <f>LineærRegression_Valg[[#This Row],[Afhængig variabel ID]]&lt;=$B$5</f>
        <v>0</v>
      </c>
      <c r="F1442" t="str" cm="1">
        <f t="array" ref="F1442">IF(LineærRegression_Valg[[#This Row],[Indenfor range]],INDEX(DataTitel_liste,LineærRegression_Valg[[#This Row],[Afhængig variabel ID]]),INDEX(DataTitel_liste,1))</f>
        <v>Eksempel 1 (interval)</v>
      </c>
      <c r="G1442" s="45" t="str" cm="1">
        <f t="array" ref="G1442">IF(LineærRegression_Valg[[#This Row],[Indenfor range]],IF(LineærRegression_Valg[[#This Row],[Intet overlap]],INDEX(DataTitel_liste,LineærRegression_Valg[[#This Row],[Uafhængig variabel ID]]),INDEX(DataTitel_liste,IF(LineærRegression_Valg[[#This Row],[Afhængig variabel ID]]=1,2,1))),$B$7)</f>
        <v>Eksempel 2 (interval)</v>
      </c>
      <c r="H1442" s="45">
        <f>_xlfn.AGGREGATE(2,5,LineærRegression_Valg[[#This Row],[Tabel ID]])</f>
        <v>1</v>
      </c>
    </row>
    <row r="1443" spans="1:8" x14ac:dyDescent="0.2">
      <c r="A1443">
        <f>ROW(LineærRegression_Valg[[#This Row],[Tabel ID]])-ROW(LineærRegression_Valg[[#Headers],[Tabel ID]])</f>
        <v>1433</v>
      </c>
      <c r="B1443" s="45">
        <f>ROUNDDOWN((LineærRegression_Valg[[#This Row],[Tabel ID]]-1)/$B$5,0)+1</f>
        <v>359</v>
      </c>
      <c r="C1443" s="45">
        <f t="shared" si="22"/>
        <v>1</v>
      </c>
      <c r="D1443" s="45" t="b">
        <f>LineærRegression_Valg[[#This Row],[Afhængig variabel ID]]&lt;&gt;LineærRegression_Valg[[#This Row],[Uafhængig variabel ID]]</f>
        <v>1</v>
      </c>
      <c r="E1443" t="b">
        <f>LineærRegression_Valg[[#This Row],[Afhængig variabel ID]]&lt;=$B$5</f>
        <v>0</v>
      </c>
      <c r="F1443" t="str" cm="1">
        <f t="array" ref="F1443">IF(LineærRegression_Valg[[#This Row],[Indenfor range]],INDEX(DataTitel_liste,LineærRegression_Valg[[#This Row],[Afhængig variabel ID]]),INDEX(DataTitel_liste,1))</f>
        <v>Eksempel 1 (interval)</v>
      </c>
      <c r="G1443" s="45" t="str" cm="1">
        <f t="array" ref="G1443">IF(LineærRegression_Valg[[#This Row],[Indenfor range]],IF(LineærRegression_Valg[[#This Row],[Intet overlap]],INDEX(DataTitel_liste,LineærRegression_Valg[[#This Row],[Uafhængig variabel ID]]),INDEX(DataTitel_liste,IF(LineærRegression_Valg[[#This Row],[Afhængig variabel ID]]=1,2,1))),$B$7)</f>
        <v>Eksempel 2 (interval)</v>
      </c>
      <c r="H1443" s="45">
        <f>_xlfn.AGGREGATE(2,5,LineærRegression_Valg[[#This Row],[Tabel ID]])</f>
        <v>1</v>
      </c>
    </row>
    <row r="1444" spans="1:8" x14ac:dyDescent="0.2">
      <c r="A1444">
        <f>ROW(LineærRegression_Valg[[#This Row],[Tabel ID]])-ROW(LineærRegression_Valg[[#Headers],[Tabel ID]])</f>
        <v>1434</v>
      </c>
      <c r="B1444" s="45">
        <f>ROUNDDOWN((LineærRegression_Valg[[#This Row],[Tabel ID]]-1)/$B$5,0)+1</f>
        <v>359</v>
      </c>
      <c r="C1444" s="45">
        <f t="shared" si="22"/>
        <v>2</v>
      </c>
      <c r="D1444" s="45" t="b">
        <f>LineærRegression_Valg[[#This Row],[Afhængig variabel ID]]&lt;&gt;LineærRegression_Valg[[#This Row],[Uafhængig variabel ID]]</f>
        <v>1</v>
      </c>
      <c r="E1444" t="b">
        <f>LineærRegression_Valg[[#This Row],[Afhængig variabel ID]]&lt;=$B$5</f>
        <v>0</v>
      </c>
      <c r="F1444" t="str" cm="1">
        <f t="array" ref="F1444">IF(LineærRegression_Valg[[#This Row],[Indenfor range]],INDEX(DataTitel_liste,LineærRegression_Valg[[#This Row],[Afhængig variabel ID]]),INDEX(DataTitel_liste,1))</f>
        <v>Eksempel 1 (interval)</v>
      </c>
      <c r="G1444" s="45" t="str" cm="1">
        <f t="array" ref="G1444">IF(LineærRegression_Valg[[#This Row],[Indenfor range]],IF(LineærRegression_Valg[[#This Row],[Intet overlap]],INDEX(DataTitel_liste,LineærRegression_Valg[[#This Row],[Uafhængig variabel ID]]),INDEX(DataTitel_liste,IF(LineærRegression_Valg[[#This Row],[Afhængig variabel ID]]=1,2,1))),$B$7)</f>
        <v>Eksempel 2 (interval)</v>
      </c>
      <c r="H1444" s="45">
        <f>_xlfn.AGGREGATE(2,5,LineærRegression_Valg[[#This Row],[Tabel ID]])</f>
        <v>1</v>
      </c>
    </row>
    <row r="1445" spans="1:8" x14ac:dyDescent="0.2">
      <c r="A1445">
        <f>ROW(LineærRegression_Valg[[#This Row],[Tabel ID]])-ROW(LineærRegression_Valg[[#Headers],[Tabel ID]])</f>
        <v>1435</v>
      </c>
      <c r="B1445" s="45">
        <f>ROUNDDOWN((LineærRegression_Valg[[#This Row],[Tabel ID]]-1)/$B$5,0)+1</f>
        <v>359</v>
      </c>
      <c r="C1445" s="45">
        <f t="shared" si="22"/>
        <v>3</v>
      </c>
      <c r="D1445" s="45" t="b">
        <f>LineærRegression_Valg[[#This Row],[Afhængig variabel ID]]&lt;&gt;LineærRegression_Valg[[#This Row],[Uafhængig variabel ID]]</f>
        <v>1</v>
      </c>
      <c r="E1445" t="b">
        <f>LineærRegression_Valg[[#This Row],[Afhængig variabel ID]]&lt;=$B$5</f>
        <v>0</v>
      </c>
      <c r="F1445" t="str" cm="1">
        <f t="array" ref="F1445">IF(LineærRegression_Valg[[#This Row],[Indenfor range]],INDEX(DataTitel_liste,LineærRegression_Valg[[#This Row],[Afhængig variabel ID]]),INDEX(DataTitel_liste,1))</f>
        <v>Eksempel 1 (interval)</v>
      </c>
      <c r="G1445" s="45" t="str" cm="1">
        <f t="array" ref="G1445">IF(LineærRegression_Valg[[#This Row],[Indenfor range]],IF(LineærRegression_Valg[[#This Row],[Intet overlap]],INDEX(DataTitel_liste,LineærRegression_Valg[[#This Row],[Uafhængig variabel ID]]),INDEX(DataTitel_liste,IF(LineærRegression_Valg[[#This Row],[Afhængig variabel ID]]=1,2,1))),$B$7)</f>
        <v>Eksempel 2 (interval)</v>
      </c>
      <c r="H1445" s="45">
        <f>_xlfn.AGGREGATE(2,5,LineærRegression_Valg[[#This Row],[Tabel ID]])</f>
        <v>1</v>
      </c>
    </row>
    <row r="1446" spans="1:8" x14ac:dyDescent="0.2">
      <c r="A1446">
        <f>ROW(LineærRegression_Valg[[#This Row],[Tabel ID]])-ROW(LineærRegression_Valg[[#Headers],[Tabel ID]])</f>
        <v>1436</v>
      </c>
      <c r="B1446" s="45">
        <f>ROUNDDOWN((LineærRegression_Valg[[#This Row],[Tabel ID]]-1)/$B$5,0)+1</f>
        <v>359</v>
      </c>
      <c r="C1446" s="45">
        <f t="shared" si="22"/>
        <v>4</v>
      </c>
      <c r="D1446" s="45" t="b">
        <f>LineærRegression_Valg[[#This Row],[Afhængig variabel ID]]&lt;&gt;LineærRegression_Valg[[#This Row],[Uafhængig variabel ID]]</f>
        <v>1</v>
      </c>
      <c r="E1446" s="45" t="b">
        <f>LineærRegression_Valg[[#This Row],[Afhængig variabel ID]]&lt;=$B$5</f>
        <v>0</v>
      </c>
      <c r="F1446" t="str" cm="1">
        <f t="array" ref="F1446">IF(LineærRegression_Valg[[#This Row],[Indenfor range]],INDEX(DataTitel_liste,LineærRegression_Valg[[#This Row],[Afhængig variabel ID]]),INDEX(DataTitel_liste,1))</f>
        <v>Eksempel 1 (interval)</v>
      </c>
      <c r="G1446" s="45" t="str" cm="1">
        <f t="array" ref="G1446">IF(LineærRegression_Valg[[#This Row],[Indenfor range]],IF(LineærRegression_Valg[[#This Row],[Intet overlap]],INDEX(DataTitel_liste,LineærRegression_Valg[[#This Row],[Uafhængig variabel ID]]),INDEX(DataTitel_liste,IF(LineærRegression_Valg[[#This Row],[Afhængig variabel ID]]=1,2,1))),$B$7)</f>
        <v>Eksempel 2 (interval)</v>
      </c>
      <c r="H1446" s="45">
        <f>_xlfn.AGGREGATE(2,5,LineærRegression_Valg[[#This Row],[Tabel ID]])</f>
        <v>1</v>
      </c>
    </row>
    <row r="1447" spans="1:8" x14ac:dyDescent="0.2">
      <c r="A1447">
        <f>ROW(LineærRegression_Valg[[#This Row],[Tabel ID]])-ROW(LineærRegression_Valg[[#Headers],[Tabel ID]])</f>
        <v>1437</v>
      </c>
      <c r="B1447" s="45">
        <f>ROUNDDOWN((LineærRegression_Valg[[#This Row],[Tabel ID]]-1)/$B$5,0)+1</f>
        <v>360</v>
      </c>
      <c r="C1447" s="45">
        <f t="shared" si="22"/>
        <v>1</v>
      </c>
      <c r="D1447" s="45" t="b">
        <f>LineærRegression_Valg[[#This Row],[Afhængig variabel ID]]&lt;&gt;LineærRegression_Valg[[#This Row],[Uafhængig variabel ID]]</f>
        <v>1</v>
      </c>
      <c r="E1447" s="45" t="b">
        <f>LineærRegression_Valg[[#This Row],[Afhængig variabel ID]]&lt;=$B$5</f>
        <v>0</v>
      </c>
      <c r="F1447" t="str" cm="1">
        <f t="array" ref="F1447">IF(LineærRegression_Valg[[#This Row],[Indenfor range]],INDEX(DataTitel_liste,LineærRegression_Valg[[#This Row],[Afhængig variabel ID]]),INDEX(DataTitel_liste,1))</f>
        <v>Eksempel 1 (interval)</v>
      </c>
      <c r="G1447" s="45" t="str" cm="1">
        <f t="array" ref="G1447">IF(LineærRegression_Valg[[#This Row],[Indenfor range]],IF(LineærRegression_Valg[[#This Row],[Intet overlap]],INDEX(DataTitel_liste,LineærRegression_Valg[[#This Row],[Uafhængig variabel ID]]),INDEX(DataTitel_liste,IF(LineærRegression_Valg[[#This Row],[Afhængig variabel ID]]=1,2,1))),$B$7)</f>
        <v>Eksempel 2 (interval)</v>
      </c>
      <c r="H1447" s="45">
        <f>_xlfn.AGGREGATE(2,5,LineærRegression_Valg[[#This Row],[Tabel ID]])</f>
        <v>1</v>
      </c>
    </row>
    <row r="1448" spans="1:8" x14ac:dyDescent="0.2">
      <c r="A1448">
        <f>ROW(LineærRegression_Valg[[#This Row],[Tabel ID]])-ROW(LineærRegression_Valg[[#Headers],[Tabel ID]])</f>
        <v>1438</v>
      </c>
      <c r="B1448" s="45">
        <f>ROUNDDOWN((LineærRegression_Valg[[#This Row],[Tabel ID]]-1)/$B$5,0)+1</f>
        <v>360</v>
      </c>
      <c r="C1448" s="45">
        <f t="shared" si="22"/>
        <v>2</v>
      </c>
      <c r="D1448" s="45" t="b">
        <f>LineærRegression_Valg[[#This Row],[Afhængig variabel ID]]&lt;&gt;LineærRegression_Valg[[#This Row],[Uafhængig variabel ID]]</f>
        <v>1</v>
      </c>
      <c r="E1448" s="45" t="b">
        <f>LineærRegression_Valg[[#This Row],[Afhængig variabel ID]]&lt;=$B$5</f>
        <v>0</v>
      </c>
      <c r="F1448" t="str" cm="1">
        <f t="array" ref="F1448">IF(LineærRegression_Valg[[#This Row],[Indenfor range]],INDEX(DataTitel_liste,LineærRegression_Valg[[#This Row],[Afhængig variabel ID]]),INDEX(DataTitel_liste,1))</f>
        <v>Eksempel 1 (interval)</v>
      </c>
      <c r="G1448" s="45" t="str" cm="1">
        <f t="array" ref="G1448">IF(LineærRegression_Valg[[#This Row],[Indenfor range]],IF(LineærRegression_Valg[[#This Row],[Intet overlap]],INDEX(DataTitel_liste,LineærRegression_Valg[[#This Row],[Uafhængig variabel ID]]),INDEX(DataTitel_liste,IF(LineærRegression_Valg[[#This Row],[Afhængig variabel ID]]=1,2,1))),$B$7)</f>
        <v>Eksempel 2 (interval)</v>
      </c>
      <c r="H1448" s="45">
        <f>_xlfn.AGGREGATE(2,5,LineærRegression_Valg[[#This Row],[Tabel ID]])</f>
        <v>1</v>
      </c>
    </row>
    <row r="1449" spans="1:8" x14ac:dyDescent="0.2">
      <c r="A1449">
        <f>ROW(LineærRegression_Valg[[#This Row],[Tabel ID]])-ROW(LineærRegression_Valg[[#Headers],[Tabel ID]])</f>
        <v>1439</v>
      </c>
      <c r="B1449" s="45">
        <f>ROUNDDOWN((LineærRegression_Valg[[#This Row],[Tabel ID]]-1)/$B$5,0)+1</f>
        <v>360</v>
      </c>
      <c r="C1449" s="45">
        <f t="shared" si="22"/>
        <v>3</v>
      </c>
      <c r="D1449" s="45" t="b">
        <f>LineærRegression_Valg[[#This Row],[Afhængig variabel ID]]&lt;&gt;LineærRegression_Valg[[#This Row],[Uafhængig variabel ID]]</f>
        <v>1</v>
      </c>
      <c r="E1449" s="45" t="b">
        <f>LineærRegression_Valg[[#This Row],[Afhængig variabel ID]]&lt;=$B$5</f>
        <v>0</v>
      </c>
      <c r="F1449" t="str" cm="1">
        <f t="array" ref="F1449">IF(LineærRegression_Valg[[#This Row],[Indenfor range]],INDEX(DataTitel_liste,LineærRegression_Valg[[#This Row],[Afhængig variabel ID]]),INDEX(DataTitel_liste,1))</f>
        <v>Eksempel 1 (interval)</v>
      </c>
      <c r="G1449" s="45" t="str" cm="1">
        <f t="array" ref="G1449">IF(LineærRegression_Valg[[#This Row],[Indenfor range]],IF(LineærRegression_Valg[[#This Row],[Intet overlap]],INDEX(DataTitel_liste,LineærRegression_Valg[[#This Row],[Uafhængig variabel ID]]),INDEX(DataTitel_liste,IF(LineærRegression_Valg[[#This Row],[Afhængig variabel ID]]=1,2,1))),$B$7)</f>
        <v>Eksempel 2 (interval)</v>
      </c>
      <c r="H1449" s="45">
        <f>_xlfn.AGGREGATE(2,5,LineærRegression_Valg[[#This Row],[Tabel ID]])</f>
        <v>1</v>
      </c>
    </row>
    <row r="1450" spans="1:8" x14ac:dyDescent="0.2">
      <c r="A1450">
        <f>ROW(LineærRegression_Valg[[#This Row],[Tabel ID]])-ROW(LineærRegression_Valg[[#Headers],[Tabel ID]])</f>
        <v>1440</v>
      </c>
      <c r="B1450" s="45">
        <f>ROUNDDOWN((LineærRegression_Valg[[#This Row],[Tabel ID]]-1)/$B$5,0)+1</f>
        <v>360</v>
      </c>
      <c r="C1450" s="45">
        <f t="shared" si="22"/>
        <v>4</v>
      </c>
      <c r="D1450" s="45" t="b">
        <f>LineærRegression_Valg[[#This Row],[Afhængig variabel ID]]&lt;&gt;LineærRegression_Valg[[#This Row],[Uafhængig variabel ID]]</f>
        <v>1</v>
      </c>
      <c r="E1450" s="45" t="b">
        <f>LineærRegression_Valg[[#This Row],[Afhængig variabel ID]]&lt;=$B$5</f>
        <v>0</v>
      </c>
      <c r="F1450" t="str" cm="1">
        <f t="array" ref="F1450">IF(LineærRegression_Valg[[#This Row],[Indenfor range]],INDEX(DataTitel_liste,LineærRegression_Valg[[#This Row],[Afhængig variabel ID]]),INDEX(DataTitel_liste,1))</f>
        <v>Eksempel 1 (interval)</v>
      </c>
      <c r="G1450" s="45" t="str" cm="1">
        <f t="array" ref="G1450">IF(LineærRegression_Valg[[#This Row],[Indenfor range]],IF(LineærRegression_Valg[[#This Row],[Intet overlap]],INDEX(DataTitel_liste,LineærRegression_Valg[[#This Row],[Uafhængig variabel ID]]),INDEX(DataTitel_liste,IF(LineærRegression_Valg[[#This Row],[Afhængig variabel ID]]=1,2,1))),$B$7)</f>
        <v>Eksempel 2 (interval)</v>
      </c>
      <c r="H1450" s="45">
        <f>_xlfn.AGGREGATE(2,5,LineærRegression_Valg[[#This Row],[Tabel ID]])</f>
        <v>1</v>
      </c>
    </row>
    <row r="1451" spans="1:8" x14ac:dyDescent="0.2">
      <c r="A1451">
        <f>ROW(LineærRegression_Valg[[#This Row],[Tabel ID]])-ROW(LineærRegression_Valg[[#Headers],[Tabel ID]])</f>
        <v>1441</v>
      </c>
      <c r="B1451" s="45">
        <f>ROUNDDOWN((LineærRegression_Valg[[#This Row],[Tabel ID]]-1)/$B$5,0)+1</f>
        <v>361</v>
      </c>
      <c r="C1451" s="45">
        <f t="shared" si="22"/>
        <v>1</v>
      </c>
      <c r="D1451" s="45" t="b">
        <f>LineærRegression_Valg[[#This Row],[Afhængig variabel ID]]&lt;&gt;LineærRegression_Valg[[#This Row],[Uafhængig variabel ID]]</f>
        <v>1</v>
      </c>
      <c r="E1451" s="45" t="b">
        <f>LineærRegression_Valg[[#This Row],[Afhængig variabel ID]]&lt;=$B$5</f>
        <v>0</v>
      </c>
      <c r="F1451" t="str" cm="1">
        <f t="array" ref="F1451">IF(LineærRegression_Valg[[#This Row],[Indenfor range]],INDEX(DataTitel_liste,LineærRegression_Valg[[#This Row],[Afhængig variabel ID]]),INDEX(DataTitel_liste,1))</f>
        <v>Eksempel 1 (interval)</v>
      </c>
      <c r="G1451" s="45" t="str" cm="1">
        <f t="array" ref="G1451">IF(LineærRegression_Valg[[#This Row],[Indenfor range]],IF(LineærRegression_Valg[[#This Row],[Intet overlap]],INDEX(DataTitel_liste,LineærRegression_Valg[[#This Row],[Uafhængig variabel ID]]),INDEX(DataTitel_liste,IF(LineærRegression_Valg[[#This Row],[Afhængig variabel ID]]=1,2,1))),$B$7)</f>
        <v>Eksempel 2 (interval)</v>
      </c>
      <c r="H1451" s="45">
        <f>_xlfn.AGGREGATE(2,5,LineærRegression_Valg[[#This Row],[Tabel ID]])</f>
        <v>1</v>
      </c>
    </row>
    <row r="1452" spans="1:8" x14ac:dyDescent="0.2">
      <c r="A1452">
        <f>ROW(LineærRegression_Valg[[#This Row],[Tabel ID]])-ROW(LineærRegression_Valg[[#Headers],[Tabel ID]])</f>
        <v>1442</v>
      </c>
      <c r="B1452" s="45">
        <f>ROUNDDOWN((LineærRegression_Valg[[#This Row],[Tabel ID]]-1)/$B$5,0)+1</f>
        <v>361</v>
      </c>
      <c r="C1452" s="45">
        <f t="shared" si="22"/>
        <v>2</v>
      </c>
      <c r="D1452" s="45" t="b">
        <f>LineærRegression_Valg[[#This Row],[Afhængig variabel ID]]&lt;&gt;LineærRegression_Valg[[#This Row],[Uafhængig variabel ID]]</f>
        <v>1</v>
      </c>
      <c r="E1452" s="45" t="b">
        <f>LineærRegression_Valg[[#This Row],[Afhængig variabel ID]]&lt;=$B$5</f>
        <v>0</v>
      </c>
      <c r="F1452" t="str" cm="1">
        <f t="array" ref="F1452">IF(LineærRegression_Valg[[#This Row],[Indenfor range]],INDEX(DataTitel_liste,LineærRegression_Valg[[#This Row],[Afhængig variabel ID]]),INDEX(DataTitel_liste,1))</f>
        <v>Eksempel 1 (interval)</v>
      </c>
      <c r="G1452" s="45" t="str" cm="1">
        <f t="array" ref="G1452">IF(LineærRegression_Valg[[#This Row],[Indenfor range]],IF(LineærRegression_Valg[[#This Row],[Intet overlap]],INDEX(DataTitel_liste,LineærRegression_Valg[[#This Row],[Uafhængig variabel ID]]),INDEX(DataTitel_liste,IF(LineærRegression_Valg[[#This Row],[Afhængig variabel ID]]=1,2,1))),$B$7)</f>
        <v>Eksempel 2 (interval)</v>
      </c>
      <c r="H1452" s="45">
        <f>_xlfn.AGGREGATE(2,5,LineærRegression_Valg[[#This Row],[Tabel ID]])</f>
        <v>1</v>
      </c>
    </row>
    <row r="1453" spans="1:8" x14ac:dyDescent="0.2">
      <c r="A1453">
        <f>ROW(LineærRegression_Valg[[#This Row],[Tabel ID]])-ROW(LineærRegression_Valg[[#Headers],[Tabel ID]])</f>
        <v>1443</v>
      </c>
      <c r="B1453" s="45">
        <f>ROUNDDOWN((LineærRegression_Valg[[#This Row],[Tabel ID]]-1)/$B$5,0)+1</f>
        <v>361</v>
      </c>
      <c r="C1453" s="45">
        <f t="shared" si="22"/>
        <v>3</v>
      </c>
      <c r="D1453" s="45" t="b">
        <f>LineærRegression_Valg[[#This Row],[Afhængig variabel ID]]&lt;&gt;LineærRegression_Valg[[#This Row],[Uafhængig variabel ID]]</f>
        <v>1</v>
      </c>
      <c r="E1453" s="45" t="b">
        <f>LineærRegression_Valg[[#This Row],[Afhængig variabel ID]]&lt;=$B$5</f>
        <v>0</v>
      </c>
      <c r="F1453" t="str" cm="1">
        <f t="array" ref="F1453">IF(LineærRegression_Valg[[#This Row],[Indenfor range]],INDEX(DataTitel_liste,LineærRegression_Valg[[#This Row],[Afhængig variabel ID]]),INDEX(DataTitel_liste,1))</f>
        <v>Eksempel 1 (interval)</v>
      </c>
      <c r="G1453" s="45" t="str" cm="1">
        <f t="array" ref="G1453">IF(LineærRegression_Valg[[#This Row],[Indenfor range]],IF(LineærRegression_Valg[[#This Row],[Intet overlap]],INDEX(DataTitel_liste,LineærRegression_Valg[[#This Row],[Uafhængig variabel ID]]),INDEX(DataTitel_liste,IF(LineærRegression_Valg[[#This Row],[Afhængig variabel ID]]=1,2,1))),$B$7)</f>
        <v>Eksempel 2 (interval)</v>
      </c>
      <c r="H1453" s="45">
        <f>_xlfn.AGGREGATE(2,5,LineærRegression_Valg[[#This Row],[Tabel ID]])</f>
        <v>1</v>
      </c>
    </row>
    <row r="1454" spans="1:8" x14ac:dyDescent="0.2">
      <c r="A1454">
        <f>ROW(LineærRegression_Valg[[#This Row],[Tabel ID]])-ROW(LineærRegression_Valg[[#Headers],[Tabel ID]])</f>
        <v>1444</v>
      </c>
      <c r="B1454" s="45">
        <f>ROUNDDOWN((LineærRegression_Valg[[#This Row],[Tabel ID]]-1)/$B$5,0)+1</f>
        <v>361</v>
      </c>
      <c r="C1454" s="45">
        <f t="shared" si="22"/>
        <v>4</v>
      </c>
      <c r="D1454" s="45" t="b">
        <f>LineærRegression_Valg[[#This Row],[Afhængig variabel ID]]&lt;&gt;LineærRegression_Valg[[#This Row],[Uafhængig variabel ID]]</f>
        <v>1</v>
      </c>
      <c r="E1454" s="45" t="b">
        <f>LineærRegression_Valg[[#This Row],[Afhængig variabel ID]]&lt;=$B$5</f>
        <v>0</v>
      </c>
      <c r="F1454" t="str" cm="1">
        <f t="array" ref="F1454">IF(LineærRegression_Valg[[#This Row],[Indenfor range]],INDEX(DataTitel_liste,LineærRegression_Valg[[#This Row],[Afhængig variabel ID]]),INDEX(DataTitel_liste,1))</f>
        <v>Eksempel 1 (interval)</v>
      </c>
      <c r="G1454" s="45" t="str" cm="1">
        <f t="array" ref="G1454">IF(LineærRegression_Valg[[#This Row],[Indenfor range]],IF(LineærRegression_Valg[[#This Row],[Intet overlap]],INDEX(DataTitel_liste,LineærRegression_Valg[[#This Row],[Uafhængig variabel ID]]),INDEX(DataTitel_liste,IF(LineærRegression_Valg[[#This Row],[Afhængig variabel ID]]=1,2,1))),$B$7)</f>
        <v>Eksempel 2 (interval)</v>
      </c>
      <c r="H1454" s="45">
        <f>_xlfn.AGGREGATE(2,5,LineærRegression_Valg[[#This Row],[Tabel ID]])</f>
        <v>1</v>
      </c>
    </row>
    <row r="1455" spans="1:8" x14ac:dyDescent="0.2">
      <c r="A1455">
        <f>ROW(LineærRegression_Valg[[#This Row],[Tabel ID]])-ROW(LineærRegression_Valg[[#Headers],[Tabel ID]])</f>
        <v>1445</v>
      </c>
      <c r="B1455" s="45">
        <f>ROUNDDOWN((LineærRegression_Valg[[#This Row],[Tabel ID]]-1)/$B$5,0)+1</f>
        <v>362</v>
      </c>
      <c r="C1455" s="45">
        <f t="shared" si="22"/>
        <v>1</v>
      </c>
      <c r="D1455" s="45" t="b">
        <f>LineærRegression_Valg[[#This Row],[Afhængig variabel ID]]&lt;&gt;LineærRegression_Valg[[#This Row],[Uafhængig variabel ID]]</f>
        <v>1</v>
      </c>
      <c r="E1455" s="45" t="b">
        <f>LineærRegression_Valg[[#This Row],[Afhængig variabel ID]]&lt;=$B$5</f>
        <v>0</v>
      </c>
      <c r="F1455" t="str" cm="1">
        <f t="array" ref="F1455">IF(LineærRegression_Valg[[#This Row],[Indenfor range]],INDEX(DataTitel_liste,LineærRegression_Valg[[#This Row],[Afhængig variabel ID]]),INDEX(DataTitel_liste,1))</f>
        <v>Eksempel 1 (interval)</v>
      </c>
      <c r="G1455" s="45" t="str" cm="1">
        <f t="array" ref="G1455">IF(LineærRegression_Valg[[#This Row],[Indenfor range]],IF(LineærRegression_Valg[[#This Row],[Intet overlap]],INDEX(DataTitel_liste,LineærRegression_Valg[[#This Row],[Uafhængig variabel ID]]),INDEX(DataTitel_liste,IF(LineærRegression_Valg[[#This Row],[Afhængig variabel ID]]=1,2,1))),$B$7)</f>
        <v>Eksempel 2 (interval)</v>
      </c>
      <c r="H1455" s="45">
        <f>_xlfn.AGGREGATE(2,5,LineærRegression_Valg[[#This Row],[Tabel ID]])</f>
        <v>1</v>
      </c>
    </row>
    <row r="1456" spans="1:8" x14ac:dyDescent="0.2">
      <c r="A1456">
        <f>ROW(LineærRegression_Valg[[#This Row],[Tabel ID]])-ROW(LineærRegression_Valg[[#Headers],[Tabel ID]])</f>
        <v>1446</v>
      </c>
      <c r="B1456" s="45">
        <f>ROUNDDOWN((LineærRegression_Valg[[#This Row],[Tabel ID]]-1)/$B$5,0)+1</f>
        <v>362</v>
      </c>
      <c r="C1456" s="45">
        <f t="shared" si="22"/>
        <v>2</v>
      </c>
      <c r="D1456" s="45" t="b">
        <f>LineærRegression_Valg[[#This Row],[Afhængig variabel ID]]&lt;&gt;LineærRegression_Valg[[#This Row],[Uafhængig variabel ID]]</f>
        <v>1</v>
      </c>
      <c r="E1456" s="45" t="b">
        <f>LineærRegression_Valg[[#This Row],[Afhængig variabel ID]]&lt;=$B$5</f>
        <v>0</v>
      </c>
      <c r="F1456" t="str" cm="1">
        <f t="array" ref="F1456">IF(LineærRegression_Valg[[#This Row],[Indenfor range]],INDEX(DataTitel_liste,LineærRegression_Valg[[#This Row],[Afhængig variabel ID]]),INDEX(DataTitel_liste,1))</f>
        <v>Eksempel 1 (interval)</v>
      </c>
      <c r="G1456" s="45" t="str" cm="1">
        <f t="array" ref="G1456">IF(LineærRegression_Valg[[#This Row],[Indenfor range]],IF(LineærRegression_Valg[[#This Row],[Intet overlap]],INDEX(DataTitel_liste,LineærRegression_Valg[[#This Row],[Uafhængig variabel ID]]),INDEX(DataTitel_liste,IF(LineærRegression_Valg[[#This Row],[Afhængig variabel ID]]=1,2,1))),$B$7)</f>
        <v>Eksempel 2 (interval)</v>
      </c>
      <c r="H1456" s="45">
        <f>_xlfn.AGGREGATE(2,5,LineærRegression_Valg[[#This Row],[Tabel ID]])</f>
        <v>1</v>
      </c>
    </row>
    <row r="1457" spans="1:8" x14ac:dyDescent="0.2">
      <c r="A1457">
        <f>ROW(LineærRegression_Valg[[#This Row],[Tabel ID]])-ROW(LineærRegression_Valg[[#Headers],[Tabel ID]])</f>
        <v>1447</v>
      </c>
      <c r="B1457" s="45">
        <f>ROUNDDOWN((LineærRegression_Valg[[#This Row],[Tabel ID]]-1)/$B$5,0)+1</f>
        <v>362</v>
      </c>
      <c r="C1457" s="45">
        <f t="shared" si="22"/>
        <v>3</v>
      </c>
      <c r="D1457" s="45" t="b">
        <f>LineærRegression_Valg[[#This Row],[Afhængig variabel ID]]&lt;&gt;LineærRegression_Valg[[#This Row],[Uafhængig variabel ID]]</f>
        <v>1</v>
      </c>
      <c r="E1457" s="45" t="b">
        <f>LineærRegression_Valg[[#This Row],[Afhængig variabel ID]]&lt;=$B$5</f>
        <v>0</v>
      </c>
      <c r="F1457" t="str" cm="1">
        <f t="array" ref="F1457">IF(LineærRegression_Valg[[#This Row],[Indenfor range]],INDEX(DataTitel_liste,LineærRegression_Valg[[#This Row],[Afhængig variabel ID]]),INDEX(DataTitel_liste,1))</f>
        <v>Eksempel 1 (interval)</v>
      </c>
      <c r="G1457" s="45" t="str" cm="1">
        <f t="array" ref="G1457">IF(LineærRegression_Valg[[#This Row],[Indenfor range]],IF(LineærRegression_Valg[[#This Row],[Intet overlap]],INDEX(DataTitel_liste,LineærRegression_Valg[[#This Row],[Uafhængig variabel ID]]),INDEX(DataTitel_liste,IF(LineærRegression_Valg[[#This Row],[Afhængig variabel ID]]=1,2,1))),$B$7)</f>
        <v>Eksempel 2 (interval)</v>
      </c>
      <c r="H1457" s="45">
        <f>_xlfn.AGGREGATE(2,5,LineærRegression_Valg[[#This Row],[Tabel ID]])</f>
        <v>1</v>
      </c>
    </row>
    <row r="1458" spans="1:8" x14ac:dyDescent="0.2">
      <c r="A1458">
        <f>ROW(LineærRegression_Valg[[#This Row],[Tabel ID]])-ROW(LineærRegression_Valg[[#Headers],[Tabel ID]])</f>
        <v>1448</v>
      </c>
      <c r="B1458" s="45">
        <f>ROUNDDOWN((LineærRegression_Valg[[#This Row],[Tabel ID]]-1)/$B$5,0)+1</f>
        <v>362</v>
      </c>
      <c r="C1458" s="45">
        <f t="shared" si="22"/>
        <v>4</v>
      </c>
      <c r="D1458" s="45" t="b">
        <f>LineærRegression_Valg[[#This Row],[Afhængig variabel ID]]&lt;&gt;LineærRegression_Valg[[#This Row],[Uafhængig variabel ID]]</f>
        <v>1</v>
      </c>
      <c r="E1458" s="45" t="b">
        <f>LineærRegression_Valg[[#This Row],[Afhængig variabel ID]]&lt;=$B$5</f>
        <v>0</v>
      </c>
      <c r="F1458" t="str" cm="1">
        <f t="array" ref="F1458">IF(LineærRegression_Valg[[#This Row],[Indenfor range]],INDEX(DataTitel_liste,LineærRegression_Valg[[#This Row],[Afhængig variabel ID]]),INDEX(DataTitel_liste,1))</f>
        <v>Eksempel 1 (interval)</v>
      </c>
      <c r="G1458" s="45" t="str" cm="1">
        <f t="array" ref="G1458">IF(LineærRegression_Valg[[#This Row],[Indenfor range]],IF(LineærRegression_Valg[[#This Row],[Intet overlap]],INDEX(DataTitel_liste,LineærRegression_Valg[[#This Row],[Uafhængig variabel ID]]),INDEX(DataTitel_liste,IF(LineærRegression_Valg[[#This Row],[Afhængig variabel ID]]=1,2,1))),$B$7)</f>
        <v>Eksempel 2 (interval)</v>
      </c>
      <c r="H1458" s="45">
        <f>_xlfn.AGGREGATE(2,5,LineærRegression_Valg[[#This Row],[Tabel ID]])</f>
        <v>1</v>
      </c>
    </row>
    <row r="1459" spans="1:8" x14ac:dyDescent="0.2">
      <c r="A1459">
        <f>ROW(LineærRegression_Valg[[#This Row],[Tabel ID]])-ROW(LineærRegression_Valg[[#Headers],[Tabel ID]])</f>
        <v>1449</v>
      </c>
      <c r="B1459" s="45">
        <f>ROUNDDOWN((LineærRegression_Valg[[#This Row],[Tabel ID]]-1)/$B$5,0)+1</f>
        <v>363</v>
      </c>
      <c r="C1459" s="45">
        <f t="shared" si="22"/>
        <v>1</v>
      </c>
      <c r="D1459" s="45" t="b">
        <f>LineærRegression_Valg[[#This Row],[Afhængig variabel ID]]&lt;&gt;LineærRegression_Valg[[#This Row],[Uafhængig variabel ID]]</f>
        <v>1</v>
      </c>
      <c r="E1459" s="45" t="b">
        <f>LineærRegression_Valg[[#This Row],[Afhængig variabel ID]]&lt;=$B$5</f>
        <v>0</v>
      </c>
      <c r="F1459" t="str" cm="1">
        <f t="array" ref="F1459">IF(LineærRegression_Valg[[#This Row],[Indenfor range]],INDEX(DataTitel_liste,LineærRegression_Valg[[#This Row],[Afhængig variabel ID]]),INDEX(DataTitel_liste,1))</f>
        <v>Eksempel 1 (interval)</v>
      </c>
      <c r="G1459" s="45" t="str" cm="1">
        <f t="array" ref="G1459">IF(LineærRegression_Valg[[#This Row],[Indenfor range]],IF(LineærRegression_Valg[[#This Row],[Intet overlap]],INDEX(DataTitel_liste,LineærRegression_Valg[[#This Row],[Uafhængig variabel ID]]),INDEX(DataTitel_liste,IF(LineærRegression_Valg[[#This Row],[Afhængig variabel ID]]=1,2,1))),$B$7)</f>
        <v>Eksempel 2 (interval)</v>
      </c>
      <c r="H1459" s="45">
        <f>_xlfn.AGGREGATE(2,5,LineærRegression_Valg[[#This Row],[Tabel ID]])</f>
        <v>1</v>
      </c>
    </row>
    <row r="1460" spans="1:8" x14ac:dyDescent="0.2">
      <c r="A1460">
        <f>ROW(LineærRegression_Valg[[#This Row],[Tabel ID]])-ROW(LineærRegression_Valg[[#Headers],[Tabel ID]])</f>
        <v>1450</v>
      </c>
      <c r="B1460" s="45">
        <f>ROUNDDOWN((LineærRegression_Valg[[#This Row],[Tabel ID]]-1)/$B$5,0)+1</f>
        <v>363</v>
      </c>
      <c r="C1460" s="45">
        <f t="shared" si="22"/>
        <v>2</v>
      </c>
      <c r="D1460" s="45" t="b">
        <f>LineærRegression_Valg[[#This Row],[Afhængig variabel ID]]&lt;&gt;LineærRegression_Valg[[#This Row],[Uafhængig variabel ID]]</f>
        <v>1</v>
      </c>
      <c r="E1460" s="45" t="b">
        <f>LineærRegression_Valg[[#This Row],[Afhængig variabel ID]]&lt;=$B$5</f>
        <v>0</v>
      </c>
      <c r="F1460" t="str" cm="1">
        <f t="array" ref="F1460">IF(LineærRegression_Valg[[#This Row],[Indenfor range]],INDEX(DataTitel_liste,LineærRegression_Valg[[#This Row],[Afhængig variabel ID]]),INDEX(DataTitel_liste,1))</f>
        <v>Eksempel 1 (interval)</v>
      </c>
      <c r="G1460" s="45" t="str" cm="1">
        <f t="array" ref="G1460">IF(LineærRegression_Valg[[#This Row],[Indenfor range]],IF(LineærRegression_Valg[[#This Row],[Intet overlap]],INDEX(DataTitel_liste,LineærRegression_Valg[[#This Row],[Uafhængig variabel ID]]),INDEX(DataTitel_liste,IF(LineærRegression_Valg[[#This Row],[Afhængig variabel ID]]=1,2,1))),$B$7)</f>
        <v>Eksempel 2 (interval)</v>
      </c>
      <c r="H1460" s="45">
        <f>_xlfn.AGGREGATE(2,5,LineærRegression_Valg[[#This Row],[Tabel ID]])</f>
        <v>1</v>
      </c>
    </row>
    <row r="1461" spans="1:8" x14ac:dyDescent="0.2">
      <c r="A1461">
        <f>ROW(LineærRegression_Valg[[#This Row],[Tabel ID]])-ROW(LineærRegression_Valg[[#Headers],[Tabel ID]])</f>
        <v>1451</v>
      </c>
      <c r="B1461" s="45">
        <f>ROUNDDOWN((LineærRegression_Valg[[#This Row],[Tabel ID]]-1)/$B$5,0)+1</f>
        <v>363</v>
      </c>
      <c r="C1461" s="45">
        <f t="shared" si="22"/>
        <v>3</v>
      </c>
      <c r="D1461" s="45" t="b">
        <f>LineærRegression_Valg[[#This Row],[Afhængig variabel ID]]&lt;&gt;LineærRegression_Valg[[#This Row],[Uafhængig variabel ID]]</f>
        <v>1</v>
      </c>
      <c r="E1461" s="45" t="b">
        <f>LineærRegression_Valg[[#This Row],[Afhængig variabel ID]]&lt;=$B$5</f>
        <v>0</v>
      </c>
      <c r="F1461" t="str" cm="1">
        <f t="array" ref="F1461">IF(LineærRegression_Valg[[#This Row],[Indenfor range]],INDEX(DataTitel_liste,LineærRegression_Valg[[#This Row],[Afhængig variabel ID]]),INDEX(DataTitel_liste,1))</f>
        <v>Eksempel 1 (interval)</v>
      </c>
      <c r="G1461" s="45" t="str" cm="1">
        <f t="array" ref="G1461">IF(LineærRegression_Valg[[#This Row],[Indenfor range]],IF(LineærRegression_Valg[[#This Row],[Intet overlap]],INDEX(DataTitel_liste,LineærRegression_Valg[[#This Row],[Uafhængig variabel ID]]),INDEX(DataTitel_liste,IF(LineærRegression_Valg[[#This Row],[Afhængig variabel ID]]=1,2,1))),$B$7)</f>
        <v>Eksempel 2 (interval)</v>
      </c>
      <c r="H1461" s="45">
        <f>_xlfn.AGGREGATE(2,5,LineærRegression_Valg[[#This Row],[Tabel ID]])</f>
        <v>1</v>
      </c>
    </row>
    <row r="1462" spans="1:8" x14ac:dyDescent="0.2">
      <c r="A1462">
        <f>ROW(LineærRegression_Valg[[#This Row],[Tabel ID]])-ROW(LineærRegression_Valg[[#Headers],[Tabel ID]])</f>
        <v>1452</v>
      </c>
      <c r="B1462" s="45">
        <f>ROUNDDOWN((LineærRegression_Valg[[#This Row],[Tabel ID]]-1)/$B$5,0)+1</f>
        <v>363</v>
      </c>
      <c r="C1462" s="45">
        <f t="shared" si="22"/>
        <v>4</v>
      </c>
      <c r="D1462" s="45" t="b">
        <f>LineærRegression_Valg[[#This Row],[Afhængig variabel ID]]&lt;&gt;LineærRegression_Valg[[#This Row],[Uafhængig variabel ID]]</f>
        <v>1</v>
      </c>
      <c r="E1462" s="45" t="b">
        <f>LineærRegression_Valg[[#This Row],[Afhængig variabel ID]]&lt;=$B$5</f>
        <v>0</v>
      </c>
      <c r="F1462" t="str" cm="1">
        <f t="array" ref="F1462">IF(LineærRegression_Valg[[#This Row],[Indenfor range]],INDEX(DataTitel_liste,LineærRegression_Valg[[#This Row],[Afhængig variabel ID]]),INDEX(DataTitel_liste,1))</f>
        <v>Eksempel 1 (interval)</v>
      </c>
      <c r="G1462" s="45" t="str" cm="1">
        <f t="array" ref="G1462">IF(LineærRegression_Valg[[#This Row],[Indenfor range]],IF(LineærRegression_Valg[[#This Row],[Intet overlap]],INDEX(DataTitel_liste,LineærRegression_Valg[[#This Row],[Uafhængig variabel ID]]),INDEX(DataTitel_liste,IF(LineærRegression_Valg[[#This Row],[Afhængig variabel ID]]=1,2,1))),$B$7)</f>
        <v>Eksempel 2 (interval)</v>
      </c>
      <c r="H1462" s="45">
        <f>_xlfn.AGGREGATE(2,5,LineærRegression_Valg[[#This Row],[Tabel ID]])</f>
        <v>1</v>
      </c>
    </row>
    <row r="1463" spans="1:8" x14ac:dyDescent="0.2">
      <c r="A1463">
        <f>ROW(LineærRegression_Valg[[#This Row],[Tabel ID]])-ROW(LineærRegression_Valg[[#Headers],[Tabel ID]])</f>
        <v>1453</v>
      </c>
      <c r="B1463" s="45">
        <f>ROUNDDOWN((LineærRegression_Valg[[#This Row],[Tabel ID]]-1)/$B$5,0)+1</f>
        <v>364</v>
      </c>
      <c r="C1463" s="45">
        <f t="shared" si="22"/>
        <v>1</v>
      </c>
      <c r="D1463" s="45" t="b">
        <f>LineærRegression_Valg[[#This Row],[Afhængig variabel ID]]&lt;&gt;LineærRegression_Valg[[#This Row],[Uafhængig variabel ID]]</f>
        <v>1</v>
      </c>
      <c r="E1463" s="45" t="b">
        <f>LineærRegression_Valg[[#This Row],[Afhængig variabel ID]]&lt;=$B$5</f>
        <v>0</v>
      </c>
      <c r="F1463" t="str" cm="1">
        <f t="array" ref="F1463">IF(LineærRegression_Valg[[#This Row],[Indenfor range]],INDEX(DataTitel_liste,LineærRegression_Valg[[#This Row],[Afhængig variabel ID]]),INDEX(DataTitel_liste,1))</f>
        <v>Eksempel 1 (interval)</v>
      </c>
      <c r="G1463" s="45" t="str" cm="1">
        <f t="array" ref="G1463">IF(LineærRegression_Valg[[#This Row],[Indenfor range]],IF(LineærRegression_Valg[[#This Row],[Intet overlap]],INDEX(DataTitel_liste,LineærRegression_Valg[[#This Row],[Uafhængig variabel ID]]),INDEX(DataTitel_liste,IF(LineærRegression_Valg[[#This Row],[Afhængig variabel ID]]=1,2,1))),$B$7)</f>
        <v>Eksempel 2 (interval)</v>
      </c>
      <c r="H1463" s="45">
        <f>_xlfn.AGGREGATE(2,5,LineærRegression_Valg[[#This Row],[Tabel ID]])</f>
        <v>1</v>
      </c>
    </row>
    <row r="1464" spans="1:8" x14ac:dyDescent="0.2">
      <c r="A1464">
        <f>ROW(LineærRegression_Valg[[#This Row],[Tabel ID]])-ROW(LineærRegression_Valg[[#Headers],[Tabel ID]])</f>
        <v>1454</v>
      </c>
      <c r="B1464" s="45">
        <f>ROUNDDOWN((LineærRegression_Valg[[#This Row],[Tabel ID]]-1)/$B$5,0)+1</f>
        <v>364</v>
      </c>
      <c r="C1464" s="45">
        <f t="shared" si="22"/>
        <v>2</v>
      </c>
      <c r="D1464" s="45" t="b">
        <f>LineærRegression_Valg[[#This Row],[Afhængig variabel ID]]&lt;&gt;LineærRegression_Valg[[#This Row],[Uafhængig variabel ID]]</f>
        <v>1</v>
      </c>
      <c r="E1464" s="45" t="b">
        <f>LineærRegression_Valg[[#This Row],[Afhængig variabel ID]]&lt;=$B$5</f>
        <v>0</v>
      </c>
      <c r="F1464" t="str" cm="1">
        <f t="array" ref="F1464">IF(LineærRegression_Valg[[#This Row],[Indenfor range]],INDEX(DataTitel_liste,LineærRegression_Valg[[#This Row],[Afhængig variabel ID]]),INDEX(DataTitel_liste,1))</f>
        <v>Eksempel 1 (interval)</v>
      </c>
      <c r="G1464" s="45" t="str" cm="1">
        <f t="array" ref="G1464">IF(LineærRegression_Valg[[#This Row],[Indenfor range]],IF(LineærRegression_Valg[[#This Row],[Intet overlap]],INDEX(DataTitel_liste,LineærRegression_Valg[[#This Row],[Uafhængig variabel ID]]),INDEX(DataTitel_liste,IF(LineærRegression_Valg[[#This Row],[Afhængig variabel ID]]=1,2,1))),$B$7)</f>
        <v>Eksempel 2 (interval)</v>
      </c>
      <c r="H1464" s="45">
        <f>_xlfn.AGGREGATE(2,5,LineærRegression_Valg[[#This Row],[Tabel ID]])</f>
        <v>1</v>
      </c>
    </row>
    <row r="1465" spans="1:8" x14ac:dyDescent="0.2">
      <c r="A1465">
        <f>ROW(LineærRegression_Valg[[#This Row],[Tabel ID]])-ROW(LineærRegression_Valg[[#Headers],[Tabel ID]])</f>
        <v>1455</v>
      </c>
      <c r="B1465" s="45">
        <f>ROUNDDOWN((LineærRegression_Valg[[#This Row],[Tabel ID]]-1)/$B$5,0)+1</f>
        <v>364</v>
      </c>
      <c r="C1465" s="45">
        <f t="shared" si="22"/>
        <v>3</v>
      </c>
      <c r="D1465" s="45" t="b">
        <f>LineærRegression_Valg[[#This Row],[Afhængig variabel ID]]&lt;&gt;LineærRegression_Valg[[#This Row],[Uafhængig variabel ID]]</f>
        <v>1</v>
      </c>
      <c r="E1465" s="45" t="b">
        <f>LineærRegression_Valg[[#This Row],[Afhængig variabel ID]]&lt;=$B$5</f>
        <v>0</v>
      </c>
      <c r="F1465" t="str" cm="1">
        <f t="array" ref="F1465">IF(LineærRegression_Valg[[#This Row],[Indenfor range]],INDEX(DataTitel_liste,LineærRegression_Valg[[#This Row],[Afhængig variabel ID]]),INDEX(DataTitel_liste,1))</f>
        <v>Eksempel 1 (interval)</v>
      </c>
      <c r="G1465" s="45" t="str" cm="1">
        <f t="array" ref="G1465">IF(LineærRegression_Valg[[#This Row],[Indenfor range]],IF(LineærRegression_Valg[[#This Row],[Intet overlap]],INDEX(DataTitel_liste,LineærRegression_Valg[[#This Row],[Uafhængig variabel ID]]),INDEX(DataTitel_liste,IF(LineærRegression_Valg[[#This Row],[Afhængig variabel ID]]=1,2,1))),$B$7)</f>
        <v>Eksempel 2 (interval)</v>
      </c>
      <c r="H1465" s="45">
        <f>_xlfn.AGGREGATE(2,5,LineærRegression_Valg[[#This Row],[Tabel ID]])</f>
        <v>1</v>
      </c>
    </row>
    <row r="1466" spans="1:8" x14ac:dyDescent="0.2">
      <c r="A1466">
        <f>ROW(LineærRegression_Valg[[#This Row],[Tabel ID]])-ROW(LineærRegression_Valg[[#Headers],[Tabel ID]])</f>
        <v>1456</v>
      </c>
      <c r="B1466" s="45">
        <f>ROUNDDOWN((LineærRegression_Valg[[#This Row],[Tabel ID]]-1)/$B$5,0)+1</f>
        <v>364</v>
      </c>
      <c r="C1466" s="45">
        <f t="shared" si="22"/>
        <v>4</v>
      </c>
      <c r="D1466" s="45" t="b">
        <f>LineærRegression_Valg[[#This Row],[Afhængig variabel ID]]&lt;&gt;LineærRegression_Valg[[#This Row],[Uafhængig variabel ID]]</f>
        <v>1</v>
      </c>
      <c r="E1466" s="45" t="b">
        <f>LineærRegression_Valg[[#This Row],[Afhængig variabel ID]]&lt;=$B$5</f>
        <v>0</v>
      </c>
      <c r="F1466" t="str" cm="1">
        <f t="array" ref="F1466">IF(LineærRegression_Valg[[#This Row],[Indenfor range]],INDEX(DataTitel_liste,LineærRegression_Valg[[#This Row],[Afhængig variabel ID]]),INDEX(DataTitel_liste,1))</f>
        <v>Eksempel 1 (interval)</v>
      </c>
      <c r="G1466" s="45" t="str" cm="1">
        <f t="array" ref="G1466">IF(LineærRegression_Valg[[#This Row],[Indenfor range]],IF(LineærRegression_Valg[[#This Row],[Intet overlap]],INDEX(DataTitel_liste,LineærRegression_Valg[[#This Row],[Uafhængig variabel ID]]),INDEX(DataTitel_liste,IF(LineærRegression_Valg[[#This Row],[Afhængig variabel ID]]=1,2,1))),$B$7)</f>
        <v>Eksempel 2 (interval)</v>
      </c>
      <c r="H1466" s="45">
        <f>_xlfn.AGGREGATE(2,5,LineærRegression_Valg[[#This Row],[Tabel ID]])</f>
        <v>1</v>
      </c>
    </row>
    <row r="1467" spans="1:8" x14ac:dyDescent="0.2">
      <c r="A1467">
        <f>ROW(LineærRegression_Valg[[#This Row],[Tabel ID]])-ROW(LineærRegression_Valg[[#Headers],[Tabel ID]])</f>
        <v>1457</v>
      </c>
      <c r="B1467" s="45">
        <f>ROUNDDOWN((LineærRegression_Valg[[#This Row],[Tabel ID]]-1)/$B$5,0)+1</f>
        <v>365</v>
      </c>
      <c r="C1467" s="45">
        <f t="shared" si="22"/>
        <v>1</v>
      </c>
      <c r="D1467" s="45" t="b">
        <f>LineærRegression_Valg[[#This Row],[Afhængig variabel ID]]&lt;&gt;LineærRegression_Valg[[#This Row],[Uafhængig variabel ID]]</f>
        <v>1</v>
      </c>
      <c r="E1467" s="45" t="b">
        <f>LineærRegression_Valg[[#This Row],[Afhængig variabel ID]]&lt;=$B$5</f>
        <v>0</v>
      </c>
      <c r="F1467" t="str" cm="1">
        <f t="array" ref="F1467">IF(LineærRegression_Valg[[#This Row],[Indenfor range]],INDEX(DataTitel_liste,LineærRegression_Valg[[#This Row],[Afhængig variabel ID]]),INDEX(DataTitel_liste,1))</f>
        <v>Eksempel 1 (interval)</v>
      </c>
      <c r="G1467" s="45" t="str" cm="1">
        <f t="array" ref="G1467">IF(LineærRegression_Valg[[#This Row],[Indenfor range]],IF(LineærRegression_Valg[[#This Row],[Intet overlap]],INDEX(DataTitel_liste,LineærRegression_Valg[[#This Row],[Uafhængig variabel ID]]),INDEX(DataTitel_liste,IF(LineærRegression_Valg[[#This Row],[Afhængig variabel ID]]=1,2,1))),$B$7)</f>
        <v>Eksempel 2 (interval)</v>
      </c>
      <c r="H1467" s="45">
        <f>_xlfn.AGGREGATE(2,5,LineærRegression_Valg[[#This Row],[Tabel ID]])</f>
        <v>1</v>
      </c>
    </row>
    <row r="1468" spans="1:8" x14ac:dyDescent="0.2">
      <c r="A1468">
        <f>ROW(LineærRegression_Valg[[#This Row],[Tabel ID]])-ROW(LineærRegression_Valg[[#Headers],[Tabel ID]])</f>
        <v>1458</v>
      </c>
      <c r="B1468" s="45">
        <f>ROUNDDOWN((LineærRegression_Valg[[#This Row],[Tabel ID]]-1)/$B$5,0)+1</f>
        <v>365</v>
      </c>
      <c r="C1468" s="45">
        <f t="shared" si="22"/>
        <v>2</v>
      </c>
      <c r="D1468" s="45" t="b">
        <f>LineærRegression_Valg[[#This Row],[Afhængig variabel ID]]&lt;&gt;LineærRegression_Valg[[#This Row],[Uafhængig variabel ID]]</f>
        <v>1</v>
      </c>
      <c r="E1468" s="45" t="b">
        <f>LineærRegression_Valg[[#This Row],[Afhængig variabel ID]]&lt;=$B$5</f>
        <v>0</v>
      </c>
      <c r="F1468" t="str" cm="1">
        <f t="array" ref="F1468">IF(LineærRegression_Valg[[#This Row],[Indenfor range]],INDEX(DataTitel_liste,LineærRegression_Valg[[#This Row],[Afhængig variabel ID]]),INDEX(DataTitel_liste,1))</f>
        <v>Eksempel 1 (interval)</v>
      </c>
      <c r="G1468" s="45" t="str" cm="1">
        <f t="array" ref="G1468">IF(LineærRegression_Valg[[#This Row],[Indenfor range]],IF(LineærRegression_Valg[[#This Row],[Intet overlap]],INDEX(DataTitel_liste,LineærRegression_Valg[[#This Row],[Uafhængig variabel ID]]),INDEX(DataTitel_liste,IF(LineærRegression_Valg[[#This Row],[Afhængig variabel ID]]=1,2,1))),$B$7)</f>
        <v>Eksempel 2 (interval)</v>
      </c>
      <c r="H1468" s="45">
        <f>_xlfn.AGGREGATE(2,5,LineærRegression_Valg[[#This Row],[Tabel ID]])</f>
        <v>1</v>
      </c>
    </row>
    <row r="1469" spans="1:8" x14ac:dyDescent="0.2">
      <c r="A1469">
        <f>ROW(LineærRegression_Valg[[#This Row],[Tabel ID]])-ROW(LineærRegression_Valg[[#Headers],[Tabel ID]])</f>
        <v>1459</v>
      </c>
      <c r="B1469" s="45">
        <f>ROUNDDOWN((LineærRegression_Valg[[#This Row],[Tabel ID]]-1)/$B$5,0)+1</f>
        <v>365</v>
      </c>
      <c r="C1469" s="45">
        <f t="shared" si="22"/>
        <v>3</v>
      </c>
      <c r="D1469" s="45" t="b">
        <f>LineærRegression_Valg[[#This Row],[Afhængig variabel ID]]&lt;&gt;LineærRegression_Valg[[#This Row],[Uafhængig variabel ID]]</f>
        <v>1</v>
      </c>
      <c r="E1469" s="45" t="b">
        <f>LineærRegression_Valg[[#This Row],[Afhængig variabel ID]]&lt;=$B$5</f>
        <v>0</v>
      </c>
      <c r="F1469" t="str" cm="1">
        <f t="array" ref="F1469">IF(LineærRegression_Valg[[#This Row],[Indenfor range]],INDEX(DataTitel_liste,LineærRegression_Valg[[#This Row],[Afhængig variabel ID]]),INDEX(DataTitel_liste,1))</f>
        <v>Eksempel 1 (interval)</v>
      </c>
      <c r="G1469" s="45" t="str" cm="1">
        <f t="array" ref="G1469">IF(LineærRegression_Valg[[#This Row],[Indenfor range]],IF(LineærRegression_Valg[[#This Row],[Intet overlap]],INDEX(DataTitel_liste,LineærRegression_Valg[[#This Row],[Uafhængig variabel ID]]),INDEX(DataTitel_liste,IF(LineærRegression_Valg[[#This Row],[Afhængig variabel ID]]=1,2,1))),$B$7)</f>
        <v>Eksempel 2 (interval)</v>
      </c>
      <c r="H1469" s="45">
        <f>_xlfn.AGGREGATE(2,5,LineærRegression_Valg[[#This Row],[Tabel ID]])</f>
        <v>1</v>
      </c>
    </row>
    <row r="1470" spans="1:8" x14ac:dyDescent="0.2">
      <c r="A1470">
        <f>ROW(LineærRegression_Valg[[#This Row],[Tabel ID]])-ROW(LineærRegression_Valg[[#Headers],[Tabel ID]])</f>
        <v>1460</v>
      </c>
      <c r="B1470" s="45">
        <f>ROUNDDOWN((LineærRegression_Valg[[#This Row],[Tabel ID]]-1)/$B$5,0)+1</f>
        <v>365</v>
      </c>
      <c r="C1470" s="45">
        <f t="shared" si="22"/>
        <v>4</v>
      </c>
      <c r="D1470" s="45" t="b">
        <f>LineærRegression_Valg[[#This Row],[Afhængig variabel ID]]&lt;&gt;LineærRegression_Valg[[#This Row],[Uafhængig variabel ID]]</f>
        <v>1</v>
      </c>
      <c r="E1470" s="45" t="b">
        <f>LineærRegression_Valg[[#This Row],[Afhængig variabel ID]]&lt;=$B$5</f>
        <v>0</v>
      </c>
      <c r="F1470" t="str" cm="1">
        <f t="array" ref="F1470">IF(LineærRegression_Valg[[#This Row],[Indenfor range]],INDEX(DataTitel_liste,LineærRegression_Valg[[#This Row],[Afhængig variabel ID]]),INDEX(DataTitel_liste,1))</f>
        <v>Eksempel 1 (interval)</v>
      </c>
      <c r="G1470" s="45" t="str" cm="1">
        <f t="array" ref="G1470">IF(LineærRegression_Valg[[#This Row],[Indenfor range]],IF(LineærRegression_Valg[[#This Row],[Intet overlap]],INDEX(DataTitel_liste,LineærRegression_Valg[[#This Row],[Uafhængig variabel ID]]),INDEX(DataTitel_liste,IF(LineærRegression_Valg[[#This Row],[Afhængig variabel ID]]=1,2,1))),$B$7)</f>
        <v>Eksempel 2 (interval)</v>
      </c>
      <c r="H1470" s="45">
        <f>_xlfn.AGGREGATE(2,5,LineærRegression_Valg[[#This Row],[Tabel ID]])</f>
        <v>1</v>
      </c>
    </row>
    <row r="1471" spans="1:8" x14ac:dyDescent="0.2">
      <c r="A1471">
        <f>ROW(LineærRegression_Valg[[#This Row],[Tabel ID]])-ROW(LineærRegression_Valg[[#Headers],[Tabel ID]])</f>
        <v>1461</v>
      </c>
      <c r="B1471" s="45">
        <f>ROUNDDOWN((LineærRegression_Valg[[#This Row],[Tabel ID]]-1)/$B$5,0)+1</f>
        <v>366</v>
      </c>
      <c r="C1471" s="45">
        <f t="shared" si="22"/>
        <v>1</v>
      </c>
      <c r="D1471" s="45" t="b">
        <f>LineærRegression_Valg[[#This Row],[Afhængig variabel ID]]&lt;&gt;LineærRegression_Valg[[#This Row],[Uafhængig variabel ID]]</f>
        <v>1</v>
      </c>
      <c r="E1471" s="45" t="b">
        <f>LineærRegression_Valg[[#This Row],[Afhængig variabel ID]]&lt;=$B$5</f>
        <v>0</v>
      </c>
      <c r="F1471" t="str" cm="1">
        <f t="array" ref="F1471">IF(LineærRegression_Valg[[#This Row],[Indenfor range]],INDEX(DataTitel_liste,LineærRegression_Valg[[#This Row],[Afhængig variabel ID]]),INDEX(DataTitel_liste,1))</f>
        <v>Eksempel 1 (interval)</v>
      </c>
      <c r="G1471" s="45" t="str" cm="1">
        <f t="array" ref="G1471">IF(LineærRegression_Valg[[#This Row],[Indenfor range]],IF(LineærRegression_Valg[[#This Row],[Intet overlap]],INDEX(DataTitel_liste,LineærRegression_Valg[[#This Row],[Uafhængig variabel ID]]),INDEX(DataTitel_liste,IF(LineærRegression_Valg[[#This Row],[Afhængig variabel ID]]=1,2,1))),$B$7)</f>
        <v>Eksempel 2 (interval)</v>
      </c>
      <c r="H1471" s="45">
        <f>_xlfn.AGGREGATE(2,5,LineærRegression_Valg[[#This Row],[Tabel ID]])</f>
        <v>1</v>
      </c>
    </row>
    <row r="1472" spans="1:8" x14ac:dyDescent="0.2">
      <c r="A1472">
        <f>ROW(LineærRegression_Valg[[#This Row],[Tabel ID]])-ROW(LineærRegression_Valg[[#Headers],[Tabel ID]])</f>
        <v>1462</v>
      </c>
      <c r="B1472" s="45">
        <f>ROUNDDOWN((LineærRegression_Valg[[#This Row],[Tabel ID]]-1)/$B$5,0)+1</f>
        <v>366</v>
      </c>
      <c r="C1472" s="45">
        <f t="shared" si="22"/>
        <v>2</v>
      </c>
      <c r="D1472" s="45" t="b">
        <f>LineærRegression_Valg[[#This Row],[Afhængig variabel ID]]&lt;&gt;LineærRegression_Valg[[#This Row],[Uafhængig variabel ID]]</f>
        <v>1</v>
      </c>
      <c r="E1472" s="45" t="b">
        <f>LineærRegression_Valg[[#This Row],[Afhængig variabel ID]]&lt;=$B$5</f>
        <v>0</v>
      </c>
      <c r="F1472" t="str" cm="1">
        <f t="array" ref="F1472">IF(LineærRegression_Valg[[#This Row],[Indenfor range]],INDEX(DataTitel_liste,LineærRegression_Valg[[#This Row],[Afhængig variabel ID]]),INDEX(DataTitel_liste,1))</f>
        <v>Eksempel 1 (interval)</v>
      </c>
      <c r="G1472" s="45" t="str" cm="1">
        <f t="array" ref="G1472">IF(LineærRegression_Valg[[#This Row],[Indenfor range]],IF(LineærRegression_Valg[[#This Row],[Intet overlap]],INDEX(DataTitel_liste,LineærRegression_Valg[[#This Row],[Uafhængig variabel ID]]),INDEX(DataTitel_liste,IF(LineærRegression_Valg[[#This Row],[Afhængig variabel ID]]=1,2,1))),$B$7)</f>
        <v>Eksempel 2 (interval)</v>
      </c>
      <c r="H1472" s="45">
        <f>_xlfn.AGGREGATE(2,5,LineærRegression_Valg[[#This Row],[Tabel ID]])</f>
        <v>1</v>
      </c>
    </row>
    <row r="1473" spans="1:8" x14ac:dyDescent="0.2">
      <c r="A1473">
        <f>ROW(LineærRegression_Valg[[#This Row],[Tabel ID]])-ROW(LineærRegression_Valg[[#Headers],[Tabel ID]])</f>
        <v>1463</v>
      </c>
      <c r="B1473" s="45">
        <f>ROUNDDOWN((LineærRegression_Valg[[#This Row],[Tabel ID]]-1)/$B$5,0)+1</f>
        <v>366</v>
      </c>
      <c r="C1473" s="45">
        <f t="shared" si="22"/>
        <v>3</v>
      </c>
      <c r="D1473" s="45" t="b">
        <f>LineærRegression_Valg[[#This Row],[Afhængig variabel ID]]&lt;&gt;LineærRegression_Valg[[#This Row],[Uafhængig variabel ID]]</f>
        <v>1</v>
      </c>
      <c r="E1473" s="45" t="b">
        <f>LineærRegression_Valg[[#This Row],[Afhængig variabel ID]]&lt;=$B$5</f>
        <v>0</v>
      </c>
      <c r="F1473" t="str" cm="1">
        <f t="array" ref="F1473">IF(LineærRegression_Valg[[#This Row],[Indenfor range]],INDEX(DataTitel_liste,LineærRegression_Valg[[#This Row],[Afhængig variabel ID]]),INDEX(DataTitel_liste,1))</f>
        <v>Eksempel 1 (interval)</v>
      </c>
      <c r="G1473" s="45" t="str" cm="1">
        <f t="array" ref="G1473">IF(LineærRegression_Valg[[#This Row],[Indenfor range]],IF(LineærRegression_Valg[[#This Row],[Intet overlap]],INDEX(DataTitel_liste,LineærRegression_Valg[[#This Row],[Uafhængig variabel ID]]),INDEX(DataTitel_liste,IF(LineærRegression_Valg[[#This Row],[Afhængig variabel ID]]=1,2,1))),$B$7)</f>
        <v>Eksempel 2 (interval)</v>
      </c>
      <c r="H1473" s="45">
        <f>_xlfn.AGGREGATE(2,5,LineærRegression_Valg[[#This Row],[Tabel ID]])</f>
        <v>1</v>
      </c>
    </row>
    <row r="1474" spans="1:8" x14ac:dyDescent="0.2">
      <c r="A1474">
        <f>ROW(LineærRegression_Valg[[#This Row],[Tabel ID]])-ROW(LineærRegression_Valg[[#Headers],[Tabel ID]])</f>
        <v>1464</v>
      </c>
      <c r="B1474" s="45">
        <f>ROUNDDOWN((LineærRegression_Valg[[#This Row],[Tabel ID]]-1)/$B$5,0)+1</f>
        <v>366</v>
      </c>
      <c r="C1474" s="45">
        <f t="shared" si="22"/>
        <v>4</v>
      </c>
      <c r="D1474" s="45" t="b">
        <f>LineærRegression_Valg[[#This Row],[Afhængig variabel ID]]&lt;&gt;LineærRegression_Valg[[#This Row],[Uafhængig variabel ID]]</f>
        <v>1</v>
      </c>
      <c r="E1474" s="45" t="b">
        <f>LineærRegression_Valg[[#This Row],[Afhængig variabel ID]]&lt;=$B$5</f>
        <v>0</v>
      </c>
      <c r="F1474" t="str" cm="1">
        <f t="array" ref="F1474">IF(LineærRegression_Valg[[#This Row],[Indenfor range]],INDEX(DataTitel_liste,LineærRegression_Valg[[#This Row],[Afhængig variabel ID]]),INDEX(DataTitel_liste,1))</f>
        <v>Eksempel 1 (interval)</v>
      </c>
      <c r="G1474" s="45" t="str" cm="1">
        <f t="array" ref="G1474">IF(LineærRegression_Valg[[#This Row],[Indenfor range]],IF(LineærRegression_Valg[[#This Row],[Intet overlap]],INDEX(DataTitel_liste,LineærRegression_Valg[[#This Row],[Uafhængig variabel ID]]),INDEX(DataTitel_liste,IF(LineærRegression_Valg[[#This Row],[Afhængig variabel ID]]=1,2,1))),$B$7)</f>
        <v>Eksempel 2 (interval)</v>
      </c>
      <c r="H1474" s="45">
        <f>_xlfn.AGGREGATE(2,5,LineærRegression_Valg[[#This Row],[Tabel ID]])</f>
        <v>1</v>
      </c>
    </row>
    <row r="1475" spans="1:8" x14ac:dyDescent="0.2">
      <c r="A1475">
        <f>ROW(LineærRegression_Valg[[#This Row],[Tabel ID]])-ROW(LineærRegression_Valg[[#Headers],[Tabel ID]])</f>
        <v>1465</v>
      </c>
      <c r="B1475" s="45">
        <f>ROUNDDOWN((LineærRegression_Valg[[#This Row],[Tabel ID]]-1)/$B$5,0)+1</f>
        <v>367</v>
      </c>
      <c r="C1475" s="45">
        <f t="shared" si="22"/>
        <v>1</v>
      </c>
      <c r="D1475" s="45" t="b">
        <f>LineærRegression_Valg[[#This Row],[Afhængig variabel ID]]&lt;&gt;LineærRegression_Valg[[#This Row],[Uafhængig variabel ID]]</f>
        <v>1</v>
      </c>
      <c r="E1475" s="45" t="b">
        <f>LineærRegression_Valg[[#This Row],[Afhængig variabel ID]]&lt;=$B$5</f>
        <v>0</v>
      </c>
      <c r="F1475" t="str" cm="1">
        <f t="array" ref="F1475">IF(LineærRegression_Valg[[#This Row],[Indenfor range]],INDEX(DataTitel_liste,LineærRegression_Valg[[#This Row],[Afhængig variabel ID]]),INDEX(DataTitel_liste,1))</f>
        <v>Eksempel 1 (interval)</v>
      </c>
      <c r="G1475" s="45" t="str" cm="1">
        <f t="array" ref="G1475">IF(LineærRegression_Valg[[#This Row],[Indenfor range]],IF(LineærRegression_Valg[[#This Row],[Intet overlap]],INDEX(DataTitel_liste,LineærRegression_Valg[[#This Row],[Uafhængig variabel ID]]),INDEX(DataTitel_liste,IF(LineærRegression_Valg[[#This Row],[Afhængig variabel ID]]=1,2,1))),$B$7)</f>
        <v>Eksempel 2 (interval)</v>
      </c>
      <c r="H1475" s="45">
        <f>_xlfn.AGGREGATE(2,5,LineærRegression_Valg[[#This Row],[Tabel ID]])</f>
        <v>1</v>
      </c>
    </row>
    <row r="1476" spans="1:8" x14ac:dyDescent="0.2">
      <c r="A1476">
        <f>ROW(LineærRegression_Valg[[#This Row],[Tabel ID]])-ROW(LineærRegression_Valg[[#Headers],[Tabel ID]])</f>
        <v>1466</v>
      </c>
      <c r="B1476" s="45">
        <f>ROUNDDOWN((LineærRegression_Valg[[#This Row],[Tabel ID]]-1)/$B$5,0)+1</f>
        <v>367</v>
      </c>
      <c r="C1476" s="45">
        <f t="shared" si="22"/>
        <v>2</v>
      </c>
      <c r="D1476" s="45" t="b">
        <f>LineærRegression_Valg[[#This Row],[Afhængig variabel ID]]&lt;&gt;LineærRegression_Valg[[#This Row],[Uafhængig variabel ID]]</f>
        <v>1</v>
      </c>
      <c r="E1476" s="45" t="b">
        <f>LineærRegression_Valg[[#This Row],[Afhængig variabel ID]]&lt;=$B$5</f>
        <v>0</v>
      </c>
      <c r="F1476" t="str" cm="1">
        <f t="array" ref="F1476">IF(LineærRegression_Valg[[#This Row],[Indenfor range]],INDEX(DataTitel_liste,LineærRegression_Valg[[#This Row],[Afhængig variabel ID]]),INDEX(DataTitel_liste,1))</f>
        <v>Eksempel 1 (interval)</v>
      </c>
      <c r="G1476" s="45" t="str" cm="1">
        <f t="array" ref="G1476">IF(LineærRegression_Valg[[#This Row],[Indenfor range]],IF(LineærRegression_Valg[[#This Row],[Intet overlap]],INDEX(DataTitel_liste,LineærRegression_Valg[[#This Row],[Uafhængig variabel ID]]),INDEX(DataTitel_liste,IF(LineærRegression_Valg[[#This Row],[Afhængig variabel ID]]=1,2,1))),$B$7)</f>
        <v>Eksempel 2 (interval)</v>
      </c>
      <c r="H1476" s="45">
        <f>_xlfn.AGGREGATE(2,5,LineærRegression_Valg[[#This Row],[Tabel ID]])</f>
        <v>1</v>
      </c>
    </row>
    <row r="1477" spans="1:8" x14ac:dyDescent="0.2">
      <c r="A1477">
        <f>ROW(LineærRegression_Valg[[#This Row],[Tabel ID]])-ROW(LineærRegression_Valg[[#Headers],[Tabel ID]])</f>
        <v>1467</v>
      </c>
      <c r="B1477" s="45">
        <f>ROUNDDOWN((LineærRegression_Valg[[#This Row],[Tabel ID]]-1)/$B$5,0)+1</f>
        <v>367</v>
      </c>
      <c r="C1477" s="45">
        <f t="shared" si="22"/>
        <v>3</v>
      </c>
      <c r="D1477" s="45" t="b">
        <f>LineærRegression_Valg[[#This Row],[Afhængig variabel ID]]&lt;&gt;LineærRegression_Valg[[#This Row],[Uafhængig variabel ID]]</f>
        <v>1</v>
      </c>
      <c r="E1477" s="45" t="b">
        <f>LineærRegression_Valg[[#This Row],[Afhængig variabel ID]]&lt;=$B$5</f>
        <v>0</v>
      </c>
      <c r="F1477" t="str" cm="1">
        <f t="array" ref="F1477">IF(LineærRegression_Valg[[#This Row],[Indenfor range]],INDEX(DataTitel_liste,LineærRegression_Valg[[#This Row],[Afhængig variabel ID]]),INDEX(DataTitel_liste,1))</f>
        <v>Eksempel 1 (interval)</v>
      </c>
      <c r="G1477" s="45" t="str" cm="1">
        <f t="array" ref="G1477">IF(LineærRegression_Valg[[#This Row],[Indenfor range]],IF(LineærRegression_Valg[[#This Row],[Intet overlap]],INDEX(DataTitel_liste,LineærRegression_Valg[[#This Row],[Uafhængig variabel ID]]),INDEX(DataTitel_liste,IF(LineærRegression_Valg[[#This Row],[Afhængig variabel ID]]=1,2,1))),$B$7)</f>
        <v>Eksempel 2 (interval)</v>
      </c>
      <c r="H1477" s="45">
        <f>_xlfn.AGGREGATE(2,5,LineærRegression_Valg[[#This Row],[Tabel ID]])</f>
        <v>1</v>
      </c>
    </row>
    <row r="1478" spans="1:8" x14ac:dyDescent="0.2">
      <c r="A1478">
        <f>ROW(LineærRegression_Valg[[#This Row],[Tabel ID]])-ROW(LineærRegression_Valg[[#Headers],[Tabel ID]])</f>
        <v>1468</v>
      </c>
      <c r="B1478" s="45">
        <f>ROUNDDOWN((LineærRegression_Valg[[#This Row],[Tabel ID]]-1)/$B$5,0)+1</f>
        <v>367</v>
      </c>
      <c r="C1478" s="45">
        <f t="shared" si="22"/>
        <v>4</v>
      </c>
      <c r="D1478" s="45" t="b">
        <f>LineærRegression_Valg[[#This Row],[Afhængig variabel ID]]&lt;&gt;LineærRegression_Valg[[#This Row],[Uafhængig variabel ID]]</f>
        <v>1</v>
      </c>
      <c r="E1478" s="45" t="b">
        <f>LineærRegression_Valg[[#This Row],[Afhængig variabel ID]]&lt;=$B$5</f>
        <v>0</v>
      </c>
      <c r="F1478" t="str" cm="1">
        <f t="array" ref="F1478">IF(LineærRegression_Valg[[#This Row],[Indenfor range]],INDEX(DataTitel_liste,LineærRegression_Valg[[#This Row],[Afhængig variabel ID]]),INDEX(DataTitel_liste,1))</f>
        <v>Eksempel 1 (interval)</v>
      </c>
      <c r="G1478" s="45" t="str" cm="1">
        <f t="array" ref="G1478">IF(LineærRegression_Valg[[#This Row],[Indenfor range]],IF(LineærRegression_Valg[[#This Row],[Intet overlap]],INDEX(DataTitel_liste,LineærRegression_Valg[[#This Row],[Uafhængig variabel ID]]),INDEX(DataTitel_liste,IF(LineærRegression_Valg[[#This Row],[Afhængig variabel ID]]=1,2,1))),$B$7)</f>
        <v>Eksempel 2 (interval)</v>
      </c>
      <c r="H1478" s="45">
        <f>_xlfn.AGGREGATE(2,5,LineærRegression_Valg[[#This Row],[Tabel ID]])</f>
        <v>1</v>
      </c>
    </row>
    <row r="1479" spans="1:8" x14ac:dyDescent="0.2">
      <c r="A1479">
        <f>ROW(LineærRegression_Valg[[#This Row],[Tabel ID]])-ROW(LineærRegression_Valg[[#Headers],[Tabel ID]])</f>
        <v>1469</v>
      </c>
      <c r="B1479" s="45">
        <f>ROUNDDOWN((LineærRegression_Valg[[#This Row],[Tabel ID]]-1)/$B$5,0)+1</f>
        <v>368</v>
      </c>
      <c r="C1479" s="45">
        <f t="shared" si="22"/>
        <v>1</v>
      </c>
      <c r="D1479" s="45" t="b">
        <f>LineærRegression_Valg[[#This Row],[Afhængig variabel ID]]&lt;&gt;LineærRegression_Valg[[#This Row],[Uafhængig variabel ID]]</f>
        <v>1</v>
      </c>
      <c r="E1479" s="45" t="b">
        <f>LineærRegression_Valg[[#This Row],[Afhængig variabel ID]]&lt;=$B$5</f>
        <v>0</v>
      </c>
      <c r="F1479" t="str" cm="1">
        <f t="array" ref="F1479">IF(LineærRegression_Valg[[#This Row],[Indenfor range]],INDEX(DataTitel_liste,LineærRegression_Valg[[#This Row],[Afhængig variabel ID]]),INDEX(DataTitel_liste,1))</f>
        <v>Eksempel 1 (interval)</v>
      </c>
      <c r="G1479" s="45" t="str" cm="1">
        <f t="array" ref="G1479">IF(LineærRegression_Valg[[#This Row],[Indenfor range]],IF(LineærRegression_Valg[[#This Row],[Intet overlap]],INDEX(DataTitel_liste,LineærRegression_Valg[[#This Row],[Uafhængig variabel ID]]),INDEX(DataTitel_liste,IF(LineærRegression_Valg[[#This Row],[Afhængig variabel ID]]=1,2,1))),$B$7)</f>
        <v>Eksempel 2 (interval)</v>
      </c>
      <c r="H1479" s="45">
        <f>_xlfn.AGGREGATE(2,5,LineærRegression_Valg[[#This Row],[Tabel ID]])</f>
        <v>1</v>
      </c>
    </row>
    <row r="1480" spans="1:8" x14ac:dyDescent="0.2">
      <c r="A1480">
        <f>ROW(LineærRegression_Valg[[#This Row],[Tabel ID]])-ROW(LineærRegression_Valg[[#Headers],[Tabel ID]])</f>
        <v>1470</v>
      </c>
      <c r="B1480" s="45">
        <f>ROUNDDOWN((LineærRegression_Valg[[#This Row],[Tabel ID]]-1)/$B$5,0)+1</f>
        <v>368</v>
      </c>
      <c r="C1480" s="45">
        <f t="shared" si="22"/>
        <v>2</v>
      </c>
      <c r="D1480" s="45" t="b">
        <f>LineærRegression_Valg[[#This Row],[Afhængig variabel ID]]&lt;&gt;LineærRegression_Valg[[#This Row],[Uafhængig variabel ID]]</f>
        <v>1</v>
      </c>
      <c r="E1480" s="45" t="b">
        <f>LineærRegression_Valg[[#This Row],[Afhængig variabel ID]]&lt;=$B$5</f>
        <v>0</v>
      </c>
      <c r="F1480" t="str" cm="1">
        <f t="array" ref="F1480">IF(LineærRegression_Valg[[#This Row],[Indenfor range]],INDEX(DataTitel_liste,LineærRegression_Valg[[#This Row],[Afhængig variabel ID]]),INDEX(DataTitel_liste,1))</f>
        <v>Eksempel 1 (interval)</v>
      </c>
      <c r="G1480" s="45" t="str" cm="1">
        <f t="array" ref="G1480">IF(LineærRegression_Valg[[#This Row],[Indenfor range]],IF(LineærRegression_Valg[[#This Row],[Intet overlap]],INDEX(DataTitel_liste,LineærRegression_Valg[[#This Row],[Uafhængig variabel ID]]),INDEX(DataTitel_liste,IF(LineærRegression_Valg[[#This Row],[Afhængig variabel ID]]=1,2,1))),$B$7)</f>
        <v>Eksempel 2 (interval)</v>
      </c>
      <c r="H1480" s="45">
        <f>_xlfn.AGGREGATE(2,5,LineærRegression_Valg[[#This Row],[Tabel ID]])</f>
        <v>1</v>
      </c>
    </row>
    <row r="1481" spans="1:8" x14ac:dyDescent="0.2">
      <c r="A1481">
        <f>ROW(LineærRegression_Valg[[#This Row],[Tabel ID]])-ROW(LineærRegression_Valg[[#Headers],[Tabel ID]])</f>
        <v>1471</v>
      </c>
      <c r="B1481" s="45">
        <f>ROUNDDOWN((LineærRegression_Valg[[#This Row],[Tabel ID]]-1)/$B$5,0)+1</f>
        <v>368</v>
      </c>
      <c r="C1481" s="45">
        <f t="shared" si="22"/>
        <v>3</v>
      </c>
      <c r="D1481" s="45" t="b">
        <f>LineærRegression_Valg[[#This Row],[Afhængig variabel ID]]&lt;&gt;LineærRegression_Valg[[#This Row],[Uafhængig variabel ID]]</f>
        <v>1</v>
      </c>
      <c r="E1481" s="45" t="b">
        <f>LineærRegression_Valg[[#This Row],[Afhængig variabel ID]]&lt;=$B$5</f>
        <v>0</v>
      </c>
      <c r="F1481" t="str" cm="1">
        <f t="array" ref="F1481">IF(LineærRegression_Valg[[#This Row],[Indenfor range]],INDEX(DataTitel_liste,LineærRegression_Valg[[#This Row],[Afhængig variabel ID]]),INDEX(DataTitel_liste,1))</f>
        <v>Eksempel 1 (interval)</v>
      </c>
      <c r="G1481" s="45" t="str" cm="1">
        <f t="array" ref="G1481">IF(LineærRegression_Valg[[#This Row],[Indenfor range]],IF(LineærRegression_Valg[[#This Row],[Intet overlap]],INDEX(DataTitel_liste,LineærRegression_Valg[[#This Row],[Uafhængig variabel ID]]),INDEX(DataTitel_liste,IF(LineærRegression_Valg[[#This Row],[Afhængig variabel ID]]=1,2,1))),$B$7)</f>
        <v>Eksempel 2 (interval)</v>
      </c>
      <c r="H1481" s="45">
        <f>_xlfn.AGGREGATE(2,5,LineærRegression_Valg[[#This Row],[Tabel ID]])</f>
        <v>1</v>
      </c>
    </row>
    <row r="1482" spans="1:8" x14ac:dyDescent="0.2">
      <c r="A1482">
        <f>ROW(LineærRegression_Valg[[#This Row],[Tabel ID]])-ROW(LineærRegression_Valg[[#Headers],[Tabel ID]])</f>
        <v>1472</v>
      </c>
      <c r="B1482" s="45">
        <f>ROUNDDOWN((LineærRegression_Valg[[#This Row],[Tabel ID]]-1)/$B$5,0)+1</f>
        <v>368</v>
      </c>
      <c r="C1482" s="45">
        <f t="shared" si="22"/>
        <v>4</v>
      </c>
      <c r="D1482" s="45" t="b">
        <f>LineærRegression_Valg[[#This Row],[Afhængig variabel ID]]&lt;&gt;LineærRegression_Valg[[#This Row],[Uafhængig variabel ID]]</f>
        <v>1</v>
      </c>
      <c r="E1482" s="45" t="b">
        <f>LineærRegression_Valg[[#This Row],[Afhængig variabel ID]]&lt;=$B$5</f>
        <v>0</v>
      </c>
      <c r="F1482" t="str" cm="1">
        <f t="array" ref="F1482">IF(LineærRegression_Valg[[#This Row],[Indenfor range]],INDEX(DataTitel_liste,LineærRegression_Valg[[#This Row],[Afhængig variabel ID]]),INDEX(DataTitel_liste,1))</f>
        <v>Eksempel 1 (interval)</v>
      </c>
      <c r="G1482" s="45" t="str" cm="1">
        <f t="array" ref="G1482">IF(LineærRegression_Valg[[#This Row],[Indenfor range]],IF(LineærRegression_Valg[[#This Row],[Intet overlap]],INDEX(DataTitel_liste,LineærRegression_Valg[[#This Row],[Uafhængig variabel ID]]),INDEX(DataTitel_liste,IF(LineærRegression_Valg[[#This Row],[Afhængig variabel ID]]=1,2,1))),$B$7)</f>
        <v>Eksempel 2 (interval)</v>
      </c>
      <c r="H1482" s="45">
        <f>_xlfn.AGGREGATE(2,5,LineærRegression_Valg[[#This Row],[Tabel ID]])</f>
        <v>1</v>
      </c>
    </row>
    <row r="1483" spans="1:8" x14ac:dyDescent="0.2">
      <c r="A1483">
        <f>ROW(LineærRegression_Valg[[#This Row],[Tabel ID]])-ROW(LineærRegression_Valg[[#Headers],[Tabel ID]])</f>
        <v>1473</v>
      </c>
      <c r="B1483" s="45">
        <f>ROUNDDOWN((LineærRegression_Valg[[#This Row],[Tabel ID]]-1)/$B$5,0)+1</f>
        <v>369</v>
      </c>
      <c r="C1483" s="45">
        <f t="shared" ref="C1483:C1546" si="23">MOD(A1483-1,$B$5)+1</f>
        <v>1</v>
      </c>
      <c r="D1483" s="45" t="b">
        <f>LineærRegression_Valg[[#This Row],[Afhængig variabel ID]]&lt;&gt;LineærRegression_Valg[[#This Row],[Uafhængig variabel ID]]</f>
        <v>1</v>
      </c>
      <c r="E1483" s="45" t="b">
        <f>LineærRegression_Valg[[#This Row],[Afhængig variabel ID]]&lt;=$B$5</f>
        <v>0</v>
      </c>
      <c r="F1483" t="str" cm="1">
        <f t="array" ref="F1483">IF(LineærRegression_Valg[[#This Row],[Indenfor range]],INDEX(DataTitel_liste,LineærRegression_Valg[[#This Row],[Afhængig variabel ID]]),INDEX(DataTitel_liste,1))</f>
        <v>Eksempel 1 (interval)</v>
      </c>
      <c r="G1483" s="45" t="str" cm="1">
        <f t="array" ref="G1483">IF(LineærRegression_Valg[[#This Row],[Indenfor range]],IF(LineærRegression_Valg[[#This Row],[Intet overlap]],INDEX(DataTitel_liste,LineærRegression_Valg[[#This Row],[Uafhængig variabel ID]]),INDEX(DataTitel_liste,IF(LineærRegression_Valg[[#This Row],[Afhængig variabel ID]]=1,2,1))),$B$7)</f>
        <v>Eksempel 2 (interval)</v>
      </c>
      <c r="H1483" s="45">
        <f>_xlfn.AGGREGATE(2,5,LineærRegression_Valg[[#This Row],[Tabel ID]])</f>
        <v>1</v>
      </c>
    </row>
    <row r="1484" spans="1:8" x14ac:dyDescent="0.2">
      <c r="A1484">
        <f>ROW(LineærRegression_Valg[[#This Row],[Tabel ID]])-ROW(LineærRegression_Valg[[#Headers],[Tabel ID]])</f>
        <v>1474</v>
      </c>
      <c r="B1484" s="45">
        <f>ROUNDDOWN((LineærRegression_Valg[[#This Row],[Tabel ID]]-1)/$B$5,0)+1</f>
        <v>369</v>
      </c>
      <c r="C1484" s="45">
        <f t="shared" si="23"/>
        <v>2</v>
      </c>
      <c r="D1484" s="45" t="b">
        <f>LineærRegression_Valg[[#This Row],[Afhængig variabel ID]]&lt;&gt;LineærRegression_Valg[[#This Row],[Uafhængig variabel ID]]</f>
        <v>1</v>
      </c>
      <c r="E1484" s="45" t="b">
        <f>LineærRegression_Valg[[#This Row],[Afhængig variabel ID]]&lt;=$B$5</f>
        <v>0</v>
      </c>
      <c r="F1484" t="str" cm="1">
        <f t="array" ref="F1484">IF(LineærRegression_Valg[[#This Row],[Indenfor range]],INDEX(DataTitel_liste,LineærRegression_Valg[[#This Row],[Afhængig variabel ID]]),INDEX(DataTitel_liste,1))</f>
        <v>Eksempel 1 (interval)</v>
      </c>
      <c r="G1484" s="45" t="str" cm="1">
        <f t="array" ref="G1484">IF(LineærRegression_Valg[[#This Row],[Indenfor range]],IF(LineærRegression_Valg[[#This Row],[Intet overlap]],INDEX(DataTitel_liste,LineærRegression_Valg[[#This Row],[Uafhængig variabel ID]]),INDEX(DataTitel_liste,IF(LineærRegression_Valg[[#This Row],[Afhængig variabel ID]]=1,2,1))),$B$7)</f>
        <v>Eksempel 2 (interval)</v>
      </c>
      <c r="H1484" s="45">
        <f>_xlfn.AGGREGATE(2,5,LineærRegression_Valg[[#This Row],[Tabel ID]])</f>
        <v>1</v>
      </c>
    </row>
    <row r="1485" spans="1:8" x14ac:dyDescent="0.2">
      <c r="A1485">
        <f>ROW(LineærRegression_Valg[[#This Row],[Tabel ID]])-ROW(LineærRegression_Valg[[#Headers],[Tabel ID]])</f>
        <v>1475</v>
      </c>
      <c r="B1485" s="45">
        <f>ROUNDDOWN((LineærRegression_Valg[[#This Row],[Tabel ID]]-1)/$B$5,0)+1</f>
        <v>369</v>
      </c>
      <c r="C1485" s="45">
        <f t="shared" si="23"/>
        <v>3</v>
      </c>
      <c r="D1485" s="45" t="b">
        <f>LineærRegression_Valg[[#This Row],[Afhængig variabel ID]]&lt;&gt;LineærRegression_Valg[[#This Row],[Uafhængig variabel ID]]</f>
        <v>1</v>
      </c>
      <c r="E1485" s="45" t="b">
        <f>LineærRegression_Valg[[#This Row],[Afhængig variabel ID]]&lt;=$B$5</f>
        <v>0</v>
      </c>
      <c r="F1485" t="str" cm="1">
        <f t="array" ref="F1485">IF(LineærRegression_Valg[[#This Row],[Indenfor range]],INDEX(DataTitel_liste,LineærRegression_Valg[[#This Row],[Afhængig variabel ID]]),INDEX(DataTitel_liste,1))</f>
        <v>Eksempel 1 (interval)</v>
      </c>
      <c r="G1485" s="45" t="str" cm="1">
        <f t="array" ref="G1485">IF(LineærRegression_Valg[[#This Row],[Indenfor range]],IF(LineærRegression_Valg[[#This Row],[Intet overlap]],INDEX(DataTitel_liste,LineærRegression_Valg[[#This Row],[Uafhængig variabel ID]]),INDEX(DataTitel_liste,IF(LineærRegression_Valg[[#This Row],[Afhængig variabel ID]]=1,2,1))),$B$7)</f>
        <v>Eksempel 2 (interval)</v>
      </c>
      <c r="H1485" s="45">
        <f>_xlfn.AGGREGATE(2,5,LineærRegression_Valg[[#This Row],[Tabel ID]])</f>
        <v>1</v>
      </c>
    </row>
    <row r="1486" spans="1:8" x14ac:dyDescent="0.2">
      <c r="A1486">
        <f>ROW(LineærRegression_Valg[[#This Row],[Tabel ID]])-ROW(LineærRegression_Valg[[#Headers],[Tabel ID]])</f>
        <v>1476</v>
      </c>
      <c r="B1486" s="45">
        <f>ROUNDDOWN((LineærRegression_Valg[[#This Row],[Tabel ID]]-1)/$B$5,0)+1</f>
        <v>369</v>
      </c>
      <c r="C1486" s="45">
        <f t="shared" si="23"/>
        <v>4</v>
      </c>
      <c r="D1486" s="45" t="b">
        <f>LineærRegression_Valg[[#This Row],[Afhængig variabel ID]]&lt;&gt;LineærRegression_Valg[[#This Row],[Uafhængig variabel ID]]</f>
        <v>1</v>
      </c>
      <c r="E1486" s="45" t="b">
        <f>LineærRegression_Valg[[#This Row],[Afhængig variabel ID]]&lt;=$B$5</f>
        <v>0</v>
      </c>
      <c r="F1486" t="str" cm="1">
        <f t="array" ref="F1486">IF(LineærRegression_Valg[[#This Row],[Indenfor range]],INDEX(DataTitel_liste,LineærRegression_Valg[[#This Row],[Afhængig variabel ID]]),INDEX(DataTitel_liste,1))</f>
        <v>Eksempel 1 (interval)</v>
      </c>
      <c r="G1486" s="45" t="str" cm="1">
        <f t="array" ref="G1486">IF(LineærRegression_Valg[[#This Row],[Indenfor range]],IF(LineærRegression_Valg[[#This Row],[Intet overlap]],INDEX(DataTitel_liste,LineærRegression_Valg[[#This Row],[Uafhængig variabel ID]]),INDEX(DataTitel_liste,IF(LineærRegression_Valg[[#This Row],[Afhængig variabel ID]]=1,2,1))),$B$7)</f>
        <v>Eksempel 2 (interval)</v>
      </c>
      <c r="H1486" s="45">
        <f>_xlfn.AGGREGATE(2,5,LineærRegression_Valg[[#This Row],[Tabel ID]])</f>
        <v>1</v>
      </c>
    </row>
    <row r="1487" spans="1:8" x14ac:dyDescent="0.2">
      <c r="A1487">
        <f>ROW(LineærRegression_Valg[[#This Row],[Tabel ID]])-ROW(LineærRegression_Valg[[#Headers],[Tabel ID]])</f>
        <v>1477</v>
      </c>
      <c r="B1487" s="45">
        <f>ROUNDDOWN((LineærRegression_Valg[[#This Row],[Tabel ID]]-1)/$B$5,0)+1</f>
        <v>370</v>
      </c>
      <c r="C1487" s="45">
        <f t="shared" si="23"/>
        <v>1</v>
      </c>
      <c r="D1487" s="45" t="b">
        <f>LineærRegression_Valg[[#This Row],[Afhængig variabel ID]]&lt;&gt;LineærRegression_Valg[[#This Row],[Uafhængig variabel ID]]</f>
        <v>1</v>
      </c>
      <c r="E1487" s="45" t="b">
        <f>LineærRegression_Valg[[#This Row],[Afhængig variabel ID]]&lt;=$B$5</f>
        <v>0</v>
      </c>
      <c r="F1487" t="str" cm="1">
        <f t="array" ref="F1487">IF(LineærRegression_Valg[[#This Row],[Indenfor range]],INDEX(DataTitel_liste,LineærRegression_Valg[[#This Row],[Afhængig variabel ID]]),INDEX(DataTitel_liste,1))</f>
        <v>Eksempel 1 (interval)</v>
      </c>
      <c r="G1487" s="45" t="str" cm="1">
        <f t="array" ref="G1487">IF(LineærRegression_Valg[[#This Row],[Indenfor range]],IF(LineærRegression_Valg[[#This Row],[Intet overlap]],INDEX(DataTitel_liste,LineærRegression_Valg[[#This Row],[Uafhængig variabel ID]]),INDEX(DataTitel_liste,IF(LineærRegression_Valg[[#This Row],[Afhængig variabel ID]]=1,2,1))),$B$7)</f>
        <v>Eksempel 2 (interval)</v>
      </c>
      <c r="H1487" s="45">
        <f>_xlfn.AGGREGATE(2,5,LineærRegression_Valg[[#This Row],[Tabel ID]])</f>
        <v>1</v>
      </c>
    </row>
    <row r="1488" spans="1:8" x14ac:dyDescent="0.2">
      <c r="A1488">
        <f>ROW(LineærRegression_Valg[[#This Row],[Tabel ID]])-ROW(LineærRegression_Valg[[#Headers],[Tabel ID]])</f>
        <v>1478</v>
      </c>
      <c r="B1488" s="45">
        <f>ROUNDDOWN((LineærRegression_Valg[[#This Row],[Tabel ID]]-1)/$B$5,0)+1</f>
        <v>370</v>
      </c>
      <c r="C1488" s="45">
        <f t="shared" si="23"/>
        <v>2</v>
      </c>
      <c r="D1488" s="45" t="b">
        <f>LineærRegression_Valg[[#This Row],[Afhængig variabel ID]]&lt;&gt;LineærRegression_Valg[[#This Row],[Uafhængig variabel ID]]</f>
        <v>1</v>
      </c>
      <c r="E1488" s="45" t="b">
        <f>LineærRegression_Valg[[#This Row],[Afhængig variabel ID]]&lt;=$B$5</f>
        <v>0</v>
      </c>
      <c r="F1488" t="str" cm="1">
        <f t="array" ref="F1488">IF(LineærRegression_Valg[[#This Row],[Indenfor range]],INDEX(DataTitel_liste,LineærRegression_Valg[[#This Row],[Afhængig variabel ID]]),INDEX(DataTitel_liste,1))</f>
        <v>Eksempel 1 (interval)</v>
      </c>
      <c r="G1488" s="45" t="str" cm="1">
        <f t="array" ref="G1488">IF(LineærRegression_Valg[[#This Row],[Indenfor range]],IF(LineærRegression_Valg[[#This Row],[Intet overlap]],INDEX(DataTitel_liste,LineærRegression_Valg[[#This Row],[Uafhængig variabel ID]]),INDEX(DataTitel_liste,IF(LineærRegression_Valg[[#This Row],[Afhængig variabel ID]]=1,2,1))),$B$7)</f>
        <v>Eksempel 2 (interval)</v>
      </c>
      <c r="H1488" s="45">
        <f>_xlfn.AGGREGATE(2,5,LineærRegression_Valg[[#This Row],[Tabel ID]])</f>
        <v>1</v>
      </c>
    </row>
    <row r="1489" spans="1:8" x14ac:dyDescent="0.2">
      <c r="A1489">
        <f>ROW(LineærRegression_Valg[[#This Row],[Tabel ID]])-ROW(LineærRegression_Valg[[#Headers],[Tabel ID]])</f>
        <v>1479</v>
      </c>
      <c r="B1489" s="45">
        <f>ROUNDDOWN((LineærRegression_Valg[[#This Row],[Tabel ID]]-1)/$B$5,0)+1</f>
        <v>370</v>
      </c>
      <c r="C1489" s="45">
        <f t="shared" si="23"/>
        <v>3</v>
      </c>
      <c r="D1489" s="45" t="b">
        <f>LineærRegression_Valg[[#This Row],[Afhængig variabel ID]]&lt;&gt;LineærRegression_Valg[[#This Row],[Uafhængig variabel ID]]</f>
        <v>1</v>
      </c>
      <c r="E1489" s="45" t="b">
        <f>LineærRegression_Valg[[#This Row],[Afhængig variabel ID]]&lt;=$B$5</f>
        <v>0</v>
      </c>
      <c r="F1489" t="str" cm="1">
        <f t="array" ref="F1489">IF(LineærRegression_Valg[[#This Row],[Indenfor range]],INDEX(DataTitel_liste,LineærRegression_Valg[[#This Row],[Afhængig variabel ID]]),INDEX(DataTitel_liste,1))</f>
        <v>Eksempel 1 (interval)</v>
      </c>
      <c r="G1489" s="45" t="str" cm="1">
        <f t="array" ref="G1489">IF(LineærRegression_Valg[[#This Row],[Indenfor range]],IF(LineærRegression_Valg[[#This Row],[Intet overlap]],INDEX(DataTitel_liste,LineærRegression_Valg[[#This Row],[Uafhængig variabel ID]]),INDEX(DataTitel_liste,IF(LineærRegression_Valg[[#This Row],[Afhængig variabel ID]]=1,2,1))),$B$7)</f>
        <v>Eksempel 2 (interval)</v>
      </c>
      <c r="H1489" s="45">
        <f>_xlfn.AGGREGATE(2,5,LineærRegression_Valg[[#This Row],[Tabel ID]])</f>
        <v>1</v>
      </c>
    </row>
    <row r="1490" spans="1:8" x14ac:dyDescent="0.2">
      <c r="A1490">
        <f>ROW(LineærRegression_Valg[[#This Row],[Tabel ID]])-ROW(LineærRegression_Valg[[#Headers],[Tabel ID]])</f>
        <v>1480</v>
      </c>
      <c r="B1490" s="45">
        <f>ROUNDDOWN((LineærRegression_Valg[[#This Row],[Tabel ID]]-1)/$B$5,0)+1</f>
        <v>370</v>
      </c>
      <c r="C1490" s="45">
        <f t="shared" si="23"/>
        <v>4</v>
      </c>
      <c r="D1490" s="45" t="b">
        <f>LineærRegression_Valg[[#This Row],[Afhængig variabel ID]]&lt;&gt;LineærRegression_Valg[[#This Row],[Uafhængig variabel ID]]</f>
        <v>1</v>
      </c>
      <c r="E1490" s="45" t="b">
        <f>LineærRegression_Valg[[#This Row],[Afhængig variabel ID]]&lt;=$B$5</f>
        <v>0</v>
      </c>
      <c r="F1490" t="str" cm="1">
        <f t="array" ref="F1490">IF(LineærRegression_Valg[[#This Row],[Indenfor range]],INDEX(DataTitel_liste,LineærRegression_Valg[[#This Row],[Afhængig variabel ID]]),INDEX(DataTitel_liste,1))</f>
        <v>Eksempel 1 (interval)</v>
      </c>
      <c r="G1490" s="45" t="str" cm="1">
        <f t="array" ref="G1490">IF(LineærRegression_Valg[[#This Row],[Indenfor range]],IF(LineærRegression_Valg[[#This Row],[Intet overlap]],INDEX(DataTitel_liste,LineærRegression_Valg[[#This Row],[Uafhængig variabel ID]]),INDEX(DataTitel_liste,IF(LineærRegression_Valg[[#This Row],[Afhængig variabel ID]]=1,2,1))),$B$7)</f>
        <v>Eksempel 2 (interval)</v>
      </c>
      <c r="H1490" s="45">
        <f>_xlfn.AGGREGATE(2,5,LineærRegression_Valg[[#This Row],[Tabel ID]])</f>
        <v>1</v>
      </c>
    </row>
    <row r="1491" spans="1:8" x14ac:dyDescent="0.2">
      <c r="A1491">
        <f>ROW(LineærRegression_Valg[[#This Row],[Tabel ID]])-ROW(LineærRegression_Valg[[#Headers],[Tabel ID]])</f>
        <v>1481</v>
      </c>
      <c r="B1491" s="45">
        <f>ROUNDDOWN((LineærRegression_Valg[[#This Row],[Tabel ID]]-1)/$B$5,0)+1</f>
        <v>371</v>
      </c>
      <c r="C1491" s="45">
        <f t="shared" si="23"/>
        <v>1</v>
      </c>
      <c r="D1491" s="45" t="b">
        <f>LineærRegression_Valg[[#This Row],[Afhængig variabel ID]]&lt;&gt;LineærRegression_Valg[[#This Row],[Uafhængig variabel ID]]</f>
        <v>1</v>
      </c>
      <c r="E1491" s="45" t="b">
        <f>LineærRegression_Valg[[#This Row],[Afhængig variabel ID]]&lt;=$B$5</f>
        <v>0</v>
      </c>
      <c r="F1491" t="str" cm="1">
        <f t="array" ref="F1491">IF(LineærRegression_Valg[[#This Row],[Indenfor range]],INDEX(DataTitel_liste,LineærRegression_Valg[[#This Row],[Afhængig variabel ID]]),INDEX(DataTitel_liste,1))</f>
        <v>Eksempel 1 (interval)</v>
      </c>
      <c r="G1491" s="45" t="str" cm="1">
        <f t="array" ref="G1491">IF(LineærRegression_Valg[[#This Row],[Indenfor range]],IF(LineærRegression_Valg[[#This Row],[Intet overlap]],INDEX(DataTitel_liste,LineærRegression_Valg[[#This Row],[Uafhængig variabel ID]]),INDEX(DataTitel_liste,IF(LineærRegression_Valg[[#This Row],[Afhængig variabel ID]]=1,2,1))),$B$7)</f>
        <v>Eksempel 2 (interval)</v>
      </c>
      <c r="H1491" s="45">
        <f>_xlfn.AGGREGATE(2,5,LineærRegression_Valg[[#This Row],[Tabel ID]])</f>
        <v>1</v>
      </c>
    </row>
    <row r="1492" spans="1:8" x14ac:dyDescent="0.2">
      <c r="A1492">
        <f>ROW(LineærRegression_Valg[[#This Row],[Tabel ID]])-ROW(LineærRegression_Valg[[#Headers],[Tabel ID]])</f>
        <v>1482</v>
      </c>
      <c r="B1492" s="45">
        <f>ROUNDDOWN((LineærRegression_Valg[[#This Row],[Tabel ID]]-1)/$B$5,0)+1</f>
        <v>371</v>
      </c>
      <c r="C1492" s="45">
        <f t="shared" si="23"/>
        <v>2</v>
      </c>
      <c r="D1492" s="45" t="b">
        <f>LineærRegression_Valg[[#This Row],[Afhængig variabel ID]]&lt;&gt;LineærRegression_Valg[[#This Row],[Uafhængig variabel ID]]</f>
        <v>1</v>
      </c>
      <c r="E1492" s="45" t="b">
        <f>LineærRegression_Valg[[#This Row],[Afhængig variabel ID]]&lt;=$B$5</f>
        <v>0</v>
      </c>
      <c r="F1492" t="str" cm="1">
        <f t="array" ref="F1492">IF(LineærRegression_Valg[[#This Row],[Indenfor range]],INDEX(DataTitel_liste,LineærRegression_Valg[[#This Row],[Afhængig variabel ID]]),INDEX(DataTitel_liste,1))</f>
        <v>Eksempel 1 (interval)</v>
      </c>
      <c r="G1492" s="45" t="str" cm="1">
        <f t="array" ref="G1492">IF(LineærRegression_Valg[[#This Row],[Indenfor range]],IF(LineærRegression_Valg[[#This Row],[Intet overlap]],INDEX(DataTitel_liste,LineærRegression_Valg[[#This Row],[Uafhængig variabel ID]]),INDEX(DataTitel_liste,IF(LineærRegression_Valg[[#This Row],[Afhængig variabel ID]]=1,2,1))),$B$7)</f>
        <v>Eksempel 2 (interval)</v>
      </c>
      <c r="H1492" s="45">
        <f>_xlfn.AGGREGATE(2,5,LineærRegression_Valg[[#This Row],[Tabel ID]])</f>
        <v>1</v>
      </c>
    </row>
    <row r="1493" spans="1:8" x14ac:dyDescent="0.2">
      <c r="A1493">
        <f>ROW(LineærRegression_Valg[[#This Row],[Tabel ID]])-ROW(LineærRegression_Valg[[#Headers],[Tabel ID]])</f>
        <v>1483</v>
      </c>
      <c r="B1493" s="45">
        <f>ROUNDDOWN((LineærRegression_Valg[[#This Row],[Tabel ID]]-1)/$B$5,0)+1</f>
        <v>371</v>
      </c>
      <c r="C1493" s="45">
        <f t="shared" si="23"/>
        <v>3</v>
      </c>
      <c r="D1493" s="45" t="b">
        <f>LineærRegression_Valg[[#This Row],[Afhængig variabel ID]]&lt;&gt;LineærRegression_Valg[[#This Row],[Uafhængig variabel ID]]</f>
        <v>1</v>
      </c>
      <c r="E1493" s="45" t="b">
        <f>LineærRegression_Valg[[#This Row],[Afhængig variabel ID]]&lt;=$B$5</f>
        <v>0</v>
      </c>
      <c r="F1493" t="str" cm="1">
        <f t="array" ref="F1493">IF(LineærRegression_Valg[[#This Row],[Indenfor range]],INDEX(DataTitel_liste,LineærRegression_Valg[[#This Row],[Afhængig variabel ID]]),INDEX(DataTitel_liste,1))</f>
        <v>Eksempel 1 (interval)</v>
      </c>
      <c r="G1493" s="45" t="str" cm="1">
        <f t="array" ref="G1493">IF(LineærRegression_Valg[[#This Row],[Indenfor range]],IF(LineærRegression_Valg[[#This Row],[Intet overlap]],INDEX(DataTitel_liste,LineærRegression_Valg[[#This Row],[Uafhængig variabel ID]]),INDEX(DataTitel_liste,IF(LineærRegression_Valg[[#This Row],[Afhængig variabel ID]]=1,2,1))),$B$7)</f>
        <v>Eksempel 2 (interval)</v>
      </c>
      <c r="H1493" s="45">
        <f>_xlfn.AGGREGATE(2,5,LineærRegression_Valg[[#This Row],[Tabel ID]])</f>
        <v>1</v>
      </c>
    </row>
    <row r="1494" spans="1:8" x14ac:dyDescent="0.2">
      <c r="A1494">
        <f>ROW(LineærRegression_Valg[[#This Row],[Tabel ID]])-ROW(LineærRegression_Valg[[#Headers],[Tabel ID]])</f>
        <v>1484</v>
      </c>
      <c r="B1494" s="45">
        <f>ROUNDDOWN((LineærRegression_Valg[[#This Row],[Tabel ID]]-1)/$B$5,0)+1</f>
        <v>371</v>
      </c>
      <c r="C1494" s="45">
        <f t="shared" si="23"/>
        <v>4</v>
      </c>
      <c r="D1494" s="45" t="b">
        <f>LineærRegression_Valg[[#This Row],[Afhængig variabel ID]]&lt;&gt;LineærRegression_Valg[[#This Row],[Uafhængig variabel ID]]</f>
        <v>1</v>
      </c>
      <c r="E1494" s="45" t="b">
        <f>LineærRegression_Valg[[#This Row],[Afhængig variabel ID]]&lt;=$B$5</f>
        <v>0</v>
      </c>
      <c r="F1494" t="str" cm="1">
        <f t="array" ref="F1494">IF(LineærRegression_Valg[[#This Row],[Indenfor range]],INDEX(DataTitel_liste,LineærRegression_Valg[[#This Row],[Afhængig variabel ID]]),INDEX(DataTitel_liste,1))</f>
        <v>Eksempel 1 (interval)</v>
      </c>
      <c r="G1494" s="45" t="str" cm="1">
        <f t="array" ref="G1494">IF(LineærRegression_Valg[[#This Row],[Indenfor range]],IF(LineærRegression_Valg[[#This Row],[Intet overlap]],INDEX(DataTitel_liste,LineærRegression_Valg[[#This Row],[Uafhængig variabel ID]]),INDEX(DataTitel_liste,IF(LineærRegression_Valg[[#This Row],[Afhængig variabel ID]]=1,2,1))),$B$7)</f>
        <v>Eksempel 2 (interval)</v>
      </c>
      <c r="H1494" s="45">
        <f>_xlfn.AGGREGATE(2,5,LineærRegression_Valg[[#This Row],[Tabel ID]])</f>
        <v>1</v>
      </c>
    </row>
    <row r="1495" spans="1:8" x14ac:dyDescent="0.2">
      <c r="A1495">
        <f>ROW(LineærRegression_Valg[[#This Row],[Tabel ID]])-ROW(LineærRegression_Valg[[#Headers],[Tabel ID]])</f>
        <v>1485</v>
      </c>
      <c r="B1495" s="45">
        <f>ROUNDDOWN((LineærRegression_Valg[[#This Row],[Tabel ID]]-1)/$B$5,0)+1</f>
        <v>372</v>
      </c>
      <c r="C1495" s="45">
        <f t="shared" si="23"/>
        <v>1</v>
      </c>
      <c r="D1495" s="45" t="b">
        <f>LineærRegression_Valg[[#This Row],[Afhængig variabel ID]]&lt;&gt;LineærRegression_Valg[[#This Row],[Uafhængig variabel ID]]</f>
        <v>1</v>
      </c>
      <c r="E1495" s="45" t="b">
        <f>LineærRegression_Valg[[#This Row],[Afhængig variabel ID]]&lt;=$B$5</f>
        <v>0</v>
      </c>
      <c r="F1495" t="str" cm="1">
        <f t="array" ref="F1495">IF(LineærRegression_Valg[[#This Row],[Indenfor range]],INDEX(DataTitel_liste,LineærRegression_Valg[[#This Row],[Afhængig variabel ID]]),INDEX(DataTitel_liste,1))</f>
        <v>Eksempel 1 (interval)</v>
      </c>
      <c r="G1495" s="45" t="str" cm="1">
        <f t="array" ref="G1495">IF(LineærRegression_Valg[[#This Row],[Indenfor range]],IF(LineærRegression_Valg[[#This Row],[Intet overlap]],INDEX(DataTitel_liste,LineærRegression_Valg[[#This Row],[Uafhængig variabel ID]]),INDEX(DataTitel_liste,IF(LineærRegression_Valg[[#This Row],[Afhængig variabel ID]]=1,2,1))),$B$7)</f>
        <v>Eksempel 2 (interval)</v>
      </c>
      <c r="H1495" s="45">
        <f>_xlfn.AGGREGATE(2,5,LineærRegression_Valg[[#This Row],[Tabel ID]])</f>
        <v>1</v>
      </c>
    </row>
    <row r="1496" spans="1:8" x14ac:dyDescent="0.2">
      <c r="A1496">
        <f>ROW(LineærRegression_Valg[[#This Row],[Tabel ID]])-ROW(LineærRegression_Valg[[#Headers],[Tabel ID]])</f>
        <v>1486</v>
      </c>
      <c r="B1496" s="45">
        <f>ROUNDDOWN((LineærRegression_Valg[[#This Row],[Tabel ID]]-1)/$B$5,0)+1</f>
        <v>372</v>
      </c>
      <c r="C1496" s="45">
        <f t="shared" si="23"/>
        <v>2</v>
      </c>
      <c r="D1496" s="45" t="b">
        <f>LineærRegression_Valg[[#This Row],[Afhængig variabel ID]]&lt;&gt;LineærRegression_Valg[[#This Row],[Uafhængig variabel ID]]</f>
        <v>1</v>
      </c>
      <c r="E1496" s="45" t="b">
        <f>LineærRegression_Valg[[#This Row],[Afhængig variabel ID]]&lt;=$B$5</f>
        <v>0</v>
      </c>
      <c r="F1496" t="str" cm="1">
        <f t="array" ref="F1496">IF(LineærRegression_Valg[[#This Row],[Indenfor range]],INDEX(DataTitel_liste,LineærRegression_Valg[[#This Row],[Afhængig variabel ID]]),INDEX(DataTitel_liste,1))</f>
        <v>Eksempel 1 (interval)</v>
      </c>
      <c r="G1496" s="45" t="str" cm="1">
        <f t="array" ref="G1496">IF(LineærRegression_Valg[[#This Row],[Indenfor range]],IF(LineærRegression_Valg[[#This Row],[Intet overlap]],INDEX(DataTitel_liste,LineærRegression_Valg[[#This Row],[Uafhængig variabel ID]]),INDEX(DataTitel_liste,IF(LineærRegression_Valg[[#This Row],[Afhængig variabel ID]]=1,2,1))),$B$7)</f>
        <v>Eksempel 2 (interval)</v>
      </c>
      <c r="H1496" s="45">
        <f>_xlfn.AGGREGATE(2,5,LineærRegression_Valg[[#This Row],[Tabel ID]])</f>
        <v>1</v>
      </c>
    </row>
    <row r="1497" spans="1:8" x14ac:dyDescent="0.2">
      <c r="A1497">
        <f>ROW(LineærRegression_Valg[[#This Row],[Tabel ID]])-ROW(LineærRegression_Valg[[#Headers],[Tabel ID]])</f>
        <v>1487</v>
      </c>
      <c r="B1497" s="45">
        <f>ROUNDDOWN((LineærRegression_Valg[[#This Row],[Tabel ID]]-1)/$B$5,0)+1</f>
        <v>372</v>
      </c>
      <c r="C1497" s="45">
        <f t="shared" si="23"/>
        <v>3</v>
      </c>
      <c r="D1497" s="45" t="b">
        <f>LineærRegression_Valg[[#This Row],[Afhængig variabel ID]]&lt;&gt;LineærRegression_Valg[[#This Row],[Uafhængig variabel ID]]</f>
        <v>1</v>
      </c>
      <c r="E1497" s="45" t="b">
        <f>LineærRegression_Valg[[#This Row],[Afhængig variabel ID]]&lt;=$B$5</f>
        <v>0</v>
      </c>
      <c r="F1497" t="str" cm="1">
        <f t="array" ref="F1497">IF(LineærRegression_Valg[[#This Row],[Indenfor range]],INDEX(DataTitel_liste,LineærRegression_Valg[[#This Row],[Afhængig variabel ID]]),INDEX(DataTitel_liste,1))</f>
        <v>Eksempel 1 (interval)</v>
      </c>
      <c r="G1497" s="45" t="str" cm="1">
        <f t="array" ref="G1497">IF(LineærRegression_Valg[[#This Row],[Indenfor range]],IF(LineærRegression_Valg[[#This Row],[Intet overlap]],INDEX(DataTitel_liste,LineærRegression_Valg[[#This Row],[Uafhængig variabel ID]]),INDEX(DataTitel_liste,IF(LineærRegression_Valg[[#This Row],[Afhængig variabel ID]]=1,2,1))),$B$7)</f>
        <v>Eksempel 2 (interval)</v>
      </c>
      <c r="H1497" s="45">
        <f>_xlfn.AGGREGATE(2,5,LineærRegression_Valg[[#This Row],[Tabel ID]])</f>
        <v>1</v>
      </c>
    </row>
    <row r="1498" spans="1:8" x14ac:dyDescent="0.2">
      <c r="A1498">
        <f>ROW(LineærRegression_Valg[[#This Row],[Tabel ID]])-ROW(LineærRegression_Valg[[#Headers],[Tabel ID]])</f>
        <v>1488</v>
      </c>
      <c r="B1498" s="45">
        <f>ROUNDDOWN((LineærRegression_Valg[[#This Row],[Tabel ID]]-1)/$B$5,0)+1</f>
        <v>372</v>
      </c>
      <c r="C1498" s="45">
        <f t="shared" si="23"/>
        <v>4</v>
      </c>
      <c r="D1498" s="45" t="b">
        <f>LineærRegression_Valg[[#This Row],[Afhængig variabel ID]]&lt;&gt;LineærRegression_Valg[[#This Row],[Uafhængig variabel ID]]</f>
        <v>1</v>
      </c>
      <c r="E1498" s="45" t="b">
        <f>LineærRegression_Valg[[#This Row],[Afhængig variabel ID]]&lt;=$B$5</f>
        <v>0</v>
      </c>
      <c r="F1498" t="str" cm="1">
        <f t="array" ref="F1498">IF(LineærRegression_Valg[[#This Row],[Indenfor range]],INDEX(DataTitel_liste,LineærRegression_Valg[[#This Row],[Afhængig variabel ID]]),INDEX(DataTitel_liste,1))</f>
        <v>Eksempel 1 (interval)</v>
      </c>
      <c r="G1498" s="45" t="str" cm="1">
        <f t="array" ref="G1498">IF(LineærRegression_Valg[[#This Row],[Indenfor range]],IF(LineærRegression_Valg[[#This Row],[Intet overlap]],INDEX(DataTitel_liste,LineærRegression_Valg[[#This Row],[Uafhængig variabel ID]]),INDEX(DataTitel_liste,IF(LineærRegression_Valg[[#This Row],[Afhængig variabel ID]]=1,2,1))),$B$7)</f>
        <v>Eksempel 2 (interval)</v>
      </c>
      <c r="H1498" s="45">
        <f>_xlfn.AGGREGATE(2,5,LineærRegression_Valg[[#This Row],[Tabel ID]])</f>
        <v>1</v>
      </c>
    </row>
    <row r="1499" spans="1:8" x14ac:dyDescent="0.2">
      <c r="A1499">
        <f>ROW(LineærRegression_Valg[[#This Row],[Tabel ID]])-ROW(LineærRegression_Valg[[#Headers],[Tabel ID]])</f>
        <v>1489</v>
      </c>
      <c r="B1499" s="45">
        <f>ROUNDDOWN((LineærRegression_Valg[[#This Row],[Tabel ID]]-1)/$B$5,0)+1</f>
        <v>373</v>
      </c>
      <c r="C1499" s="45">
        <f t="shared" si="23"/>
        <v>1</v>
      </c>
      <c r="D1499" s="45" t="b">
        <f>LineærRegression_Valg[[#This Row],[Afhængig variabel ID]]&lt;&gt;LineærRegression_Valg[[#This Row],[Uafhængig variabel ID]]</f>
        <v>1</v>
      </c>
      <c r="E1499" s="45" t="b">
        <f>LineærRegression_Valg[[#This Row],[Afhængig variabel ID]]&lt;=$B$5</f>
        <v>0</v>
      </c>
      <c r="F1499" t="str" cm="1">
        <f t="array" ref="F1499">IF(LineærRegression_Valg[[#This Row],[Indenfor range]],INDEX(DataTitel_liste,LineærRegression_Valg[[#This Row],[Afhængig variabel ID]]),INDEX(DataTitel_liste,1))</f>
        <v>Eksempel 1 (interval)</v>
      </c>
      <c r="G1499" s="45" t="str" cm="1">
        <f t="array" ref="G1499">IF(LineærRegression_Valg[[#This Row],[Indenfor range]],IF(LineærRegression_Valg[[#This Row],[Intet overlap]],INDEX(DataTitel_liste,LineærRegression_Valg[[#This Row],[Uafhængig variabel ID]]),INDEX(DataTitel_liste,IF(LineærRegression_Valg[[#This Row],[Afhængig variabel ID]]=1,2,1))),$B$7)</f>
        <v>Eksempel 2 (interval)</v>
      </c>
      <c r="H1499" s="45">
        <f>_xlfn.AGGREGATE(2,5,LineærRegression_Valg[[#This Row],[Tabel ID]])</f>
        <v>1</v>
      </c>
    </row>
    <row r="1500" spans="1:8" x14ac:dyDescent="0.2">
      <c r="A1500">
        <f>ROW(LineærRegression_Valg[[#This Row],[Tabel ID]])-ROW(LineærRegression_Valg[[#Headers],[Tabel ID]])</f>
        <v>1490</v>
      </c>
      <c r="B1500" s="45">
        <f>ROUNDDOWN((LineærRegression_Valg[[#This Row],[Tabel ID]]-1)/$B$5,0)+1</f>
        <v>373</v>
      </c>
      <c r="C1500" s="45">
        <f t="shared" si="23"/>
        <v>2</v>
      </c>
      <c r="D1500" s="45" t="b">
        <f>LineærRegression_Valg[[#This Row],[Afhængig variabel ID]]&lt;&gt;LineærRegression_Valg[[#This Row],[Uafhængig variabel ID]]</f>
        <v>1</v>
      </c>
      <c r="E1500" s="45" t="b">
        <f>LineærRegression_Valg[[#This Row],[Afhængig variabel ID]]&lt;=$B$5</f>
        <v>0</v>
      </c>
      <c r="F1500" t="str" cm="1">
        <f t="array" ref="F1500">IF(LineærRegression_Valg[[#This Row],[Indenfor range]],INDEX(DataTitel_liste,LineærRegression_Valg[[#This Row],[Afhængig variabel ID]]),INDEX(DataTitel_liste,1))</f>
        <v>Eksempel 1 (interval)</v>
      </c>
      <c r="G1500" s="45" t="str" cm="1">
        <f t="array" ref="G1500">IF(LineærRegression_Valg[[#This Row],[Indenfor range]],IF(LineærRegression_Valg[[#This Row],[Intet overlap]],INDEX(DataTitel_liste,LineærRegression_Valg[[#This Row],[Uafhængig variabel ID]]),INDEX(DataTitel_liste,IF(LineærRegression_Valg[[#This Row],[Afhængig variabel ID]]=1,2,1))),$B$7)</f>
        <v>Eksempel 2 (interval)</v>
      </c>
      <c r="H1500" s="45">
        <f>_xlfn.AGGREGATE(2,5,LineærRegression_Valg[[#This Row],[Tabel ID]])</f>
        <v>1</v>
      </c>
    </row>
    <row r="1501" spans="1:8" x14ac:dyDescent="0.2">
      <c r="A1501">
        <f>ROW(LineærRegression_Valg[[#This Row],[Tabel ID]])-ROW(LineærRegression_Valg[[#Headers],[Tabel ID]])</f>
        <v>1491</v>
      </c>
      <c r="B1501" s="45">
        <f>ROUNDDOWN((LineærRegression_Valg[[#This Row],[Tabel ID]]-1)/$B$5,0)+1</f>
        <v>373</v>
      </c>
      <c r="C1501" s="45">
        <f t="shared" si="23"/>
        <v>3</v>
      </c>
      <c r="D1501" s="45" t="b">
        <f>LineærRegression_Valg[[#This Row],[Afhængig variabel ID]]&lt;&gt;LineærRegression_Valg[[#This Row],[Uafhængig variabel ID]]</f>
        <v>1</v>
      </c>
      <c r="E1501" s="45" t="b">
        <f>LineærRegression_Valg[[#This Row],[Afhængig variabel ID]]&lt;=$B$5</f>
        <v>0</v>
      </c>
      <c r="F1501" t="str" cm="1">
        <f t="array" ref="F1501">IF(LineærRegression_Valg[[#This Row],[Indenfor range]],INDEX(DataTitel_liste,LineærRegression_Valg[[#This Row],[Afhængig variabel ID]]),INDEX(DataTitel_liste,1))</f>
        <v>Eksempel 1 (interval)</v>
      </c>
      <c r="G1501" s="45" t="str" cm="1">
        <f t="array" ref="G1501">IF(LineærRegression_Valg[[#This Row],[Indenfor range]],IF(LineærRegression_Valg[[#This Row],[Intet overlap]],INDEX(DataTitel_liste,LineærRegression_Valg[[#This Row],[Uafhængig variabel ID]]),INDEX(DataTitel_liste,IF(LineærRegression_Valg[[#This Row],[Afhængig variabel ID]]=1,2,1))),$B$7)</f>
        <v>Eksempel 2 (interval)</v>
      </c>
      <c r="H1501" s="45">
        <f>_xlfn.AGGREGATE(2,5,LineærRegression_Valg[[#This Row],[Tabel ID]])</f>
        <v>1</v>
      </c>
    </row>
    <row r="1502" spans="1:8" x14ac:dyDescent="0.2">
      <c r="A1502">
        <f>ROW(LineærRegression_Valg[[#This Row],[Tabel ID]])-ROW(LineærRegression_Valg[[#Headers],[Tabel ID]])</f>
        <v>1492</v>
      </c>
      <c r="B1502" s="45">
        <f>ROUNDDOWN((LineærRegression_Valg[[#This Row],[Tabel ID]]-1)/$B$5,0)+1</f>
        <v>373</v>
      </c>
      <c r="C1502" s="45">
        <f t="shared" si="23"/>
        <v>4</v>
      </c>
      <c r="D1502" s="45" t="b">
        <f>LineærRegression_Valg[[#This Row],[Afhængig variabel ID]]&lt;&gt;LineærRegression_Valg[[#This Row],[Uafhængig variabel ID]]</f>
        <v>1</v>
      </c>
      <c r="E1502" s="45" t="b">
        <f>LineærRegression_Valg[[#This Row],[Afhængig variabel ID]]&lt;=$B$5</f>
        <v>0</v>
      </c>
      <c r="F1502" t="str" cm="1">
        <f t="array" ref="F1502">IF(LineærRegression_Valg[[#This Row],[Indenfor range]],INDEX(DataTitel_liste,LineærRegression_Valg[[#This Row],[Afhængig variabel ID]]),INDEX(DataTitel_liste,1))</f>
        <v>Eksempel 1 (interval)</v>
      </c>
      <c r="G1502" s="45" t="str" cm="1">
        <f t="array" ref="G1502">IF(LineærRegression_Valg[[#This Row],[Indenfor range]],IF(LineærRegression_Valg[[#This Row],[Intet overlap]],INDEX(DataTitel_liste,LineærRegression_Valg[[#This Row],[Uafhængig variabel ID]]),INDEX(DataTitel_liste,IF(LineærRegression_Valg[[#This Row],[Afhængig variabel ID]]=1,2,1))),$B$7)</f>
        <v>Eksempel 2 (interval)</v>
      </c>
      <c r="H1502" s="45">
        <f>_xlfn.AGGREGATE(2,5,LineærRegression_Valg[[#This Row],[Tabel ID]])</f>
        <v>1</v>
      </c>
    </row>
    <row r="1503" spans="1:8" x14ac:dyDescent="0.2">
      <c r="A1503">
        <f>ROW(LineærRegression_Valg[[#This Row],[Tabel ID]])-ROW(LineærRegression_Valg[[#Headers],[Tabel ID]])</f>
        <v>1493</v>
      </c>
      <c r="B1503" s="45">
        <f>ROUNDDOWN((LineærRegression_Valg[[#This Row],[Tabel ID]]-1)/$B$5,0)+1</f>
        <v>374</v>
      </c>
      <c r="C1503" s="45">
        <f t="shared" si="23"/>
        <v>1</v>
      </c>
      <c r="D1503" s="45" t="b">
        <f>LineærRegression_Valg[[#This Row],[Afhængig variabel ID]]&lt;&gt;LineærRegression_Valg[[#This Row],[Uafhængig variabel ID]]</f>
        <v>1</v>
      </c>
      <c r="E1503" s="45" t="b">
        <f>LineærRegression_Valg[[#This Row],[Afhængig variabel ID]]&lt;=$B$5</f>
        <v>0</v>
      </c>
      <c r="F1503" t="str" cm="1">
        <f t="array" ref="F1503">IF(LineærRegression_Valg[[#This Row],[Indenfor range]],INDEX(DataTitel_liste,LineærRegression_Valg[[#This Row],[Afhængig variabel ID]]),INDEX(DataTitel_liste,1))</f>
        <v>Eksempel 1 (interval)</v>
      </c>
      <c r="G1503" s="45" t="str" cm="1">
        <f t="array" ref="G1503">IF(LineærRegression_Valg[[#This Row],[Indenfor range]],IF(LineærRegression_Valg[[#This Row],[Intet overlap]],INDEX(DataTitel_liste,LineærRegression_Valg[[#This Row],[Uafhængig variabel ID]]),INDEX(DataTitel_liste,IF(LineærRegression_Valg[[#This Row],[Afhængig variabel ID]]=1,2,1))),$B$7)</f>
        <v>Eksempel 2 (interval)</v>
      </c>
      <c r="H1503" s="45">
        <f>_xlfn.AGGREGATE(2,5,LineærRegression_Valg[[#This Row],[Tabel ID]])</f>
        <v>1</v>
      </c>
    </row>
    <row r="1504" spans="1:8" x14ac:dyDescent="0.2">
      <c r="A1504">
        <f>ROW(LineærRegression_Valg[[#This Row],[Tabel ID]])-ROW(LineærRegression_Valg[[#Headers],[Tabel ID]])</f>
        <v>1494</v>
      </c>
      <c r="B1504" s="45">
        <f>ROUNDDOWN((LineærRegression_Valg[[#This Row],[Tabel ID]]-1)/$B$5,0)+1</f>
        <v>374</v>
      </c>
      <c r="C1504" s="45">
        <f t="shared" si="23"/>
        <v>2</v>
      </c>
      <c r="D1504" s="45" t="b">
        <f>LineærRegression_Valg[[#This Row],[Afhængig variabel ID]]&lt;&gt;LineærRegression_Valg[[#This Row],[Uafhængig variabel ID]]</f>
        <v>1</v>
      </c>
      <c r="E1504" s="45" t="b">
        <f>LineærRegression_Valg[[#This Row],[Afhængig variabel ID]]&lt;=$B$5</f>
        <v>0</v>
      </c>
      <c r="F1504" t="str" cm="1">
        <f t="array" ref="F1504">IF(LineærRegression_Valg[[#This Row],[Indenfor range]],INDEX(DataTitel_liste,LineærRegression_Valg[[#This Row],[Afhængig variabel ID]]),INDEX(DataTitel_liste,1))</f>
        <v>Eksempel 1 (interval)</v>
      </c>
      <c r="G1504" s="45" t="str" cm="1">
        <f t="array" ref="G1504">IF(LineærRegression_Valg[[#This Row],[Indenfor range]],IF(LineærRegression_Valg[[#This Row],[Intet overlap]],INDEX(DataTitel_liste,LineærRegression_Valg[[#This Row],[Uafhængig variabel ID]]),INDEX(DataTitel_liste,IF(LineærRegression_Valg[[#This Row],[Afhængig variabel ID]]=1,2,1))),$B$7)</f>
        <v>Eksempel 2 (interval)</v>
      </c>
      <c r="H1504" s="45">
        <f>_xlfn.AGGREGATE(2,5,LineærRegression_Valg[[#This Row],[Tabel ID]])</f>
        <v>1</v>
      </c>
    </row>
    <row r="1505" spans="1:8" x14ac:dyDescent="0.2">
      <c r="A1505">
        <f>ROW(LineærRegression_Valg[[#This Row],[Tabel ID]])-ROW(LineærRegression_Valg[[#Headers],[Tabel ID]])</f>
        <v>1495</v>
      </c>
      <c r="B1505" s="45">
        <f>ROUNDDOWN((LineærRegression_Valg[[#This Row],[Tabel ID]]-1)/$B$5,0)+1</f>
        <v>374</v>
      </c>
      <c r="C1505" s="45">
        <f t="shared" si="23"/>
        <v>3</v>
      </c>
      <c r="D1505" s="45" t="b">
        <f>LineærRegression_Valg[[#This Row],[Afhængig variabel ID]]&lt;&gt;LineærRegression_Valg[[#This Row],[Uafhængig variabel ID]]</f>
        <v>1</v>
      </c>
      <c r="E1505" s="45" t="b">
        <f>LineærRegression_Valg[[#This Row],[Afhængig variabel ID]]&lt;=$B$5</f>
        <v>0</v>
      </c>
      <c r="F1505" t="str" cm="1">
        <f t="array" ref="F1505">IF(LineærRegression_Valg[[#This Row],[Indenfor range]],INDEX(DataTitel_liste,LineærRegression_Valg[[#This Row],[Afhængig variabel ID]]),INDEX(DataTitel_liste,1))</f>
        <v>Eksempel 1 (interval)</v>
      </c>
      <c r="G1505" s="45" t="str" cm="1">
        <f t="array" ref="G1505">IF(LineærRegression_Valg[[#This Row],[Indenfor range]],IF(LineærRegression_Valg[[#This Row],[Intet overlap]],INDEX(DataTitel_liste,LineærRegression_Valg[[#This Row],[Uafhængig variabel ID]]),INDEX(DataTitel_liste,IF(LineærRegression_Valg[[#This Row],[Afhængig variabel ID]]=1,2,1))),$B$7)</f>
        <v>Eksempel 2 (interval)</v>
      </c>
      <c r="H1505" s="45">
        <f>_xlfn.AGGREGATE(2,5,LineærRegression_Valg[[#This Row],[Tabel ID]])</f>
        <v>1</v>
      </c>
    </row>
    <row r="1506" spans="1:8" x14ac:dyDescent="0.2">
      <c r="A1506">
        <f>ROW(LineærRegression_Valg[[#This Row],[Tabel ID]])-ROW(LineærRegression_Valg[[#Headers],[Tabel ID]])</f>
        <v>1496</v>
      </c>
      <c r="B1506" s="45">
        <f>ROUNDDOWN((LineærRegression_Valg[[#This Row],[Tabel ID]]-1)/$B$5,0)+1</f>
        <v>374</v>
      </c>
      <c r="C1506" s="45">
        <f t="shared" si="23"/>
        <v>4</v>
      </c>
      <c r="D1506" s="45" t="b">
        <f>LineærRegression_Valg[[#This Row],[Afhængig variabel ID]]&lt;&gt;LineærRegression_Valg[[#This Row],[Uafhængig variabel ID]]</f>
        <v>1</v>
      </c>
      <c r="E1506" s="45" t="b">
        <f>LineærRegression_Valg[[#This Row],[Afhængig variabel ID]]&lt;=$B$5</f>
        <v>0</v>
      </c>
      <c r="F1506" t="str" cm="1">
        <f t="array" ref="F1506">IF(LineærRegression_Valg[[#This Row],[Indenfor range]],INDEX(DataTitel_liste,LineærRegression_Valg[[#This Row],[Afhængig variabel ID]]),INDEX(DataTitel_liste,1))</f>
        <v>Eksempel 1 (interval)</v>
      </c>
      <c r="G1506" s="45" t="str" cm="1">
        <f t="array" ref="G1506">IF(LineærRegression_Valg[[#This Row],[Indenfor range]],IF(LineærRegression_Valg[[#This Row],[Intet overlap]],INDEX(DataTitel_liste,LineærRegression_Valg[[#This Row],[Uafhængig variabel ID]]),INDEX(DataTitel_liste,IF(LineærRegression_Valg[[#This Row],[Afhængig variabel ID]]=1,2,1))),$B$7)</f>
        <v>Eksempel 2 (interval)</v>
      </c>
      <c r="H1506" s="45">
        <f>_xlfn.AGGREGATE(2,5,LineærRegression_Valg[[#This Row],[Tabel ID]])</f>
        <v>1</v>
      </c>
    </row>
    <row r="1507" spans="1:8" x14ac:dyDescent="0.2">
      <c r="A1507">
        <f>ROW(LineærRegression_Valg[[#This Row],[Tabel ID]])-ROW(LineærRegression_Valg[[#Headers],[Tabel ID]])</f>
        <v>1497</v>
      </c>
      <c r="B1507" s="45">
        <f>ROUNDDOWN((LineærRegression_Valg[[#This Row],[Tabel ID]]-1)/$B$5,0)+1</f>
        <v>375</v>
      </c>
      <c r="C1507" s="45">
        <f t="shared" si="23"/>
        <v>1</v>
      </c>
      <c r="D1507" s="45" t="b">
        <f>LineærRegression_Valg[[#This Row],[Afhængig variabel ID]]&lt;&gt;LineærRegression_Valg[[#This Row],[Uafhængig variabel ID]]</f>
        <v>1</v>
      </c>
      <c r="E1507" s="45" t="b">
        <f>LineærRegression_Valg[[#This Row],[Afhængig variabel ID]]&lt;=$B$5</f>
        <v>0</v>
      </c>
      <c r="F1507" t="str" cm="1">
        <f t="array" ref="F1507">IF(LineærRegression_Valg[[#This Row],[Indenfor range]],INDEX(DataTitel_liste,LineærRegression_Valg[[#This Row],[Afhængig variabel ID]]),INDEX(DataTitel_liste,1))</f>
        <v>Eksempel 1 (interval)</v>
      </c>
      <c r="G1507" s="45" t="str" cm="1">
        <f t="array" ref="G1507">IF(LineærRegression_Valg[[#This Row],[Indenfor range]],IF(LineærRegression_Valg[[#This Row],[Intet overlap]],INDEX(DataTitel_liste,LineærRegression_Valg[[#This Row],[Uafhængig variabel ID]]),INDEX(DataTitel_liste,IF(LineærRegression_Valg[[#This Row],[Afhængig variabel ID]]=1,2,1))),$B$7)</f>
        <v>Eksempel 2 (interval)</v>
      </c>
      <c r="H1507" s="45">
        <f>_xlfn.AGGREGATE(2,5,LineærRegression_Valg[[#This Row],[Tabel ID]])</f>
        <v>1</v>
      </c>
    </row>
    <row r="1508" spans="1:8" x14ac:dyDescent="0.2">
      <c r="A1508">
        <f>ROW(LineærRegression_Valg[[#This Row],[Tabel ID]])-ROW(LineærRegression_Valg[[#Headers],[Tabel ID]])</f>
        <v>1498</v>
      </c>
      <c r="B1508" s="45">
        <f>ROUNDDOWN((LineærRegression_Valg[[#This Row],[Tabel ID]]-1)/$B$5,0)+1</f>
        <v>375</v>
      </c>
      <c r="C1508" s="45">
        <f t="shared" si="23"/>
        <v>2</v>
      </c>
      <c r="D1508" s="45" t="b">
        <f>LineærRegression_Valg[[#This Row],[Afhængig variabel ID]]&lt;&gt;LineærRegression_Valg[[#This Row],[Uafhængig variabel ID]]</f>
        <v>1</v>
      </c>
      <c r="E1508" s="45" t="b">
        <f>LineærRegression_Valg[[#This Row],[Afhængig variabel ID]]&lt;=$B$5</f>
        <v>0</v>
      </c>
      <c r="F1508" t="str" cm="1">
        <f t="array" ref="F1508">IF(LineærRegression_Valg[[#This Row],[Indenfor range]],INDEX(DataTitel_liste,LineærRegression_Valg[[#This Row],[Afhængig variabel ID]]),INDEX(DataTitel_liste,1))</f>
        <v>Eksempel 1 (interval)</v>
      </c>
      <c r="G1508" s="45" t="str" cm="1">
        <f t="array" ref="G1508">IF(LineærRegression_Valg[[#This Row],[Indenfor range]],IF(LineærRegression_Valg[[#This Row],[Intet overlap]],INDEX(DataTitel_liste,LineærRegression_Valg[[#This Row],[Uafhængig variabel ID]]),INDEX(DataTitel_liste,IF(LineærRegression_Valg[[#This Row],[Afhængig variabel ID]]=1,2,1))),$B$7)</f>
        <v>Eksempel 2 (interval)</v>
      </c>
      <c r="H1508" s="45">
        <f>_xlfn.AGGREGATE(2,5,LineærRegression_Valg[[#This Row],[Tabel ID]])</f>
        <v>1</v>
      </c>
    </row>
    <row r="1509" spans="1:8" x14ac:dyDescent="0.2">
      <c r="A1509">
        <f>ROW(LineærRegression_Valg[[#This Row],[Tabel ID]])-ROW(LineærRegression_Valg[[#Headers],[Tabel ID]])</f>
        <v>1499</v>
      </c>
      <c r="B1509" s="45">
        <f>ROUNDDOWN((LineærRegression_Valg[[#This Row],[Tabel ID]]-1)/$B$5,0)+1</f>
        <v>375</v>
      </c>
      <c r="C1509" s="45">
        <f t="shared" si="23"/>
        <v>3</v>
      </c>
      <c r="D1509" s="45" t="b">
        <f>LineærRegression_Valg[[#This Row],[Afhængig variabel ID]]&lt;&gt;LineærRegression_Valg[[#This Row],[Uafhængig variabel ID]]</f>
        <v>1</v>
      </c>
      <c r="E1509" s="45" t="b">
        <f>LineærRegression_Valg[[#This Row],[Afhængig variabel ID]]&lt;=$B$5</f>
        <v>0</v>
      </c>
      <c r="F1509" t="str" cm="1">
        <f t="array" ref="F1509">IF(LineærRegression_Valg[[#This Row],[Indenfor range]],INDEX(DataTitel_liste,LineærRegression_Valg[[#This Row],[Afhængig variabel ID]]),INDEX(DataTitel_liste,1))</f>
        <v>Eksempel 1 (interval)</v>
      </c>
      <c r="G1509" s="45" t="str" cm="1">
        <f t="array" ref="G1509">IF(LineærRegression_Valg[[#This Row],[Indenfor range]],IF(LineærRegression_Valg[[#This Row],[Intet overlap]],INDEX(DataTitel_liste,LineærRegression_Valg[[#This Row],[Uafhængig variabel ID]]),INDEX(DataTitel_liste,IF(LineærRegression_Valg[[#This Row],[Afhængig variabel ID]]=1,2,1))),$B$7)</f>
        <v>Eksempel 2 (interval)</v>
      </c>
      <c r="H1509" s="45">
        <f>_xlfn.AGGREGATE(2,5,LineærRegression_Valg[[#This Row],[Tabel ID]])</f>
        <v>1</v>
      </c>
    </row>
    <row r="1510" spans="1:8" x14ac:dyDescent="0.2">
      <c r="A1510">
        <f>ROW(LineærRegression_Valg[[#This Row],[Tabel ID]])-ROW(LineærRegression_Valg[[#Headers],[Tabel ID]])</f>
        <v>1500</v>
      </c>
      <c r="B1510" s="45">
        <f>ROUNDDOWN((LineærRegression_Valg[[#This Row],[Tabel ID]]-1)/$B$5,0)+1</f>
        <v>375</v>
      </c>
      <c r="C1510" s="45">
        <f t="shared" si="23"/>
        <v>4</v>
      </c>
      <c r="D1510" s="45" t="b">
        <f>LineærRegression_Valg[[#This Row],[Afhængig variabel ID]]&lt;&gt;LineærRegression_Valg[[#This Row],[Uafhængig variabel ID]]</f>
        <v>1</v>
      </c>
      <c r="E1510" s="45" t="b">
        <f>LineærRegression_Valg[[#This Row],[Afhængig variabel ID]]&lt;=$B$5</f>
        <v>0</v>
      </c>
      <c r="F1510" t="str" cm="1">
        <f t="array" ref="F1510">IF(LineærRegression_Valg[[#This Row],[Indenfor range]],INDEX(DataTitel_liste,LineærRegression_Valg[[#This Row],[Afhængig variabel ID]]),INDEX(DataTitel_liste,1))</f>
        <v>Eksempel 1 (interval)</v>
      </c>
      <c r="G1510" s="45" t="str" cm="1">
        <f t="array" ref="G1510">IF(LineærRegression_Valg[[#This Row],[Indenfor range]],IF(LineærRegression_Valg[[#This Row],[Intet overlap]],INDEX(DataTitel_liste,LineærRegression_Valg[[#This Row],[Uafhængig variabel ID]]),INDEX(DataTitel_liste,IF(LineærRegression_Valg[[#This Row],[Afhængig variabel ID]]=1,2,1))),$B$7)</f>
        <v>Eksempel 2 (interval)</v>
      </c>
      <c r="H1510" s="45">
        <f>_xlfn.AGGREGATE(2,5,LineærRegression_Valg[[#This Row],[Tabel ID]])</f>
        <v>1</v>
      </c>
    </row>
    <row r="1511" spans="1:8" x14ac:dyDescent="0.2">
      <c r="A1511">
        <f>ROW(LineærRegression_Valg[[#This Row],[Tabel ID]])-ROW(LineærRegression_Valg[[#Headers],[Tabel ID]])</f>
        <v>1501</v>
      </c>
      <c r="B1511" s="45">
        <f>ROUNDDOWN((LineærRegression_Valg[[#This Row],[Tabel ID]]-1)/$B$5,0)+1</f>
        <v>376</v>
      </c>
      <c r="C1511" s="45">
        <f t="shared" si="23"/>
        <v>1</v>
      </c>
      <c r="D1511" s="45" t="b">
        <f>LineærRegression_Valg[[#This Row],[Afhængig variabel ID]]&lt;&gt;LineærRegression_Valg[[#This Row],[Uafhængig variabel ID]]</f>
        <v>1</v>
      </c>
      <c r="E1511" s="45" t="b">
        <f>LineærRegression_Valg[[#This Row],[Afhængig variabel ID]]&lt;=$B$5</f>
        <v>0</v>
      </c>
      <c r="F1511" t="str" cm="1">
        <f t="array" ref="F1511">IF(LineærRegression_Valg[[#This Row],[Indenfor range]],INDEX(DataTitel_liste,LineærRegression_Valg[[#This Row],[Afhængig variabel ID]]),INDEX(DataTitel_liste,1))</f>
        <v>Eksempel 1 (interval)</v>
      </c>
      <c r="G1511" s="45" t="str" cm="1">
        <f t="array" ref="G1511">IF(LineærRegression_Valg[[#This Row],[Indenfor range]],IF(LineærRegression_Valg[[#This Row],[Intet overlap]],INDEX(DataTitel_liste,LineærRegression_Valg[[#This Row],[Uafhængig variabel ID]]),INDEX(DataTitel_liste,IF(LineærRegression_Valg[[#This Row],[Afhængig variabel ID]]=1,2,1))),$B$7)</f>
        <v>Eksempel 2 (interval)</v>
      </c>
      <c r="H1511" s="45">
        <f>_xlfn.AGGREGATE(2,5,LineærRegression_Valg[[#This Row],[Tabel ID]])</f>
        <v>1</v>
      </c>
    </row>
    <row r="1512" spans="1:8" x14ac:dyDescent="0.2">
      <c r="A1512">
        <f>ROW(LineærRegression_Valg[[#This Row],[Tabel ID]])-ROW(LineærRegression_Valg[[#Headers],[Tabel ID]])</f>
        <v>1502</v>
      </c>
      <c r="B1512" s="45">
        <f>ROUNDDOWN((LineærRegression_Valg[[#This Row],[Tabel ID]]-1)/$B$5,0)+1</f>
        <v>376</v>
      </c>
      <c r="C1512" s="45">
        <f t="shared" si="23"/>
        <v>2</v>
      </c>
      <c r="D1512" s="45" t="b">
        <f>LineærRegression_Valg[[#This Row],[Afhængig variabel ID]]&lt;&gt;LineærRegression_Valg[[#This Row],[Uafhængig variabel ID]]</f>
        <v>1</v>
      </c>
      <c r="E1512" s="45" t="b">
        <f>LineærRegression_Valg[[#This Row],[Afhængig variabel ID]]&lt;=$B$5</f>
        <v>0</v>
      </c>
      <c r="F1512" t="str" cm="1">
        <f t="array" ref="F1512">IF(LineærRegression_Valg[[#This Row],[Indenfor range]],INDEX(DataTitel_liste,LineærRegression_Valg[[#This Row],[Afhængig variabel ID]]),INDEX(DataTitel_liste,1))</f>
        <v>Eksempel 1 (interval)</v>
      </c>
      <c r="G1512" s="45" t="str" cm="1">
        <f t="array" ref="G1512">IF(LineærRegression_Valg[[#This Row],[Indenfor range]],IF(LineærRegression_Valg[[#This Row],[Intet overlap]],INDEX(DataTitel_liste,LineærRegression_Valg[[#This Row],[Uafhængig variabel ID]]),INDEX(DataTitel_liste,IF(LineærRegression_Valg[[#This Row],[Afhængig variabel ID]]=1,2,1))),$B$7)</f>
        <v>Eksempel 2 (interval)</v>
      </c>
      <c r="H1512" s="45">
        <f>_xlfn.AGGREGATE(2,5,LineærRegression_Valg[[#This Row],[Tabel ID]])</f>
        <v>1</v>
      </c>
    </row>
    <row r="1513" spans="1:8" x14ac:dyDescent="0.2">
      <c r="A1513">
        <f>ROW(LineærRegression_Valg[[#This Row],[Tabel ID]])-ROW(LineærRegression_Valg[[#Headers],[Tabel ID]])</f>
        <v>1503</v>
      </c>
      <c r="B1513" s="45">
        <f>ROUNDDOWN((LineærRegression_Valg[[#This Row],[Tabel ID]]-1)/$B$5,0)+1</f>
        <v>376</v>
      </c>
      <c r="C1513" s="45">
        <f t="shared" si="23"/>
        <v>3</v>
      </c>
      <c r="D1513" s="45" t="b">
        <f>LineærRegression_Valg[[#This Row],[Afhængig variabel ID]]&lt;&gt;LineærRegression_Valg[[#This Row],[Uafhængig variabel ID]]</f>
        <v>1</v>
      </c>
      <c r="E1513" s="45" t="b">
        <f>LineærRegression_Valg[[#This Row],[Afhængig variabel ID]]&lt;=$B$5</f>
        <v>0</v>
      </c>
      <c r="F1513" t="str" cm="1">
        <f t="array" ref="F1513">IF(LineærRegression_Valg[[#This Row],[Indenfor range]],INDEX(DataTitel_liste,LineærRegression_Valg[[#This Row],[Afhængig variabel ID]]),INDEX(DataTitel_liste,1))</f>
        <v>Eksempel 1 (interval)</v>
      </c>
      <c r="G1513" s="45" t="str" cm="1">
        <f t="array" ref="G1513">IF(LineærRegression_Valg[[#This Row],[Indenfor range]],IF(LineærRegression_Valg[[#This Row],[Intet overlap]],INDEX(DataTitel_liste,LineærRegression_Valg[[#This Row],[Uafhængig variabel ID]]),INDEX(DataTitel_liste,IF(LineærRegression_Valg[[#This Row],[Afhængig variabel ID]]=1,2,1))),$B$7)</f>
        <v>Eksempel 2 (interval)</v>
      </c>
      <c r="H1513" s="45">
        <f>_xlfn.AGGREGATE(2,5,LineærRegression_Valg[[#This Row],[Tabel ID]])</f>
        <v>1</v>
      </c>
    </row>
    <row r="1514" spans="1:8" x14ac:dyDescent="0.2">
      <c r="A1514">
        <f>ROW(LineærRegression_Valg[[#This Row],[Tabel ID]])-ROW(LineærRegression_Valg[[#Headers],[Tabel ID]])</f>
        <v>1504</v>
      </c>
      <c r="B1514" s="45">
        <f>ROUNDDOWN((LineærRegression_Valg[[#This Row],[Tabel ID]]-1)/$B$5,0)+1</f>
        <v>376</v>
      </c>
      <c r="C1514" s="45">
        <f t="shared" si="23"/>
        <v>4</v>
      </c>
      <c r="D1514" s="45" t="b">
        <f>LineærRegression_Valg[[#This Row],[Afhængig variabel ID]]&lt;&gt;LineærRegression_Valg[[#This Row],[Uafhængig variabel ID]]</f>
        <v>1</v>
      </c>
      <c r="E1514" s="45" t="b">
        <f>LineærRegression_Valg[[#This Row],[Afhængig variabel ID]]&lt;=$B$5</f>
        <v>0</v>
      </c>
      <c r="F1514" t="str" cm="1">
        <f t="array" ref="F1514">IF(LineærRegression_Valg[[#This Row],[Indenfor range]],INDEX(DataTitel_liste,LineærRegression_Valg[[#This Row],[Afhængig variabel ID]]),INDEX(DataTitel_liste,1))</f>
        <v>Eksempel 1 (interval)</v>
      </c>
      <c r="G1514" s="45" t="str" cm="1">
        <f t="array" ref="G1514">IF(LineærRegression_Valg[[#This Row],[Indenfor range]],IF(LineærRegression_Valg[[#This Row],[Intet overlap]],INDEX(DataTitel_liste,LineærRegression_Valg[[#This Row],[Uafhængig variabel ID]]),INDEX(DataTitel_liste,IF(LineærRegression_Valg[[#This Row],[Afhængig variabel ID]]=1,2,1))),$B$7)</f>
        <v>Eksempel 2 (interval)</v>
      </c>
      <c r="H1514" s="45">
        <f>_xlfn.AGGREGATE(2,5,LineærRegression_Valg[[#This Row],[Tabel ID]])</f>
        <v>1</v>
      </c>
    </row>
    <row r="1515" spans="1:8" x14ac:dyDescent="0.2">
      <c r="A1515">
        <f>ROW(LineærRegression_Valg[[#This Row],[Tabel ID]])-ROW(LineærRegression_Valg[[#Headers],[Tabel ID]])</f>
        <v>1505</v>
      </c>
      <c r="B1515" s="45">
        <f>ROUNDDOWN((LineærRegression_Valg[[#This Row],[Tabel ID]]-1)/$B$5,0)+1</f>
        <v>377</v>
      </c>
      <c r="C1515" s="45">
        <f t="shared" si="23"/>
        <v>1</v>
      </c>
      <c r="D1515" s="45" t="b">
        <f>LineærRegression_Valg[[#This Row],[Afhængig variabel ID]]&lt;&gt;LineærRegression_Valg[[#This Row],[Uafhængig variabel ID]]</f>
        <v>1</v>
      </c>
      <c r="E1515" s="45" t="b">
        <f>LineærRegression_Valg[[#This Row],[Afhængig variabel ID]]&lt;=$B$5</f>
        <v>0</v>
      </c>
      <c r="F1515" t="str" cm="1">
        <f t="array" ref="F1515">IF(LineærRegression_Valg[[#This Row],[Indenfor range]],INDEX(DataTitel_liste,LineærRegression_Valg[[#This Row],[Afhængig variabel ID]]),INDEX(DataTitel_liste,1))</f>
        <v>Eksempel 1 (interval)</v>
      </c>
      <c r="G1515" s="45" t="str" cm="1">
        <f t="array" ref="G1515">IF(LineærRegression_Valg[[#This Row],[Indenfor range]],IF(LineærRegression_Valg[[#This Row],[Intet overlap]],INDEX(DataTitel_liste,LineærRegression_Valg[[#This Row],[Uafhængig variabel ID]]),INDEX(DataTitel_liste,IF(LineærRegression_Valg[[#This Row],[Afhængig variabel ID]]=1,2,1))),$B$7)</f>
        <v>Eksempel 2 (interval)</v>
      </c>
      <c r="H1515" s="45">
        <f>_xlfn.AGGREGATE(2,5,LineærRegression_Valg[[#This Row],[Tabel ID]])</f>
        <v>1</v>
      </c>
    </row>
    <row r="1516" spans="1:8" x14ac:dyDescent="0.2">
      <c r="A1516">
        <f>ROW(LineærRegression_Valg[[#This Row],[Tabel ID]])-ROW(LineærRegression_Valg[[#Headers],[Tabel ID]])</f>
        <v>1506</v>
      </c>
      <c r="B1516" s="45">
        <f>ROUNDDOWN((LineærRegression_Valg[[#This Row],[Tabel ID]]-1)/$B$5,0)+1</f>
        <v>377</v>
      </c>
      <c r="C1516" s="45">
        <f t="shared" si="23"/>
        <v>2</v>
      </c>
      <c r="D1516" s="45" t="b">
        <f>LineærRegression_Valg[[#This Row],[Afhængig variabel ID]]&lt;&gt;LineærRegression_Valg[[#This Row],[Uafhængig variabel ID]]</f>
        <v>1</v>
      </c>
      <c r="E1516" s="45" t="b">
        <f>LineærRegression_Valg[[#This Row],[Afhængig variabel ID]]&lt;=$B$5</f>
        <v>0</v>
      </c>
      <c r="F1516" t="str" cm="1">
        <f t="array" ref="F1516">IF(LineærRegression_Valg[[#This Row],[Indenfor range]],INDEX(DataTitel_liste,LineærRegression_Valg[[#This Row],[Afhængig variabel ID]]),INDEX(DataTitel_liste,1))</f>
        <v>Eksempel 1 (interval)</v>
      </c>
      <c r="G1516" s="45" t="str" cm="1">
        <f t="array" ref="G1516">IF(LineærRegression_Valg[[#This Row],[Indenfor range]],IF(LineærRegression_Valg[[#This Row],[Intet overlap]],INDEX(DataTitel_liste,LineærRegression_Valg[[#This Row],[Uafhængig variabel ID]]),INDEX(DataTitel_liste,IF(LineærRegression_Valg[[#This Row],[Afhængig variabel ID]]=1,2,1))),$B$7)</f>
        <v>Eksempel 2 (interval)</v>
      </c>
      <c r="H1516" s="45">
        <f>_xlfn.AGGREGATE(2,5,LineærRegression_Valg[[#This Row],[Tabel ID]])</f>
        <v>1</v>
      </c>
    </row>
    <row r="1517" spans="1:8" x14ac:dyDescent="0.2">
      <c r="A1517">
        <f>ROW(LineærRegression_Valg[[#This Row],[Tabel ID]])-ROW(LineærRegression_Valg[[#Headers],[Tabel ID]])</f>
        <v>1507</v>
      </c>
      <c r="B1517" s="45">
        <f>ROUNDDOWN((LineærRegression_Valg[[#This Row],[Tabel ID]]-1)/$B$5,0)+1</f>
        <v>377</v>
      </c>
      <c r="C1517" s="45">
        <f t="shared" si="23"/>
        <v>3</v>
      </c>
      <c r="D1517" s="45" t="b">
        <f>LineærRegression_Valg[[#This Row],[Afhængig variabel ID]]&lt;&gt;LineærRegression_Valg[[#This Row],[Uafhængig variabel ID]]</f>
        <v>1</v>
      </c>
      <c r="E1517" s="45" t="b">
        <f>LineærRegression_Valg[[#This Row],[Afhængig variabel ID]]&lt;=$B$5</f>
        <v>0</v>
      </c>
      <c r="F1517" t="str" cm="1">
        <f t="array" ref="F1517">IF(LineærRegression_Valg[[#This Row],[Indenfor range]],INDEX(DataTitel_liste,LineærRegression_Valg[[#This Row],[Afhængig variabel ID]]),INDEX(DataTitel_liste,1))</f>
        <v>Eksempel 1 (interval)</v>
      </c>
      <c r="G1517" s="45" t="str" cm="1">
        <f t="array" ref="G1517">IF(LineærRegression_Valg[[#This Row],[Indenfor range]],IF(LineærRegression_Valg[[#This Row],[Intet overlap]],INDEX(DataTitel_liste,LineærRegression_Valg[[#This Row],[Uafhængig variabel ID]]),INDEX(DataTitel_liste,IF(LineærRegression_Valg[[#This Row],[Afhængig variabel ID]]=1,2,1))),$B$7)</f>
        <v>Eksempel 2 (interval)</v>
      </c>
      <c r="H1517" s="45">
        <f>_xlfn.AGGREGATE(2,5,LineærRegression_Valg[[#This Row],[Tabel ID]])</f>
        <v>1</v>
      </c>
    </row>
    <row r="1518" spans="1:8" x14ac:dyDescent="0.2">
      <c r="A1518">
        <f>ROW(LineærRegression_Valg[[#This Row],[Tabel ID]])-ROW(LineærRegression_Valg[[#Headers],[Tabel ID]])</f>
        <v>1508</v>
      </c>
      <c r="B1518" s="45">
        <f>ROUNDDOWN((LineærRegression_Valg[[#This Row],[Tabel ID]]-1)/$B$5,0)+1</f>
        <v>377</v>
      </c>
      <c r="C1518" s="45">
        <f t="shared" si="23"/>
        <v>4</v>
      </c>
      <c r="D1518" s="45" t="b">
        <f>LineærRegression_Valg[[#This Row],[Afhængig variabel ID]]&lt;&gt;LineærRegression_Valg[[#This Row],[Uafhængig variabel ID]]</f>
        <v>1</v>
      </c>
      <c r="E1518" s="45" t="b">
        <f>LineærRegression_Valg[[#This Row],[Afhængig variabel ID]]&lt;=$B$5</f>
        <v>0</v>
      </c>
      <c r="F1518" t="str" cm="1">
        <f t="array" ref="F1518">IF(LineærRegression_Valg[[#This Row],[Indenfor range]],INDEX(DataTitel_liste,LineærRegression_Valg[[#This Row],[Afhængig variabel ID]]),INDEX(DataTitel_liste,1))</f>
        <v>Eksempel 1 (interval)</v>
      </c>
      <c r="G1518" s="45" t="str" cm="1">
        <f t="array" ref="G1518">IF(LineærRegression_Valg[[#This Row],[Indenfor range]],IF(LineærRegression_Valg[[#This Row],[Intet overlap]],INDEX(DataTitel_liste,LineærRegression_Valg[[#This Row],[Uafhængig variabel ID]]),INDEX(DataTitel_liste,IF(LineærRegression_Valg[[#This Row],[Afhængig variabel ID]]=1,2,1))),$B$7)</f>
        <v>Eksempel 2 (interval)</v>
      </c>
      <c r="H1518" s="45">
        <f>_xlfn.AGGREGATE(2,5,LineærRegression_Valg[[#This Row],[Tabel ID]])</f>
        <v>1</v>
      </c>
    </row>
    <row r="1519" spans="1:8" x14ac:dyDescent="0.2">
      <c r="A1519">
        <f>ROW(LineærRegression_Valg[[#This Row],[Tabel ID]])-ROW(LineærRegression_Valg[[#Headers],[Tabel ID]])</f>
        <v>1509</v>
      </c>
      <c r="B1519" s="45">
        <f>ROUNDDOWN((LineærRegression_Valg[[#This Row],[Tabel ID]]-1)/$B$5,0)+1</f>
        <v>378</v>
      </c>
      <c r="C1519" s="45">
        <f t="shared" si="23"/>
        <v>1</v>
      </c>
      <c r="D1519" s="45" t="b">
        <f>LineærRegression_Valg[[#This Row],[Afhængig variabel ID]]&lt;&gt;LineærRegression_Valg[[#This Row],[Uafhængig variabel ID]]</f>
        <v>1</v>
      </c>
      <c r="E1519" s="45" t="b">
        <f>LineærRegression_Valg[[#This Row],[Afhængig variabel ID]]&lt;=$B$5</f>
        <v>0</v>
      </c>
      <c r="F1519" t="str" cm="1">
        <f t="array" ref="F1519">IF(LineærRegression_Valg[[#This Row],[Indenfor range]],INDEX(DataTitel_liste,LineærRegression_Valg[[#This Row],[Afhængig variabel ID]]),INDEX(DataTitel_liste,1))</f>
        <v>Eksempel 1 (interval)</v>
      </c>
      <c r="G1519" s="45" t="str" cm="1">
        <f t="array" ref="G1519">IF(LineærRegression_Valg[[#This Row],[Indenfor range]],IF(LineærRegression_Valg[[#This Row],[Intet overlap]],INDEX(DataTitel_liste,LineærRegression_Valg[[#This Row],[Uafhængig variabel ID]]),INDEX(DataTitel_liste,IF(LineærRegression_Valg[[#This Row],[Afhængig variabel ID]]=1,2,1))),$B$7)</f>
        <v>Eksempel 2 (interval)</v>
      </c>
      <c r="H1519" s="45">
        <f>_xlfn.AGGREGATE(2,5,LineærRegression_Valg[[#This Row],[Tabel ID]])</f>
        <v>1</v>
      </c>
    </row>
    <row r="1520" spans="1:8" x14ac:dyDescent="0.2">
      <c r="A1520">
        <f>ROW(LineærRegression_Valg[[#This Row],[Tabel ID]])-ROW(LineærRegression_Valg[[#Headers],[Tabel ID]])</f>
        <v>1510</v>
      </c>
      <c r="B1520" s="45">
        <f>ROUNDDOWN((LineærRegression_Valg[[#This Row],[Tabel ID]]-1)/$B$5,0)+1</f>
        <v>378</v>
      </c>
      <c r="C1520" s="45">
        <f t="shared" si="23"/>
        <v>2</v>
      </c>
      <c r="D1520" s="45" t="b">
        <f>LineærRegression_Valg[[#This Row],[Afhængig variabel ID]]&lt;&gt;LineærRegression_Valg[[#This Row],[Uafhængig variabel ID]]</f>
        <v>1</v>
      </c>
      <c r="E1520" s="45" t="b">
        <f>LineærRegression_Valg[[#This Row],[Afhængig variabel ID]]&lt;=$B$5</f>
        <v>0</v>
      </c>
      <c r="F1520" t="str" cm="1">
        <f t="array" ref="F1520">IF(LineærRegression_Valg[[#This Row],[Indenfor range]],INDEX(DataTitel_liste,LineærRegression_Valg[[#This Row],[Afhængig variabel ID]]),INDEX(DataTitel_liste,1))</f>
        <v>Eksempel 1 (interval)</v>
      </c>
      <c r="G1520" s="45" t="str" cm="1">
        <f t="array" ref="G1520">IF(LineærRegression_Valg[[#This Row],[Indenfor range]],IF(LineærRegression_Valg[[#This Row],[Intet overlap]],INDEX(DataTitel_liste,LineærRegression_Valg[[#This Row],[Uafhængig variabel ID]]),INDEX(DataTitel_liste,IF(LineærRegression_Valg[[#This Row],[Afhængig variabel ID]]=1,2,1))),$B$7)</f>
        <v>Eksempel 2 (interval)</v>
      </c>
      <c r="H1520" s="45">
        <f>_xlfn.AGGREGATE(2,5,LineærRegression_Valg[[#This Row],[Tabel ID]])</f>
        <v>1</v>
      </c>
    </row>
    <row r="1521" spans="1:8" x14ac:dyDescent="0.2">
      <c r="A1521">
        <f>ROW(LineærRegression_Valg[[#This Row],[Tabel ID]])-ROW(LineærRegression_Valg[[#Headers],[Tabel ID]])</f>
        <v>1511</v>
      </c>
      <c r="B1521" s="45">
        <f>ROUNDDOWN((LineærRegression_Valg[[#This Row],[Tabel ID]]-1)/$B$5,0)+1</f>
        <v>378</v>
      </c>
      <c r="C1521" s="45">
        <f t="shared" si="23"/>
        <v>3</v>
      </c>
      <c r="D1521" s="45" t="b">
        <f>LineærRegression_Valg[[#This Row],[Afhængig variabel ID]]&lt;&gt;LineærRegression_Valg[[#This Row],[Uafhængig variabel ID]]</f>
        <v>1</v>
      </c>
      <c r="E1521" s="45" t="b">
        <f>LineærRegression_Valg[[#This Row],[Afhængig variabel ID]]&lt;=$B$5</f>
        <v>0</v>
      </c>
      <c r="F1521" t="str" cm="1">
        <f t="array" ref="F1521">IF(LineærRegression_Valg[[#This Row],[Indenfor range]],INDEX(DataTitel_liste,LineærRegression_Valg[[#This Row],[Afhængig variabel ID]]),INDEX(DataTitel_liste,1))</f>
        <v>Eksempel 1 (interval)</v>
      </c>
      <c r="G1521" s="45" t="str" cm="1">
        <f t="array" ref="G1521">IF(LineærRegression_Valg[[#This Row],[Indenfor range]],IF(LineærRegression_Valg[[#This Row],[Intet overlap]],INDEX(DataTitel_liste,LineærRegression_Valg[[#This Row],[Uafhængig variabel ID]]),INDEX(DataTitel_liste,IF(LineærRegression_Valg[[#This Row],[Afhængig variabel ID]]=1,2,1))),$B$7)</f>
        <v>Eksempel 2 (interval)</v>
      </c>
      <c r="H1521" s="45">
        <f>_xlfn.AGGREGATE(2,5,LineærRegression_Valg[[#This Row],[Tabel ID]])</f>
        <v>1</v>
      </c>
    </row>
    <row r="1522" spans="1:8" x14ac:dyDescent="0.2">
      <c r="A1522">
        <f>ROW(LineærRegression_Valg[[#This Row],[Tabel ID]])-ROW(LineærRegression_Valg[[#Headers],[Tabel ID]])</f>
        <v>1512</v>
      </c>
      <c r="B1522" s="45">
        <f>ROUNDDOWN((LineærRegression_Valg[[#This Row],[Tabel ID]]-1)/$B$5,0)+1</f>
        <v>378</v>
      </c>
      <c r="C1522" s="45">
        <f t="shared" si="23"/>
        <v>4</v>
      </c>
      <c r="D1522" s="45" t="b">
        <f>LineærRegression_Valg[[#This Row],[Afhængig variabel ID]]&lt;&gt;LineærRegression_Valg[[#This Row],[Uafhængig variabel ID]]</f>
        <v>1</v>
      </c>
      <c r="E1522" s="45" t="b">
        <f>LineærRegression_Valg[[#This Row],[Afhængig variabel ID]]&lt;=$B$5</f>
        <v>0</v>
      </c>
      <c r="F1522" t="str" cm="1">
        <f t="array" ref="F1522">IF(LineærRegression_Valg[[#This Row],[Indenfor range]],INDEX(DataTitel_liste,LineærRegression_Valg[[#This Row],[Afhængig variabel ID]]),INDEX(DataTitel_liste,1))</f>
        <v>Eksempel 1 (interval)</v>
      </c>
      <c r="G1522" s="45" t="str" cm="1">
        <f t="array" ref="G1522">IF(LineærRegression_Valg[[#This Row],[Indenfor range]],IF(LineærRegression_Valg[[#This Row],[Intet overlap]],INDEX(DataTitel_liste,LineærRegression_Valg[[#This Row],[Uafhængig variabel ID]]),INDEX(DataTitel_liste,IF(LineærRegression_Valg[[#This Row],[Afhængig variabel ID]]=1,2,1))),$B$7)</f>
        <v>Eksempel 2 (interval)</v>
      </c>
      <c r="H1522" s="45">
        <f>_xlfn.AGGREGATE(2,5,LineærRegression_Valg[[#This Row],[Tabel ID]])</f>
        <v>1</v>
      </c>
    </row>
    <row r="1523" spans="1:8" x14ac:dyDescent="0.2">
      <c r="A1523">
        <f>ROW(LineærRegression_Valg[[#This Row],[Tabel ID]])-ROW(LineærRegression_Valg[[#Headers],[Tabel ID]])</f>
        <v>1513</v>
      </c>
      <c r="B1523" s="45">
        <f>ROUNDDOWN((LineærRegression_Valg[[#This Row],[Tabel ID]]-1)/$B$5,0)+1</f>
        <v>379</v>
      </c>
      <c r="C1523" s="45">
        <f t="shared" si="23"/>
        <v>1</v>
      </c>
      <c r="D1523" s="45" t="b">
        <f>LineærRegression_Valg[[#This Row],[Afhængig variabel ID]]&lt;&gt;LineærRegression_Valg[[#This Row],[Uafhængig variabel ID]]</f>
        <v>1</v>
      </c>
      <c r="E1523" s="45" t="b">
        <f>LineærRegression_Valg[[#This Row],[Afhængig variabel ID]]&lt;=$B$5</f>
        <v>0</v>
      </c>
      <c r="F1523" t="str" cm="1">
        <f t="array" ref="F1523">IF(LineærRegression_Valg[[#This Row],[Indenfor range]],INDEX(DataTitel_liste,LineærRegression_Valg[[#This Row],[Afhængig variabel ID]]),INDEX(DataTitel_liste,1))</f>
        <v>Eksempel 1 (interval)</v>
      </c>
      <c r="G1523" s="45" t="str" cm="1">
        <f t="array" ref="G1523">IF(LineærRegression_Valg[[#This Row],[Indenfor range]],IF(LineærRegression_Valg[[#This Row],[Intet overlap]],INDEX(DataTitel_liste,LineærRegression_Valg[[#This Row],[Uafhængig variabel ID]]),INDEX(DataTitel_liste,IF(LineærRegression_Valg[[#This Row],[Afhængig variabel ID]]=1,2,1))),$B$7)</f>
        <v>Eksempel 2 (interval)</v>
      </c>
      <c r="H1523" s="45">
        <f>_xlfn.AGGREGATE(2,5,LineærRegression_Valg[[#This Row],[Tabel ID]])</f>
        <v>1</v>
      </c>
    </row>
    <row r="1524" spans="1:8" x14ac:dyDescent="0.2">
      <c r="A1524">
        <f>ROW(LineærRegression_Valg[[#This Row],[Tabel ID]])-ROW(LineærRegression_Valg[[#Headers],[Tabel ID]])</f>
        <v>1514</v>
      </c>
      <c r="B1524" s="45">
        <f>ROUNDDOWN((LineærRegression_Valg[[#This Row],[Tabel ID]]-1)/$B$5,0)+1</f>
        <v>379</v>
      </c>
      <c r="C1524" s="45">
        <f t="shared" si="23"/>
        <v>2</v>
      </c>
      <c r="D1524" s="45" t="b">
        <f>LineærRegression_Valg[[#This Row],[Afhængig variabel ID]]&lt;&gt;LineærRegression_Valg[[#This Row],[Uafhængig variabel ID]]</f>
        <v>1</v>
      </c>
      <c r="E1524" s="45" t="b">
        <f>LineærRegression_Valg[[#This Row],[Afhængig variabel ID]]&lt;=$B$5</f>
        <v>0</v>
      </c>
      <c r="F1524" t="str" cm="1">
        <f t="array" ref="F1524">IF(LineærRegression_Valg[[#This Row],[Indenfor range]],INDEX(DataTitel_liste,LineærRegression_Valg[[#This Row],[Afhængig variabel ID]]),INDEX(DataTitel_liste,1))</f>
        <v>Eksempel 1 (interval)</v>
      </c>
      <c r="G1524" s="45" t="str" cm="1">
        <f t="array" ref="G1524">IF(LineærRegression_Valg[[#This Row],[Indenfor range]],IF(LineærRegression_Valg[[#This Row],[Intet overlap]],INDEX(DataTitel_liste,LineærRegression_Valg[[#This Row],[Uafhængig variabel ID]]),INDEX(DataTitel_liste,IF(LineærRegression_Valg[[#This Row],[Afhængig variabel ID]]=1,2,1))),$B$7)</f>
        <v>Eksempel 2 (interval)</v>
      </c>
      <c r="H1524" s="45">
        <f>_xlfn.AGGREGATE(2,5,LineærRegression_Valg[[#This Row],[Tabel ID]])</f>
        <v>1</v>
      </c>
    </row>
    <row r="1525" spans="1:8" x14ac:dyDescent="0.2">
      <c r="A1525">
        <f>ROW(LineærRegression_Valg[[#This Row],[Tabel ID]])-ROW(LineærRegression_Valg[[#Headers],[Tabel ID]])</f>
        <v>1515</v>
      </c>
      <c r="B1525" s="45">
        <f>ROUNDDOWN((LineærRegression_Valg[[#This Row],[Tabel ID]]-1)/$B$5,0)+1</f>
        <v>379</v>
      </c>
      <c r="C1525" s="45">
        <f t="shared" si="23"/>
        <v>3</v>
      </c>
      <c r="D1525" s="45" t="b">
        <f>LineærRegression_Valg[[#This Row],[Afhængig variabel ID]]&lt;&gt;LineærRegression_Valg[[#This Row],[Uafhængig variabel ID]]</f>
        <v>1</v>
      </c>
      <c r="E1525" s="45" t="b">
        <f>LineærRegression_Valg[[#This Row],[Afhængig variabel ID]]&lt;=$B$5</f>
        <v>0</v>
      </c>
      <c r="F1525" t="str" cm="1">
        <f t="array" ref="F1525">IF(LineærRegression_Valg[[#This Row],[Indenfor range]],INDEX(DataTitel_liste,LineærRegression_Valg[[#This Row],[Afhængig variabel ID]]),INDEX(DataTitel_liste,1))</f>
        <v>Eksempel 1 (interval)</v>
      </c>
      <c r="G1525" s="45" t="str" cm="1">
        <f t="array" ref="G1525">IF(LineærRegression_Valg[[#This Row],[Indenfor range]],IF(LineærRegression_Valg[[#This Row],[Intet overlap]],INDEX(DataTitel_liste,LineærRegression_Valg[[#This Row],[Uafhængig variabel ID]]),INDEX(DataTitel_liste,IF(LineærRegression_Valg[[#This Row],[Afhængig variabel ID]]=1,2,1))),$B$7)</f>
        <v>Eksempel 2 (interval)</v>
      </c>
      <c r="H1525" s="45">
        <f>_xlfn.AGGREGATE(2,5,LineærRegression_Valg[[#This Row],[Tabel ID]])</f>
        <v>1</v>
      </c>
    </row>
    <row r="1526" spans="1:8" x14ac:dyDescent="0.2">
      <c r="A1526">
        <f>ROW(LineærRegression_Valg[[#This Row],[Tabel ID]])-ROW(LineærRegression_Valg[[#Headers],[Tabel ID]])</f>
        <v>1516</v>
      </c>
      <c r="B1526" s="45">
        <f>ROUNDDOWN((LineærRegression_Valg[[#This Row],[Tabel ID]]-1)/$B$5,0)+1</f>
        <v>379</v>
      </c>
      <c r="C1526" s="45">
        <f t="shared" si="23"/>
        <v>4</v>
      </c>
      <c r="D1526" s="45" t="b">
        <f>LineærRegression_Valg[[#This Row],[Afhængig variabel ID]]&lt;&gt;LineærRegression_Valg[[#This Row],[Uafhængig variabel ID]]</f>
        <v>1</v>
      </c>
      <c r="E1526" s="45" t="b">
        <f>LineærRegression_Valg[[#This Row],[Afhængig variabel ID]]&lt;=$B$5</f>
        <v>0</v>
      </c>
      <c r="F1526" t="str" cm="1">
        <f t="array" ref="F1526">IF(LineærRegression_Valg[[#This Row],[Indenfor range]],INDEX(DataTitel_liste,LineærRegression_Valg[[#This Row],[Afhængig variabel ID]]),INDEX(DataTitel_liste,1))</f>
        <v>Eksempel 1 (interval)</v>
      </c>
      <c r="G1526" s="45" t="str" cm="1">
        <f t="array" ref="G1526">IF(LineærRegression_Valg[[#This Row],[Indenfor range]],IF(LineærRegression_Valg[[#This Row],[Intet overlap]],INDEX(DataTitel_liste,LineærRegression_Valg[[#This Row],[Uafhængig variabel ID]]),INDEX(DataTitel_liste,IF(LineærRegression_Valg[[#This Row],[Afhængig variabel ID]]=1,2,1))),$B$7)</f>
        <v>Eksempel 2 (interval)</v>
      </c>
      <c r="H1526" s="45">
        <f>_xlfn.AGGREGATE(2,5,LineærRegression_Valg[[#This Row],[Tabel ID]])</f>
        <v>1</v>
      </c>
    </row>
    <row r="1527" spans="1:8" x14ac:dyDescent="0.2">
      <c r="A1527">
        <f>ROW(LineærRegression_Valg[[#This Row],[Tabel ID]])-ROW(LineærRegression_Valg[[#Headers],[Tabel ID]])</f>
        <v>1517</v>
      </c>
      <c r="B1527" s="45">
        <f>ROUNDDOWN((LineærRegression_Valg[[#This Row],[Tabel ID]]-1)/$B$5,0)+1</f>
        <v>380</v>
      </c>
      <c r="C1527" s="45">
        <f t="shared" si="23"/>
        <v>1</v>
      </c>
      <c r="D1527" s="45" t="b">
        <f>LineærRegression_Valg[[#This Row],[Afhængig variabel ID]]&lt;&gt;LineærRegression_Valg[[#This Row],[Uafhængig variabel ID]]</f>
        <v>1</v>
      </c>
      <c r="E1527" s="45" t="b">
        <f>LineærRegression_Valg[[#This Row],[Afhængig variabel ID]]&lt;=$B$5</f>
        <v>0</v>
      </c>
      <c r="F1527" t="str" cm="1">
        <f t="array" ref="F1527">IF(LineærRegression_Valg[[#This Row],[Indenfor range]],INDEX(DataTitel_liste,LineærRegression_Valg[[#This Row],[Afhængig variabel ID]]),INDEX(DataTitel_liste,1))</f>
        <v>Eksempel 1 (interval)</v>
      </c>
      <c r="G1527" s="45" t="str" cm="1">
        <f t="array" ref="G1527">IF(LineærRegression_Valg[[#This Row],[Indenfor range]],IF(LineærRegression_Valg[[#This Row],[Intet overlap]],INDEX(DataTitel_liste,LineærRegression_Valg[[#This Row],[Uafhængig variabel ID]]),INDEX(DataTitel_liste,IF(LineærRegression_Valg[[#This Row],[Afhængig variabel ID]]=1,2,1))),$B$7)</f>
        <v>Eksempel 2 (interval)</v>
      </c>
      <c r="H1527" s="45">
        <f>_xlfn.AGGREGATE(2,5,LineærRegression_Valg[[#This Row],[Tabel ID]])</f>
        <v>1</v>
      </c>
    </row>
    <row r="1528" spans="1:8" x14ac:dyDescent="0.2">
      <c r="A1528">
        <f>ROW(LineærRegression_Valg[[#This Row],[Tabel ID]])-ROW(LineærRegression_Valg[[#Headers],[Tabel ID]])</f>
        <v>1518</v>
      </c>
      <c r="B1528" s="45">
        <f>ROUNDDOWN((LineærRegression_Valg[[#This Row],[Tabel ID]]-1)/$B$5,0)+1</f>
        <v>380</v>
      </c>
      <c r="C1528" s="45">
        <f t="shared" si="23"/>
        <v>2</v>
      </c>
      <c r="D1528" s="45" t="b">
        <f>LineærRegression_Valg[[#This Row],[Afhængig variabel ID]]&lt;&gt;LineærRegression_Valg[[#This Row],[Uafhængig variabel ID]]</f>
        <v>1</v>
      </c>
      <c r="E1528" s="45" t="b">
        <f>LineærRegression_Valg[[#This Row],[Afhængig variabel ID]]&lt;=$B$5</f>
        <v>0</v>
      </c>
      <c r="F1528" t="str" cm="1">
        <f t="array" ref="F1528">IF(LineærRegression_Valg[[#This Row],[Indenfor range]],INDEX(DataTitel_liste,LineærRegression_Valg[[#This Row],[Afhængig variabel ID]]),INDEX(DataTitel_liste,1))</f>
        <v>Eksempel 1 (interval)</v>
      </c>
      <c r="G1528" s="45" t="str" cm="1">
        <f t="array" ref="G1528">IF(LineærRegression_Valg[[#This Row],[Indenfor range]],IF(LineærRegression_Valg[[#This Row],[Intet overlap]],INDEX(DataTitel_liste,LineærRegression_Valg[[#This Row],[Uafhængig variabel ID]]),INDEX(DataTitel_liste,IF(LineærRegression_Valg[[#This Row],[Afhængig variabel ID]]=1,2,1))),$B$7)</f>
        <v>Eksempel 2 (interval)</v>
      </c>
      <c r="H1528" s="45">
        <f>_xlfn.AGGREGATE(2,5,LineærRegression_Valg[[#This Row],[Tabel ID]])</f>
        <v>1</v>
      </c>
    </row>
    <row r="1529" spans="1:8" x14ac:dyDescent="0.2">
      <c r="A1529">
        <f>ROW(LineærRegression_Valg[[#This Row],[Tabel ID]])-ROW(LineærRegression_Valg[[#Headers],[Tabel ID]])</f>
        <v>1519</v>
      </c>
      <c r="B1529" s="45">
        <f>ROUNDDOWN((LineærRegression_Valg[[#This Row],[Tabel ID]]-1)/$B$5,0)+1</f>
        <v>380</v>
      </c>
      <c r="C1529" s="45">
        <f t="shared" si="23"/>
        <v>3</v>
      </c>
      <c r="D1529" s="45" t="b">
        <f>LineærRegression_Valg[[#This Row],[Afhængig variabel ID]]&lt;&gt;LineærRegression_Valg[[#This Row],[Uafhængig variabel ID]]</f>
        <v>1</v>
      </c>
      <c r="E1529" s="45" t="b">
        <f>LineærRegression_Valg[[#This Row],[Afhængig variabel ID]]&lt;=$B$5</f>
        <v>0</v>
      </c>
      <c r="F1529" t="str" cm="1">
        <f t="array" ref="F1529">IF(LineærRegression_Valg[[#This Row],[Indenfor range]],INDEX(DataTitel_liste,LineærRegression_Valg[[#This Row],[Afhængig variabel ID]]),INDEX(DataTitel_liste,1))</f>
        <v>Eksempel 1 (interval)</v>
      </c>
      <c r="G1529" s="45" t="str" cm="1">
        <f t="array" ref="G1529">IF(LineærRegression_Valg[[#This Row],[Indenfor range]],IF(LineærRegression_Valg[[#This Row],[Intet overlap]],INDEX(DataTitel_liste,LineærRegression_Valg[[#This Row],[Uafhængig variabel ID]]),INDEX(DataTitel_liste,IF(LineærRegression_Valg[[#This Row],[Afhængig variabel ID]]=1,2,1))),$B$7)</f>
        <v>Eksempel 2 (interval)</v>
      </c>
      <c r="H1529" s="45">
        <f>_xlfn.AGGREGATE(2,5,LineærRegression_Valg[[#This Row],[Tabel ID]])</f>
        <v>1</v>
      </c>
    </row>
    <row r="1530" spans="1:8" x14ac:dyDescent="0.2">
      <c r="A1530">
        <f>ROW(LineærRegression_Valg[[#This Row],[Tabel ID]])-ROW(LineærRegression_Valg[[#Headers],[Tabel ID]])</f>
        <v>1520</v>
      </c>
      <c r="B1530" s="45">
        <f>ROUNDDOWN((LineærRegression_Valg[[#This Row],[Tabel ID]]-1)/$B$5,0)+1</f>
        <v>380</v>
      </c>
      <c r="C1530" s="45">
        <f t="shared" si="23"/>
        <v>4</v>
      </c>
      <c r="D1530" s="45" t="b">
        <f>LineærRegression_Valg[[#This Row],[Afhængig variabel ID]]&lt;&gt;LineærRegression_Valg[[#This Row],[Uafhængig variabel ID]]</f>
        <v>1</v>
      </c>
      <c r="E1530" s="45" t="b">
        <f>LineærRegression_Valg[[#This Row],[Afhængig variabel ID]]&lt;=$B$5</f>
        <v>0</v>
      </c>
      <c r="F1530" t="str" cm="1">
        <f t="array" ref="F1530">IF(LineærRegression_Valg[[#This Row],[Indenfor range]],INDEX(DataTitel_liste,LineærRegression_Valg[[#This Row],[Afhængig variabel ID]]),INDEX(DataTitel_liste,1))</f>
        <v>Eksempel 1 (interval)</v>
      </c>
      <c r="G1530" s="45" t="str" cm="1">
        <f t="array" ref="G1530">IF(LineærRegression_Valg[[#This Row],[Indenfor range]],IF(LineærRegression_Valg[[#This Row],[Intet overlap]],INDEX(DataTitel_liste,LineærRegression_Valg[[#This Row],[Uafhængig variabel ID]]),INDEX(DataTitel_liste,IF(LineærRegression_Valg[[#This Row],[Afhængig variabel ID]]=1,2,1))),$B$7)</f>
        <v>Eksempel 2 (interval)</v>
      </c>
      <c r="H1530" s="45">
        <f>_xlfn.AGGREGATE(2,5,LineærRegression_Valg[[#This Row],[Tabel ID]])</f>
        <v>1</v>
      </c>
    </row>
    <row r="1531" spans="1:8" x14ac:dyDescent="0.2">
      <c r="A1531">
        <f>ROW(LineærRegression_Valg[[#This Row],[Tabel ID]])-ROW(LineærRegression_Valg[[#Headers],[Tabel ID]])</f>
        <v>1521</v>
      </c>
      <c r="B1531" s="45">
        <f>ROUNDDOWN((LineærRegression_Valg[[#This Row],[Tabel ID]]-1)/$B$5,0)+1</f>
        <v>381</v>
      </c>
      <c r="C1531" s="45">
        <f t="shared" si="23"/>
        <v>1</v>
      </c>
      <c r="D1531" s="45" t="b">
        <f>LineærRegression_Valg[[#This Row],[Afhængig variabel ID]]&lt;&gt;LineærRegression_Valg[[#This Row],[Uafhængig variabel ID]]</f>
        <v>1</v>
      </c>
      <c r="E1531" s="45" t="b">
        <f>LineærRegression_Valg[[#This Row],[Afhængig variabel ID]]&lt;=$B$5</f>
        <v>0</v>
      </c>
      <c r="F1531" t="str" cm="1">
        <f t="array" ref="F1531">IF(LineærRegression_Valg[[#This Row],[Indenfor range]],INDEX(DataTitel_liste,LineærRegression_Valg[[#This Row],[Afhængig variabel ID]]),INDEX(DataTitel_liste,1))</f>
        <v>Eksempel 1 (interval)</v>
      </c>
      <c r="G1531" s="45" t="str" cm="1">
        <f t="array" ref="G1531">IF(LineærRegression_Valg[[#This Row],[Indenfor range]],IF(LineærRegression_Valg[[#This Row],[Intet overlap]],INDEX(DataTitel_liste,LineærRegression_Valg[[#This Row],[Uafhængig variabel ID]]),INDEX(DataTitel_liste,IF(LineærRegression_Valg[[#This Row],[Afhængig variabel ID]]=1,2,1))),$B$7)</f>
        <v>Eksempel 2 (interval)</v>
      </c>
      <c r="H1531" s="45">
        <f>_xlfn.AGGREGATE(2,5,LineærRegression_Valg[[#This Row],[Tabel ID]])</f>
        <v>1</v>
      </c>
    </row>
    <row r="1532" spans="1:8" x14ac:dyDescent="0.2">
      <c r="A1532">
        <f>ROW(LineærRegression_Valg[[#This Row],[Tabel ID]])-ROW(LineærRegression_Valg[[#Headers],[Tabel ID]])</f>
        <v>1522</v>
      </c>
      <c r="B1532" s="45">
        <f>ROUNDDOWN((LineærRegression_Valg[[#This Row],[Tabel ID]]-1)/$B$5,0)+1</f>
        <v>381</v>
      </c>
      <c r="C1532" s="45">
        <f t="shared" si="23"/>
        <v>2</v>
      </c>
      <c r="D1532" s="45" t="b">
        <f>LineærRegression_Valg[[#This Row],[Afhængig variabel ID]]&lt;&gt;LineærRegression_Valg[[#This Row],[Uafhængig variabel ID]]</f>
        <v>1</v>
      </c>
      <c r="E1532" s="45" t="b">
        <f>LineærRegression_Valg[[#This Row],[Afhængig variabel ID]]&lt;=$B$5</f>
        <v>0</v>
      </c>
      <c r="F1532" t="str" cm="1">
        <f t="array" ref="F1532">IF(LineærRegression_Valg[[#This Row],[Indenfor range]],INDEX(DataTitel_liste,LineærRegression_Valg[[#This Row],[Afhængig variabel ID]]),INDEX(DataTitel_liste,1))</f>
        <v>Eksempel 1 (interval)</v>
      </c>
      <c r="G1532" s="45" t="str" cm="1">
        <f t="array" ref="G1532">IF(LineærRegression_Valg[[#This Row],[Indenfor range]],IF(LineærRegression_Valg[[#This Row],[Intet overlap]],INDEX(DataTitel_liste,LineærRegression_Valg[[#This Row],[Uafhængig variabel ID]]),INDEX(DataTitel_liste,IF(LineærRegression_Valg[[#This Row],[Afhængig variabel ID]]=1,2,1))),$B$7)</f>
        <v>Eksempel 2 (interval)</v>
      </c>
      <c r="H1532" s="45">
        <f>_xlfn.AGGREGATE(2,5,LineærRegression_Valg[[#This Row],[Tabel ID]])</f>
        <v>1</v>
      </c>
    </row>
    <row r="1533" spans="1:8" x14ac:dyDescent="0.2">
      <c r="A1533">
        <f>ROW(LineærRegression_Valg[[#This Row],[Tabel ID]])-ROW(LineærRegression_Valg[[#Headers],[Tabel ID]])</f>
        <v>1523</v>
      </c>
      <c r="B1533" s="45">
        <f>ROUNDDOWN((LineærRegression_Valg[[#This Row],[Tabel ID]]-1)/$B$5,0)+1</f>
        <v>381</v>
      </c>
      <c r="C1533" s="45">
        <f t="shared" si="23"/>
        <v>3</v>
      </c>
      <c r="D1533" s="45" t="b">
        <f>LineærRegression_Valg[[#This Row],[Afhængig variabel ID]]&lt;&gt;LineærRegression_Valg[[#This Row],[Uafhængig variabel ID]]</f>
        <v>1</v>
      </c>
      <c r="E1533" s="45" t="b">
        <f>LineærRegression_Valg[[#This Row],[Afhængig variabel ID]]&lt;=$B$5</f>
        <v>0</v>
      </c>
      <c r="F1533" t="str" cm="1">
        <f t="array" ref="F1533">IF(LineærRegression_Valg[[#This Row],[Indenfor range]],INDEX(DataTitel_liste,LineærRegression_Valg[[#This Row],[Afhængig variabel ID]]),INDEX(DataTitel_liste,1))</f>
        <v>Eksempel 1 (interval)</v>
      </c>
      <c r="G1533" s="45" t="str" cm="1">
        <f t="array" ref="G1533">IF(LineærRegression_Valg[[#This Row],[Indenfor range]],IF(LineærRegression_Valg[[#This Row],[Intet overlap]],INDEX(DataTitel_liste,LineærRegression_Valg[[#This Row],[Uafhængig variabel ID]]),INDEX(DataTitel_liste,IF(LineærRegression_Valg[[#This Row],[Afhængig variabel ID]]=1,2,1))),$B$7)</f>
        <v>Eksempel 2 (interval)</v>
      </c>
      <c r="H1533" s="45">
        <f>_xlfn.AGGREGATE(2,5,LineærRegression_Valg[[#This Row],[Tabel ID]])</f>
        <v>1</v>
      </c>
    </row>
    <row r="1534" spans="1:8" x14ac:dyDescent="0.2">
      <c r="A1534">
        <f>ROW(LineærRegression_Valg[[#This Row],[Tabel ID]])-ROW(LineærRegression_Valg[[#Headers],[Tabel ID]])</f>
        <v>1524</v>
      </c>
      <c r="B1534" s="45">
        <f>ROUNDDOWN((LineærRegression_Valg[[#This Row],[Tabel ID]]-1)/$B$5,0)+1</f>
        <v>381</v>
      </c>
      <c r="C1534" s="45">
        <f t="shared" si="23"/>
        <v>4</v>
      </c>
      <c r="D1534" s="45" t="b">
        <f>LineærRegression_Valg[[#This Row],[Afhængig variabel ID]]&lt;&gt;LineærRegression_Valg[[#This Row],[Uafhængig variabel ID]]</f>
        <v>1</v>
      </c>
      <c r="E1534" s="45" t="b">
        <f>LineærRegression_Valg[[#This Row],[Afhængig variabel ID]]&lt;=$B$5</f>
        <v>0</v>
      </c>
      <c r="F1534" t="str" cm="1">
        <f t="array" ref="F1534">IF(LineærRegression_Valg[[#This Row],[Indenfor range]],INDEX(DataTitel_liste,LineærRegression_Valg[[#This Row],[Afhængig variabel ID]]),INDEX(DataTitel_liste,1))</f>
        <v>Eksempel 1 (interval)</v>
      </c>
      <c r="G1534" s="45" t="str" cm="1">
        <f t="array" ref="G1534">IF(LineærRegression_Valg[[#This Row],[Indenfor range]],IF(LineærRegression_Valg[[#This Row],[Intet overlap]],INDEX(DataTitel_liste,LineærRegression_Valg[[#This Row],[Uafhængig variabel ID]]),INDEX(DataTitel_liste,IF(LineærRegression_Valg[[#This Row],[Afhængig variabel ID]]=1,2,1))),$B$7)</f>
        <v>Eksempel 2 (interval)</v>
      </c>
      <c r="H1534" s="45">
        <f>_xlfn.AGGREGATE(2,5,LineærRegression_Valg[[#This Row],[Tabel ID]])</f>
        <v>1</v>
      </c>
    </row>
    <row r="1535" spans="1:8" x14ac:dyDescent="0.2">
      <c r="A1535">
        <f>ROW(LineærRegression_Valg[[#This Row],[Tabel ID]])-ROW(LineærRegression_Valg[[#Headers],[Tabel ID]])</f>
        <v>1525</v>
      </c>
      <c r="B1535" s="45">
        <f>ROUNDDOWN((LineærRegression_Valg[[#This Row],[Tabel ID]]-1)/$B$5,0)+1</f>
        <v>382</v>
      </c>
      <c r="C1535" s="45">
        <f t="shared" si="23"/>
        <v>1</v>
      </c>
      <c r="D1535" s="45" t="b">
        <f>LineærRegression_Valg[[#This Row],[Afhængig variabel ID]]&lt;&gt;LineærRegression_Valg[[#This Row],[Uafhængig variabel ID]]</f>
        <v>1</v>
      </c>
      <c r="E1535" s="45" t="b">
        <f>LineærRegression_Valg[[#This Row],[Afhængig variabel ID]]&lt;=$B$5</f>
        <v>0</v>
      </c>
      <c r="F1535" t="str" cm="1">
        <f t="array" ref="F1535">IF(LineærRegression_Valg[[#This Row],[Indenfor range]],INDEX(DataTitel_liste,LineærRegression_Valg[[#This Row],[Afhængig variabel ID]]),INDEX(DataTitel_liste,1))</f>
        <v>Eksempel 1 (interval)</v>
      </c>
      <c r="G1535" s="45" t="str" cm="1">
        <f t="array" ref="G1535">IF(LineærRegression_Valg[[#This Row],[Indenfor range]],IF(LineærRegression_Valg[[#This Row],[Intet overlap]],INDEX(DataTitel_liste,LineærRegression_Valg[[#This Row],[Uafhængig variabel ID]]),INDEX(DataTitel_liste,IF(LineærRegression_Valg[[#This Row],[Afhængig variabel ID]]=1,2,1))),$B$7)</f>
        <v>Eksempel 2 (interval)</v>
      </c>
      <c r="H1535" s="45">
        <f>_xlfn.AGGREGATE(2,5,LineærRegression_Valg[[#This Row],[Tabel ID]])</f>
        <v>1</v>
      </c>
    </row>
    <row r="1536" spans="1:8" x14ac:dyDescent="0.2">
      <c r="A1536">
        <f>ROW(LineærRegression_Valg[[#This Row],[Tabel ID]])-ROW(LineærRegression_Valg[[#Headers],[Tabel ID]])</f>
        <v>1526</v>
      </c>
      <c r="B1536" s="45">
        <f>ROUNDDOWN((LineærRegression_Valg[[#This Row],[Tabel ID]]-1)/$B$5,0)+1</f>
        <v>382</v>
      </c>
      <c r="C1536" s="45">
        <f t="shared" si="23"/>
        <v>2</v>
      </c>
      <c r="D1536" s="45" t="b">
        <f>LineærRegression_Valg[[#This Row],[Afhængig variabel ID]]&lt;&gt;LineærRegression_Valg[[#This Row],[Uafhængig variabel ID]]</f>
        <v>1</v>
      </c>
      <c r="E1536" s="45" t="b">
        <f>LineærRegression_Valg[[#This Row],[Afhængig variabel ID]]&lt;=$B$5</f>
        <v>0</v>
      </c>
      <c r="F1536" t="str" cm="1">
        <f t="array" ref="F1536">IF(LineærRegression_Valg[[#This Row],[Indenfor range]],INDEX(DataTitel_liste,LineærRegression_Valg[[#This Row],[Afhængig variabel ID]]),INDEX(DataTitel_liste,1))</f>
        <v>Eksempel 1 (interval)</v>
      </c>
      <c r="G1536" s="45" t="str" cm="1">
        <f t="array" ref="G1536">IF(LineærRegression_Valg[[#This Row],[Indenfor range]],IF(LineærRegression_Valg[[#This Row],[Intet overlap]],INDEX(DataTitel_liste,LineærRegression_Valg[[#This Row],[Uafhængig variabel ID]]),INDEX(DataTitel_liste,IF(LineærRegression_Valg[[#This Row],[Afhængig variabel ID]]=1,2,1))),$B$7)</f>
        <v>Eksempel 2 (interval)</v>
      </c>
      <c r="H1536" s="45">
        <f>_xlfn.AGGREGATE(2,5,LineærRegression_Valg[[#This Row],[Tabel ID]])</f>
        <v>1</v>
      </c>
    </row>
    <row r="1537" spans="1:8" x14ac:dyDescent="0.2">
      <c r="A1537">
        <f>ROW(LineærRegression_Valg[[#This Row],[Tabel ID]])-ROW(LineærRegression_Valg[[#Headers],[Tabel ID]])</f>
        <v>1527</v>
      </c>
      <c r="B1537" s="45">
        <f>ROUNDDOWN((LineærRegression_Valg[[#This Row],[Tabel ID]]-1)/$B$5,0)+1</f>
        <v>382</v>
      </c>
      <c r="C1537" s="45">
        <f t="shared" si="23"/>
        <v>3</v>
      </c>
      <c r="D1537" s="45" t="b">
        <f>LineærRegression_Valg[[#This Row],[Afhængig variabel ID]]&lt;&gt;LineærRegression_Valg[[#This Row],[Uafhængig variabel ID]]</f>
        <v>1</v>
      </c>
      <c r="E1537" s="45" t="b">
        <f>LineærRegression_Valg[[#This Row],[Afhængig variabel ID]]&lt;=$B$5</f>
        <v>0</v>
      </c>
      <c r="F1537" t="str" cm="1">
        <f t="array" ref="F1537">IF(LineærRegression_Valg[[#This Row],[Indenfor range]],INDEX(DataTitel_liste,LineærRegression_Valg[[#This Row],[Afhængig variabel ID]]),INDEX(DataTitel_liste,1))</f>
        <v>Eksempel 1 (interval)</v>
      </c>
      <c r="G1537" s="45" t="str" cm="1">
        <f t="array" ref="G1537">IF(LineærRegression_Valg[[#This Row],[Indenfor range]],IF(LineærRegression_Valg[[#This Row],[Intet overlap]],INDEX(DataTitel_liste,LineærRegression_Valg[[#This Row],[Uafhængig variabel ID]]),INDEX(DataTitel_liste,IF(LineærRegression_Valg[[#This Row],[Afhængig variabel ID]]=1,2,1))),$B$7)</f>
        <v>Eksempel 2 (interval)</v>
      </c>
      <c r="H1537" s="45">
        <f>_xlfn.AGGREGATE(2,5,LineærRegression_Valg[[#This Row],[Tabel ID]])</f>
        <v>1</v>
      </c>
    </row>
    <row r="1538" spans="1:8" x14ac:dyDescent="0.2">
      <c r="A1538">
        <f>ROW(LineærRegression_Valg[[#This Row],[Tabel ID]])-ROW(LineærRegression_Valg[[#Headers],[Tabel ID]])</f>
        <v>1528</v>
      </c>
      <c r="B1538" s="45">
        <f>ROUNDDOWN((LineærRegression_Valg[[#This Row],[Tabel ID]]-1)/$B$5,0)+1</f>
        <v>382</v>
      </c>
      <c r="C1538" s="45">
        <f t="shared" si="23"/>
        <v>4</v>
      </c>
      <c r="D1538" s="45" t="b">
        <f>LineærRegression_Valg[[#This Row],[Afhængig variabel ID]]&lt;&gt;LineærRegression_Valg[[#This Row],[Uafhængig variabel ID]]</f>
        <v>1</v>
      </c>
      <c r="E1538" s="45" t="b">
        <f>LineærRegression_Valg[[#This Row],[Afhængig variabel ID]]&lt;=$B$5</f>
        <v>0</v>
      </c>
      <c r="F1538" t="str" cm="1">
        <f t="array" ref="F1538">IF(LineærRegression_Valg[[#This Row],[Indenfor range]],INDEX(DataTitel_liste,LineærRegression_Valg[[#This Row],[Afhængig variabel ID]]),INDEX(DataTitel_liste,1))</f>
        <v>Eksempel 1 (interval)</v>
      </c>
      <c r="G1538" s="45" t="str" cm="1">
        <f t="array" ref="G1538">IF(LineærRegression_Valg[[#This Row],[Indenfor range]],IF(LineærRegression_Valg[[#This Row],[Intet overlap]],INDEX(DataTitel_liste,LineærRegression_Valg[[#This Row],[Uafhængig variabel ID]]),INDEX(DataTitel_liste,IF(LineærRegression_Valg[[#This Row],[Afhængig variabel ID]]=1,2,1))),$B$7)</f>
        <v>Eksempel 2 (interval)</v>
      </c>
      <c r="H1538" s="45">
        <f>_xlfn.AGGREGATE(2,5,LineærRegression_Valg[[#This Row],[Tabel ID]])</f>
        <v>1</v>
      </c>
    </row>
    <row r="1539" spans="1:8" x14ac:dyDescent="0.2">
      <c r="A1539">
        <f>ROW(LineærRegression_Valg[[#This Row],[Tabel ID]])-ROW(LineærRegression_Valg[[#Headers],[Tabel ID]])</f>
        <v>1529</v>
      </c>
      <c r="B1539" s="45">
        <f>ROUNDDOWN((LineærRegression_Valg[[#This Row],[Tabel ID]]-1)/$B$5,0)+1</f>
        <v>383</v>
      </c>
      <c r="C1539" s="45">
        <f t="shared" si="23"/>
        <v>1</v>
      </c>
      <c r="D1539" s="45" t="b">
        <f>LineærRegression_Valg[[#This Row],[Afhængig variabel ID]]&lt;&gt;LineærRegression_Valg[[#This Row],[Uafhængig variabel ID]]</f>
        <v>1</v>
      </c>
      <c r="E1539" s="45" t="b">
        <f>LineærRegression_Valg[[#This Row],[Afhængig variabel ID]]&lt;=$B$5</f>
        <v>0</v>
      </c>
      <c r="F1539" t="str" cm="1">
        <f t="array" ref="F1539">IF(LineærRegression_Valg[[#This Row],[Indenfor range]],INDEX(DataTitel_liste,LineærRegression_Valg[[#This Row],[Afhængig variabel ID]]),INDEX(DataTitel_liste,1))</f>
        <v>Eksempel 1 (interval)</v>
      </c>
      <c r="G1539" s="45" t="str" cm="1">
        <f t="array" ref="G1539">IF(LineærRegression_Valg[[#This Row],[Indenfor range]],IF(LineærRegression_Valg[[#This Row],[Intet overlap]],INDEX(DataTitel_liste,LineærRegression_Valg[[#This Row],[Uafhængig variabel ID]]),INDEX(DataTitel_liste,IF(LineærRegression_Valg[[#This Row],[Afhængig variabel ID]]=1,2,1))),$B$7)</f>
        <v>Eksempel 2 (interval)</v>
      </c>
      <c r="H1539" s="45">
        <f>_xlfn.AGGREGATE(2,5,LineærRegression_Valg[[#This Row],[Tabel ID]])</f>
        <v>1</v>
      </c>
    </row>
    <row r="1540" spans="1:8" x14ac:dyDescent="0.2">
      <c r="A1540">
        <f>ROW(LineærRegression_Valg[[#This Row],[Tabel ID]])-ROW(LineærRegression_Valg[[#Headers],[Tabel ID]])</f>
        <v>1530</v>
      </c>
      <c r="B1540" s="45">
        <f>ROUNDDOWN((LineærRegression_Valg[[#This Row],[Tabel ID]]-1)/$B$5,0)+1</f>
        <v>383</v>
      </c>
      <c r="C1540" s="45">
        <f t="shared" si="23"/>
        <v>2</v>
      </c>
      <c r="D1540" s="45" t="b">
        <f>LineærRegression_Valg[[#This Row],[Afhængig variabel ID]]&lt;&gt;LineærRegression_Valg[[#This Row],[Uafhængig variabel ID]]</f>
        <v>1</v>
      </c>
      <c r="E1540" s="45" t="b">
        <f>LineærRegression_Valg[[#This Row],[Afhængig variabel ID]]&lt;=$B$5</f>
        <v>0</v>
      </c>
      <c r="F1540" t="str" cm="1">
        <f t="array" ref="F1540">IF(LineærRegression_Valg[[#This Row],[Indenfor range]],INDEX(DataTitel_liste,LineærRegression_Valg[[#This Row],[Afhængig variabel ID]]),INDEX(DataTitel_liste,1))</f>
        <v>Eksempel 1 (interval)</v>
      </c>
      <c r="G1540" s="45" t="str" cm="1">
        <f t="array" ref="G1540">IF(LineærRegression_Valg[[#This Row],[Indenfor range]],IF(LineærRegression_Valg[[#This Row],[Intet overlap]],INDEX(DataTitel_liste,LineærRegression_Valg[[#This Row],[Uafhængig variabel ID]]),INDEX(DataTitel_liste,IF(LineærRegression_Valg[[#This Row],[Afhængig variabel ID]]=1,2,1))),$B$7)</f>
        <v>Eksempel 2 (interval)</v>
      </c>
      <c r="H1540" s="45">
        <f>_xlfn.AGGREGATE(2,5,LineærRegression_Valg[[#This Row],[Tabel ID]])</f>
        <v>1</v>
      </c>
    </row>
    <row r="1541" spans="1:8" x14ac:dyDescent="0.2">
      <c r="A1541">
        <f>ROW(LineærRegression_Valg[[#This Row],[Tabel ID]])-ROW(LineærRegression_Valg[[#Headers],[Tabel ID]])</f>
        <v>1531</v>
      </c>
      <c r="B1541" s="45">
        <f>ROUNDDOWN((LineærRegression_Valg[[#This Row],[Tabel ID]]-1)/$B$5,0)+1</f>
        <v>383</v>
      </c>
      <c r="C1541" s="45">
        <f t="shared" si="23"/>
        <v>3</v>
      </c>
      <c r="D1541" s="45" t="b">
        <f>LineærRegression_Valg[[#This Row],[Afhængig variabel ID]]&lt;&gt;LineærRegression_Valg[[#This Row],[Uafhængig variabel ID]]</f>
        <v>1</v>
      </c>
      <c r="E1541" s="45" t="b">
        <f>LineærRegression_Valg[[#This Row],[Afhængig variabel ID]]&lt;=$B$5</f>
        <v>0</v>
      </c>
      <c r="F1541" t="str" cm="1">
        <f t="array" ref="F1541">IF(LineærRegression_Valg[[#This Row],[Indenfor range]],INDEX(DataTitel_liste,LineærRegression_Valg[[#This Row],[Afhængig variabel ID]]),INDEX(DataTitel_liste,1))</f>
        <v>Eksempel 1 (interval)</v>
      </c>
      <c r="G1541" s="45" t="str" cm="1">
        <f t="array" ref="G1541">IF(LineærRegression_Valg[[#This Row],[Indenfor range]],IF(LineærRegression_Valg[[#This Row],[Intet overlap]],INDEX(DataTitel_liste,LineærRegression_Valg[[#This Row],[Uafhængig variabel ID]]),INDEX(DataTitel_liste,IF(LineærRegression_Valg[[#This Row],[Afhængig variabel ID]]=1,2,1))),$B$7)</f>
        <v>Eksempel 2 (interval)</v>
      </c>
      <c r="H1541" s="45">
        <f>_xlfn.AGGREGATE(2,5,LineærRegression_Valg[[#This Row],[Tabel ID]])</f>
        <v>1</v>
      </c>
    </row>
    <row r="1542" spans="1:8" x14ac:dyDescent="0.2">
      <c r="A1542">
        <f>ROW(LineærRegression_Valg[[#This Row],[Tabel ID]])-ROW(LineærRegression_Valg[[#Headers],[Tabel ID]])</f>
        <v>1532</v>
      </c>
      <c r="B1542" s="45">
        <f>ROUNDDOWN((LineærRegression_Valg[[#This Row],[Tabel ID]]-1)/$B$5,0)+1</f>
        <v>383</v>
      </c>
      <c r="C1542" s="45">
        <f t="shared" si="23"/>
        <v>4</v>
      </c>
      <c r="D1542" s="45" t="b">
        <f>LineærRegression_Valg[[#This Row],[Afhængig variabel ID]]&lt;&gt;LineærRegression_Valg[[#This Row],[Uafhængig variabel ID]]</f>
        <v>1</v>
      </c>
      <c r="E1542" s="45" t="b">
        <f>LineærRegression_Valg[[#This Row],[Afhængig variabel ID]]&lt;=$B$5</f>
        <v>0</v>
      </c>
      <c r="F1542" t="str" cm="1">
        <f t="array" ref="F1542">IF(LineærRegression_Valg[[#This Row],[Indenfor range]],INDEX(DataTitel_liste,LineærRegression_Valg[[#This Row],[Afhængig variabel ID]]),INDEX(DataTitel_liste,1))</f>
        <v>Eksempel 1 (interval)</v>
      </c>
      <c r="G1542" s="45" t="str" cm="1">
        <f t="array" ref="G1542">IF(LineærRegression_Valg[[#This Row],[Indenfor range]],IF(LineærRegression_Valg[[#This Row],[Intet overlap]],INDEX(DataTitel_liste,LineærRegression_Valg[[#This Row],[Uafhængig variabel ID]]),INDEX(DataTitel_liste,IF(LineærRegression_Valg[[#This Row],[Afhængig variabel ID]]=1,2,1))),$B$7)</f>
        <v>Eksempel 2 (interval)</v>
      </c>
      <c r="H1542" s="45">
        <f>_xlfn.AGGREGATE(2,5,LineærRegression_Valg[[#This Row],[Tabel ID]])</f>
        <v>1</v>
      </c>
    </row>
    <row r="1543" spans="1:8" x14ac:dyDescent="0.2">
      <c r="A1543">
        <f>ROW(LineærRegression_Valg[[#This Row],[Tabel ID]])-ROW(LineærRegression_Valg[[#Headers],[Tabel ID]])</f>
        <v>1533</v>
      </c>
      <c r="B1543" s="45">
        <f>ROUNDDOWN((LineærRegression_Valg[[#This Row],[Tabel ID]]-1)/$B$5,0)+1</f>
        <v>384</v>
      </c>
      <c r="C1543" s="45">
        <f t="shared" si="23"/>
        <v>1</v>
      </c>
      <c r="D1543" s="45" t="b">
        <f>LineærRegression_Valg[[#This Row],[Afhængig variabel ID]]&lt;&gt;LineærRegression_Valg[[#This Row],[Uafhængig variabel ID]]</f>
        <v>1</v>
      </c>
      <c r="E1543" s="45" t="b">
        <f>LineærRegression_Valg[[#This Row],[Afhængig variabel ID]]&lt;=$B$5</f>
        <v>0</v>
      </c>
      <c r="F1543" t="str" cm="1">
        <f t="array" ref="F1543">IF(LineærRegression_Valg[[#This Row],[Indenfor range]],INDEX(DataTitel_liste,LineærRegression_Valg[[#This Row],[Afhængig variabel ID]]),INDEX(DataTitel_liste,1))</f>
        <v>Eksempel 1 (interval)</v>
      </c>
      <c r="G1543" s="45" t="str" cm="1">
        <f t="array" ref="G1543">IF(LineærRegression_Valg[[#This Row],[Indenfor range]],IF(LineærRegression_Valg[[#This Row],[Intet overlap]],INDEX(DataTitel_liste,LineærRegression_Valg[[#This Row],[Uafhængig variabel ID]]),INDEX(DataTitel_liste,IF(LineærRegression_Valg[[#This Row],[Afhængig variabel ID]]=1,2,1))),$B$7)</f>
        <v>Eksempel 2 (interval)</v>
      </c>
      <c r="H1543" s="45">
        <f>_xlfn.AGGREGATE(2,5,LineærRegression_Valg[[#This Row],[Tabel ID]])</f>
        <v>1</v>
      </c>
    </row>
    <row r="1544" spans="1:8" x14ac:dyDescent="0.2">
      <c r="A1544">
        <f>ROW(LineærRegression_Valg[[#This Row],[Tabel ID]])-ROW(LineærRegression_Valg[[#Headers],[Tabel ID]])</f>
        <v>1534</v>
      </c>
      <c r="B1544" s="45">
        <f>ROUNDDOWN((LineærRegression_Valg[[#This Row],[Tabel ID]]-1)/$B$5,0)+1</f>
        <v>384</v>
      </c>
      <c r="C1544" s="45">
        <f t="shared" si="23"/>
        <v>2</v>
      </c>
      <c r="D1544" s="45" t="b">
        <f>LineærRegression_Valg[[#This Row],[Afhængig variabel ID]]&lt;&gt;LineærRegression_Valg[[#This Row],[Uafhængig variabel ID]]</f>
        <v>1</v>
      </c>
      <c r="E1544" s="45" t="b">
        <f>LineærRegression_Valg[[#This Row],[Afhængig variabel ID]]&lt;=$B$5</f>
        <v>0</v>
      </c>
      <c r="F1544" t="str" cm="1">
        <f t="array" ref="F1544">IF(LineærRegression_Valg[[#This Row],[Indenfor range]],INDEX(DataTitel_liste,LineærRegression_Valg[[#This Row],[Afhængig variabel ID]]),INDEX(DataTitel_liste,1))</f>
        <v>Eksempel 1 (interval)</v>
      </c>
      <c r="G1544" s="45" t="str" cm="1">
        <f t="array" ref="G1544">IF(LineærRegression_Valg[[#This Row],[Indenfor range]],IF(LineærRegression_Valg[[#This Row],[Intet overlap]],INDEX(DataTitel_liste,LineærRegression_Valg[[#This Row],[Uafhængig variabel ID]]),INDEX(DataTitel_liste,IF(LineærRegression_Valg[[#This Row],[Afhængig variabel ID]]=1,2,1))),$B$7)</f>
        <v>Eksempel 2 (interval)</v>
      </c>
      <c r="H1544" s="45">
        <f>_xlfn.AGGREGATE(2,5,LineærRegression_Valg[[#This Row],[Tabel ID]])</f>
        <v>1</v>
      </c>
    </row>
    <row r="1545" spans="1:8" x14ac:dyDescent="0.2">
      <c r="A1545">
        <f>ROW(LineærRegression_Valg[[#This Row],[Tabel ID]])-ROW(LineærRegression_Valg[[#Headers],[Tabel ID]])</f>
        <v>1535</v>
      </c>
      <c r="B1545" s="45">
        <f>ROUNDDOWN((LineærRegression_Valg[[#This Row],[Tabel ID]]-1)/$B$5,0)+1</f>
        <v>384</v>
      </c>
      <c r="C1545" s="45">
        <f t="shared" si="23"/>
        <v>3</v>
      </c>
      <c r="D1545" s="45" t="b">
        <f>LineærRegression_Valg[[#This Row],[Afhængig variabel ID]]&lt;&gt;LineærRegression_Valg[[#This Row],[Uafhængig variabel ID]]</f>
        <v>1</v>
      </c>
      <c r="E1545" s="45" t="b">
        <f>LineærRegression_Valg[[#This Row],[Afhængig variabel ID]]&lt;=$B$5</f>
        <v>0</v>
      </c>
      <c r="F1545" t="str" cm="1">
        <f t="array" ref="F1545">IF(LineærRegression_Valg[[#This Row],[Indenfor range]],INDEX(DataTitel_liste,LineærRegression_Valg[[#This Row],[Afhængig variabel ID]]),INDEX(DataTitel_liste,1))</f>
        <v>Eksempel 1 (interval)</v>
      </c>
      <c r="G1545" s="45" t="str" cm="1">
        <f t="array" ref="G1545">IF(LineærRegression_Valg[[#This Row],[Indenfor range]],IF(LineærRegression_Valg[[#This Row],[Intet overlap]],INDEX(DataTitel_liste,LineærRegression_Valg[[#This Row],[Uafhængig variabel ID]]),INDEX(DataTitel_liste,IF(LineærRegression_Valg[[#This Row],[Afhængig variabel ID]]=1,2,1))),$B$7)</f>
        <v>Eksempel 2 (interval)</v>
      </c>
      <c r="H1545" s="45">
        <f>_xlfn.AGGREGATE(2,5,LineærRegression_Valg[[#This Row],[Tabel ID]])</f>
        <v>1</v>
      </c>
    </row>
    <row r="1546" spans="1:8" x14ac:dyDescent="0.2">
      <c r="A1546">
        <f>ROW(LineærRegression_Valg[[#This Row],[Tabel ID]])-ROW(LineærRegression_Valg[[#Headers],[Tabel ID]])</f>
        <v>1536</v>
      </c>
      <c r="B1546" s="45">
        <f>ROUNDDOWN((LineærRegression_Valg[[#This Row],[Tabel ID]]-1)/$B$5,0)+1</f>
        <v>384</v>
      </c>
      <c r="C1546" s="45">
        <f t="shared" si="23"/>
        <v>4</v>
      </c>
      <c r="D1546" s="45" t="b">
        <f>LineærRegression_Valg[[#This Row],[Afhængig variabel ID]]&lt;&gt;LineærRegression_Valg[[#This Row],[Uafhængig variabel ID]]</f>
        <v>1</v>
      </c>
      <c r="E1546" s="45" t="b">
        <f>LineærRegression_Valg[[#This Row],[Afhængig variabel ID]]&lt;=$B$5</f>
        <v>0</v>
      </c>
      <c r="F1546" t="str" cm="1">
        <f t="array" ref="F1546">IF(LineærRegression_Valg[[#This Row],[Indenfor range]],INDEX(DataTitel_liste,LineærRegression_Valg[[#This Row],[Afhængig variabel ID]]),INDEX(DataTitel_liste,1))</f>
        <v>Eksempel 1 (interval)</v>
      </c>
      <c r="G1546" s="45" t="str" cm="1">
        <f t="array" ref="G1546">IF(LineærRegression_Valg[[#This Row],[Indenfor range]],IF(LineærRegression_Valg[[#This Row],[Intet overlap]],INDEX(DataTitel_liste,LineærRegression_Valg[[#This Row],[Uafhængig variabel ID]]),INDEX(DataTitel_liste,IF(LineærRegression_Valg[[#This Row],[Afhængig variabel ID]]=1,2,1))),$B$7)</f>
        <v>Eksempel 2 (interval)</v>
      </c>
      <c r="H1546" s="45">
        <f>_xlfn.AGGREGATE(2,5,LineærRegression_Valg[[#This Row],[Tabel ID]])</f>
        <v>1</v>
      </c>
    </row>
    <row r="1547" spans="1:8" x14ac:dyDescent="0.2">
      <c r="A1547">
        <f>ROW(LineærRegression_Valg[[#This Row],[Tabel ID]])-ROW(LineærRegression_Valg[[#Headers],[Tabel ID]])</f>
        <v>1537</v>
      </c>
      <c r="B1547" s="45">
        <f>ROUNDDOWN((LineærRegression_Valg[[#This Row],[Tabel ID]]-1)/$B$5,0)+1</f>
        <v>385</v>
      </c>
      <c r="C1547" s="45">
        <f t="shared" ref="C1547:C1610" si="24">MOD(A1547-1,$B$5)+1</f>
        <v>1</v>
      </c>
      <c r="D1547" s="45" t="b">
        <f>LineærRegression_Valg[[#This Row],[Afhængig variabel ID]]&lt;&gt;LineærRegression_Valg[[#This Row],[Uafhængig variabel ID]]</f>
        <v>1</v>
      </c>
      <c r="E1547" s="45" t="b">
        <f>LineærRegression_Valg[[#This Row],[Afhængig variabel ID]]&lt;=$B$5</f>
        <v>0</v>
      </c>
      <c r="F1547" t="str" cm="1">
        <f t="array" ref="F1547">IF(LineærRegression_Valg[[#This Row],[Indenfor range]],INDEX(DataTitel_liste,LineærRegression_Valg[[#This Row],[Afhængig variabel ID]]),INDEX(DataTitel_liste,1))</f>
        <v>Eksempel 1 (interval)</v>
      </c>
      <c r="G1547" s="45" t="str" cm="1">
        <f t="array" ref="G1547">IF(LineærRegression_Valg[[#This Row],[Indenfor range]],IF(LineærRegression_Valg[[#This Row],[Intet overlap]],INDEX(DataTitel_liste,LineærRegression_Valg[[#This Row],[Uafhængig variabel ID]]),INDEX(DataTitel_liste,IF(LineærRegression_Valg[[#This Row],[Afhængig variabel ID]]=1,2,1))),$B$7)</f>
        <v>Eksempel 2 (interval)</v>
      </c>
      <c r="H1547" s="45">
        <f>_xlfn.AGGREGATE(2,5,LineærRegression_Valg[[#This Row],[Tabel ID]])</f>
        <v>1</v>
      </c>
    </row>
    <row r="1548" spans="1:8" x14ac:dyDescent="0.2">
      <c r="A1548">
        <f>ROW(LineærRegression_Valg[[#This Row],[Tabel ID]])-ROW(LineærRegression_Valg[[#Headers],[Tabel ID]])</f>
        <v>1538</v>
      </c>
      <c r="B1548" s="45">
        <f>ROUNDDOWN((LineærRegression_Valg[[#This Row],[Tabel ID]]-1)/$B$5,0)+1</f>
        <v>385</v>
      </c>
      <c r="C1548" s="45">
        <f t="shared" si="24"/>
        <v>2</v>
      </c>
      <c r="D1548" s="45" t="b">
        <f>LineærRegression_Valg[[#This Row],[Afhængig variabel ID]]&lt;&gt;LineærRegression_Valg[[#This Row],[Uafhængig variabel ID]]</f>
        <v>1</v>
      </c>
      <c r="E1548" s="45" t="b">
        <f>LineærRegression_Valg[[#This Row],[Afhængig variabel ID]]&lt;=$B$5</f>
        <v>0</v>
      </c>
      <c r="F1548" t="str" cm="1">
        <f t="array" ref="F1548">IF(LineærRegression_Valg[[#This Row],[Indenfor range]],INDEX(DataTitel_liste,LineærRegression_Valg[[#This Row],[Afhængig variabel ID]]),INDEX(DataTitel_liste,1))</f>
        <v>Eksempel 1 (interval)</v>
      </c>
      <c r="G1548" s="45" t="str" cm="1">
        <f t="array" ref="G1548">IF(LineærRegression_Valg[[#This Row],[Indenfor range]],IF(LineærRegression_Valg[[#This Row],[Intet overlap]],INDEX(DataTitel_liste,LineærRegression_Valg[[#This Row],[Uafhængig variabel ID]]),INDEX(DataTitel_liste,IF(LineærRegression_Valg[[#This Row],[Afhængig variabel ID]]=1,2,1))),$B$7)</f>
        <v>Eksempel 2 (interval)</v>
      </c>
      <c r="H1548" s="45">
        <f>_xlfn.AGGREGATE(2,5,LineærRegression_Valg[[#This Row],[Tabel ID]])</f>
        <v>1</v>
      </c>
    </row>
    <row r="1549" spans="1:8" x14ac:dyDescent="0.2">
      <c r="A1549">
        <f>ROW(LineærRegression_Valg[[#This Row],[Tabel ID]])-ROW(LineærRegression_Valg[[#Headers],[Tabel ID]])</f>
        <v>1539</v>
      </c>
      <c r="B1549" s="45">
        <f>ROUNDDOWN((LineærRegression_Valg[[#This Row],[Tabel ID]]-1)/$B$5,0)+1</f>
        <v>385</v>
      </c>
      <c r="C1549" s="45">
        <f t="shared" si="24"/>
        <v>3</v>
      </c>
      <c r="D1549" s="45" t="b">
        <f>LineærRegression_Valg[[#This Row],[Afhængig variabel ID]]&lt;&gt;LineærRegression_Valg[[#This Row],[Uafhængig variabel ID]]</f>
        <v>1</v>
      </c>
      <c r="E1549" s="45" t="b">
        <f>LineærRegression_Valg[[#This Row],[Afhængig variabel ID]]&lt;=$B$5</f>
        <v>0</v>
      </c>
      <c r="F1549" t="str" cm="1">
        <f t="array" ref="F1549">IF(LineærRegression_Valg[[#This Row],[Indenfor range]],INDEX(DataTitel_liste,LineærRegression_Valg[[#This Row],[Afhængig variabel ID]]),INDEX(DataTitel_liste,1))</f>
        <v>Eksempel 1 (interval)</v>
      </c>
      <c r="G1549" s="45" t="str" cm="1">
        <f t="array" ref="G1549">IF(LineærRegression_Valg[[#This Row],[Indenfor range]],IF(LineærRegression_Valg[[#This Row],[Intet overlap]],INDEX(DataTitel_liste,LineærRegression_Valg[[#This Row],[Uafhængig variabel ID]]),INDEX(DataTitel_liste,IF(LineærRegression_Valg[[#This Row],[Afhængig variabel ID]]=1,2,1))),$B$7)</f>
        <v>Eksempel 2 (interval)</v>
      </c>
      <c r="H1549" s="45">
        <f>_xlfn.AGGREGATE(2,5,LineærRegression_Valg[[#This Row],[Tabel ID]])</f>
        <v>1</v>
      </c>
    </row>
    <row r="1550" spans="1:8" x14ac:dyDescent="0.2">
      <c r="A1550">
        <f>ROW(LineærRegression_Valg[[#This Row],[Tabel ID]])-ROW(LineærRegression_Valg[[#Headers],[Tabel ID]])</f>
        <v>1540</v>
      </c>
      <c r="B1550" s="45">
        <f>ROUNDDOWN((LineærRegression_Valg[[#This Row],[Tabel ID]]-1)/$B$5,0)+1</f>
        <v>385</v>
      </c>
      <c r="C1550" s="45">
        <f t="shared" si="24"/>
        <v>4</v>
      </c>
      <c r="D1550" s="45" t="b">
        <f>LineærRegression_Valg[[#This Row],[Afhængig variabel ID]]&lt;&gt;LineærRegression_Valg[[#This Row],[Uafhængig variabel ID]]</f>
        <v>1</v>
      </c>
      <c r="E1550" s="45" t="b">
        <f>LineærRegression_Valg[[#This Row],[Afhængig variabel ID]]&lt;=$B$5</f>
        <v>0</v>
      </c>
      <c r="F1550" t="str" cm="1">
        <f t="array" ref="F1550">IF(LineærRegression_Valg[[#This Row],[Indenfor range]],INDEX(DataTitel_liste,LineærRegression_Valg[[#This Row],[Afhængig variabel ID]]),INDEX(DataTitel_liste,1))</f>
        <v>Eksempel 1 (interval)</v>
      </c>
      <c r="G1550" s="45" t="str" cm="1">
        <f t="array" ref="G1550">IF(LineærRegression_Valg[[#This Row],[Indenfor range]],IF(LineærRegression_Valg[[#This Row],[Intet overlap]],INDEX(DataTitel_liste,LineærRegression_Valg[[#This Row],[Uafhængig variabel ID]]),INDEX(DataTitel_liste,IF(LineærRegression_Valg[[#This Row],[Afhængig variabel ID]]=1,2,1))),$B$7)</f>
        <v>Eksempel 2 (interval)</v>
      </c>
      <c r="H1550" s="45">
        <f>_xlfn.AGGREGATE(2,5,LineærRegression_Valg[[#This Row],[Tabel ID]])</f>
        <v>1</v>
      </c>
    </row>
    <row r="1551" spans="1:8" x14ac:dyDescent="0.2">
      <c r="A1551">
        <f>ROW(LineærRegression_Valg[[#This Row],[Tabel ID]])-ROW(LineærRegression_Valg[[#Headers],[Tabel ID]])</f>
        <v>1541</v>
      </c>
      <c r="B1551" s="45">
        <f>ROUNDDOWN((LineærRegression_Valg[[#This Row],[Tabel ID]]-1)/$B$5,0)+1</f>
        <v>386</v>
      </c>
      <c r="C1551" s="45">
        <f t="shared" si="24"/>
        <v>1</v>
      </c>
      <c r="D1551" s="45" t="b">
        <f>LineærRegression_Valg[[#This Row],[Afhængig variabel ID]]&lt;&gt;LineærRegression_Valg[[#This Row],[Uafhængig variabel ID]]</f>
        <v>1</v>
      </c>
      <c r="E1551" s="45" t="b">
        <f>LineærRegression_Valg[[#This Row],[Afhængig variabel ID]]&lt;=$B$5</f>
        <v>0</v>
      </c>
      <c r="F1551" t="str" cm="1">
        <f t="array" ref="F1551">IF(LineærRegression_Valg[[#This Row],[Indenfor range]],INDEX(DataTitel_liste,LineærRegression_Valg[[#This Row],[Afhængig variabel ID]]),INDEX(DataTitel_liste,1))</f>
        <v>Eksempel 1 (interval)</v>
      </c>
      <c r="G1551" s="45" t="str" cm="1">
        <f t="array" ref="G1551">IF(LineærRegression_Valg[[#This Row],[Indenfor range]],IF(LineærRegression_Valg[[#This Row],[Intet overlap]],INDEX(DataTitel_liste,LineærRegression_Valg[[#This Row],[Uafhængig variabel ID]]),INDEX(DataTitel_liste,IF(LineærRegression_Valg[[#This Row],[Afhængig variabel ID]]=1,2,1))),$B$7)</f>
        <v>Eksempel 2 (interval)</v>
      </c>
      <c r="H1551" s="45">
        <f>_xlfn.AGGREGATE(2,5,LineærRegression_Valg[[#This Row],[Tabel ID]])</f>
        <v>1</v>
      </c>
    </row>
    <row r="1552" spans="1:8" x14ac:dyDescent="0.2">
      <c r="A1552">
        <f>ROW(LineærRegression_Valg[[#This Row],[Tabel ID]])-ROW(LineærRegression_Valg[[#Headers],[Tabel ID]])</f>
        <v>1542</v>
      </c>
      <c r="B1552" s="45">
        <f>ROUNDDOWN((LineærRegression_Valg[[#This Row],[Tabel ID]]-1)/$B$5,0)+1</f>
        <v>386</v>
      </c>
      <c r="C1552" s="45">
        <f t="shared" si="24"/>
        <v>2</v>
      </c>
      <c r="D1552" s="45" t="b">
        <f>LineærRegression_Valg[[#This Row],[Afhængig variabel ID]]&lt;&gt;LineærRegression_Valg[[#This Row],[Uafhængig variabel ID]]</f>
        <v>1</v>
      </c>
      <c r="E1552" s="45" t="b">
        <f>LineærRegression_Valg[[#This Row],[Afhængig variabel ID]]&lt;=$B$5</f>
        <v>0</v>
      </c>
      <c r="F1552" t="str" cm="1">
        <f t="array" ref="F1552">IF(LineærRegression_Valg[[#This Row],[Indenfor range]],INDEX(DataTitel_liste,LineærRegression_Valg[[#This Row],[Afhængig variabel ID]]),INDEX(DataTitel_liste,1))</f>
        <v>Eksempel 1 (interval)</v>
      </c>
      <c r="G1552" s="45" t="str" cm="1">
        <f t="array" ref="G1552">IF(LineærRegression_Valg[[#This Row],[Indenfor range]],IF(LineærRegression_Valg[[#This Row],[Intet overlap]],INDEX(DataTitel_liste,LineærRegression_Valg[[#This Row],[Uafhængig variabel ID]]),INDEX(DataTitel_liste,IF(LineærRegression_Valg[[#This Row],[Afhængig variabel ID]]=1,2,1))),$B$7)</f>
        <v>Eksempel 2 (interval)</v>
      </c>
      <c r="H1552" s="45">
        <f>_xlfn.AGGREGATE(2,5,LineærRegression_Valg[[#This Row],[Tabel ID]])</f>
        <v>1</v>
      </c>
    </row>
    <row r="1553" spans="1:8" x14ac:dyDescent="0.2">
      <c r="A1553">
        <f>ROW(LineærRegression_Valg[[#This Row],[Tabel ID]])-ROW(LineærRegression_Valg[[#Headers],[Tabel ID]])</f>
        <v>1543</v>
      </c>
      <c r="B1553" s="45">
        <f>ROUNDDOWN((LineærRegression_Valg[[#This Row],[Tabel ID]]-1)/$B$5,0)+1</f>
        <v>386</v>
      </c>
      <c r="C1553" s="45">
        <f t="shared" si="24"/>
        <v>3</v>
      </c>
      <c r="D1553" s="45" t="b">
        <f>LineærRegression_Valg[[#This Row],[Afhængig variabel ID]]&lt;&gt;LineærRegression_Valg[[#This Row],[Uafhængig variabel ID]]</f>
        <v>1</v>
      </c>
      <c r="E1553" s="45" t="b">
        <f>LineærRegression_Valg[[#This Row],[Afhængig variabel ID]]&lt;=$B$5</f>
        <v>0</v>
      </c>
      <c r="F1553" t="str" cm="1">
        <f t="array" ref="F1553">IF(LineærRegression_Valg[[#This Row],[Indenfor range]],INDEX(DataTitel_liste,LineærRegression_Valg[[#This Row],[Afhængig variabel ID]]),INDEX(DataTitel_liste,1))</f>
        <v>Eksempel 1 (interval)</v>
      </c>
      <c r="G1553" s="45" t="str" cm="1">
        <f t="array" ref="G1553">IF(LineærRegression_Valg[[#This Row],[Indenfor range]],IF(LineærRegression_Valg[[#This Row],[Intet overlap]],INDEX(DataTitel_liste,LineærRegression_Valg[[#This Row],[Uafhængig variabel ID]]),INDEX(DataTitel_liste,IF(LineærRegression_Valg[[#This Row],[Afhængig variabel ID]]=1,2,1))),$B$7)</f>
        <v>Eksempel 2 (interval)</v>
      </c>
      <c r="H1553" s="45">
        <f>_xlfn.AGGREGATE(2,5,LineærRegression_Valg[[#This Row],[Tabel ID]])</f>
        <v>1</v>
      </c>
    </row>
    <row r="1554" spans="1:8" x14ac:dyDescent="0.2">
      <c r="A1554">
        <f>ROW(LineærRegression_Valg[[#This Row],[Tabel ID]])-ROW(LineærRegression_Valg[[#Headers],[Tabel ID]])</f>
        <v>1544</v>
      </c>
      <c r="B1554" s="45">
        <f>ROUNDDOWN((LineærRegression_Valg[[#This Row],[Tabel ID]]-1)/$B$5,0)+1</f>
        <v>386</v>
      </c>
      <c r="C1554" s="45">
        <f t="shared" si="24"/>
        <v>4</v>
      </c>
      <c r="D1554" s="45" t="b">
        <f>LineærRegression_Valg[[#This Row],[Afhængig variabel ID]]&lt;&gt;LineærRegression_Valg[[#This Row],[Uafhængig variabel ID]]</f>
        <v>1</v>
      </c>
      <c r="E1554" s="45" t="b">
        <f>LineærRegression_Valg[[#This Row],[Afhængig variabel ID]]&lt;=$B$5</f>
        <v>0</v>
      </c>
      <c r="F1554" t="str" cm="1">
        <f t="array" ref="F1554">IF(LineærRegression_Valg[[#This Row],[Indenfor range]],INDEX(DataTitel_liste,LineærRegression_Valg[[#This Row],[Afhængig variabel ID]]),INDEX(DataTitel_liste,1))</f>
        <v>Eksempel 1 (interval)</v>
      </c>
      <c r="G1554" s="45" t="str" cm="1">
        <f t="array" ref="G1554">IF(LineærRegression_Valg[[#This Row],[Indenfor range]],IF(LineærRegression_Valg[[#This Row],[Intet overlap]],INDEX(DataTitel_liste,LineærRegression_Valg[[#This Row],[Uafhængig variabel ID]]),INDEX(DataTitel_liste,IF(LineærRegression_Valg[[#This Row],[Afhængig variabel ID]]=1,2,1))),$B$7)</f>
        <v>Eksempel 2 (interval)</v>
      </c>
      <c r="H1554" s="45">
        <f>_xlfn.AGGREGATE(2,5,LineærRegression_Valg[[#This Row],[Tabel ID]])</f>
        <v>1</v>
      </c>
    </row>
    <row r="1555" spans="1:8" x14ac:dyDescent="0.2">
      <c r="A1555">
        <f>ROW(LineærRegression_Valg[[#This Row],[Tabel ID]])-ROW(LineærRegression_Valg[[#Headers],[Tabel ID]])</f>
        <v>1545</v>
      </c>
      <c r="B1555" s="45">
        <f>ROUNDDOWN((LineærRegression_Valg[[#This Row],[Tabel ID]]-1)/$B$5,0)+1</f>
        <v>387</v>
      </c>
      <c r="C1555" s="45">
        <f t="shared" si="24"/>
        <v>1</v>
      </c>
      <c r="D1555" s="45" t="b">
        <f>LineærRegression_Valg[[#This Row],[Afhængig variabel ID]]&lt;&gt;LineærRegression_Valg[[#This Row],[Uafhængig variabel ID]]</f>
        <v>1</v>
      </c>
      <c r="E1555" s="45" t="b">
        <f>LineærRegression_Valg[[#This Row],[Afhængig variabel ID]]&lt;=$B$5</f>
        <v>0</v>
      </c>
      <c r="F1555" t="str" cm="1">
        <f t="array" ref="F1555">IF(LineærRegression_Valg[[#This Row],[Indenfor range]],INDEX(DataTitel_liste,LineærRegression_Valg[[#This Row],[Afhængig variabel ID]]),INDEX(DataTitel_liste,1))</f>
        <v>Eksempel 1 (interval)</v>
      </c>
      <c r="G1555" s="45" t="str" cm="1">
        <f t="array" ref="G1555">IF(LineærRegression_Valg[[#This Row],[Indenfor range]],IF(LineærRegression_Valg[[#This Row],[Intet overlap]],INDEX(DataTitel_liste,LineærRegression_Valg[[#This Row],[Uafhængig variabel ID]]),INDEX(DataTitel_liste,IF(LineærRegression_Valg[[#This Row],[Afhængig variabel ID]]=1,2,1))),$B$7)</f>
        <v>Eksempel 2 (interval)</v>
      </c>
      <c r="H1555" s="45">
        <f>_xlfn.AGGREGATE(2,5,LineærRegression_Valg[[#This Row],[Tabel ID]])</f>
        <v>1</v>
      </c>
    </row>
    <row r="1556" spans="1:8" x14ac:dyDescent="0.2">
      <c r="A1556">
        <f>ROW(LineærRegression_Valg[[#This Row],[Tabel ID]])-ROW(LineærRegression_Valg[[#Headers],[Tabel ID]])</f>
        <v>1546</v>
      </c>
      <c r="B1556" s="45">
        <f>ROUNDDOWN((LineærRegression_Valg[[#This Row],[Tabel ID]]-1)/$B$5,0)+1</f>
        <v>387</v>
      </c>
      <c r="C1556" s="45">
        <f t="shared" si="24"/>
        <v>2</v>
      </c>
      <c r="D1556" s="45" t="b">
        <f>LineærRegression_Valg[[#This Row],[Afhængig variabel ID]]&lt;&gt;LineærRegression_Valg[[#This Row],[Uafhængig variabel ID]]</f>
        <v>1</v>
      </c>
      <c r="E1556" s="45" t="b">
        <f>LineærRegression_Valg[[#This Row],[Afhængig variabel ID]]&lt;=$B$5</f>
        <v>0</v>
      </c>
      <c r="F1556" t="str" cm="1">
        <f t="array" ref="F1556">IF(LineærRegression_Valg[[#This Row],[Indenfor range]],INDEX(DataTitel_liste,LineærRegression_Valg[[#This Row],[Afhængig variabel ID]]),INDEX(DataTitel_liste,1))</f>
        <v>Eksempel 1 (interval)</v>
      </c>
      <c r="G1556" s="45" t="str" cm="1">
        <f t="array" ref="G1556">IF(LineærRegression_Valg[[#This Row],[Indenfor range]],IF(LineærRegression_Valg[[#This Row],[Intet overlap]],INDEX(DataTitel_liste,LineærRegression_Valg[[#This Row],[Uafhængig variabel ID]]),INDEX(DataTitel_liste,IF(LineærRegression_Valg[[#This Row],[Afhængig variabel ID]]=1,2,1))),$B$7)</f>
        <v>Eksempel 2 (interval)</v>
      </c>
      <c r="H1556" s="45">
        <f>_xlfn.AGGREGATE(2,5,LineærRegression_Valg[[#This Row],[Tabel ID]])</f>
        <v>1</v>
      </c>
    </row>
    <row r="1557" spans="1:8" x14ac:dyDescent="0.2">
      <c r="A1557">
        <f>ROW(LineærRegression_Valg[[#This Row],[Tabel ID]])-ROW(LineærRegression_Valg[[#Headers],[Tabel ID]])</f>
        <v>1547</v>
      </c>
      <c r="B1557" s="45">
        <f>ROUNDDOWN((LineærRegression_Valg[[#This Row],[Tabel ID]]-1)/$B$5,0)+1</f>
        <v>387</v>
      </c>
      <c r="C1557" s="45">
        <f t="shared" si="24"/>
        <v>3</v>
      </c>
      <c r="D1557" s="45" t="b">
        <f>LineærRegression_Valg[[#This Row],[Afhængig variabel ID]]&lt;&gt;LineærRegression_Valg[[#This Row],[Uafhængig variabel ID]]</f>
        <v>1</v>
      </c>
      <c r="E1557" s="45" t="b">
        <f>LineærRegression_Valg[[#This Row],[Afhængig variabel ID]]&lt;=$B$5</f>
        <v>0</v>
      </c>
      <c r="F1557" t="str" cm="1">
        <f t="array" ref="F1557">IF(LineærRegression_Valg[[#This Row],[Indenfor range]],INDEX(DataTitel_liste,LineærRegression_Valg[[#This Row],[Afhængig variabel ID]]),INDEX(DataTitel_liste,1))</f>
        <v>Eksempel 1 (interval)</v>
      </c>
      <c r="G1557" s="45" t="str" cm="1">
        <f t="array" ref="G1557">IF(LineærRegression_Valg[[#This Row],[Indenfor range]],IF(LineærRegression_Valg[[#This Row],[Intet overlap]],INDEX(DataTitel_liste,LineærRegression_Valg[[#This Row],[Uafhængig variabel ID]]),INDEX(DataTitel_liste,IF(LineærRegression_Valg[[#This Row],[Afhængig variabel ID]]=1,2,1))),$B$7)</f>
        <v>Eksempel 2 (interval)</v>
      </c>
      <c r="H1557" s="45">
        <f>_xlfn.AGGREGATE(2,5,LineærRegression_Valg[[#This Row],[Tabel ID]])</f>
        <v>1</v>
      </c>
    </row>
    <row r="1558" spans="1:8" x14ac:dyDescent="0.2">
      <c r="A1558">
        <f>ROW(LineærRegression_Valg[[#This Row],[Tabel ID]])-ROW(LineærRegression_Valg[[#Headers],[Tabel ID]])</f>
        <v>1548</v>
      </c>
      <c r="B1558" s="45">
        <f>ROUNDDOWN((LineærRegression_Valg[[#This Row],[Tabel ID]]-1)/$B$5,0)+1</f>
        <v>387</v>
      </c>
      <c r="C1558" s="45">
        <f t="shared" si="24"/>
        <v>4</v>
      </c>
      <c r="D1558" s="45" t="b">
        <f>LineærRegression_Valg[[#This Row],[Afhængig variabel ID]]&lt;&gt;LineærRegression_Valg[[#This Row],[Uafhængig variabel ID]]</f>
        <v>1</v>
      </c>
      <c r="E1558" s="45" t="b">
        <f>LineærRegression_Valg[[#This Row],[Afhængig variabel ID]]&lt;=$B$5</f>
        <v>0</v>
      </c>
      <c r="F1558" t="str" cm="1">
        <f t="array" ref="F1558">IF(LineærRegression_Valg[[#This Row],[Indenfor range]],INDEX(DataTitel_liste,LineærRegression_Valg[[#This Row],[Afhængig variabel ID]]),INDEX(DataTitel_liste,1))</f>
        <v>Eksempel 1 (interval)</v>
      </c>
      <c r="G1558" s="45" t="str" cm="1">
        <f t="array" ref="G1558">IF(LineærRegression_Valg[[#This Row],[Indenfor range]],IF(LineærRegression_Valg[[#This Row],[Intet overlap]],INDEX(DataTitel_liste,LineærRegression_Valg[[#This Row],[Uafhængig variabel ID]]),INDEX(DataTitel_liste,IF(LineærRegression_Valg[[#This Row],[Afhængig variabel ID]]=1,2,1))),$B$7)</f>
        <v>Eksempel 2 (interval)</v>
      </c>
      <c r="H1558" s="45">
        <f>_xlfn.AGGREGATE(2,5,LineærRegression_Valg[[#This Row],[Tabel ID]])</f>
        <v>1</v>
      </c>
    </row>
    <row r="1559" spans="1:8" x14ac:dyDescent="0.2">
      <c r="A1559">
        <f>ROW(LineærRegression_Valg[[#This Row],[Tabel ID]])-ROW(LineærRegression_Valg[[#Headers],[Tabel ID]])</f>
        <v>1549</v>
      </c>
      <c r="B1559" s="45">
        <f>ROUNDDOWN((LineærRegression_Valg[[#This Row],[Tabel ID]]-1)/$B$5,0)+1</f>
        <v>388</v>
      </c>
      <c r="C1559" s="45">
        <f t="shared" si="24"/>
        <v>1</v>
      </c>
      <c r="D1559" s="45" t="b">
        <f>LineærRegression_Valg[[#This Row],[Afhængig variabel ID]]&lt;&gt;LineærRegression_Valg[[#This Row],[Uafhængig variabel ID]]</f>
        <v>1</v>
      </c>
      <c r="E1559" s="45" t="b">
        <f>LineærRegression_Valg[[#This Row],[Afhængig variabel ID]]&lt;=$B$5</f>
        <v>0</v>
      </c>
      <c r="F1559" t="str" cm="1">
        <f t="array" ref="F1559">IF(LineærRegression_Valg[[#This Row],[Indenfor range]],INDEX(DataTitel_liste,LineærRegression_Valg[[#This Row],[Afhængig variabel ID]]),INDEX(DataTitel_liste,1))</f>
        <v>Eksempel 1 (interval)</v>
      </c>
      <c r="G1559" s="45" t="str" cm="1">
        <f t="array" ref="G1559">IF(LineærRegression_Valg[[#This Row],[Indenfor range]],IF(LineærRegression_Valg[[#This Row],[Intet overlap]],INDEX(DataTitel_liste,LineærRegression_Valg[[#This Row],[Uafhængig variabel ID]]),INDEX(DataTitel_liste,IF(LineærRegression_Valg[[#This Row],[Afhængig variabel ID]]=1,2,1))),$B$7)</f>
        <v>Eksempel 2 (interval)</v>
      </c>
      <c r="H1559" s="45">
        <f>_xlfn.AGGREGATE(2,5,LineærRegression_Valg[[#This Row],[Tabel ID]])</f>
        <v>1</v>
      </c>
    </row>
    <row r="1560" spans="1:8" x14ac:dyDescent="0.2">
      <c r="A1560">
        <f>ROW(LineærRegression_Valg[[#This Row],[Tabel ID]])-ROW(LineærRegression_Valg[[#Headers],[Tabel ID]])</f>
        <v>1550</v>
      </c>
      <c r="B1560" s="45">
        <f>ROUNDDOWN((LineærRegression_Valg[[#This Row],[Tabel ID]]-1)/$B$5,0)+1</f>
        <v>388</v>
      </c>
      <c r="C1560" s="45">
        <f t="shared" si="24"/>
        <v>2</v>
      </c>
      <c r="D1560" s="45" t="b">
        <f>LineærRegression_Valg[[#This Row],[Afhængig variabel ID]]&lt;&gt;LineærRegression_Valg[[#This Row],[Uafhængig variabel ID]]</f>
        <v>1</v>
      </c>
      <c r="E1560" s="45" t="b">
        <f>LineærRegression_Valg[[#This Row],[Afhængig variabel ID]]&lt;=$B$5</f>
        <v>0</v>
      </c>
      <c r="F1560" t="str" cm="1">
        <f t="array" ref="F1560">IF(LineærRegression_Valg[[#This Row],[Indenfor range]],INDEX(DataTitel_liste,LineærRegression_Valg[[#This Row],[Afhængig variabel ID]]),INDEX(DataTitel_liste,1))</f>
        <v>Eksempel 1 (interval)</v>
      </c>
      <c r="G1560" s="45" t="str" cm="1">
        <f t="array" ref="G1560">IF(LineærRegression_Valg[[#This Row],[Indenfor range]],IF(LineærRegression_Valg[[#This Row],[Intet overlap]],INDEX(DataTitel_liste,LineærRegression_Valg[[#This Row],[Uafhængig variabel ID]]),INDEX(DataTitel_liste,IF(LineærRegression_Valg[[#This Row],[Afhængig variabel ID]]=1,2,1))),$B$7)</f>
        <v>Eksempel 2 (interval)</v>
      </c>
      <c r="H1560" s="45">
        <f>_xlfn.AGGREGATE(2,5,LineærRegression_Valg[[#This Row],[Tabel ID]])</f>
        <v>1</v>
      </c>
    </row>
    <row r="1561" spans="1:8" x14ac:dyDescent="0.2">
      <c r="A1561">
        <f>ROW(LineærRegression_Valg[[#This Row],[Tabel ID]])-ROW(LineærRegression_Valg[[#Headers],[Tabel ID]])</f>
        <v>1551</v>
      </c>
      <c r="B1561" s="45">
        <f>ROUNDDOWN((LineærRegression_Valg[[#This Row],[Tabel ID]]-1)/$B$5,0)+1</f>
        <v>388</v>
      </c>
      <c r="C1561" s="45">
        <f t="shared" si="24"/>
        <v>3</v>
      </c>
      <c r="D1561" s="45" t="b">
        <f>LineærRegression_Valg[[#This Row],[Afhængig variabel ID]]&lt;&gt;LineærRegression_Valg[[#This Row],[Uafhængig variabel ID]]</f>
        <v>1</v>
      </c>
      <c r="E1561" s="45" t="b">
        <f>LineærRegression_Valg[[#This Row],[Afhængig variabel ID]]&lt;=$B$5</f>
        <v>0</v>
      </c>
      <c r="F1561" t="str" cm="1">
        <f t="array" ref="F1561">IF(LineærRegression_Valg[[#This Row],[Indenfor range]],INDEX(DataTitel_liste,LineærRegression_Valg[[#This Row],[Afhængig variabel ID]]),INDEX(DataTitel_liste,1))</f>
        <v>Eksempel 1 (interval)</v>
      </c>
      <c r="G1561" s="45" t="str" cm="1">
        <f t="array" ref="G1561">IF(LineærRegression_Valg[[#This Row],[Indenfor range]],IF(LineærRegression_Valg[[#This Row],[Intet overlap]],INDEX(DataTitel_liste,LineærRegression_Valg[[#This Row],[Uafhængig variabel ID]]),INDEX(DataTitel_liste,IF(LineærRegression_Valg[[#This Row],[Afhængig variabel ID]]=1,2,1))),$B$7)</f>
        <v>Eksempel 2 (interval)</v>
      </c>
      <c r="H1561" s="45">
        <f>_xlfn.AGGREGATE(2,5,LineærRegression_Valg[[#This Row],[Tabel ID]])</f>
        <v>1</v>
      </c>
    </row>
    <row r="1562" spans="1:8" x14ac:dyDescent="0.2">
      <c r="A1562">
        <f>ROW(LineærRegression_Valg[[#This Row],[Tabel ID]])-ROW(LineærRegression_Valg[[#Headers],[Tabel ID]])</f>
        <v>1552</v>
      </c>
      <c r="B1562" s="45">
        <f>ROUNDDOWN((LineærRegression_Valg[[#This Row],[Tabel ID]]-1)/$B$5,0)+1</f>
        <v>388</v>
      </c>
      <c r="C1562" s="45">
        <f t="shared" si="24"/>
        <v>4</v>
      </c>
      <c r="D1562" s="45" t="b">
        <f>LineærRegression_Valg[[#This Row],[Afhængig variabel ID]]&lt;&gt;LineærRegression_Valg[[#This Row],[Uafhængig variabel ID]]</f>
        <v>1</v>
      </c>
      <c r="E1562" s="45" t="b">
        <f>LineærRegression_Valg[[#This Row],[Afhængig variabel ID]]&lt;=$B$5</f>
        <v>0</v>
      </c>
      <c r="F1562" t="str" cm="1">
        <f t="array" ref="F1562">IF(LineærRegression_Valg[[#This Row],[Indenfor range]],INDEX(DataTitel_liste,LineærRegression_Valg[[#This Row],[Afhængig variabel ID]]),INDEX(DataTitel_liste,1))</f>
        <v>Eksempel 1 (interval)</v>
      </c>
      <c r="G1562" s="45" t="str" cm="1">
        <f t="array" ref="G1562">IF(LineærRegression_Valg[[#This Row],[Indenfor range]],IF(LineærRegression_Valg[[#This Row],[Intet overlap]],INDEX(DataTitel_liste,LineærRegression_Valg[[#This Row],[Uafhængig variabel ID]]),INDEX(DataTitel_liste,IF(LineærRegression_Valg[[#This Row],[Afhængig variabel ID]]=1,2,1))),$B$7)</f>
        <v>Eksempel 2 (interval)</v>
      </c>
      <c r="H1562" s="45">
        <f>_xlfn.AGGREGATE(2,5,LineærRegression_Valg[[#This Row],[Tabel ID]])</f>
        <v>1</v>
      </c>
    </row>
    <row r="1563" spans="1:8" x14ac:dyDescent="0.2">
      <c r="A1563">
        <f>ROW(LineærRegression_Valg[[#This Row],[Tabel ID]])-ROW(LineærRegression_Valg[[#Headers],[Tabel ID]])</f>
        <v>1553</v>
      </c>
      <c r="B1563" s="45">
        <f>ROUNDDOWN((LineærRegression_Valg[[#This Row],[Tabel ID]]-1)/$B$5,0)+1</f>
        <v>389</v>
      </c>
      <c r="C1563" s="45">
        <f t="shared" si="24"/>
        <v>1</v>
      </c>
      <c r="D1563" s="45" t="b">
        <f>LineærRegression_Valg[[#This Row],[Afhængig variabel ID]]&lt;&gt;LineærRegression_Valg[[#This Row],[Uafhængig variabel ID]]</f>
        <v>1</v>
      </c>
      <c r="E1563" s="45" t="b">
        <f>LineærRegression_Valg[[#This Row],[Afhængig variabel ID]]&lt;=$B$5</f>
        <v>0</v>
      </c>
      <c r="F1563" t="str" cm="1">
        <f t="array" ref="F1563">IF(LineærRegression_Valg[[#This Row],[Indenfor range]],INDEX(DataTitel_liste,LineærRegression_Valg[[#This Row],[Afhængig variabel ID]]),INDEX(DataTitel_liste,1))</f>
        <v>Eksempel 1 (interval)</v>
      </c>
      <c r="G1563" s="45" t="str" cm="1">
        <f t="array" ref="G1563">IF(LineærRegression_Valg[[#This Row],[Indenfor range]],IF(LineærRegression_Valg[[#This Row],[Intet overlap]],INDEX(DataTitel_liste,LineærRegression_Valg[[#This Row],[Uafhængig variabel ID]]),INDEX(DataTitel_liste,IF(LineærRegression_Valg[[#This Row],[Afhængig variabel ID]]=1,2,1))),$B$7)</f>
        <v>Eksempel 2 (interval)</v>
      </c>
      <c r="H1563" s="45">
        <f>_xlfn.AGGREGATE(2,5,LineærRegression_Valg[[#This Row],[Tabel ID]])</f>
        <v>1</v>
      </c>
    </row>
    <row r="1564" spans="1:8" x14ac:dyDescent="0.2">
      <c r="A1564">
        <f>ROW(LineærRegression_Valg[[#This Row],[Tabel ID]])-ROW(LineærRegression_Valg[[#Headers],[Tabel ID]])</f>
        <v>1554</v>
      </c>
      <c r="B1564" s="45">
        <f>ROUNDDOWN((LineærRegression_Valg[[#This Row],[Tabel ID]]-1)/$B$5,0)+1</f>
        <v>389</v>
      </c>
      <c r="C1564" s="45">
        <f t="shared" si="24"/>
        <v>2</v>
      </c>
      <c r="D1564" s="45" t="b">
        <f>LineærRegression_Valg[[#This Row],[Afhængig variabel ID]]&lt;&gt;LineærRegression_Valg[[#This Row],[Uafhængig variabel ID]]</f>
        <v>1</v>
      </c>
      <c r="E1564" s="45" t="b">
        <f>LineærRegression_Valg[[#This Row],[Afhængig variabel ID]]&lt;=$B$5</f>
        <v>0</v>
      </c>
      <c r="F1564" t="str" cm="1">
        <f t="array" ref="F1564">IF(LineærRegression_Valg[[#This Row],[Indenfor range]],INDEX(DataTitel_liste,LineærRegression_Valg[[#This Row],[Afhængig variabel ID]]),INDEX(DataTitel_liste,1))</f>
        <v>Eksempel 1 (interval)</v>
      </c>
      <c r="G1564" s="45" t="str" cm="1">
        <f t="array" ref="G1564">IF(LineærRegression_Valg[[#This Row],[Indenfor range]],IF(LineærRegression_Valg[[#This Row],[Intet overlap]],INDEX(DataTitel_liste,LineærRegression_Valg[[#This Row],[Uafhængig variabel ID]]),INDEX(DataTitel_liste,IF(LineærRegression_Valg[[#This Row],[Afhængig variabel ID]]=1,2,1))),$B$7)</f>
        <v>Eksempel 2 (interval)</v>
      </c>
      <c r="H1564" s="45">
        <f>_xlfn.AGGREGATE(2,5,LineærRegression_Valg[[#This Row],[Tabel ID]])</f>
        <v>1</v>
      </c>
    </row>
    <row r="1565" spans="1:8" x14ac:dyDescent="0.2">
      <c r="A1565">
        <f>ROW(LineærRegression_Valg[[#This Row],[Tabel ID]])-ROW(LineærRegression_Valg[[#Headers],[Tabel ID]])</f>
        <v>1555</v>
      </c>
      <c r="B1565" s="45">
        <f>ROUNDDOWN((LineærRegression_Valg[[#This Row],[Tabel ID]]-1)/$B$5,0)+1</f>
        <v>389</v>
      </c>
      <c r="C1565" s="45">
        <f t="shared" si="24"/>
        <v>3</v>
      </c>
      <c r="D1565" s="45" t="b">
        <f>LineærRegression_Valg[[#This Row],[Afhængig variabel ID]]&lt;&gt;LineærRegression_Valg[[#This Row],[Uafhængig variabel ID]]</f>
        <v>1</v>
      </c>
      <c r="E1565" s="45" t="b">
        <f>LineærRegression_Valg[[#This Row],[Afhængig variabel ID]]&lt;=$B$5</f>
        <v>0</v>
      </c>
      <c r="F1565" t="str" cm="1">
        <f t="array" ref="F1565">IF(LineærRegression_Valg[[#This Row],[Indenfor range]],INDEX(DataTitel_liste,LineærRegression_Valg[[#This Row],[Afhængig variabel ID]]),INDEX(DataTitel_liste,1))</f>
        <v>Eksempel 1 (interval)</v>
      </c>
      <c r="G1565" s="45" t="str" cm="1">
        <f t="array" ref="G1565">IF(LineærRegression_Valg[[#This Row],[Indenfor range]],IF(LineærRegression_Valg[[#This Row],[Intet overlap]],INDEX(DataTitel_liste,LineærRegression_Valg[[#This Row],[Uafhængig variabel ID]]),INDEX(DataTitel_liste,IF(LineærRegression_Valg[[#This Row],[Afhængig variabel ID]]=1,2,1))),$B$7)</f>
        <v>Eksempel 2 (interval)</v>
      </c>
      <c r="H1565" s="45">
        <f>_xlfn.AGGREGATE(2,5,LineærRegression_Valg[[#This Row],[Tabel ID]])</f>
        <v>1</v>
      </c>
    </row>
    <row r="1566" spans="1:8" x14ac:dyDescent="0.2">
      <c r="A1566">
        <f>ROW(LineærRegression_Valg[[#This Row],[Tabel ID]])-ROW(LineærRegression_Valg[[#Headers],[Tabel ID]])</f>
        <v>1556</v>
      </c>
      <c r="B1566" s="45">
        <f>ROUNDDOWN((LineærRegression_Valg[[#This Row],[Tabel ID]]-1)/$B$5,0)+1</f>
        <v>389</v>
      </c>
      <c r="C1566" s="45">
        <f t="shared" si="24"/>
        <v>4</v>
      </c>
      <c r="D1566" s="45" t="b">
        <f>LineærRegression_Valg[[#This Row],[Afhængig variabel ID]]&lt;&gt;LineærRegression_Valg[[#This Row],[Uafhængig variabel ID]]</f>
        <v>1</v>
      </c>
      <c r="E1566" s="45" t="b">
        <f>LineærRegression_Valg[[#This Row],[Afhængig variabel ID]]&lt;=$B$5</f>
        <v>0</v>
      </c>
      <c r="F1566" t="str" cm="1">
        <f t="array" ref="F1566">IF(LineærRegression_Valg[[#This Row],[Indenfor range]],INDEX(DataTitel_liste,LineærRegression_Valg[[#This Row],[Afhængig variabel ID]]),INDEX(DataTitel_liste,1))</f>
        <v>Eksempel 1 (interval)</v>
      </c>
      <c r="G1566" s="45" t="str" cm="1">
        <f t="array" ref="G1566">IF(LineærRegression_Valg[[#This Row],[Indenfor range]],IF(LineærRegression_Valg[[#This Row],[Intet overlap]],INDEX(DataTitel_liste,LineærRegression_Valg[[#This Row],[Uafhængig variabel ID]]),INDEX(DataTitel_liste,IF(LineærRegression_Valg[[#This Row],[Afhængig variabel ID]]=1,2,1))),$B$7)</f>
        <v>Eksempel 2 (interval)</v>
      </c>
      <c r="H1566" s="45">
        <f>_xlfn.AGGREGATE(2,5,LineærRegression_Valg[[#This Row],[Tabel ID]])</f>
        <v>1</v>
      </c>
    </row>
    <row r="1567" spans="1:8" x14ac:dyDescent="0.2">
      <c r="A1567">
        <f>ROW(LineærRegression_Valg[[#This Row],[Tabel ID]])-ROW(LineærRegression_Valg[[#Headers],[Tabel ID]])</f>
        <v>1557</v>
      </c>
      <c r="B1567" s="45">
        <f>ROUNDDOWN((LineærRegression_Valg[[#This Row],[Tabel ID]]-1)/$B$5,0)+1</f>
        <v>390</v>
      </c>
      <c r="C1567" s="45">
        <f t="shared" si="24"/>
        <v>1</v>
      </c>
      <c r="D1567" s="45" t="b">
        <f>LineærRegression_Valg[[#This Row],[Afhængig variabel ID]]&lt;&gt;LineærRegression_Valg[[#This Row],[Uafhængig variabel ID]]</f>
        <v>1</v>
      </c>
      <c r="E1567" s="45" t="b">
        <f>LineærRegression_Valg[[#This Row],[Afhængig variabel ID]]&lt;=$B$5</f>
        <v>0</v>
      </c>
      <c r="F1567" t="str" cm="1">
        <f t="array" ref="F1567">IF(LineærRegression_Valg[[#This Row],[Indenfor range]],INDEX(DataTitel_liste,LineærRegression_Valg[[#This Row],[Afhængig variabel ID]]),INDEX(DataTitel_liste,1))</f>
        <v>Eksempel 1 (interval)</v>
      </c>
      <c r="G1567" s="45" t="str" cm="1">
        <f t="array" ref="G1567">IF(LineærRegression_Valg[[#This Row],[Indenfor range]],IF(LineærRegression_Valg[[#This Row],[Intet overlap]],INDEX(DataTitel_liste,LineærRegression_Valg[[#This Row],[Uafhængig variabel ID]]),INDEX(DataTitel_liste,IF(LineærRegression_Valg[[#This Row],[Afhængig variabel ID]]=1,2,1))),$B$7)</f>
        <v>Eksempel 2 (interval)</v>
      </c>
      <c r="H1567" s="45">
        <f>_xlfn.AGGREGATE(2,5,LineærRegression_Valg[[#This Row],[Tabel ID]])</f>
        <v>1</v>
      </c>
    </row>
    <row r="1568" spans="1:8" x14ac:dyDescent="0.2">
      <c r="A1568">
        <f>ROW(LineærRegression_Valg[[#This Row],[Tabel ID]])-ROW(LineærRegression_Valg[[#Headers],[Tabel ID]])</f>
        <v>1558</v>
      </c>
      <c r="B1568" s="45">
        <f>ROUNDDOWN((LineærRegression_Valg[[#This Row],[Tabel ID]]-1)/$B$5,0)+1</f>
        <v>390</v>
      </c>
      <c r="C1568" s="45">
        <f t="shared" si="24"/>
        <v>2</v>
      </c>
      <c r="D1568" s="45" t="b">
        <f>LineærRegression_Valg[[#This Row],[Afhængig variabel ID]]&lt;&gt;LineærRegression_Valg[[#This Row],[Uafhængig variabel ID]]</f>
        <v>1</v>
      </c>
      <c r="E1568" s="45" t="b">
        <f>LineærRegression_Valg[[#This Row],[Afhængig variabel ID]]&lt;=$B$5</f>
        <v>0</v>
      </c>
      <c r="F1568" t="str" cm="1">
        <f t="array" ref="F1568">IF(LineærRegression_Valg[[#This Row],[Indenfor range]],INDEX(DataTitel_liste,LineærRegression_Valg[[#This Row],[Afhængig variabel ID]]),INDEX(DataTitel_liste,1))</f>
        <v>Eksempel 1 (interval)</v>
      </c>
      <c r="G1568" s="45" t="str" cm="1">
        <f t="array" ref="G1568">IF(LineærRegression_Valg[[#This Row],[Indenfor range]],IF(LineærRegression_Valg[[#This Row],[Intet overlap]],INDEX(DataTitel_liste,LineærRegression_Valg[[#This Row],[Uafhængig variabel ID]]),INDEX(DataTitel_liste,IF(LineærRegression_Valg[[#This Row],[Afhængig variabel ID]]=1,2,1))),$B$7)</f>
        <v>Eksempel 2 (interval)</v>
      </c>
      <c r="H1568" s="45">
        <f>_xlfn.AGGREGATE(2,5,LineærRegression_Valg[[#This Row],[Tabel ID]])</f>
        <v>1</v>
      </c>
    </row>
    <row r="1569" spans="1:8" x14ac:dyDescent="0.2">
      <c r="A1569">
        <f>ROW(LineærRegression_Valg[[#This Row],[Tabel ID]])-ROW(LineærRegression_Valg[[#Headers],[Tabel ID]])</f>
        <v>1559</v>
      </c>
      <c r="B1569" s="45">
        <f>ROUNDDOWN((LineærRegression_Valg[[#This Row],[Tabel ID]]-1)/$B$5,0)+1</f>
        <v>390</v>
      </c>
      <c r="C1569" s="45">
        <f t="shared" si="24"/>
        <v>3</v>
      </c>
      <c r="D1569" s="45" t="b">
        <f>LineærRegression_Valg[[#This Row],[Afhængig variabel ID]]&lt;&gt;LineærRegression_Valg[[#This Row],[Uafhængig variabel ID]]</f>
        <v>1</v>
      </c>
      <c r="E1569" s="45" t="b">
        <f>LineærRegression_Valg[[#This Row],[Afhængig variabel ID]]&lt;=$B$5</f>
        <v>0</v>
      </c>
      <c r="F1569" t="str" cm="1">
        <f t="array" ref="F1569">IF(LineærRegression_Valg[[#This Row],[Indenfor range]],INDEX(DataTitel_liste,LineærRegression_Valg[[#This Row],[Afhængig variabel ID]]),INDEX(DataTitel_liste,1))</f>
        <v>Eksempel 1 (interval)</v>
      </c>
      <c r="G1569" s="45" t="str" cm="1">
        <f t="array" ref="G1569">IF(LineærRegression_Valg[[#This Row],[Indenfor range]],IF(LineærRegression_Valg[[#This Row],[Intet overlap]],INDEX(DataTitel_liste,LineærRegression_Valg[[#This Row],[Uafhængig variabel ID]]),INDEX(DataTitel_liste,IF(LineærRegression_Valg[[#This Row],[Afhængig variabel ID]]=1,2,1))),$B$7)</f>
        <v>Eksempel 2 (interval)</v>
      </c>
      <c r="H1569" s="45">
        <f>_xlfn.AGGREGATE(2,5,LineærRegression_Valg[[#This Row],[Tabel ID]])</f>
        <v>1</v>
      </c>
    </row>
    <row r="1570" spans="1:8" x14ac:dyDescent="0.2">
      <c r="A1570">
        <f>ROW(LineærRegression_Valg[[#This Row],[Tabel ID]])-ROW(LineærRegression_Valg[[#Headers],[Tabel ID]])</f>
        <v>1560</v>
      </c>
      <c r="B1570" s="45">
        <f>ROUNDDOWN((LineærRegression_Valg[[#This Row],[Tabel ID]]-1)/$B$5,0)+1</f>
        <v>390</v>
      </c>
      <c r="C1570" s="45">
        <f t="shared" si="24"/>
        <v>4</v>
      </c>
      <c r="D1570" s="45" t="b">
        <f>LineærRegression_Valg[[#This Row],[Afhængig variabel ID]]&lt;&gt;LineærRegression_Valg[[#This Row],[Uafhængig variabel ID]]</f>
        <v>1</v>
      </c>
      <c r="E1570" s="45" t="b">
        <f>LineærRegression_Valg[[#This Row],[Afhængig variabel ID]]&lt;=$B$5</f>
        <v>0</v>
      </c>
      <c r="F1570" t="str" cm="1">
        <f t="array" ref="F1570">IF(LineærRegression_Valg[[#This Row],[Indenfor range]],INDEX(DataTitel_liste,LineærRegression_Valg[[#This Row],[Afhængig variabel ID]]),INDEX(DataTitel_liste,1))</f>
        <v>Eksempel 1 (interval)</v>
      </c>
      <c r="G1570" s="45" t="str" cm="1">
        <f t="array" ref="G1570">IF(LineærRegression_Valg[[#This Row],[Indenfor range]],IF(LineærRegression_Valg[[#This Row],[Intet overlap]],INDEX(DataTitel_liste,LineærRegression_Valg[[#This Row],[Uafhængig variabel ID]]),INDEX(DataTitel_liste,IF(LineærRegression_Valg[[#This Row],[Afhængig variabel ID]]=1,2,1))),$B$7)</f>
        <v>Eksempel 2 (interval)</v>
      </c>
      <c r="H1570" s="45">
        <f>_xlfn.AGGREGATE(2,5,LineærRegression_Valg[[#This Row],[Tabel ID]])</f>
        <v>1</v>
      </c>
    </row>
    <row r="1571" spans="1:8" x14ac:dyDescent="0.2">
      <c r="A1571">
        <f>ROW(LineærRegression_Valg[[#This Row],[Tabel ID]])-ROW(LineærRegression_Valg[[#Headers],[Tabel ID]])</f>
        <v>1561</v>
      </c>
      <c r="B1571" s="45">
        <f>ROUNDDOWN((LineærRegression_Valg[[#This Row],[Tabel ID]]-1)/$B$5,0)+1</f>
        <v>391</v>
      </c>
      <c r="C1571" s="45">
        <f t="shared" si="24"/>
        <v>1</v>
      </c>
      <c r="D1571" s="45" t="b">
        <f>LineærRegression_Valg[[#This Row],[Afhængig variabel ID]]&lt;&gt;LineærRegression_Valg[[#This Row],[Uafhængig variabel ID]]</f>
        <v>1</v>
      </c>
      <c r="E1571" s="45" t="b">
        <f>LineærRegression_Valg[[#This Row],[Afhængig variabel ID]]&lt;=$B$5</f>
        <v>0</v>
      </c>
      <c r="F1571" t="str" cm="1">
        <f t="array" ref="F1571">IF(LineærRegression_Valg[[#This Row],[Indenfor range]],INDEX(DataTitel_liste,LineærRegression_Valg[[#This Row],[Afhængig variabel ID]]),INDEX(DataTitel_liste,1))</f>
        <v>Eksempel 1 (interval)</v>
      </c>
      <c r="G1571" s="45" t="str" cm="1">
        <f t="array" ref="G1571">IF(LineærRegression_Valg[[#This Row],[Indenfor range]],IF(LineærRegression_Valg[[#This Row],[Intet overlap]],INDEX(DataTitel_liste,LineærRegression_Valg[[#This Row],[Uafhængig variabel ID]]),INDEX(DataTitel_liste,IF(LineærRegression_Valg[[#This Row],[Afhængig variabel ID]]=1,2,1))),$B$7)</f>
        <v>Eksempel 2 (interval)</v>
      </c>
      <c r="H1571" s="45">
        <f>_xlfn.AGGREGATE(2,5,LineærRegression_Valg[[#This Row],[Tabel ID]])</f>
        <v>1</v>
      </c>
    </row>
    <row r="1572" spans="1:8" x14ac:dyDescent="0.2">
      <c r="A1572">
        <f>ROW(LineærRegression_Valg[[#This Row],[Tabel ID]])-ROW(LineærRegression_Valg[[#Headers],[Tabel ID]])</f>
        <v>1562</v>
      </c>
      <c r="B1572" s="45">
        <f>ROUNDDOWN((LineærRegression_Valg[[#This Row],[Tabel ID]]-1)/$B$5,0)+1</f>
        <v>391</v>
      </c>
      <c r="C1572" s="45">
        <f t="shared" si="24"/>
        <v>2</v>
      </c>
      <c r="D1572" s="45" t="b">
        <f>LineærRegression_Valg[[#This Row],[Afhængig variabel ID]]&lt;&gt;LineærRegression_Valg[[#This Row],[Uafhængig variabel ID]]</f>
        <v>1</v>
      </c>
      <c r="E1572" s="45" t="b">
        <f>LineærRegression_Valg[[#This Row],[Afhængig variabel ID]]&lt;=$B$5</f>
        <v>0</v>
      </c>
      <c r="F1572" t="str" cm="1">
        <f t="array" ref="F1572">IF(LineærRegression_Valg[[#This Row],[Indenfor range]],INDEX(DataTitel_liste,LineærRegression_Valg[[#This Row],[Afhængig variabel ID]]),INDEX(DataTitel_liste,1))</f>
        <v>Eksempel 1 (interval)</v>
      </c>
      <c r="G1572" s="45" t="str" cm="1">
        <f t="array" ref="G1572">IF(LineærRegression_Valg[[#This Row],[Indenfor range]],IF(LineærRegression_Valg[[#This Row],[Intet overlap]],INDEX(DataTitel_liste,LineærRegression_Valg[[#This Row],[Uafhængig variabel ID]]),INDEX(DataTitel_liste,IF(LineærRegression_Valg[[#This Row],[Afhængig variabel ID]]=1,2,1))),$B$7)</f>
        <v>Eksempel 2 (interval)</v>
      </c>
      <c r="H1572" s="45">
        <f>_xlfn.AGGREGATE(2,5,LineærRegression_Valg[[#This Row],[Tabel ID]])</f>
        <v>1</v>
      </c>
    </row>
    <row r="1573" spans="1:8" x14ac:dyDescent="0.2">
      <c r="A1573">
        <f>ROW(LineærRegression_Valg[[#This Row],[Tabel ID]])-ROW(LineærRegression_Valg[[#Headers],[Tabel ID]])</f>
        <v>1563</v>
      </c>
      <c r="B1573" s="45">
        <f>ROUNDDOWN((LineærRegression_Valg[[#This Row],[Tabel ID]]-1)/$B$5,0)+1</f>
        <v>391</v>
      </c>
      <c r="C1573" s="45">
        <f t="shared" si="24"/>
        <v>3</v>
      </c>
      <c r="D1573" s="45" t="b">
        <f>LineærRegression_Valg[[#This Row],[Afhængig variabel ID]]&lt;&gt;LineærRegression_Valg[[#This Row],[Uafhængig variabel ID]]</f>
        <v>1</v>
      </c>
      <c r="E1573" s="45" t="b">
        <f>LineærRegression_Valg[[#This Row],[Afhængig variabel ID]]&lt;=$B$5</f>
        <v>0</v>
      </c>
      <c r="F1573" t="str" cm="1">
        <f t="array" ref="F1573">IF(LineærRegression_Valg[[#This Row],[Indenfor range]],INDEX(DataTitel_liste,LineærRegression_Valg[[#This Row],[Afhængig variabel ID]]),INDEX(DataTitel_liste,1))</f>
        <v>Eksempel 1 (interval)</v>
      </c>
      <c r="G1573" s="45" t="str" cm="1">
        <f t="array" ref="G1573">IF(LineærRegression_Valg[[#This Row],[Indenfor range]],IF(LineærRegression_Valg[[#This Row],[Intet overlap]],INDEX(DataTitel_liste,LineærRegression_Valg[[#This Row],[Uafhængig variabel ID]]),INDEX(DataTitel_liste,IF(LineærRegression_Valg[[#This Row],[Afhængig variabel ID]]=1,2,1))),$B$7)</f>
        <v>Eksempel 2 (interval)</v>
      </c>
      <c r="H1573" s="45">
        <f>_xlfn.AGGREGATE(2,5,LineærRegression_Valg[[#This Row],[Tabel ID]])</f>
        <v>1</v>
      </c>
    </row>
    <row r="1574" spans="1:8" x14ac:dyDescent="0.2">
      <c r="A1574">
        <f>ROW(LineærRegression_Valg[[#This Row],[Tabel ID]])-ROW(LineærRegression_Valg[[#Headers],[Tabel ID]])</f>
        <v>1564</v>
      </c>
      <c r="B1574" s="45">
        <f>ROUNDDOWN((LineærRegression_Valg[[#This Row],[Tabel ID]]-1)/$B$5,0)+1</f>
        <v>391</v>
      </c>
      <c r="C1574" s="45">
        <f t="shared" si="24"/>
        <v>4</v>
      </c>
      <c r="D1574" s="45" t="b">
        <f>LineærRegression_Valg[[#This Row],[Afhængig variabel ID]]&lt;&gt;LineærRegression_Valg[[#This Row],[Uafhængig variabel ID]]</f>
        <v>1</v>
      </c>
      <c r="E1574" s="45" t="b">
        <f>LineærRegression_Valg[[#This Row],[Afhængig variabel ID]]&lt;=$B$5</f>
        <v>0</v>
      </c>
      <c r="F1574" t="str" cm="1">
        <f t="array" ref="F1574">IF(LineærRegression_Valg[[#This Row],[Indenfor range]],INDEX(DataTitel_liste,LineærRegression_Valg[[#This Row],[Afhængig variabel ID]]),INDEX(DataTitel_liste,1))</f>
        <v>Eksempel 1 (interval)</v>
      </c>
      <c r="G1574" s="45" t="str" cm="1">
        <f t="array" ref="G1574">IF(LineærRegression_Valg[[#This Row],[Indenfor range]],IF(LineærRegression_Valg[[#This Row],[Intet overlap]],INDEX(DataTitel_liste,LineærRegression_Valg[[#This Row],[Uafhængig variabel ID]]),INDEX(DataTitel_liste,IF(LineærRegression_Valg[[#This Row],[Afhængig variabel ID]]=1,2,1))),$B$7)</f>
        <v>Eksempel 2 (interval)</v>
      </c>
      <c r="H1574" s="45">
        <f>_xlfn.AGGREGATE(2,5,LineærRegression_Valg[[#This Row],[Tabel ID]])</f>
        <v>1</v>
      </c>
    </row>
    <row r="1575" spans="1:8" x14ac:dyDescent="0.2">
      <c r="A1575">
        <f>ROW(LineærRegression_Valg[[#This Row],[Tabel ID]])-ROW(LineærRegression_Valg[[#Headers],[Tabel ID]])</f>
        <v>1565</v>
      </c>
      <c r="B1575" s="45">
        <f>ROUNDDOWN((LineærRegression_Valg[[#This Row],[Tabel ID]]-1)/$B$5,0)+1</f>
        <v>392</v>
      </c>
      <c r="C1575" s="45">
        <f t="shared" si="24"/>
        <v>1</v>
      </c>
      <c r="D1575" s="45" t="b">
        <f>LineærRegression_Valg[[#This Row],[Afhængig variabel ID]]&lt;&gt;LineærRegression_Valg[[#This Row],[Uafhængig variabel ID]]</f>
        <v>1</v>
      </c>
      <c r="E1575" s="45" t="b">
        <f>LineærRegression_Valg[[#This Row],[Afhængig variabel ID]]&lt;=$B$5</f>
        <v>0</v>
      </c>
      <c r="F1575" t="str" cm="1">
        <f t="array" ref="F1575">IF(LineærRegression_Valg[[#This Row],[Indenfor range]],INDEX(DataTitel_liste,LineærRegression_Valg[[#This Row],[Afhængig variabel ID]]),INDEX(DataTitel_liste,1))</f>
        <v>Eksempel 1 (interval)</v>
      </c>
      <c r="G1575" s="45" t="str" cm="1">
        <f t="array" ref="G1575">IF(LineærRegression_Valg[[#This Row],[Indenfor range]],IF(LineærRegression_Valg[[#This Row],[Intet overlap]],INDEX(DataTitel_liste,LineærRegression_Valg[[#This Row],[Uafhængig variabel ID]]),INDEX(DataTitel_liste,IF(LineærRegression_Valg[[#This Row],[Afhængig variabel ID]]=1,2,1))),$B$7)</f>
        <v>Eksempel 2 (interval)</v>
      </c>
      <c r="H1575" s="45">
        <f>_xlfn.AGGREGATE(2,5,LineærRegression_Valg[[#This Row],[Tabel ID]])</f>
        <v>1</v>
      </c>
    </row>
    <row r="1576" spans="1:8" x14ac:dyDescent="0.2">
      <c r="A1576">
        <f>ROW(LineærRegression_Valg[[#This Row],[Tabel ID]])-ROW(LineærRegression_Valg[[#Headers],[Tabel ID]])</f>
        <v>1566</v>
      </c>
      <c r="B1576" s="45">
        <f>ROUNDDOWN((LineærRegression_Valg[[#This Row],[Tabel ID]]-1)/$B$5,0)+1</f>
        <v>392</v>
      </c>
      <c r="C1576" s="45">
        <f t="shared" si="24"/>
        <v>2</v>
      </c>
      <c r="D1576" s="45" t="b">
        <f>LineærRegression_Valg[[#This Row],[Afhængig variabel ID]]&lt;&gt;LineærRegression_Valg[[#This Row],[Uafhængig variabel ID]]</f>
        <v>1</v>
      </c>
      <c r="E1576" s="45" t="b">
        <f>LineærRegression_Valg[[#This Row],[Afhængig variabel ID]]&lt;=$B$5</f>
        <v>0</v>
      </c>
      <c r="F1576" t="str" cm="1">
        <f t="array" ref="F1576">IF(LineærRegression_Valg[[#This Row],[Indenfor range]],INDEX(DataTitel_liste,LineærRegression_Valg[[#This Row],[Afhængig variabel ID]]),INDEX(DataTitel_liste,1))</f>
        <v>Eksempel 1 (interval)</v>
      </c>
      <c r="G1576" s="45" t="str" cm="1">
        <f t="array" ref="G1576">IF(LineærRegression_Valg[[#This Row],[Indenfor range]],IF(LineærRegression_Valg[[#This Row],[Intet overlap]],INDEX(DataTitel_liste,LineærRegression_Valg[[#This Row],[Uafhængig variabel ID]]),INDEX(DataTitel_liste,IF(LineærRegression_Valg[[#This Row],[Afhængig variabel ID]]=1,2,1))),$B$7)</f>
        <v>Eksempel 2 (interval)</v>
      </c>
      <c r="H1576" s="45">
        <f>_xlfn.AGGREGATE(2,5,LineærRegression_Valg[[#This Row],[Tabel ID]])</f>
        <v>1</v>
      </c>
    </row>
    <row r="1577" spans="1:8" x14ac:dyDescent="0.2">
      <c r="A1577">
        <f>ROW(LineærRegression_Valg[[#This Row],[Tabel ID]])-ROW(LineærRegression_Valg[[#Headers],[Tabel ID]])</f>
        <v>1567</v>
      </c>
      <c r="B1577" s="45">
        <f>ROUNDDOWN((LineærRegression_Valg[[#This Row],[Tabel ID]]-1)/$B$5,0)+1</f>
        <v>392</v>
      </c>
      <c r="C1577" s="45">
        <f t="shared" si="24"/>
        <v>3</v>
      </c>
      <c r="D1577" s="45" t="b">
        <f>LineærRegression_Valg[[#This Row],[Afhængig variabel ID]]&lt;&gt;LineærRegression_Valg[[#This Row],[Uafhængig variabel ID]]</f>
        <v>1</v>
      </c>
      <c r="E1577" s="45" t="b">
        <f>LineærRegression_Valg[[#This Row],[Afhængig variabel ID]]&lt;=$B$5</f>
        <v>0</v>
      </c>
      <c r="F1577" t="str" cm="1">
        <f t="array" ref="F1577">IF(LineærRegression_Valg[[#This Row],[Indenfor range]],INDEX(DataTitel_liste,LineærRegression_Valg[[#This Row],[Afhængig variabel ID]]),INDEX(DataTitel_liste,1))</f>
        <v>Eksempel 1 (interval)</v>
      </c>
      <c r="G1577" s="45" t="str" cm="1">
        <f t="array" ref="G1577">IF(LineærRegression_Valg[[#This Row],[Indenfor range]],IF(LineærRegression_Valg[[#This Row],[Intet overlap]],INDEX(DataTitel_liste,LineærRegression_Valg[[#This Row],[Uafhængig variabel ID]]),INDEX(DataTitel_liste,IF(LineærRegression_Valg[[#This Row],[Afhængig variabel ID]]=1,2,1))),$B$7)</f>
        <v>Eksempel 2 (interval)</v>
      </c>
      <c r="H1577" s="45">
        <f>_xlfn.AGGREGATE(2,5,LineærRegression_Valg[[#This Row],[Tabel ID]])</f>
        <v>1</v>
      </c>
    </row>
    <row r="1578" spans="1:8" x14ac:dyDescent="0.2">
      <c r="A1578">
        <f>ROW(LineærRegression_Valg[[#This Row],[Tabel ID]])-ROW(LineærRegression_Valg[[#Headers],[Tabel ID]])</f>
        <v>1568</v>
      </c>
      <c r="B1578" s="45">
        <f>ROUNDDOWN((LineærRegression_Valg[[#This Row],[Tabel ID]]-1)/$B$5,0)+1</f>
        <v>392</v>
      </c>
      <c r="C1578" s="45">
        <f t="shared" si="24"/>
        <v>4</v>
      </c>
      <c r="D1578" s="45" t="b">
        <f>LineærRegression_Valg[[#This Row],[Afhængig variabel ID]]&lt;&gt;LineærRegression_Valg[[#This Row],[Uafhængig variabel ID]]</f>
        <v>1</v>
      </c>
      <c r="E1578" s="45" t="b">
        <f>LineærRegression_Valg[[#This Row],[Afhængig variabel ID]]&lt;=$B$5</f>
        <v>0</v>
      </c>
      <c r="F1578" t="str" cm="1">
        <f t="array" ref="F1578">IF(LineærRegression_Valg[[#This Row],[Indenfor range]],INDEX(DataTitel_liste,LineærRegression_Valg[[#This Row],[Afhængig variabel ID]]),INDEX(DataTitel_liste,1))</f>
        <v>Eksempel 1 (interval)</v>
      </c>
      <c r="G1578" s="45" t="str" cm="1">
        <f t="array" ref="G1578">IF(LineærRegression_Valg[[#This Row],[Indenfor range]],IF(LineærRegression_Valg[[#This Row],[Intet overlap]],INDEX(DataTitel_liste,LineærRegression_Valg[[#This Row],[Uafhængig variabel ID]]),INDEX(DataTitel_liste,IF(LineærRegression_Valg[[#This Row],[Afhængig variabel ID]]=1,2,1))),$B$7)</f>
        <v>Eksempel 2 (interval)</v>
      </c>
      <c r="H1578" s="45">
        <f>_xlfn.AGGREGATE(2,5,LineærRegression_Valg[[#This Row],[Tabel ID]])</f>
        <v>1</v>
      </c>
    </row>
    <row r="1579" spans="1:8" x14ac:dyDescent="0.2">
      <c r="A1579">
        <f>ROW(LineærRegression_Valg[[#This Row],[Tabel ID]])-ROW(LineærRegression_Valg[[#Headers],[Tabel ID]])</f>
        <v>1569</v>
      </c>
      <c r="B1579" s="45">
        <f>ROUNDDOWN((LineærRegression_Valg[[#This Row],[Tabel ID]]-1)/$B$5,0)+1</f>
        <v>393</v>
      </c>
      <c r="C1579" s="45">
        <f t="shared" si="24"/>
        <v>1</v>
      </c>
      <c r="D1579" s="45" t="b">
        <f>LineærRegression_Valg[[#This Row],[Afhængig variabel ID]]&lt;&gt;LineærRegression_Valg[[#This Row],[Uafhængig variabel ID]]</f>
        <v>1</v>
      </c>
      <c r="E1579" s="45" t="b">
        <f>LineærRegression_Valg[[#This Row],[Afhængig variabel ID]]&lt;=$B$5</f>
        <v>0</v>
      </c>
      <c r="F1579" t="str" cm="1">
        <f t="array" ref="F1579">IF(LineærRegression_Valg[[#This Row],[Indenfor range]],INDEX(DataTitel_liste,LineærRegression_Valg[[#This Row],[Afhængig variabel ID]]),INDEX(DataTitel_liste,1))</f>
        <v>Eksempel 1 (interval)</v>
      </c>
      <c r="G1579" s="45" t="str" cm="1">
        <f t="array" ref="G1579">IF(LineærRegression_Valg[[#This Row],[Indenfor range]],IF(LineærRegression_Valg[[#This Row],[Intet overlap]],INDEX(DataTitel_liste,LineærRegression_Valg[[#This Row],[Uafhængig variabel ID]]),INDEX(DataTitel_liste,IF(LineærRegression_Valg[[#This Row],[Afhængig variabel ID]]=1,2,1))),$B$7)</f>
        <v>Eksempel 2 (interval)</v>
      </c>
      <c r="H1579" s="45">
        <f>_xlfn.AGGREGATE(2,5,LineærRegression_Valg[[#This Row],[Tabel ID]])</f>
        <v>1</v>
      </c>
    </row>
    <row r="1580" spans="1:8" x14ac:dyDescent="0.2">
      <c r="A1580">
        <f>ROW(LineærRegression_Valg[[#This Row],[Tabel ID]])-ROW(LineærRegression_Valg[[#Headers],[Tabel ID]])</f>
        <v>1570</v>
      </c>
      <c r="B1580" s="45">
        <f>ROUNDDOWN((LineærRegression_Valg[[#This Row],[Tabel ID]]-1)/$B$5,0)+1</f>
        <v>393</v>
      </c>
      <c r="C1580" s="45">
        <f t="shared" si="24"/>
        <v>2</v>
      </c>
      <c r="D1580" s="45" t="b">
        <f>LineærRegression_Valg[[#This Row],[Afhængig variabel ID]]&lt;&gt;LineærRegression_Valg[[#This Row],[Uafhængig variabel ID]]</f>
        <v>1</v>
      </c>
      <c r="E1580" s="45" t="b">
        <f>LineærRegression_Valg[[#This Row],[Afhængig variabel ID]]&lt;=$B$5</f>
        <v>0</v>
      </c>
      <c r="F1580" t="str" cm="1">
        <f t="array" ref="F1580">IF(LineærRegression_Valg[[#This Row],[Indenfor range]],INDEX(DataTitel_liste,LineærRegression_Valg[[#This Row],[Afhængig variabel ID]]),INDEX(DataTitel_liste,1))</f>
        <v>Eksempel 1 (interval)</v>
      </c>
      <c r="G1580" s="45" t="str" cm="1">
        <f t="array" ref="G1580">IF(LineærRegression_Valg[[#This Row],[Indenfor range]],IF(LineærRegression_Valg[[#This Row],[Intet overlap]],INDEX(DataTitel_liste,LineærRegression_Valg[[#This Row],[Uafhængig variabel ID]]),INDEX(DataTitel_liste,IF(LineærRegression_Valg[[#This Row],[Afhængig variabel ID]]=1,2,1))),$B$7)</f>
        <v>Eksempel 2 (interval)</v>
      </c>
      <c r="H1580" s="45">
        <f>_xlfn.AGGREGATE(2,5,LineærRegression_Valg[[#This Row],[Tabel ID]])</f>
        <v>1</v>
      </c>
    </row>
    <row r="1581" spans="1:8" x14ac:dyDescent="0.2">
      <c r="A1581">
        <f>ROW(LineærRegression_Valg[[#This Row],[Tabel ID]])-ROW(LineærRegression_Valg[[#Headers],[Tabel ID]])</f>
        <v>1571</v>
      </c>
      <c r="B1581" s="45">
        <f>ROUNDDOWN((LineærRegression_Valg[[#This Row],[Tabel ID]]-1)/$B$5,0)+1</f>
        <v>393</v>
      </c>
      <c r="C1581" s="45">
        <f t="shared" si="24"/>
        <v>3</v>
      </c>
      <c r="D1581" s="45" t="b">
        <f>LineærRegression_Valg[[#This Row],[Afhængig variabel ID]]&lt;&gt;LineærRegression_Valg[[#This Row],[Uafhængig variabel ID]]</f>
        <v>1</v>
      </c>
      <c r="E1581" s="45" t="b">
        <f>LineærRegression_Valg[[#This Row],[Afhængig variabel ID]]&lt;=$B$5</f>
        <v>0</v>
      </c>
      <c r="F1581" t="str" cm="1">
        <f t="array" ref="F1581">IF(LineærRegression_Valg[[#This Row],[Indenfor range]],INDEX(DataTitel_liste,LineærRegression_Valg[[#This Row],[Afhængig variabel ID]]),INDEX(DataTitel_liste,1))</f>
        <v>Eksempel 1 (interval)</v>
      </c>
      <c r="G1581" s="45" t="str" cm="1">
        <f t="array" ref="G1581">IF(LineærRegression_Valg[[#This Row],[Indenfor range]],IF(LineærRegression_Valg[[#This Row],[Intet overlap]],INDEX(DataTitel_liste,LineærRegression_Valg[[#This Row],[Uafhængig variabel ID]]),INDEX(DataTitel_liste,IF(LineærRegression_Valg[[#This Row],[Afhængig variabel ID]]=1,2,1))),$B$7)</f>
        <v>Eksempel 2 (interval)</v>
      </c>
      <c r="H1581" s="45">
        <f>_xlfn.AGGREGATE(2,5,LineærRegression_Valg[[#This Row],[Tabel ID]])</f>
        <v>1</v>
      </c>
    </row>
    <row r="1582" spans="1:8" x14ac:dyDescent="0.2">
      <c r="A1582">
        <f>ROW(LineærRegression_Valg[[#This Row],[Tabel ID]])-ROW(LineærRegression_Valg[[#Headers],[Tabel ID]])</f>
        <v>1572</v>
      </c>
      <c r="B1582" s="45">
        <f>ROUNDDOWN((LineærRegression_Valg[[#This Row],[Tabel ID]]-1)/$B$5,0)+1</f>
        <v>393</v>
      </c>
      <c r="C1582" s="45">
        <f t="shared" si="24"/>
        <v>4</v>
      </c>
      <c r="D1582" s="45" t="b">
        <f>LineærRegression_Valg[[#This Row],[Afhængig variabel ID]]&lt;&gt;LineærRegression_Valg[[#This Row],[Uafhængig variabel ID]]</f>
        <v>1</v>
      </c>
      <c r="E1582" s="45" t="b">
        <f>LineærRegression_Valg[[#This Row],[Afhængig variabel ID]]&lt;=$B$5</f>
        <v>0</v>
      </c>
      <c r="F1582" t="str" cm="1">
        <f t="array" ref="F1582">IF(LineærRegression_Valg[[#This Row],[Indenfor range]],INDEX(DataTitel_liste,LineærRegression_Valg[[#This Row],[Afhængig variabel ID]]),INDEX(DataTitel_liste,1))</f>
        <v>Eksempel 1 (interval)</v>
      </c>
      <c r="G1582" s="45" t="str" cm="1">
        <f t="array" ref="G1582">IF(LineærRegression_Valg[[#This Row],[Indenfor range]],IF(LineærRegression_Valg[[#This Row],[Intet overlap]],INDEX(DataTitel_liste,LineærRegression_Valg[[#This Row],[Uafhængig variabel ID]]),INDEX(DataTitel_liste,IF(LineærRegression_Valg[[#This Row],[Afhængig variabel ID]]=1,2,1))),$B$7)</f>
        <v>Eksempel 2 (interval)</v>
      </c>
      <c r="H1582" s="45">
        <f>_xlfn.AGGREGATE(2,5,LineærRegression_Valg[[#This Row],[Tabel ID]])</f>
        <v>1</v>
      </c>
    </row>
    <row r="1583" spans="1:8" x14ac:dyDescent="0.2">
      <c r="A1583">
        <f>ROW(LineærRegression_Valg[[#This Row],[Tabel ID]])-ROW(LineærRegression_Valg[[#Headers],[Tabel ID]])</f>
        <v>1573</v>
      </c>
      <c r="B1583" s="45">
        <f>ROUNDDOWN((LineærRegression_Valg[[#This Row],[Tabel ID]]-1)/$B$5,0)+1</f>
        <v>394</v>
      </c>
      <c r="C1583" s="45">
        <f t="shared" si="24"/>
        <v>1</v>
      </c>
      <c r="D1583" s="45" t="b">
        <f>LineærRegression_Valg[[#This Row],[Afhængig variabel ID]]&lt;&gt;LineærRegression_Valg[[#This Row],[Uafhængig variabel ID]]</f>
        <v>1</v>
      </c>
      <c r="E1583" s="45" t="b">
        <f>LineærRegression_Valg[[#This Row],[Afhængig variabel ID]]&lt;=$B$5</f>
        <v>0</v>
      </c>
      <c r="F1583" t="str" cm="1">
        <f t="array" ref="F1583">IF(LineærRegression_Valg[[#This Row],[Indenfor range]],INDEX(DataTitel_liste,LineærRegression_Valg[[#This Row],[Afhængig variabel ID]]),INDEX(DataTitel_liste,1))</f>
        <v>Eksempel 1 (interval)</v>
      </c>
      <c r="G1583" s="45" t="str" cm="1">
        <f t="array" ref="G1583">IF(LineærRegression_Valg[[#This Row],[Indenfor range]],IF(LineærRegression_Valg[[#This Row],[Intet overlap]],INDEX(DataTitel_liste,LineærRegression_Valg[[#This Row],[Uafhængig variabel ID]]),INDEX(DataTitel_liste,IF(LineærRegression_Valg[[#This Row],[Afhængig variabel ID]]=1,2,1))),$B$7)</f>
        <v>Eksempel 2 (interval)</v>
      </c>
      <c r="H1583" s="45">
        <f>_xlfn.AGGREGATE(2,5,LineærRegression_Valg[[#This Row],[Tabel ID]])</f>
        <v>1</v>
      </c>
    </row>
    <row r="1584" spans="1:8" x14ac:dyDescent="0.2">
      <c r="A1584">
        <f>ROW(LineærRegression_Valg[[#This Row],[Tabel ID]])-ROW(LineærRegression_Valg[[#Headers],[Tabel ID]])</f>
        <v>1574</v>
      </c>
      <c r="B1584" s="45">
        <f>ROUNDDOWN((LineærRegression_Valg[[#This Row],[Tabel ID]]-1)/$B$5,0)+1</f>
        <v>394</v>
      </c>
      <c r="C1584" s="45">
        <f t="shared" si="24"/>
        <v>2</v>
      </c>
      <c r="D1584" s="45" t="b">
        <f>LineærRegression_Valg[[#This Row],[Afhængig variabel ID]]&lt;&gt;LineærRegression_Valg[[#This Row],[Uafhængig variabel ID]]</f>
        <v>1</v>
      </c>
      <c r="E1584" s="45" t="b">
        <f>LineærRegression_Valg[[#This Row],[Afhængig variabel ID]]&lt;=$B$5</f>
        <v>0</v>
      </c>
      <c r="F1584" t="str" cm="1">
        <f t="array" ref="F1584">IF(LineærRegression_Valg[[#This Row],[Indenfor range]],INDEX(DataTitel_liste,LineærRegression_Valg[[#This Row],[Afhængig variabel ID]]),INDEX(DataTitel_liste,1))</f>
        <v>Eksempel 1 (interval)</v>
      </c>
      <c r="G1584" s="45" t="str" cm="1">
        <f t="array" ref="G1584">IF(LineærRegression_Valg[[#This Row],[Indenfor range]],IF(LineærRegression_Valg[[#This Row],[Intet overlap]],INDEX(DataTitel_liste,LineærRegression_Valg[[#This Row],[Uafhængig variabel ID]]),INDEX(DataTitel_liste,IF(LineærRegression_Valg[[#This Row],[Afhængig variabel ID]]=1,2,1))),$B$7)</f>
        <v>Eksempel 2 (interval)</v>
      </c>
      <c r="H1584" s="45">
        <f>_xlfn.AGGREGATE(2,5,LineærRegression_Valg[[#This Row],[Tabel ID]])</f>
        <v>1</v>
      </c>
    </row>
    <row r="1585" spans="1:8" x14ac:dyDescent="0.2">
      <c r="A1585">
        <f>ROW(LineærRegression_Valg[[#This Row],[Tabel ID]])-ROW(LineærRegression_Valg[[#Headers],[Tabel ID]])</f>
        <v>1575</v>
      </c>
      <c r="B1585" s="45">
        <f>ROUNDDOWN((LineærRegression_Valg[[#This Row],[Tabel ID]]-1)/$B$5,0)+1</f>
        <v>394</v>
      </c>
      <c r="C1585" s="45">
        <f t="shared" si="24"/>
        <v>3</v>
      </c>
      <c r="D1585" s="45" t="b">
        <f>LineærRegression_Valg[[#This Row],[Afhængig variabel ID]]&lt;&gt;LineærRegression_Valg[[#This Row],[Uafhængig variabel ID]]</f>
        <v>1</v>
      </c>
      <c r="E1585" s="45" t="b">
        <f>LineærRegression_Valg[[#This Row],[Afhængig variabel ID]]&lt;=$B$5</f>
        <v>0</v>
      </c>
      <c r="F1585" t="str" cm="1">
        <f t="array" ref="F1585">IF(LineærRegression_Valg[[#This Row],[Indenfor range]],INDEX(DataTitel_liste,LineærRegression_Valg[[#This Row],[Afhængig variabel ID]]),INDEX(DataTitel_liste,1))</f>
        <v>Eksempel 1 (interval)</v>
      </c>
      <c r="G1585" s="45" t="str" cm="1">
        <f t="array" ref="G1585">IF(LineærRegression_Valg[[#This Row],[Indenfor range]],IF(LineærRegression_Valg[[#This Row],[Intet overlap]],INDEX(DataTitel_liste,LineærRegression_Valg[[#This Row],[Uafhængig variabel ID]]),INDEX(DataTitel_liste,IF(LineærRegression_Valg[[#This Row],[Afhængig variabel ID]]=1,2,1))),$B$7)</f>
        <v>Eksempel 2 (interval)</v>
      </c>
      <c r="H1585" s="45">
        <f>_xlfn.AGGREGATE(2,5,LineærRegression_Valg[[#This Row],[Tabel ID]])</f>
        <v>1</v>
      </c>
    </row>
    <row r="1586" spans="1:8" x14ac:dyDescent="0.2">
      <c r="A1586">
        <f>ROW(LineærRegression_Valg[[#This Row],[Tabel ID]])-ROW(LineærRegression_Valg[[#Headers],[Tabel ID]])</f>
        <v>1576</v>
      </c>
      <c r="B1586" s="45">
        <f>ROUNDDOWN((LineærRegression_Valg[[#This Row],[Tabel ID]]-1)/$B$5,0)+1</f>
        <v>394</v>
      </c>
      <c r="C1586" s="45">
        <f t="shared" si="24"/>
        <v>4</v>
      </c>
      <c r="D1586" s="45" t="b">
        <f>LineærRegression_Valg[[#This Row],[Afhængig variabel ID]]&lt;&gt;LineærRegression_Valg[[#This Row],[Uafhængig variabel ID]]</f>
        <v>1</v>
      </c>
      <c r="E1586" s="45" t="b">
        <f>LineærRegression_Valg[[#This Row],[Afhængig variabel ID]]&lt;=$B$5</f>
        <v>0</v>
      </c>
      <c r="F1586" t="str" cm="1">
        <f t="array" ref="F1586">IF(LineærRegression_Valg[[#This Row],[Indenfor range]],INDEX(DataTitel_liste,LineærRegression_Valg[[#This Row],[Afhængig variabel ID]]),INDEX(DataTitel_liste,1))</f>
        <v>Eksempel 1 (interval)</v>
      </c>
      <c r="G1586" s="45" t="str" cm="1">
        <f t="array" ref="G1586">IF(LineærRegression_Valg[[#This Row],[Indenfor range]],IF(LineærRegression_Valg[[#This Row],[Intet overlap]],INDEX(DataTitel_liste,LineærRegression_Valg[[#This Row],[Uafhængig variabel ID]]),INDEX(DataTitel_liste,IF(LineærRegression_Valg[[#This Row],[Afhængig variabel ID]]=1,2,1))),$B$7)</f>
        <v>Eksempel 2 (interval)</v>
      </c>
      <c r="H1586" s="45">
        <f>_xlfn.AGGREGATE(2,5,LineærRegression_Valg[[#This Row],[Tabel ID]])</f>
        <v>1</v>
      </c>
    </row>
    <row r="1587" spans="1:8" x14ac:dyDescent="0.2">
      <c r="A1587">
        <f>ROW(LineærRegression_Valg[[#This Row],[Tabel ID]])-ROW(LineærRegression_Valg[[#Headers],[Tabel ID]])</f>
        <v>1577</v>
      </c>
      <c r="B1587" s="45">
        <f>ROUNDDOWN((LineærRegression_Valg[[#This Row],[Tabel ID]]-1)/$B$5,0)+1</f>
        <v>395</v>
      </c>
      <c r="C1587" s="45">
        <f t="shared" si="24"/>
        <v>1</v>
      </c>
      <c r="D1587" s="45" t="b">
        <f>LineærRegression_Valg[[#This Row],[Afhængig variabel ID]]&lt;&gt;LineærRegression_Valg[[#This Row],[Uafhængig variabel ID]]</f>
        <v>1</v>
      </c>
      <c r="E1587" s="45" t="b">
        <f>LineærRegression_Valg[[#This Row],[Afhængig variabel ID]]&lt;=$B$5</f>
        <v>0</v>
      </c>
      <c r="F1587" t="str" cm="1">
        <f t="array" ref="F1587">IF(LineærRegression_Valg[[#This Row],[Indenfor range]],INDEX(DataTitel_liste,LineærRegression_Valg[[#This Row],[Afhængig variabel ID]]),INDEX(DataTitel_liste,1))</f>
        <v>Eksempel 1 (interval)</v>
      </c>
      <c r="G1587" s="45" t="str" cm="1">
        <f t="array" ref="G1587">IF(LineærRegression_Valg[[#This Row],[Indenfor range]],IF(LineærRegression_Valg[[#This Row],[Intet overlap]],INDEX(DataTitel_liste,LineærRegression_Valg[[#This Row],[Uafhængig variabel ID]]),INDEX(DataTitel_liste,IF(LineærRegression_Valg[[#This Row],[Afhængig variabel ID]]=1,2,1))),$B$7)</f>
        <v>Eksempel 2 (interval)</v>
      </c>
      <c r="H1587" s="45">
        <f>_xlfn.AGGREGATE(2,5,LineærRegression_Valg[[#This Row],[Tabel ID]])</f>
        <v>1</v>
      </c>
    </row>
    <row r="1588" spans="1:8" x14ac:dyDescent="0.2">
      <c r="A1588">
        <f>ROW(LineærRegression_Valg[[#This Row],[Tabel ID]])-ROW(LineærRegression_Valg[[#Headers],[Tabel ID]])</f>
        <v>1578</v>
      </c>
      <c r="B1588" s="45">
        <f>ROUNDDOWN((LineærRegression_Valg[[#This Row],[Tabel ID]]-1)/$B$5,0)+1</f>
        <v>395</v>
      </c>
      <c r="C1588" s="45">
        <f t="shared" si="24"/>
        <v>2</v>
      </c>
      <c r="D1588" s="45" t="b">
        <f>LineærRegression_Valg[[#This Row],[Afhængig variabel ID]]&lt;&gt;LineærRegression_Valg[[#This Row],[Uafhængig variabel ID]]</f>
        <v>1</v>
      </c>
      <c r="E1588" s="45" t="b">
        <f>LineærRegression_Valg[[#This Row],[Afhængig variabel ID]]&lt;=$B$5</f>
        <v>0</v>
      </c>
      <c r="F1588" t="str" cm="1">
        <f t="array" ref="F1588">IF(LineærRegression_Valg[[#This Row],[Indenfor range]],INDEX(DataTitel_liste,LineærRegression_Valg[[#This Row],[Afhængig variabel ID]]),INDEX(DataTitel_liste,1))</f>
        <v>Eksempel 1 (interval)</v>
      </c>
      <c r="G1588" s="45" t="str" cm="1">
        <f t="array" ref="G1588">IF(LineærRegression_Valg[[#This Row],[Indenfor range]],IF(LineærRegression_Valg[[#This Row],[Intet overlap]],INDEX(DataTitel_liste,LineærRegression_Valg[[#This Row],[Uafhængig variabel ID]]),INDEX(DataTitel_liste,IF(LineærRegression_Valg[[#This Row],[Afhængig variabel ID]]=1,2,1))),$B$7)</f>
        <v>Eksempel 2 (interval)</v>
      </c>
      <c r="H1588" s="45">
        <f>_xlfn.AGGREGATE(2,5,LineærRegression_Valg[[#This Row],[Tabel ID]])</f>
        <v>1</v>
      </c>
    </row>
    <row r="1589" spans="1:8" x14ac:dyDescent="0.2">
      <c r="A1589">
        <f>ROW(LineærRegression_Valg[[#This Row],[Tabel ID]])-ROW(LineærRegression_Valg[[#Headers],[Tabel ID]])</f>
        <v>1579</v>
      </c>
      <c r="B1589" s="45">
        <f>ROUNDDOWN((LineærRegression_Valg[[#This Row],[Tabel ID]]-1)/$B$5,0)+1</f>
        <v>395</v>
      </c>
      <c r="C1589" s="45">
        <f t="shared" si="24"/>
        <v>3</v>
      </c>
      <c r="D1589" s="45" t="b">
        <f>LineærRegression_Valg[[#This Row],[Afhængig variabel ID]]&lt;&gt;LineærRegression_Valg[[#This Row],[Uafhængig variabel ID]]</f>
        <v>1</v>
      </c>
      <c r="E1589" s="45" t="b">
        <f>LineærRegression_Valg[[#This Row],[Afhængig variabel ID]]&lt;=$B$5</f>
        <v>0</v>
      </c>
      <c r="F1589" t="str" cm="1">
        <f t="array" ref="F1589">IF(LineærRegression_Valg[[#This Row],[Indenfor range]],INDEX(DataTitel_liste,LineærRegression_Valg[[#This Row],[Afhængig variabel ID]]),INDEX(DataTitel_liste,1))</f>
        <v>Eksempel 1 (interval)</v>
      </c>
      <c r="G1589" s="45" t="str" cm="1">
        <f t="array" ref="G1589">IF(LineærRegression_Valg[[#This Row],[Indenfor range]],IF(LineærRegression_Valg[[#This Row],[Intet overlap]],INDEX(DataTitel_liste,LineærRegression_Valg[[#This Row],[Uafhængig variabel ID]]),INDEX(DataTitel_liste,IF(LineærRegression_Valg[[#This Row],[Afhængig variabel ID]]=1,2,1))),$B$7)</f>
        <v>Eksempel 2 (interval)</v>
      </c>
      <c r="H1589" s="45">
        <f>_xlfn.AGGREGATE(2,5,LineærRegression_Valg[[#This Row],[Tabel ID]])</f>
        <v>1</v>
      </c>
    </row>
    <row r="1590" spans="1:8" x14ac:dyDescent="0.2">
      <c r="A1590">
        <f>ROW(LineærRegression_Valg[[#This Row],[Tabel ID]])-ROW(LineærRegression_Valg[[#Headers],[Tabel ID]])</f>
        <v>1580</v>
      </c>
      <c r="B1590" s="45">
        <f>ROUNDDOWN((LineærRegression_Valg[[#This Row],[Tabel ID]]-1)/$B$5,0)+1</f>
        <v>395</v>
      </c>
      <c r="C1590" s="45">
        <f t="shared" si="24"/>
        <v>4</v>
      </c>
      <c r="D1590" s="45" t="b">
        <f>LineærRegression_Valg[[#This Row],[Afhængig variabel ID]]&lt;&gt;LineærRegression_Valg[[#This Row],[Uafhængig variabel ID]]</f>
        <v>1</v>
      </c>
      <c r="E1590" s="45" t="b">
        <f>LineærRegression_Valg[[#This Row],[Afhængig variabel ID]]&lt;=$B$5</f>
        <v>0</v>
      </c>
      <c r="F1590" t="str" cm="1">
        <f t="array" ref="F1590">IF(LineærRegression_Valg[[#This Row],[Indenfor range]],INDEX(DataTitel_liste,LineærRegression_Valg[[#This Row],[Afhængig variabel ID]]),INDEX(DataTitel_liste,1))</f>
        <v>Eksempel 1 (interval)</v>
      </c>
      <c r="G1590" s="45" t="str" cm="1">
        <f t="array" ref="G1590">IF(LineærRegression_Valg[[#This Row],[Indenfor range]],IF(LineærRegression_Valg[[#This Row],[Intet overlap]],INDEX(DataTitel_liste,LineærRegression_Valg[[#This Row],[Uafhængig variabel ID]]),INDEX(DataTitel_liste,IF(LineærRegression_Valg[[#This Row],[Afhængig variabel ID]]=1,2,1))),$B$7)</f>
        <v>Eksempel 2 (interval)</v>
      </c>
      <c r="H1590" s="45">
        <f>_xlfn.AGGREGATE(2,5,LineærRegression_Valg[[#This Row],[Tabel ID]])</f>
        <v>1</v>
      </c>
    </row>
    <row r="1591" spans="1:8" x14ac:dyDescent="0.2">
      <c r="A1591">
        <f>ROW(LineærRegression_Valg[[#This Row],[Tabel ID]])-ROW(LineærRegression_Valg[[#Headers],[Tabel ID]])</f>
        <v>1581</v>
      </c>
      <c r="B1591" s="45">
        <f>ROUNDDOWN((LineærRegression_Valg[[#This Row],[Tabel ID]]-1)/$B$5,0)+1</f>
        <v>396</v>
      </c>
      <c r="C1591" s="45">
        <f t="shared" si="24"/>
        <v>1</v>
      </c>
      <c r="D1591" s="45" t="b">
        <f>LineærRegression_Valg[[#This Row],[Afhængig variabel ID]]&lt;&gt;LineærRegression_Valg[[#This Row],[Uafhængig variabel ID]]</f>
        <v>1</v>
      </c>
      <c r="E1591" s="45" t="b">
        <f>LineærRegression_Valg[[#This Row],[Afhængig variabel ID]]&lt;=$B$5</f>
        <v>0</v>
      </c>
      <c r="F1591" t="str" cm="1">
        <f t="array" ref="F1591">IF(LineærRegression_Valg[[#This Row],[Indenfor range]],INDEX(DataTitel_liste,LineærRegression_Valg[[#This Row],[Afhængig variabel ID]]),INDEX(DataTitel_liste,1))</f>
        <v>Eksempel 1 (interval)</v>
      </c>
      <c r="G1591" s="45" t="str" cm="1">
        <f t="array" ref="G1591">IF(LineærRegression_Valg[[#This Row],[Indenfor range]],IF(LineærRegression_Valg[[#This Row],[Intet overlap]],INDEX(DataTitel_liste,LineærRegression_Valg[[#This Row],[Uafhængig variabel ID]]),INDEX(DataTitel_liste,IF(LineærRegression_Valg[[#This Row],[Afhængig variabel ID]]=1,2,1))),$B$7)</f>
        <v>Eksempel 2 (interval)</v>
      </c>
      <c r="H1591" s="45">
        <f>_xlfn.AGGREGATE(2,5,LineærRegression_Valg[[#This Row],[Tabel ID]])</f>
        <v>1</v>
      </c>
    </row>
    <row r="1592" spans="1:8" x14ac:dyDescent="0.2">
      <c r="A1592">
        <f>ROW(LineærRegression_Valg[[#This Row],[Tabel ID]])-ROW(LineærRegression_Valg[[#Headers],[Tabel ID]])</f>
        <v>1582</v>
      </c>
      <c r="B1592" s="45">
        <f>ROUNDDOWN((LineærRegression_Valg[[#This Row],[Tabel ID]]-1)/$B$5,0)+1</f>
        <v>396</v>
      </c>
      <c r="C1592" s="45">
        <f t="shared" si="24"/>
        <v>2</v>
      </c>
      <c r="D1592" s="45" t="b">
        <f>LineærRegression_Valg[[#This Row],[Afhængig variabel ID]]&lt;&gt;LineærRegression_Valg[[#This Row],[Uafhængig variabel ID]]</f>
        <v>1</v>
      </c>
      <c r="E1592" s="45" t="b">
        <f>LineærRegression_Valg[[#This Row],[Afhængig variabel ID]]&lt;=$B$5</f>
        <v>0</v>
      </c>
      <c r="F1592" t="str" cm="1">
        <f t="array" ref="F1592">IF(LineærRegression_Valg[[#This Row],[Indenfor range]],INDEX(DataTitel_liste,LineærRegression_Valg[[#This Row],[Afhængig variabel ID]]),INDEX(DataTitel_liste,1))</f>
        <v>Eksempel 1 (interval)</v>
      </c>
      <c r="G1592" s="45" t="str" cm="1">
        <f t="array" ref="G1592">IF(LineærRegression_Valg[[#This Row],[Indenfor range]],IF(LineærRegression_Valg[[#This Row],[Intet overlap]],INDEX(DataTitel_liste,LineærRegression_Valg[[#This Row],[Uafhængig variabel ID]]),INDEX(DataTitel_liste,IF(LineærRegression_Valg[[#This Row],[Afhængig variabel ID]]=1,2,1))),$B$7)</f>
        <v>Eksempel 2 (interval)</v>
      </c>
      <c r="H1592" s="45">
        <f>_xlfn.AGGREGATE(2,5,LineærRegression_Valg[[#This Row],[Tabel ID]])</f>
        <v>1</v>
      </c>
    </row>
    <row r="1593" spans="1:8" x14ac:dyDescent="0.2">
      <c r="A1593">
        <f>ROW(LineærRegression_Valg[[#This Row],[Tabel ID]])-ROW(LineærRegression_Valg[[#Headers],[Tabel ID]])</f>
        <v>1583</v>
      </c>
      <c r="B1593" s="45">
        <f>ROUNDDOWN((LineærRegression_Valg[[#This Row],[Tabel ID]]-1)/$B$5,0)+1</f>
        <v>396</v>
      </c>
      <c r="C1593" s="45">
        <f t="shared" si="24"/>
        <v>3</v>
      </c>
      <c r="D1593" s="45" t="b">
        <f>LineærRegression_Valg[[#This Row],[Afhængig variabel ID]]&lt;&gt;LineærRegression_Valg[[#This Row],[Uafhængig variabel ID]]</f>
        <v>1</v>
      </c>
      <c r="E1593" s="45" t="b">
        <f>LineærRegression_Valg[[#This Row],[Afhængig variabel ID]]&lt;=$B$5</f>
        <v>0</v>
      </c>
      <c r="F1593" t="str" cm="1">
        <f t="array" ref="F1593">IF(LineærRegression_Valg[[#This Row],[Indenfor range]],INDEX(DataTitel_liste,LineærRegression_Valg[[#This Row],[Afhængig variabel ID]]),INDEX(DataTitel_liste,1))</f>
        <v>Eksempel 1 (interval)</v>
      </c>
      <c r="G1593" s="45" t="str" cm="1">
        <f t="array" ref="G1593">IF(LineærRegression_Valg[[#This Row],[Indenfor range]],IF(LineærRegression_Valg[[#This Row],[Intet overlap]],INDEX(DataTitel_liste,LineærRegression_Valg[[#This Row],[Uafhængig variabel ID]]),INDEX(DataTitel_liste,IF(LineærRegression_Valg[[#This Row],[Afhængig variabel ID]]=1,2,1))),$B$7)</f>
        <v>Eksempel 2 (interval)</v>
      </c>
      <c r="H1593" s="45">
        <f>_xlfn.AGGREGATE(2,5,LineærRegression_Valg[[#This Row],[Tabel ID]])</f>
        <v>1</v>
      </c>
    </row>
    <row r="1594" spans="1:8" x14ac:dyDescent="0.2">
      <c r="A1594">
        <f>ROW(LineærRegression_Valg[[#This Row],[Tabel ID]])-ROW(LineærRegression_Valg[[#Headers],[Tabel ID]])</f>
        <v>1584</v>
      </c>
      <c r="B1594" s="45">
        <f>ROUNDDOWN((LineærRegression_Valg[[#This Row],[Tabel ID]]-1)/$B$5,0)+1</f>
        <v>396</v>
      </c>
      <c r="C1594" s="45">
        <f t="shared" si="24"/>
        <v>4</v>
      </c>
      <c r="D1594" s="45" t="b">
        <f>LineærRegression_Valg[[#This Row],[Afhængig variabel ID]]&lt;&gt;LineærRegression_Valg[[#This Row],[Uafhængig variabel ID]]</f>
        <v>1</v>
      </c>
      <c r="E1594" s="45" t="b">
        <f>LineærRegression_Valg[[#This Row],[Afhængig variabel ID]]&lt;=$B$5</f>
        <v>0</v>
      </c>
      <c r="F1594" t="str" cm="1">
        <f t="array" ref="F1594">IF(LineærRegression_Valg[[#This Row],[Indenfor range]],INDEX(DataTitel_liste,LineærRegression_Valg[[#This Row],[Afhængig variabel ID]]),INDEX(DataTitel_liste,1))</f>
        <v>Eksempel 1 (interval)</v>
      </c>
      <c r="G1594" s="45" t="str" cm="1">
        <f t="array" ref="G1594">IF(LineærRegression_Valg[[#This Row],[Indenfor range]],IF(LineærRegression_Valg[[#This Row],[Intet overlap]],INDEX(DataTitel_liste,LineærRegression_Valg[[#This Row],[Uafhængig variabel ID]]),INDEX(DataTitel_liste,IF(LineærRegression_Valg[[#This Row],[Afhængig variabel ID]]=1,2,1))),$B$7)</f>
        <v>Eksempel 2 (interval)</v>
      </c>
      <c r="H1594" s="45">
        <f>_xlfn.AGGREGATE(2,5,LineærRegression_Valg[[#This Row],[Tabel ID]])</f>
        <v>1</v>
      </c>
    </row>
    <row r="1595" spans="1:8" x14ac:dyDescent="0.2">
      <c r="A1595">
        <f>ROW(LineærRegression_Valg[[#This Row],[Tabel ID]])-ROW(LineærRegression_Valg[[#Headers],[Tabel ID]])</f>
        <v>1585</v>
      </c>
      <c r="B1595" s="45">
        <f>ROUNDDOWN((LineærRegression_Valg[[#This Row],[Tabel ID]]-1)/$B$5,0)+1</f>
        <v>397</v>
      </c>
      <c r="C1595" s="45">
        <f t="shared" si="24"/>
        <v>1</v>
      </c>
      <c r="D1595" s="45" t="b">
        <f>LineærRegression_Valg[[#This Row],[Afhængig variabel ID]]&lt;&gt;LineærRegression_Valg[[#This Row],[Uafhængig variabel ID]]</f>
        <v>1</v>
      </c>
      <c r="E1595" s="45" t="b">
        <f>LineærRegression_Valg[[#This Row],[Afhængig variabel ID]]&lt;=$B$5</f>
        <v>0</v>
      </c>
      <c r="F1595" t="str" cm="1">
        <f t="array" ref="F1595">IF(LineærRegression_Valg[[#This Row],[Indenfor range]],INDEX(DataTitel_liste,LineærRegression_Valg[[#This Row],[Afhængig variabel ID]]),INDEX(DataTitel_liste,1))</f>
        <v>Eksempel 1 (interval)</v>
      </c>
      <c r="G1595" s="45" t="str" cm="1">
        <f t="array" ref="G1595">IF(LineærRegression_Valg[[#This Row],[Indenfor range]],IF(LineærRegression_Valg[[#This Row],[Intet overlap]],INDEX(DataTitel_liste,LineærRegression_Valg[[#This Row],[Uafhængig variabel ID]]),INDEX(DataTitel_liste,IF(LineærRegression_Valg[[#This Row],[Afhængig variabel ID]]=1,2,1))),$B$7)</f>
        <v>Eksempel 2 (interval)</v>
      </c>
      <c r="H1595" s="45">
        <f>_xlfn.AGGREGATE(2,5,LineærRegression_Valg[[#This Row],[Tabel ID]])</f>
        <v>1</v>
      </c>
    </row>
    <row r="1596" spans="1:8" x14ac:dyDescent="0.2">
      <c r="A1596">
        <f>ROW(LineærRegression_Valg[[#This Row],[Tabel ID]])-ROW(LineærRegression_Valg[[#Headers],[Tabel ID]])</f>
        <v>1586</v>
      </c>
      <c r="B1596" s="45">
        <f>ROUNDDOWN((LineærRegression_Valg[[#This Row],[Tabel ID]]-1)/$B$5,0)+1</f>
        <v>397</v>
      </c>
      <c r="C1596" s="45">
        <f t="shared" si="24"/>
        <v>2</v>
      </c>
      <c r="D1596" s="45" t="b">
        <f>LineærRegression_Valg[[#This Row],[Afhængig variabel ID]]&lt;&gt;LineærRegression_Valg[[#This Row],[Uafhængig variabel ID]]</f>
        <v>1</v>
      </c>
      <c r="E1596" s="45" t="b">
        <f>LineærRegression_Valg[[#This Row],[Afhængig variabel ID]]&lt;=$B$5</f>
        <v>0</v>
      </c>
      <c r="F1596" t="str" cm="1">
        <f t="array" ref="F1596">IF(LineærRegression_Valg[[#This Row],[Indenfor range]],INDEX(DataTitel_liste,LineærRegression_Valg[[#This Row],[Afhængig variabel ID]]),INDEX(DataTitel_liste,1))</f>
        <v>Eksempel 1 (interval)</v>
      </c>
      <c r="G1596" s="45" t="str" cm="1">
        <f t="array" ref="G1596">IF(LineærRegression_Valg[[#This Row],[Indenfor range]],IF(LineærRegression_Valg[[#This Row],[Intet overlap]],INDEX(DataTitel_liste,LineærRegression_Valg[[#This Row],[Uafhængig variabel ID]]),INDEX(DataTitel_liste,IF(LineærRegression_Valg[[#This Row],[Afhængig variabel ID]]=1,2,1))),$B$7)</f>
        <v>Eksempel 2 (interval)</v>
      </c>
      <c r="H1596" s="45">
        <f>_xlfn.AGGREGATE(2,5,LineærRegression_Valg[[#This Row],[Tabel ID]])</f>
        <v>1</v>
      </c>
    </row>
    <row r="1597" spans="1:8" x14ac:dyDescent="0.2">
      <c r="A1597">
        <f>ROW(LineærRegression_Valg[[#This Row],[Tabel ID]])-ROW(LineærRegression_Valg[[#Headers],[Tabel ID]])</f>
        <v>1587</v>
      </c>
      <c r="B1597" s="45">
        <f>ROUNDDOWN((LineærRegression_Valg[[#This Row],[Tabel ID]]-1)/$B$5,0)+1</f>
        <v>397</v>
      </c>
      <c r="C1597" s="45">
        <f t="shared" si="24"/>
        <v>3</v>
      </c>
      <c r="D1597" s="45" t="b">
        <f>LineærRegression_Valg[[#This Row],[Afhængig variabel ID]]&lt;&gt;LineærRegression_Valg[[#This Row],[Uafhængig variabel ID]]</f>
        <v>1</v>
      </c>
      <c r="E1597" s="45" t="b">
        <f>LineærRegression_Valg[[#This Row],[Afhængig variabel ID]]&lt;=$B$5</f>
        <v>0</v>
      </c>
      <c r="F1597" t="str" cm="1">
        <f t="array" ref="F1597">IF(LineærRegression_Valg[[#This Row],[Indenfor range]],INDEX(DataTitel_liste,LineærRegression_Valg[[#This Row],[Afhængig variabel ID]]),INDEX(DataTitel_liste,1))</f>
        <v>Eksempel 1 (interval)</v>
      </c>
      <c r="G1597" s="45" t="str" cm="1">
        <f t="array" ref="G1597">IF(LineærRegression_Valg[[#This Row],[Indenfor range]],IF(LineærRegression_Valg[[#This Row],[Intet overlap]],INDEX(DataTitel_liste,LineærRegression_Valg[[#This Row],[Uafhængig variabel ID]]),INDEX(DataTitel_liste,IF(LineærRegression_Valg[[#This Row],[Afhængig variabel ID]]=1,2,1))),$B$7)</f>
        <v>Eksempel 2 (interval)</v>
      </c>
      <c r="H1597" s="45">
        <f>_xlfn.AGGREGATE(2,5,LineærRegression_Valg[[#This Row],[Tabel ID]])</f>
        <v>1</v>
      </c>
    </row>
    <row r="1598" spans="1:8" x14ac:dyDescent="0.2">
      <c r="A1598">
        <f>ROW(LineærRegression_Valg[[#This Row],[Tabel ID]])-ROW(LineærRegression_Valg[[#Headers],[Tabel ID]])</f>
        <v>1588</v>
      </c>
      <c r="B1598" s="45">
        <f>ROUNDDOWN((LineærRegression_Valg[[#This Row],[Tabel ID]]-1)/$B$5,0)+1</f>
        <v>397</v>
      </c>
      <c r="C1598" s="45">
        <f t="shared" si="24"/>
        <v>4</v>
      </c>
      <c r="D1598" s="45" t="b">
        <f>LineærRegression_Valg[[#This Row],[Afhængig variabel ID]]&lt;&gt;LineærRegression_Valg[[#This Row],[Uafhængig variabel ID]]</f>
        <v>1</v>
      </c>
      <c r="E1598" s="45" t="b">
        <f>LineærRegression_Valg[[#This Row],[Afhængig variabel ID]]&lt;=$B$5</f>
        <v>0</v>
      </c>
      <c r="F1598" t="str" cm="1">
        <f t="array" ref="F1598">IF(LineærRegression_Valg[[#This Row],[Indenfor range]],INDEX(DataTitel_liste,LineærRegression_Valg[[#This Row],[Afhængig variabel ID]]),INDEX(DataTitel_liste,1))</f>
        <v>Eksempel 1 (interval)</v>
      </c>
      <c r="G1598" s="45" t="str" cm="1">
        <f t="array" ref="G1598">IF(LineærRegression_Valg[[#This Row],[Indenfor range]],IF(LineærRegression_Valg[[#This Row],[Intet overlap]],INDEX(DataTitel_liste,LineærRegression_Valg[[#This Row],[Uafhængig variabel ID]]),INDEX(DataTitel_liste,IF(LineærRegression_Valg[[#This Row],[Afhængig variabel ID]]=1,2,1))),$B$7)</f>
        <v>Eksempel 2 (interval)</v>
      </c>
      <c r="H1598" s="45">
        <f>_xlfn.AGGREGATE(2,5,LineærRegression_Valg[[#This Row],[Tabel ID]])</f>
        <v>1</v>
      </c>
    </row>
    <row r="1599" spans="1:8" x14ac:dyDescent="0.2">
      <c r="A1599">
        <f>ROW(LineærRegression_Valg[[#This Row],[Tabel ID]])-ROW(LineærRegression_Valg[[#Headers],[Tabel ID]])</f>
        <v>1589</v>
      </c>
      <c r="B1599" s="45">
        <f>ROUNDDOWN((LineærRegression_Valg[[#This Row],[Tabel ID]]-1)/$B$5,0)+1</f>
        <v>398</v>
      </c>
      <c r="C1599" s="45">
        <f t="shared" si="24"/>
        <v>1</v>
      </c>
      <c r="D1599" s="45" t="b">
        <f>LineærRegression_Valg[[#This Row],[Afhængig variabel ID]]&lt;&gt;LineærRegression_Valg[[#This Row],[Uafhængig variabel ID]]</f>
        <v>1</v>
      </c>
      <c r="E1599" s="45" t="b">
        <f>LineærRegression_Valg[[#This Row],[Afhængig variabel ID]]&lt;=$B$5</f>
        <v>0</v>
      </c>
      <c r="F1599" t="str" cm="1">
        <f t="array" ref="F1599">IF(LineærRegression_Valg[[#This Row],[Indenfor range]],INDEX(DataTitel_liste,LineærRegression_Valg[[#This Row],[Afhængig variabel ID]]),INDEX(DataTitel_liste,1))</f>
        <v>Eksempel 1 (interval)</v>
      </c>
      <c r="G1599" s="45" t="str" cm="1">
        <f t="array" ref="G1599">IF(LineærRegression_Valg[[#This Row],[Indenfor range]],IF(LineærRegression_Valg[[#This Row],[Intet overlap]],INDEX(DataTitel_liste,LineærRegression_Valg[[#This Row],[Uafhængig variabel ID]]),INDEX(DataTitel_liste,IF(LineærRegression_Valg[[#This Row],[Afhængig variabel ID]]=1,2,1))),$B$7)</f>
        <v>Eksempel 2 (interval)</v>
      </c>
      <c r="H1599" s="45">
        <f>_xlfn.AGGREGATE(2,5,LineærRegression_Valg[[#This Row],[Tabel ID]])</f>
        <v>1</v>
      </c>
    </row>
    <row r="1600" spans="1:8" x14ac:dyDescent="0.2">
      <c r="A1600">
        <f>ROW(LineærRegression_Valg[[#This Row],[Tabel ID]])-ROW(LineærRegression_Valg[[#Headers],[Tabel ID]])</f>
        <v>1590</v>
      </c>
      <c r="B1600" s="45">
        <f>ROUNDDOWN((LineærRegression_Valg[[#This Row],[Tabel ID]]-1)/$B$5,0)+1</f>
        <v>398</v>
      </c>
      <c r="C1600" s="45">
        <f t="shared" si="24"/>
        <v>2</v>
      </c>
      <c r="D1600" s="45" t="b">
        <f>LineærRegression_Valg[[#This Row],[Afhængig variabel ID]]&lt;&gt;LineærRegression_Valg[[#This Row],[Uafhængig variabel ID]]</f>
        <v>1</v>
      </c>
      <c r="E1600" s="45" t="b">
        <f>LineærRegression_Valg[[#This Row],[Afhængig variabel ID]]&lt;=$B$5</f>
        <v>0</v>
      </c>
      <c r="F1600" t="str" cm="1">
        <f t="array" ref="F1600">IF(LineærRegression_Valg[[#This Row],[Indenfor range]],INDEX(DataTitel_liste,LineærRegression_Valg[[#This Row],[Afhængig variabel ID]]),INDEX(DataTitel_liste,1))</f>
        <v>Eksempel 1 (interval)</v>
      </c>
      <c r="G1600" s="45" t="str" cm="1">
        <f t="array" ref="G1600">IF(LineærRegression_Valg[[#This Row],[Indenfor range]],IF(LineærRegression_Valg[[#This Row],[Intet overlap]],INDEX(DataTitel_liste,LineærRegression_Valg[[#This Row],[Uafhængig variabel ID]]),INDEX(DataTitel_liste,IF(LineærRegression_Valg[[#This Row],[Afhængig variabel ID]]=1,2,1))),$B$7)</f>
        <v>Eksempel 2 (interval)</v>
      </c>
      <c r="H1600" s="45">
        <f>_xlfn.AGGREGATE(2,5,LineærRegression_Valg[[#This Row],[Tabel ID]])</f>
        <v>1</v>
      </c>
    </row>
    <row r="1601" spans="1:8" x14ac:dyDescent="0.2">
      <c r="A1601">
        <f>ROW(LineærRegression_Valg[[#This Row],[Tabel ID]])-ROW(LineærRegression_Valg[[#Headers],[Tabel ID]])</f>
        <v>1591</v>
      </c>
      <c r="B1601" s="45">
        <f>ROUNDDOWN((LineærRegression_Valg[[#This Row],[Tabel ID]]-1)/$B$5,0)+1</f>
        <v>398</v>
      </c>
      <c r="C1601" s="45">
        <f t="shared" si="24"/>
        <v>3</v>
      </c>
      <c r="D1601" s="45" t="b">
        <f>LineærRegression_Valg[[#This Row],[Afhængig variabel ID]]&lt;&gt;LineærRegression_Valg[[#This Row],[Uafhængig variabel ID]]</f>
        <v>1</v>
      </c>
      <c r="E1601" s="45" t="b">
        <f>LineærRegression_Valg[[#This Row],[Afhængig variabel ID]]&lt;=$B$5</f>
        <v>0</v>
      </c>
      <c r="F1601" t="str" cm="1">
        <f t="array" ref="F1601">IF(LineærRegression_Valg[[#This Row],[Indenfor range]],INDEX(DataTitel_liste,LineærRegression_Valg[[#This Row],[Afhængig variabel ID]]),INDEX(DataTitel_liste,1))</f>
        <v>Eksempel 1 (interval)</v>
      </c>
      <c r="G1601" s="45" t="str" cm="1">
        <f t="array" ref="G1601">IF(LineærRegression_Valg[[#This Row],[Indenfor range]],IF(LineærRegression_Valg[[#This Row],[Intet overlap]],INDEX(DataTitel_liste,LineærRegression_Valg[[#This Row],[Uafhængig variabel ID]]),INDEX(DataTitel_liste,IF(LineærRegression_Valg[[#This Row],[Afhængig variabel ID]]=1,2,1))),$B$7)</f>
        <v>Eksempel 2 (interval)</v>
      </c>
      <c r="H1601" s="45">
        <f>_xlfn.AGGREGATE(2,5,LineærRegression_Valg[[#This Row],[Tabel ID]])</f>
        <v>1</v>
      </c>
    </row>
    <row r="1602" spans="1:8" x14ac:dyDescent="0.2">
      <c r="A1602">
        <f>ROW(LineærRegression_Valg[[#This Row],[Tabel ID]])-ROW(LineærRegression_Valg[[#Headers],[Tabel ID]])</f>
        <v>1592</v>
      </c>
      <c r="B1602" s="45">
        <f>ROUNDDOWN((LineærRegression_Valg[[#This Row],[Tabel ID]]-1)/$B$5,0)+1</f>
        <v>398</v>
      </c>
      <c r="C1602" s="45">
        <f t="shared" si="24"/>
        <v>4</v>
      </c>
      <c r="D1602" s="45" t="b">
        <f>LineærRegression_Valg[[#This Row],[Afhængig variabel ID]]&lt;&gt;LineærRegression_Valg[[#This Row],[Uafhængig variabel ID]]</f>
        <v>1</v>
      </c>
      <c r="E1602" s="45" t="b">
        <f>LineærRegression_Valg[[#This Row],[Afhængig variabel ID]]&lt;=$B$5</f>
        <v>0</v>
      </c>
      <c r="F1602" t="str" cm="1">
        <f t="array" ref="F1602">IF(LineærRegression_Valg[[#This Row],[Indenfor range]],INDEX(DataTitel_liste,LineærRegression_Valg[[#This Row],[Afhængig variabel ID]]),INDEX(DataTitel_liste,1))</f>
        <v>Eksempel 1 (interval)</v>
      </c>
      <c r="G1602" s="45" t="str" cm="1">
        <f t="array" ref="G1602">IF(LineærRegression_Valg[[#This Row],[Indenfor range]],IF(LineærRegression_Valg[[#This Row],[Intet overlap]],INDEX(DataTitel_liste,LineærRegression_Valg[[#This Row],[Uafhængig variabel ID]]),INDEX(DataTitel_liste,IF(LineærRegression_Valg[[#This Row],[Afhængig variabel ID]]=1,2,1))),$B$7)</f>
        <v>Eksempel 2 (interval)</v>
      </c>
      <c r="H1602" s="45">
        <f>_xlfn.AGGREGATE(2,5,LineærRegression_Valg[[#This Row],[Tabel ID]])</f>
        <v>1</v>
      </c>
    </row>
    <row r="1603" spans="1:8" x14ac:dyDescent="0.2">
      <c r="A1603">
        <f>ROW(LineærRegression_Valg[[#This Row],[Tabel ID]])-ROW(LineærRegression_Valg[[#Headers],[Tabel ID]])</f>
        <v>1593</v>
      </c>
      <c r="B1603" s="45">
        <f>ROUNDDOWN((LineærRegression_Valg[[#This Row],[Tabel ID]]-1)/$B$5,0)+1</f>
        <v>399</v>
      </c>
      <c r="C1603" s="45">
        <f t="shared" si="24"/>
        <v>1</v>
      </c>
      <c r="D1603" s="45" t="b">
        <f>LineærRegression_Valg[[#This Row],[Afhængig variabel ID]]&lt;&gt;LineærRegression_Valg[[#This Row],[Uafhængig variabel ID]]</f>
        <v>1</v>
      </c>
      <c r="E1603" s="45" t="b">
        <f>LineærRegression_Valg[[#This Row],[Afhængig variabel ID]]&lt;=$B$5</f>
        <v>0</v>
      </c>
      <c r="F1603" t="str" cm="1">
        <f t="array" ref="F1603">IF(LineærRegression_Valg[[#This Row],[Indenfor range]],INDEX(DataTitel_liste,LineærRegression_Valg[[#This Row],[Afhængig variabel ID]]),INDEX(DataTitel_liste,1))</f>
        <v>Eksempel 1 (interval)</v>
      </c>
      <c r="G1603" s="45" t="str" cm="1">
        <f t="array" ref="G1603">IF(LineærRegression_Valg[[#This Row],[Indenfor range]],IF(LineærRegression_Valg[[#This Row],[Intet overlap]],INDEX(DataTitel_liste,LineærRegression_Valg[[#This Row],[Uafhængig variabel ID]]),INDEX(DataTitel_liste,IF(LineærRegression_Valg[[#This Row],[Afhængig variabel ID]]=1,2,1))),$B$7)</f>
        <v>Eksempel 2 (interval)</v>
      </c>
      <c r="H1603" s="45">
        <f>_xlfn.AGGREGATE(2,5,LineærRegression_Valg[[#This Row],[Tabel ID]])</f>
        <v>1</v>
      </c>
    </row>
    <row r="1604" spans="1:8" x14ac:dyDescent="0.2">
      <c r="A1604">
        <f>ROW(LineærRegression_Valg[[#This Row],[Tabel ID]])-ROW(LineærRegression_Valg[[#Headers],[Tabel ID]])</f>
        <v>1594</v>
      </c>
      <c r="B1604" s="45">
        <f>ROUNDDOWN((LineærRegression_Valg[[#This Row],[Tabel ID]]-1)/$B$5,0)+1</f>
        <v>399</v>
      </c>
      <c r="C1604" s="45">
        <f t="shared" si="24"/>
        <v>2</v>
      </c>
      <c r="D1604" s="45" t="b">
        <f>LineærRegression_Valg[[#This Row],[Afhængig variabel ID]]&lt;&gt;LineærRegression_Valg[[#This Row],[Uafhængig variabel ID]]</f>
        <v>1</v>
      </c>
      <c r="E1604" s="45" t="b">
        <f>LineærRegression_Valg[[#This Row],[Afhængig variabel ID]]&lt;=$B$5</f>
        <v>0</v>
      </c>
      <c r="F1604" t="str" cm="1">
        <f t="array" ref="F1604">IF(LineærRegression_Valg[[#This Row],[Indenfor range]],INDEX(DataTitel_liste,LineærRegression_Valg[[#This Row],[Afhængig variabel ID]]),INDEX(DataTitel_liste,1))</f>
        <v>Eksempel 1 (interval)</v>
      </c>
      <c r="G1604" s="45" t="str" cm="1">
        <f t="array" ref="G1604">IF(LineærRegression_Valg[[#This Row],[Indenfor range]],IF(LineærRegression_Valg[[#This Row],[Intet overlap]],INDEX(DataTitel_liste,LineærRegression_Valg[[#This Row],[Uafhængig variabel ID]]),INDEX(DataTitel_liste,IF(LineærRegression_Valg[[#This Row],[Afhængig variabel ID]]=1,2,1))),$B$7)</f>
        <v>Eksempel 2 (interval)</v>
      </c>
      <c r="H1604" s="45">
        <f>_xlfn.AGGREGATE(2,5,LineærRegression_Valg[[#This Row],[Tabel ID]])</f>
        <v>1</v>
      </c>
    </row>
    <row r="1605" spans="1:8" x14ac:dyDescent="0.2">
      <c r="A1605">
        <f>ROW(LineærRegression_Valg[[#This Row],[Tabel ID]])-ROW(LineærRegression_Valg[[#Headers],[Tabel ID]])</f>
        <v>1595</v>
      </c>
      <c r="B1605" s="45">
        <f>ROUNDDOWN((LineærRegression_Valg[[#This Row],[Tabel ID]]-1)/$B$5,0)+1</f>
        <v>399</v>
      </c>
      <c r="C1605" s="45">
        <f t="shared" si="24"/>
        <v>3</v>
      </c>
      <c r="D1605" s="45" t="b">
        <f>LineærRegression_Valg[[#This Row],[Afhængig variabel ID]]&lt;&gt;LineærRegression_Valg[[#This Row],[Uafhængig variabel ID]]</f>
        <v>1</v>
      </c>
      <c r="E1605" s="45" t="b">
        <f>LineærRegression_Valg[[#This Row],[Afhængig variabel ID]]&lt;=$B$5</f>
        <v>0</v>
      </c>
      <c r="F1605" t="str" cm="1">
        <f t="array" ref="F1605">IF(LineærRegression_Valg[[#This Row],[Indenfor range]],INDEX(DataTitel_liste,LineærRegression_Valg[[#This Row],[Afhængig variabel ID]]),INDEX(DataTitel_liste,1))</f>
        <v>Eksempel 1 (interval)</v>
      </c>
      <c r="G1605" s="45" t="str" cm="1">
        <f t="array" ref="G1605">IF(LineærRegression_Valg[[#This Row],[Indenfor range]],IF(LineærRegression_Valg[[#This Row],[Intet overlap]],INDEX(DataTitel_liste,LineærRegression_Valg[[#This Row],[Uafhængig variabel ID]]),INDEX(DataTitel_liste,IF(LineærRegression_Valg[[#This Row],[Afhængig variabel ID]]=1,2,1))),$B$7)</f>
        <v>Eksempel 2 (interval)</v>
      </c>
      <c r="H1605" s="45">
        <f>_xlfn.AGGREGATE(2,5,LineærRegression_Valg[[#This Row],[Tabel ID]])</f>
        <v>1</v>
      </c>
    </row>
    <row r="1606" spans="1:8" x14ac:dyDescent="0.2">
      <c r="A1606">
        <f>ROW(LineærRegression_Valg[[#This Row],[Tabel ID]])-ROW(LineærRegression_Valg[[#Headers],[Tabel ID]])</f>
        <v>1596</v>
      </c>
      <c r="B1606" s="45">
        <f>ROUNDDOWN((LineærRegression_Valg[[#This Row],[Tabel ID]]-1)/$B$5,0)+1</f>
        <v>399</v>
      </c>
      <c r="C1606" s="45">
        <f t="shared" si="24"/>
        <v>4</v>
      </c>
      <c r="D1606" s="45" t="b">
        <f>LineærRegression_Valg[[#This Row],[Afhængig variabel ID]]&lt;&gt;LineærRegression_Valg[[#This Row],[Uafhængig variabel ID]]</f>
        <v>1</v>
      </c>
      <c r="E1606" s="45" t="b">
        <f>LineærRegression_Valg[[#This Row],[Afhængig variabel ID]]&lt;=$B$5</f>
        <v>0</v>
      </c>
      <c r="F1606" t="str" cm="1">
        <f t="array" ref="F1606">IF(LineærRegression_Valg[[#This Row],[Indenfor range]],INDEX(DataTitel_liste,LineærRegression_Valg[[#This Row],[Afhængig variabel ID]]),INDEX(DataTitel_liste,1))</f>
        <v>Eksempel 1 (interval)</v>
      </c>
      <c r="G1606" s="45" t="str" cm="1">
        <f t="array" ref="G1606">IF(LineærRegression_Valg[[#This Row],[Indenfor range]],IF(LineærRegression_Valg[[#This Row],[Intet overlap]],INDEX(DataTitel_liste,LineærRegression_Valg[[#This Row],[Uafhængig variabel ID]]),INDEX(DataTitel_liste,IF(LineærRegression_Valg[[#This Row],[Afhængig variabel ID]]=1,2,1))),$B$7)</f>
        <v>Eksempel 2 (interval)</v>
      </c>
      <c r="H1606" s="45">
        <f>_xlfn.AGGREGATE(2,5,LineærRegression_Valg[[#This Row],[Tabel ID]])</f>
        <v>1</v>
      </c>
    </row>
    <row r="1607" spans="1:8" x14ac:dyDescent="0.2">
      <c r="A1607">
        <f>ROW(LineærRegression_Valg[[#This Row],[Tabel ID]])-ROW(LineærRegression_Valg[[#Headers],[Tabel ID]])</f>
        <v>1597</v>
      </c>
      <c r="B1607" s="45">
        <f>ROUNDDOWN((LineærRegression_Valg[[#This Row],[Tabel ID]]-1)/$B$5,0)+1</f>
        <v>400</v>
      </c>
      <c r="C1607" s="45">
        <f t="shared" si="24"/>
        <v>1</v>
      </c>
      <c r="D1607" s="45" t="b">
        <f>LineærRegression_Valg[[#This Row],[Afhængig variabel ID]]&lt;&gt;LineærRegression_Valg[[#This Row],[Uafhængig variabel ID]]</f>
        <v>1</v>
      </c>
      <c r="E1607" s="45" t="b">
        <f>LineærRegression_Valg[[#This Row],[Afhængig variabel ID]]&lt;=$B$5</f>
        <v>0</v>
      </c>
      <c r="F1607" t="str" cm="1">
        <f t="array" ref="F1607">IF(LineærRegression_Valg[[#This Row],[Indenfor range]],INDEX(DataTitel_liste,LineærRegression_Valg[[#This Row],[Afhængig variabel ID]]),INDEX(DataTitel_liste,1))</f>
        <v>Eksempel 1 (interval)</v>
      </c>
      <c r="G1607" s="45" t="str" cm="1">
        <f t="array" ref="G1607">IF(LineærRegression_Valg[[#This Row],[Indenfor range]],IF(LineærRegression_Valg[[#This Row],[Intet overlap]],INDEX(DataTitel_liste,LineærRegression_Valg[[#This Row],[Uafhængig variabel ID]]),INDEX(DataTitel_liste,IF(LineærRegression_Valg[[#This Row],[Afhængig variabel ID]]=1,2,1))),$B$7)</f>
        <v>Eksempel 2 (interval)</v>
      </c>
      <c r="H1607" s="45">
        <f>_xlfn.AGGREGATE(2,5,LineærRegression_Valg[[#This Row],[Tabel ID]])</f>
        <v>1</v>
      </c>
    </row>
    <row r="1608" spans="1:8" x14ac:dyDescent="0.2">
      <c r="A1608">
        <f>ROW(LineærRegression_Valg[[#This Row],[Tabel ID]])-ROW(LineærRegression_Valg[[#Headers],[Tabel ID]])</f>
        <v>1598</v>
      </c>
      <c r="B1608" s="45">
        <f>ROUNDDOWN((LineærRegression_Valg[[#This Row],[Tabel ID]]-1)/$B$5,0)+1</f>
        <v>400</v>
      </c>
      <c r="C1608" s="45">
        <f t="shared" si="24"/>
        <v>2</v>
      </c>
      <c r="D1608" s="45" t="b">
        <f>LineærRegression_Valg[[#This Row],[Afhængig variabel ID]]&lt;&gt;LineærRegression_Valg[[#This Row],[Uafhængig variabel ID]]</f>
        <v>1</v>
      </c>
      <c r="E1608" s="45" t="b">
        <f>LineærRegression_Valg[[#This Row],[Afhængig variabel ID]]&lt;=$B$5</f>
        <v>0</v>
      </c>
      <c r="F1608" t="str" cm="1">
        <f t="array" ref="F1608">IF(LineærRegression_Valg[[#This Row],[Indenfor range]],INDEX(DataTitel_liste,LineærRegression_Valg[[#This Row],[Afhængig variabel ID]]),INDEX(DataTitel_liste,1))</f>
        <v>Eksempel 1 (interval)</v>
      </c>
      <c r="G1608" s="45" t="str" cm="1">
        <f t="array" ref="G1608">IF(LineærRegression_Valg[[#This Row],[Indenfor range]],IF(LineærRegression_Valg[[#This Row],[Intet overlap]],INDEX(DataTitel_liste,LineærRegression_Valg[[#This Row],[Uafhængig variabel ID]]),INDEX(DataTitel_liste,IF(LineærRegression_Valg[[#This Row],[Afhængig variabel ID]]=1,2,1))),$B$7)</f>
        <v>Eksempel 2 (interval)</v>
      </c>
      <c r="H1608" s="45">
        <f>_xlfn.AGGREGATE(2,5,LineærRegression_Valg[[#This Row],[Tabel ID]])</f>
        <v>1</v>
      </c>
    </row>
    <row r="1609" spans="1:8" x14ac:dyDescent="0.2">
      <c r="A1609">
        <f>ROW(LineærRegression_Valg[[#This Row],[Tabel ID]])-ROW(LineærRegression_Valg[[#Headers],[Tabel ID]])</f>
        <v>1599</v>
      </c>
      <c r="B1609" s="45">
        <f>ROUNDDOWN((LineærRegression_Valg[[#This Row],[Tabel ID]]-1)/$B$5,0)+1</f>
        <v>400</v>
      </c>
      <c r="C1609" s="45">
        <f t="shared" si="24"/>
        <v>3</v>
      </c>
      <c r="D1609" s="45" t="b">
        <f>LineærRegression_Valg[[#This Row],[Afhængig variabel ID]]&lt;&gt;LineærRegression_Valg[[#This Row],[Uafhængig variabel ID]]</f>
        <v>1</v>
      </c>
      <c r="E1609" s="45" t="b">
        <f>LineærRegression_Valg[[#This Row],[Afhængig variabel ID]]&lt;=$B$5</f>
        <v>0</v>
      </c>
      <c r="F1609" t="str" cm="1">
        <f t="array" ref="F1609">IF(LineærRegression_Valg[[#This Row],[Indenfor range]],INDEX(DataTitel_liste,LineærRegression_Valg[[#This Row],[Afhængig variabel ID]]),INDEX(DataTitel_liste,1))</f>
        <v>Eksempel 1 (interval)</v>
      </c>
      <c r="G1609" s="45" t="str" cm="1">
        <f t="array" ref="G1609">IF(LineærRegression_Valg[[#This Row],[Indenfor range]],IF(LineærRegression_Valg[[#This Row],[Intet overlap]],INDEX(DataTitel_liste,LineærRegression_Valg[[#This Row],[Uafhængig variabel ID]]),INDEX(DataTitel_liste,IF(LineærRegression_Valg[[#This Row],[Afhængig variabel ID]]=1,2,1))),$B$7)</f>
        <v>Eksempel 2 (interval)</v>
      </c>
      <c r="H1609" s="45">
        <f>_xlfn.AGGREGATE(2,5,LineærRegression_Valg[[#This Row],[Tabel ID]])</f>
        <v>1</v>
      </c>
    </row>
    <row r="1610" spans="1:8" x14ac:dyDescent="0.2">
      <c r="A1610">
        <f>ROW(LineærRegression_Valg[[#This Row],[Tabel ID]])-ROW(LineærRegression_Valg[[#Headers],[Tabel ID]])</f>
        <v>1600</v>
      </c>
      <c r="B1610" s="45">
        <f>ROUNDDOWN((LineærRegression_Valg[[#This Row],[Tabel ID]]-1)/$B$5,0)+1</f>
        <v>400</v>
      </c>
      <c r="C1610" s="45">
        <f t="shared" si="24"/>
        <v>4</v>
      </c>
      <c r="D1610" s="45" t="b">
        <f>LineærRegression_Valg[[#This Row],[Afhængig variabel ID]]&lt;&gt;LineærRegression_Valg[[#This Row],[Uafhængig variabel ID]]</f>
        <v>1</v>
      </c>
      <c r="E1610" s="45" t="b">
        <f>LineærRegression_Valg[[#This Row],[Afhængig variabel ID]]&lt;=$B$5</f>
        <v>0</v>
      </c>
      <c r="F1610" t="str" cm="1">
        <f t="array" ref="F1610">IF(LineærRegression_Valg[[#This Row],[Indenfor range]],INDEX(DataTitel_liste,LineærRegression_Valg[[#This Row],[Afhængig variabel ID]]),INDEX(DataTitel_liste,1))</f>
        <v>Eksempel 1 (interval)</v>
      </c>
      <c r="G1610" s="45" t="str" cm="1">
        <f t="array" ref="G1610">IF(LineærRegression_Valg[[#This Row],[Indenfor range]],IF(LineærRegression_Valg[[#This Row],[Intet overlap]],INDEX(DataTitel_liste,LineærRegression_Valg[[#This Row],[Uafhængig variabel ID]]),INDEX(DataTitel_liste,IF(LineærRegression_Valg[[#This Row],[Afhængig variabel ID]]=1,2,1))),$B$7)</f>
        <v>Eksempel 2 (interval)</v>
      </c>
      <c r="H1610" s="45">
        <f>_xlfn.AGGREGATE(2,5,LineærRegression_Valg[[#This Row],[Tabel ID]])</f>
        <v>1</v>
      </c>
    </row>
    <row r="1611" spans="1:8" x14ac:dyDescent="0.2">
      <c r="A1611">
        <f>ROW(LineærRegression_Valg[[#This Row],[Tabel ID]])-ROW(LineærRegression_Valg[[#Headers],[Tabel ID]])</f>
        <v>1601</v>
      </c>
      <c r="B1611" s="45">
        <f>ROUNDDOWN((LineærRegression_Valg[[#This Row],[Tabel ID]]-1)/$B$5,0)+1</f>
        <v>401</v>
      </c>
      <c r="C1611" s="45">
        <f t="shared" ref="C1611:C1674" si="25">MOD(A1611-1,$B$5)+1</f>
        <v>1</v>
      </c>
      <c r="D1611" s="45" t="b">
        <f>LineærRegression_Valg[[#This Row],[Afhængig variabel ID]]&lt;&gt;LineærRegression_Valg[[#This Row],[Uafhængig variabel ID]]</f>
        <v>1</v>
      </c>
      <c r="E1611" s="45" t="b">
        <f>LineærRegression_Valg[[#This Row],[Afhængig variabel ID]]&lt;=$B$5</f>
        <v>0</v>
      </c>
      <c r="F1611" t="str" cm="1">
        <f t="array" ref="F1611">IF(LineærRegression_Valg[[#This Row],[Indenfor range]],INDEX(DataTitel_liste,LineærRegression_Valg[[#This Row],[Afhængig variabel ID]]),INDEX(DataTitel_liste,1))</f>
        <v>Eksempel 1 (interval)</v>
      </c>
      <c r="G1611" s="45" t="str" cm="1">
        <f t="array" ref="G1611">IF(LineærRegression_Valg[[#This Row],[Indenfor range]],IF(LineærRegression_Valg[[#This Row],[Intet overlap]],INDEX(DataTitel_liste,LineærRegression_Valg[[#This Row],[Uafhængig variabel ID]]),INDEX(DataTitel_liste,IF(LineærRegression_Valg[[#This Row],[Afhængig variabel ID]]=1,2,1))),$B$7)</f>
        <v>Eksempel 2 (interval)</v>
      </c>
      <c r="H1611" s="45">
        <f>_xlfn.AGGREGATE(2,5,LineærRegression_Valg[[#This Row],[Tabel ID]])</f>
        <v>1</v>
      </c>
    </row>
    <row r="1612" spans="1:8" x14ac:dyDescent="0.2">
      <c r="A1612">
        <f>ROW(LineærRegression_Valg[[#This Row],[Tabel ID]])-ROW(LineærRegression_Valg[[#Headers],[Tabel ID]])</f>
        <v>1602</v>
      </c>
      <c r="B1612" s="45">
        <f>ROUNDDOWN((LineærRegression_Valg[[#This Row],[Tabel ID]]-1)/$B$5,0)+1</f>
        <v>401</v>
      </c>
      <c r="C1612" s="45">
        <f t="shared" si="25"/>
        <v>2</v>
      </c>
      <c r="D1612" s="45" t="b">
        <f>LineærRegression_Valg[[#This Row],[Afhængig variabel ID]]&lt;&gt;LineærRegression_Valg[[#This Row],[Uafhængig variabel ID]]</f>
        <v>1</v>
      </c>
      <c r="E1612" s="45" t="b">
        <f>LineærRegression_Valg[[#This Row],[Afhængig variabel ID]]&lt;=$B$5</f>
        <v>0</v>
      </c>
      <c r="F1612" t="str" cm="1">
        <f t="array" ref="F1612">IF(LineærRegression_Valg[[#This Row],[Indenfor range]],INDEX(DataTitel_liste,LineærRegression_Valg[[#This Row],[Afhængig variabel ID]]),INDEX(DataTitel_liste,1))</f>
        <v>Eksempel 1 (interval)</v>
      </c>
      <c r="G1612" s="45" t="str" cm="1">
        <f t="array" ref="G1612">IF(LineærRegression_Valg[[#This Row],[Indenfor range]],IF(LineærRegression_Valg[[#This Row],[Intet overlap]],INDEX(DataTitel_liste,LineærRegression_Valg[[#This Row],[Uafhængig variabel ID]]),INDEX(DataTitel_liste,IF(LineærRegression_Valg[[#This Row],[Afhængig variabel ID]]=1,2,1))),$B$7)</f>
        <v>Eksempel 2 (interval)</v>
      </c>
      <c r="H1612" s="45">
        <f>_xlfn.AGGREGATE(2,5,LineærRegression_Valg[[#This Row],[Tabel ID]])</f>
        <v>1</v>
      </c>
    </row>
    <row r="1613" spans="1:8" x14ac:dyDescent="0.2">
      <c r="A1613">
        <f>ROW(LineærRegression_Valg[[#This Row],[Tabel ID]])-ROW(LineærRegression_Valg[[#Headers],[Tabel ID]])</f>
        <v>1603</v>
      </c>
      <c r="B1613" s="45">
        <f>ROUNDDOWN((LineærRegression_Valg[[#This Row],[Tabel ID]]-1)/$B$5,0)+1</f>
        <v>401</v>
      </c>
      <c r="C1613" s="45">
        <f t="shared" si="25"/>
        <v>3</v>
      </c>
      <c r="D1613" s="45" t="b">
        <f>LineærRegression_Valg[[#This Row],[Afhængig variabel ID]]&lt;&gt;LineærRegression_Valg[[#This Row],[Uafhængig variabel ID]]</f>
        <v>1</v>
      </c>
      <c r="E1613" s="45" t="b">
        <f>LineærRegression_Valg[[#This Row],[Afhængig variabel ID]]&lt;=$B$5</f>
        <v>0</v>
      </c>
      <c r="F1613" t="str" cm="1">
        <f t="array" ref="F1613">IF(LineærRegression_Valg[[#This Row],[Indenfor range]],INDEX(DataTitel_liste,LineærRegression_Valg[[#This Row],[Afhængig variabel ID]]),INDEX(DataTitel_liste,1))</f>
        <v>Eksempel 1 (interval)</v>
      </c>
      <c r="G1613" s="45" t="str" cm="1">
        <f t="array" ref="G1613">IF(LineærRegression_Valg[[#This Row],[Indenfor range]],IF(LineærRegression_Valg[[#This Row],[Intet overlap]],INDEX(DataTitel_liste,LineærRegression_Valg[[#This Row],[Uafhængig variabel ID]]),INDEX(DataTitel_liste,IF(LineærRegression_Valg[[#This Row],[Afhængig variabel ID]]=1,2,1))),$B$7)</f>
        <v>Eksempel 2 (interval)</v>
      </c>
      <c r="H1613" s="45">
        <f>_xlfn.AGGREGATE(2,5,LineærRegression_Valg[[#This Row],[Tabel ID]])</f>
        <v>1</v>
      </c>
    </row>
    <row r="1614" spans="1:8" x14ac:dyDescent="0.2">
      <c r="A1614">
        <f>ROW(LineærRegression_Valg[[#This Row],[Tabel ID]])-ROW(LineærRegression_Valg[[#Headers],[Tabel ID]])</f>
        <v>1604</v>
      </c>
      <c r="B1614" s="45">
        <f>ROUNDDOWN((LineærRegression_Valg[[#This Row],[Tabel ID]]-1)/$B$5,0)+1</f>
        <v>401</v>
      </c>
      <c r="C1614" s="45">
        <f t="shared" si="25"/>
        <v>4</v>
      </c>
      <c r="D1614" s="45" t="b">
        <f>LineærRegression_Valg[[#This Row],[Afhængig variabel ID]]&lt;&gt;LineærRegression_Valg[[#This Row],[Uafhængig variabel ID]]</f>
        <v>1</v>
      </c>
      <c r="E1614" s="45" t="b">
        <f>LineærRegression_Valg[[#This Row],[Afhængig variabel ID]]&lt;=$B$5</f>
        <v>0</v>
      </c>
      <c r="F1614" t="str" cm="1">
        <f t="array" ref="F1614">IF(LineærRegression_Valg[[#This Row],[Indenfor range]],INDEX(DataTitel_liste,LineærRegression_Valg[[#This Row],[Afhængig variabel ID]]),INDEX(DataTitel_liste,1))</f>
        <v>Eksempel 1 (interval)</v>
      </c>
      <c r="G1614" s="45" t="str" cm="1">
        <f t="array" ref="G1614">IF(LineærRegression_Valg[[#This Row],[Indenfor range]],IF(LineærRegression_Valg[[#This Row],[Intet overlap]],INDEX(DataTitel_liste,LineærRegression_Valg[[#This Row],[Uafhængig variabel ID]]),INDEX(DataTitel_liste,IF(LineærRegression_Valg[[#This Row],[Afhængig variabel ID]]=1,2,1))),$B$7)</f>
        <v>Eksempel 2 (interval)</v>
      </c>
      <c r="H1614" s="45">
        <f>_xlfn.AGGREGATE(2,5,LineærRegression_Valg[[#This Row],[Tabel ID]])</f>
        <v>1</v>
      </c>
    </row>
    <row r="1615" spans="1:8" x14ac:dyDescent="0.2">
      <c r="A1615">
        <f>ROW(LineærRegression_Valg[[#This Row],[Tabel ID]])-ROW(LineærRegression_Valg[[#Headers],[Tabel ID]])</f>
        <v>1605</v>
      </c>
      <c r="B1615" s="45">
        <f>ROUNDDOWN((LineærRegression_Valg[[#This Row],[Tabel ID]]-1)/$B$5,0)+1</f>
        <v>402</v>
      </c>
      <c r="C1615" s="45">
        <f t="shared" si="25"/>
        <v>1</v>
      </c>
      <c r="D1615" s="45" t="b">
        <f>LineærRegression_Valg[[#This Row],[Afhængig variabel ID]]&lt;&gt;LineærRegression_Valg[[#This Row],[Uafhængig variabel ID]]</f>
        <v>1</v>
      </c>
      <c r="E1615" s="45" t="b">
        <f>LineærRegression_Valg[[#This Row],[Afhængig variabel ID]]&lt;=$B$5</f>
        <v>0</v>
      </c>
      <c r="F1615" t="str" cm="1">
        <f t="array" ref="F1615">IF(LineærRegression_Valg[[#This Row],[Indenfor range]],INDEX(DataTitel_liste,LineærRegression_Valg[[#This Row],[Afhængig variabel ID]]),INDEX(DataTitel_liste,1))</f>
        <v>Eksempel 1 (interval)</v>
      </c>
      <c r="G1615" s="45" t="str" cm="1">
        <f t="array" ref="G1615">IF(LineærRegression_Valg[[#This Row],[Indenfor range]],IF(LineærRegression_Valg[[#This Row],[Intet overlap]],INDEX(DataTitel_liste,LineærRegression_Valg[[#This Row],[Uafhængig variabel ID]]),INDEX(DataTitel_liste,IF(LineærRegression_Valg[[#This Row],[Afhængig variabel ID]]=1,2,1))),$B$7)</f>
        <v>Eksempel 2 (interval)</v>
      </c>
      <c r="H1615" s="45">
        <f>_xlfn.AGGREGATE(2,5,LineærRegression_Valg[[#This Row],[Tabel ID]])</f>
        <v>1</v>
      </c>
    </row>
    <row r="1616" spans="1:8" x14ac:dyDescent="0.2">
      <c r="A1616">
        <f>ROW(LineærRegression_Valg[[#This Row],[Tabel ID]])-ROW(LineærRegression_Valg[[#Headers],[Tabel ID]])</f>
        <v>1606</v>
      </c>
      <c r="B1616" s="45">
        <f>ROUNDDOWN((LineærRegression_Valg[[#This Row],[Tabel ID]]-1)/$B$5,0)+1</f>
        <v>402</v>
      </c>
      <c r="C1616" s="45">
        <f t="shared" si="25"/>
        <v>2</v>
      </c>
      <c r="D1616" s="45" t="b">
        <f>LineærRegression_Valg[[#This Row],[Afhængig variabel ID]]&lt;&gt;LineærRegression_Valg[[#This Row],[Uafhængig variabel ID]]</f>
        <v>1</v>
      </c>
      <c r="E1616" s="45" t="b">
        <f>LineærRegression_Valg[[#This Row],[Afhængig variabel ID]]&lt;=$B$5</f>
        <v>0</v>
      </c>
      <c r="F1616" t="str" cm="1">
        <f t="array" ref="F1616">IF(LineærRegression_Valg[[#This Row],[Indenfor range]],INDEX(DataTitel_liste,LineærRegression_Valg[[#This Row],[Afhængig variabel ID]]),INDEX(DataTitel_liste,1))</f>
        <v>Eksempel 1 (interval)</v>
      </c>
      <c r="G1616" s="45" t="str" cm="1">
        <f t="array" ref="G1616">IF(LineærRegression_Valg[[#This Row],[Indenfor range]],IF(LineærRegression_Valg[[#This Row],[Intet overlap]],INDEX(DataTitel_liste,LineærRegression_Valg[[#This Row],[Uafhængig variabel ID]]),INDEX(DataTitel_liste,IF(LineærRegression_Valg[[#This Row],[Afhængig variabel ID]]=1,2,1))),$B$7)</f>
        <v>Eksempel 2 (interval)</v>
      </c>
      <c r="H1616" s="45">
        <f>_xlfn.AGGREGATE(2,5,LineærRegression_Valg[[#This Row],[Tabel ID]])</f>
        <v>1</v>
      </c>
    </row>
    <row r="1617" spans="1:8" x14ac:dyDescent="0.2">
      <c r="A1617">
        <f>ROW(LineærRegression_Valg[[#This Row],[Tabel ID]])-ROW(LineærRegression_Valg[[#Headers],[Tabel ID]])</f>
        <v>1607</v>
      </c>
      <c r="B1617" s="45">
        <f>ROUNDDOWN((LineærRegression_Valg[[#This Row],[Tabel ID]]-1)/$B$5,0)+1</f>
        <v>402</v>
      </c>
      <c r="C1617" s="45">
        <f t="shared" si="25"/>
        <v>3</v>
      </c>
      <c r="D1617" s="45" t="b">
        <f>LineærRegression_Valg[[#This Row],[Afhængig variabel ID]]&lt;&gt;LineærRegression_Valg[[#This Row],[Uafhængig variabel ID]]</f>
        <v>1</v>
      </c>
      <c r="E1617" s="45" t="b">
        <f>LineærRegression_Valg[[#This Row],[Afhængig variabel ID]]&lt;=$B$5</f>
        <v>0</v>
      </c>
      <c r="F1617" t="str" cm="1">
        <f t="array" ref="F1617">IF(LineærRegression_Valg[[#This Row],[Indenfor range]],INDEX(DataTitel_liste,LineærRegression_Valg[[#This Row],[Afhængig variabel ID]]),INDEX(DataTitel_liste,1))</f>
        <v>Eksempel 1 (interval)</v>
      </c>
      <c r="G1617" s="45" t="str" cm="1">
        <f t="array" ref="G1617">IF(LineærRegression_Valg[[#This Row],[Indenfor range]],IF(LineærRegression_Valg[[#This Row],[Intet overlap]],INDEX(DataTitel_liste,LineærRegression_Valg[[#This Row],[Uafhængig variabel ID]]),INDEX(DataTitel_liste,IF(LineærRegression_Valg[[#This Row],[Afhængig variabel ID]]=1,2,1))),$B$7)</f>
        <v>Eksempel 2 (interval)</v>
      </c>
      <c r="H1617" s="45">
        <f>_xlfn.AGGREGATE(2,5,LineærRegression_Valg[[#This Row],[Tabel ID]])</f>
        <v>1</v>
      </c>
    </row>
    <row r="1618" spans="1:8" x14ac:dyDescent="0.2">
      <c r="A1618">
        <f>ROW(LineærRegression_Valg[[#This Row],[Tabel ID]])-ROW(LineærRegression_Valg[[#Headers],[Tabel ID]])</f>
        <v>1608</v>
      </c>
      <c r="B1618" s="45">
        <f>ROUNDDOWN((LineærRegression_Valg[[#This Row],[Tabel ID]]-1)/$B$5,0)+1</f>
        <v>402</v>
      </c>
      <c r="C1618" s="45">
        <f t="shared" si="25"/>
        <v>4</v>
      </c>
      <c r="D1618" s="45" t="b">
        <f>LineærRegression_Valg[[#This Row],[Afhængig variabel ID]]&lt;&gt;LineærRegression_Valg[[#This Row],[Uafhængig variabel ID]]</f>
        <v>1</v>
      </c>
      <c r="E1618" s="45" t="b">
        <f>LineærRegression_Valg[[#This Row],[Afhængig variabel ID]]&lt;=$B$5</f>
        <v>0</v>
      </c>
      <c r="F1618" t="str" cm="1">
        <f t="array" ref="F1618">IF(LineærRegression_Valg[[#This Row],[Indenfor range]],INDEX(DataTitel_liste,LineærRegression_Valg[[#This Row],[Afhængig variabel ID]]),INDEX(DataTitel_liste,1))</f>
        <v>Eksempel 1 (interval)</v>
      </c>
      <c r="G1618" s="45" t="str" cm="1">
        <f t="array" ref="G1618">IF(LineærRegression_Valg[[#This Row],[Indenfor range]],IF(LineærRegression_Valg[[#This Row],[Intet overlap]],INDEX(DataTitel_liste,LineærRegression_Valg[[#This Row],[Uafhængig variabel ID]]),INDEX(DataTitel_liste,IF(LineærRegression_Valg[[#This Row],[Afhængig variabel ID]]=1,2,1))),$B$7)</f>
        <v>Eksempel 2 (interval)</v>
      </c>
      <c r="H1618" s="45">
        <f>_xlfn.AGGREGATE(2,5,LineærRegression_Valg[[#This Row],[Tabel ID]])</f>
        <v>1</v>
      </c>
    </row>
    <row r="1619" spans="1:8" x14ac:dyDescent="0.2">
      <c r="A1619">
        <f>ROW(LineærRegression_Valg[[#This Row],[Tabel ID]])-ROW(LineærRegression_Valg[[#Headers],[Tabel ID]])</f>
        <v>1609</v>
      </c>
      <c r="B1619" s="45">
        <f>ROUNDDOWN((LineærRegression_Valg[[#This Row],[Tabel ID]]-1)/$B$5,0)+1</f>
        <v>403</v>
      </c>
      <c r="C1619" s="45">
        <f t="shared" si="25"/>
        <v>1</v>
      </c>
      <c r="D1619" s="45" t="b">
        <f>LineærRegression_Valg[[#This Row],[Afhængig variabel ID]]&lt;&gt;LineærRegression_Valg[[#This Row],[Uafhængig variabel ID]]</f>
        <v>1</v>
      </c>
      <c r="E1619" s="45" t="b">
        <f>LineærRegression_Valg[[#This Row],[Afhængig variabel ID]]&lt;=$B$5</f>
        <v>0</v>
      </c>
      <c r="F1619" t="str" cm="1">
        <f t="array" ref="F1619">IF(LineærRegression_Valg[[#This Row],[Indenfor range]],INDEX(DataTitel_liste,LineærRegression_Valg[[#This Row],[Afhængig variabel ID]]),INDEX(DataTitel_liste,1))</f>
        <v>Eksempel 1 (interval)</v>
      </c>
      <c r="G1619" s="45" t="str" cm="1">
        <f t="array" ref="G1619">IF(LineærRegression_Valg[[#This Row],[Indenfor range]],IF(LineærRegression_Valg[[#This Row],[Intet overlap]],INDEX(DataTitel_liste,LineærRegression_Valg[[#This Row],[Uafhængig variabel ID]]),INDEX(DataTitel_liste,IF(LineærRegression_Valg[[#This Row],[Afhængig variabel ID]]=1,2,1))),$B$7)</f>
        <v>Eksempel 2 (interval)</v>
      </c>
      <c r="H1619" s="45">
        <f>_xlfn.AGGREGATE(2,5,LineærRegression_Valg[[#This Row],[Tabel ID]])</f>
        <v>1</v>
      </c>
    </row>
    <row r="1620" spans="1:8" x14ac:dyDescent="0.2">
      <c r="A1620">
        <f>ROW(LineærRegression_Valg[[#This Row],[Tabel ID]])-ROW(LineærRegression_Valg[[#Headers],[Tabel ID]])</f>
        <v>1610</v>
      </c>
      <c r="B1620" s="45">
        <f>ROUNDDOWN((LineærRegression_Valg[[#This Row],[Tabel ID]]-1)/$B$5,0)+1</f>
        <v>403</v>
      </c>
      <c r="C1620" s="45">
        <f t="shared" si="25"/>
        <v>2</v>
      </c>
      <c r="D1620" s="45" t="b">
        <f>LineærRegression_Valg[[#This Row],[Afhængig variabel ID]]&lt;&gt;LineærRegression_Valg[[#This Row],[Uafhængig variabel ID]]</f>
        <v>1</v>
      </c>
      <c r="E1620" s="45" t="b">
        <f>LineærRegression_Valg[[#This Row],[Afhængig variabel ID]]&lt;=$B$5</f>
        <v>0</v>
      </c>
      <c r="F1620" t="str" cm="1">
        <f t="array" ref="F1620">IF(LineærRegression_Valg[[#This Row],[Indenfor range]],INDEX(DataTitel_liste,LineærRegression_Valg[[#This Row],[Afhængig variabel ID]]),INDEX(DataTitel_liste,1))</f>
        <v>Eksempel 1 (interval)</v>
      </c>
      <c r="G1620" s="45" t="str" cm="1">
        <f t="array" ref="G1620">IF(LineærRegression_Valg[[#This Row],[Indenfor range]],IF(LineærRegression_Valg[[#This Row],[Intet overlap]],INDEX(DataTitel_liste,LineærRegression_Valg[[#This Row],[Uafhængig variabel ID]]),INDEX(DataTitel_liste,IF(LineærRegression_Valg[[#This Row],[Afhængig variabel ID]]=1,2,1))),$B$7)</f>
        <v>Eksempel 2 (interval)</v>
      </c>
      <c r="H1620" s="45">
        <f>_xlfn.AGGREGATE(2,5,LineærRegression_Valg[[#This Row],[Tabel ID]])</f>
        <v>1</v>
      </c>
    </row>
    <row r="1621" spans="1:8" x14ac:dyDescent="0.2">
      <c r="A1621">
        <f>ROW(LineærRegression_Valg[[#This Row],[Tabel ID]])-ROW(LineærRegression_Valg[[#Headers],[Tabel ID]])</f>
        <v>1611</v>
      </c>
      <c r="B1621" s="45">
        <f>ROUNDDOWN((LineærRegression_Valg[[#This Row],[Tabel ID]]-1)/$B$5,0)+1</f>
        <v>403</v>
      </c>
      <c r="C1621" s="45">
        <f t="shared" si="25"/>
        <v>3</v>
      </c>
      <c r="D1621" s="45" t="b">
        <f>LineærRegression_Valg[[#This Row],[Afhængig variabel ID]]&lt;&gt;LineærRegression_Valg[[#This Row],[Uafhængig variabel ID]]</f>
        <v>1</v>
      </c>
      <c r="E1621" s="45" t="b">
        <f>LineærRegression_Valg[[#This Row],[Afhængig variabel ID]]&lt;=$B$5</f>
        <v>0</v>
      </c>
      <c r="F1621" t="str" cm="1">
        <f t="array" ref="F1621">IF(LineærRegression_Valg[[#This Row],[Indenfor range]],INDEX(DataTitel_liste,LineærRegression_Valg[[#This Row],[Afhængig variabel ID]]),INDEX(DataTitel_liste,1))</f>
        <v>Eksempel 1 (interval)</v>
      </c>
      <c r="G1621" s="45" t="str" cm="1">
        <f t="array" ref="G1621">IF(LineærRegression_Valg[[#This Row],[Indenfor range]],IF(LineærRegression_Valg[[#This Row],[Intet overlap]],INDEX(DataTitel_liste,LineærRegression_Valg[[#This Row],[Uafhængig variabel ID]]),INDEX(DataTitel_liste,IF(LineærRegression_Valg[[#This Row],[Afhængig variabel ID]]=1,2,1))),$B$7)</f>
        <v>Eksempel 2 (interval)</v>
      </c>
      <c r="H1621" s="45">
        <f>_xlfn.AGGREGATE(2,5,LineærRegression_Valg[[#This Row],[Tabel ID]])</f>
        <v>1</v>
      </c>
    </row>
    <row r="1622" spans="1:8" x14ac:dyDescent="0.2">
      <c r="A1622">
        <f>ROW(LineærRegression_Valg[[#This Row],[Tabel ID]])-ROW(LineærRegression_Valg[[#Headers],[Tabel ID]])</f>
        <v>1612</v>
      </c>
      <c r="B1622" s="45">
        <f>ROUNDDOWN((LineærRegression_Valg[[#This Row],[Tabel ID]]-1)/$B$5,0)+1</f>
        <v>403</v>
      </c>
      <c r="C1622" s="45">
        <f t="shared" si="25"/>
        <v>4</v>
      </c>
      <c r="D1622" s="45" t="b">
        <f>LineærRegression_Valg[[#This Row],[Afhængig variabel ID]]&lt;&gt;LineærRegression_Valg[[#This Row],[Uafhængig variabel ID]]</f>
        <v>1</v>
      </c>
      <c r="E1622" s="45" t="b">
        <f>LineærRegression_Valg[[#This Row],[Afhængig variabel ID]]&lt;=$B$5</f>
        <v>0</v>
      </c>
      <c r="F1622" t="str" cm="1">
        <f t="array" ref="F1622">IF(LineærRegression_Valg[[#This Row],[Indenfor range]],INDEX(DataTitel_liste,LineærRegression_Valg[[#This Row],[Afhængig variabel ID]]),INDEX(DataTitel_liste,1))</f>
        <v>Eksempel 1 (interval)</v>
      </c>
      <c r="G1622" s="45" t="str" cm="1">
        <f t="array" ref="G1622">IF(LineærRegression_Valg[[#This Row],[Indenfor range]],IF(LineærRegression_Valg[[#This Row],[Intet overlap]],INDEX(DataTitel_liste,LineærRegression_Valg[[#This Row],[Uafhængig variabel ID]]),INDEX(DataTitel_liste,IF(LineærRegression_Valg[[#This Row],[Afhængig variabel ID]]=1,2,1))),$B$7)</f>
        <v>Eksempel 2 (interval)</v>
      </c>
      <c r="H1622" s="45">
        <f>_xlfn.AGGREGATE(2,5,LineærRegression_Valg[[#This Row],[Tabel ID]])</f>
        <v>1</v>
      </c>
    </row>
    <row r="1623" spans="1:8" x14ac:dyDescent="0.2">
      <c r="A1623">
        <f>ROW(LineærRegression_Valg[[#This Row],[Tabel ID]])-ROW(LineærRegression_Valg[[#Headers],[Tabel ID]])</f>
        <v>1613</v>
      </c>
      <c r="B1623" s="45">
        <f>ROUNDDOWN((LineærRegression_Valg[[#This Row],[Tabel ID]]-1)/$B$5,0)+1</f>
        <v>404</v>
      </c>
      <c r="C1623" s="45">
        <f t="shared" si="25"/>
        <v>1</v>
      </c>
      <c r="D1623" s="45" t="b">
        <f>LineærRegression_Valg[[#This Row],[Afhængig variabel ID]]&lt;&gt;LineærRegression_Valg[[#This Row],[Uafhængig variabel ID]]</f>
        <v>1</v>
      </c>
      <c r="E1623" s="45" t="b">
        <f>LineærRegression_Valg[[#This Row],[Afhængig variabel ID]]&lt;=$B$5</f>
        <v>0</v>
      </c>
      <c r="F1623" t="str" cm="1">
        <f t="array" ref="F1623">IF(LineærRegression_Valg[[#This Row],[Indenfor range]],INDEX(DataTitel_liste,LineærRegression_Valg[[#This Row],[Afhængig variabel ID]]),INDEX(DataTitel_liste,1))</f>
        <v>Eksempel 1 (interval)</v>
      </c>
      <c r="G1623" s="45" t="str" cm="1">
        <f t="array" ref="G1623">IF(LineærRegression_Valg[[#This Row],[Indenfor range]],IF(LineærRegression_Valg[[#This Row],[Intet overlap]],INDEX(DataTitel_liste,LineærRegression_Valg[[#This Row],[Uafhængig variabel ID]]),INDEX(DataTitel_liste,IF(LineærRegression_Valg[[#This Row],[Afhængig variabel ID]]=1,2,1))),$B$7)</f>
        <v>Eksempel 2 (interval)</v>
      </c>
      <c r="H1623" s="45">
        <f>_xlfn.AGGREGATE(2,5,LineærRegression_Valg[[#This Row],[Tabel ID]])</f>
        <v>1</v>
      </c>
    </row>
    <row r="1624" spans="1:8" x14ac:dyDescent="0.2">
      <c r="A1624">
        <f>ROW(LineærRegression_Valg[[#This Row],[Tabel ID]])-ROW(LineærRegression_Valg[[#Headers],[Tabel ID]])</f>
        <v>1614</v>
      </c>
      <c r="B1624" s="45">
        <f>ROUNDDOWN((LineærRegression_Valg[[#This Row],[Tabel ID]]-1)/$B$5,0)+1</f>
        <v>404</v>
      </c>
      <c r="C1624" s="45">
        <f t="shared" si="25"/>
        <v>2</v>
      </c>
      <c r="D1624" s="45" t="b">
        <f>LineærRegression_Valg[[#This Row],[Afhængig variabel ID]]&lt;&gt;LineærRegression_Valg[[#This Row],[Uafhængig variabel ID]]</f>
        <v>1</v>
      </c>
      <c r="E1624" s="45" t="b">
        <f>LineærRegression_Valg[[#This Row],[Afhængig variabel ID]]&lt;=$B$5</f>
        <v>0</v>
      </c>
      <c r="F1624" t="str" cm="1">
        <f t="array" ref="F1624">IF(LineærRegression_Valg[[#This Row],[Indenfor range]],INDEX(DataTitel_liste,LineærRegression_Valg[[#This Row],[Afhængig variabel ID]]),INDEX(DataTitel_liste,1))</f>
        <v>Eksempel 1 (interval)</v>
      </c>
      <c r="G1624" s="45" t="str" cm="1">
        <f t="array" ref="G1624">IF(LineærRegression_Valg[[#This Row],[Indenfor range]],IF(LineærRegression_Valg[[#This Row],[Intet overlap]],INDEX(DataTitel_liste,LineærRegression_Valg[[#This Row],[Uafhængig variabel ID]]),INDEX(DataTitel_liste,IF(LineærRegression_Valg[[#This Row],[Afhængig variabel ID]]=1,2,1))),$B$7)</f>
        <v>Eksempel 2 (interval)</v>
      </c>
      <c r="H1624" s="45">
        <f>_xlfn.AGGREGATE(2,5,LineærRegression_Valg[[#This Row],[Tabel ID]])</f>
        <v>1</v>
      </c>
    </row>
    <row r="1625" spans="1:8" x14ac:dyDescent="0.2">
      <c r="A1625">
        <f>ROW(LineærRegression_Valg[[#This Row],[Tabel ID]])-ROW(LineærRegression_Valg[[#Headers],[Tabel ID]])</f>
        <v>1615</v>
      </c>
      <c r="B1625" s="45">
        <f>ROUNDDOWN((LineærRegression_Valg[[#This Row],[Tabel ID]]-1)/$B$5,0)+1</f>
        <v>404</v>
      </c>
      <c r="C1625" s="45">
        <f t="shared" si="25"/>
        <v>3</v>
      </c>
      <c r="D1625" s="45" t="b">
        <f>LineærRegression_Valg[[#This Row],[Afhængig variabel ID]]&lt;&gt;LineærRegression_Valg[[#This Row],[Uafhængig variabel ID]]</f>
        <v>1</v>
      </c>
      <c r="E1625" s="45" t="b">
        <f>LineærRegression_Valg[[#This Row],[Afhængig variabel ID]]&lt;=$B$5</f>
        <v>0</v>
      </c>
      <c r="F1625" t="str" cm="1">
        <f t="array" ref="F1625">IF(LineærRegression_Valg[[#This Row],[Indenfor range]],INDEX(DataTitel_liste,LineærRegression_Valg[[#This Row],[Afhængig variabel ID]]),INDEX(DataTitel_liste,1))</f>
        <v>Eksempel 1 (interval)</v>
      </c>
      <c r="G1625" s="45" t="str" cm="1">
        <f t="array" ref="G1625">IF(LineærRegression_Valg[[#This Row],[Indenfor range]],IF(LineærRegression_Valg[[#This Row],[Intet overlap]],INDEX(DataTitel_liste,LineærRegression_Valg[[#This Row],[Uafhængig variabel ID]]),INDEX(DataTitel_liste,IF(LineærRegression_Valg[[#This Row],[Afhængig variabel ID]]=1,2,1))),$B$7)</f>
        <v>Eksempel 2 (interval)</v>
      </c>
      <c r="H1625" s="45">
        <f>_xlfn.AGGREGATE(2,5,LineærRegression_Valg[[#This Row],[Tabel ID]])</f>
        <v>1</v>
      </c>
    </row>
    <row r="1626" spans="1:8" x14ac:dyDescent="0.2">
      <c r="A1626">
        <f>ROW(LineærRegression_Valg[[#This Row],[Tabel ID]])-ROW(LineærRegression_Valg[[#Headers],[Tabel ID]])</f>
        <v>1616</v>
      </c>
      <c r="B1626" s="45">
        <f>ROUNDDOWN((LineærRegression_Valg[[#This Row],[Tabel ID]]-1)/$B$5,0)+1</f>
        <v>404</v>
      </c>
      <c r="C1626" s="45">
        <f t="shared" si="25"/>
        <v>4</v>
      </c>
      <c r="D1626" s="45" t="b">
        <f>LineærRegression_Valg[[#This Row],[Afhængig variabel ID]]&lt;&gt;LineærRegression_Valg[[#This Row],[Uafhængig variabel ID]]</f>
        <v>1</v>
      </c>
      <c r="E1626" s="45" t="b">
        <f>LineærRegression_Valg[[#This Row],[Afhængig variabel ID]]&lt;=$B$5</f>
        <v>0</v>
      </c>
      <c r="F1626" t="str" cm="1">
        <f t="array" ref="F1626">IF(LineærRegression_Valg[[#This Row],[Indenfor range]],INDEX(DataTitel_liste,LineærRegression_Valg[[#This Row],[Afhængig variabel ID]]),INDEX(DataTitel_liste,1))</f>
        <v>Eksempel 1 (interval)</v>
      </c>
      <c r="G1626" s="45" t="str" cm="1">
        <f t="array" ref="G1626">IF(LineærRegression_Valg[[#This Row],[Indenfor range]],IF(LineærRegression_Valg[[#This Row],[Intet overlap]],INDEX(DataTitel_liste,LineærRegression_Valg[[#This Row],[Uafhængig variabel ID]]),INDEX(DataTitel_liste,IF(LineærRegression_Valg[[#This Row],[Afhængig variabel ID]]=1,2,1))),$B$7)</f>
        <v>Eksempel 2 (interval)</v>
      </c>
      <c r="H1626" s="45">
        <f>_xlfn.AGGREGATE(2,5,LineærRegression_Valg[[#This Row],[Tabel ID]])</f>
        <v>1</v>
      </c>
    </row>
    <row r="1627" spans="1:8" x14ac:dyDescent="0.2">
      <c r="A1627">
        <f>ROW(LineærRegression_Valg[[#This Row],[Tabel ID]])-ROW(LineærRegression_Valg[[#Headers],[Tabel ID]])</f>
        <v>1617</v>
      </c>
      <c r="B1627" s="45">
        <f>ROUNDDOWN((LineærRegression_Valg[[#This Row],[Tabel ID]]-1)/$B$5,0)+1</f>
        <v>405</v>
      </c>
      <c r="C1627" s="45">
        <f t="shared" si="25"/>
        <v>1</v>
      </c>
      <c r="D1627" s="45" t="b">
        <f>LineærRegression_Valg[[#This Row],[Afhængig variabel ID]]&lt;&gt;LineærRegression_Valg[[#This Row],[Uafhængig variabel ID]]</f>
        <v>1</v>
      </c>
      <c r="E1627" s="45" t="b">
        <f>LineærRegression_Valg[[#This Row],[Afhængig variabel ID]]&lt;=$B$5</f>
        <v>0</v>
      </c>
      <c r="F1627" t="str" cm="1">
        <f t="array" ref="F1627">IF(LineærRegression_Valg[[#This Row],[Indenfor range]],INDEX(DataTitel_liste,LineærRegression_Valg[[#This Row],[Afhængig variabel ID]]),INDEX(DataTitel_liste,1))</f>
        <v>Eksempel 1 (interval)</v>
      </c>
      <c r="G1627" s="45" t="str" cm="1">
        <f t="array" ref="G1627">IF(LineærRegression_Valg[[#This Row],[Indenfor range]],IF(LineærRegression_Valg[[#This Row],[Intet overlap]],INDEX(DataTitel_liste,LineærRegression_Valg[[#This Row],[Uafhængig variabel ID]]),INDEX(DataTitel_liste,IF(LineærRegression_Valg[[#This Row],[Afhængig variabel ID]]=1,2,1))),$B$7)</f>
        <v>Eksempel 2 (interval)</v>
      </c>
      <c r="H1627" s="45">
        <f>_xlfn.AGGREGATE(2,5,LineærRegression_Valg[[#This Row],[Tabel ID]])</f>
        <v>1</v>
      </c>
    </row>
    <row r="1628" spans="1:8" x14ac:dyDescent="0.2">
      <c r="A1628">
        <f>ROW(LineærRegression_Valg[[#This Row],[Tabel ID]])-ROW(LineærRegression_Valg[[#Headers],[Tabel ID]])</f>
        <v>1618</v>
      </c>
      <c r="B1628" s="45">
        <f>ROUNDDOWN((LineærRegression_Valg[[#This Row],[Tabel ID]]-1)/$B$5,0)+1</f>
        <v>405</v>
      </c>
      <c r="C1628" s="45">
        <f t="shared" si="25"/>
        <v>2</v>
      </c>
      <c r="D1628" s="45" t="b">
        <f>LineærRegression_Valg[[#This Row],[Afhængig variabel ID]]&lt;&gt;LineærRegression_Valg[[#This Row],[Uafhængig variabel ID]]</f>
        <v>1</v>
      </c>
      <c r="E1628" s="45" t="b">
        <f>LineærRegression_Valg[[#This Row],[Afhængig variabel ID]]&lt;=$B$5</f>
        <v>0</v>
      </c>
      <c r="F1628" t="str" cm="1">
        <f t="array" ref="F1628">IF(LineærRegression_Valg[[#This Row],[Indenfor range]],INDEX(DataTitel_liste,LineærRegression_Valg[[#This Row],[Afhængig variabel ID]]),INDEX(DataTitel_liste,1))</f>
        <v>Eksempel 1 (interval)</v>
      </c>
      <c r="G1628" s="45" t="str" cm="1">
        <f t="array" ref="G1628">IF(LineærRegression_Valg[[#This Row],[Indenfor range]],IF(LineærRegression_Valg[[#This Row],[Intet overlap]],INDEX(DataTitel_liste,LineærRegression_Valg[[#This Row],[Uafhængig variabel ID]]),INDEX(DataTitel_liste,IF(LineærRegression_Valg[[#This Row],[Afhængig variabel ID]]=1,2,1))),$B$7)</f>
        <v>Eksempel 2 (interval)</v>
      </c>
      <c r="H1628" s="45">
        <f>_xlfn.AGGREGATE(2,5,LineærRegression_Valg[[#This Row],[Tabel ID]])</f>
        <v>1</v>
      </c>
    </row>
    <row r="1629" spans="1:8" x14ac:dyDescent="0.2">
      <c r="A1629">
        <f>ROW(LineærRegression_Valg[[#This Row],[Tabel ID]])-ROW(LineærRegression_Valg[[#Headers],[Tabel ID]])</f>
        <v>1619</v>
      </c>
      <c r="B1629" s="45">
        <f>ROUNDDOWN((LineærRegression_Valg[[#This Row],[Tabel ID]]-1)/$B$5,0)+1</f>
        <v>405</v>
      </c>
      <c r="C1629" s="45">
        <f t="shared" si="25"/>
        <v>3</v>
      </c>
      <c r="D1629" s="45" t="b">
        <f>LineærRegression_Valg[[#This Row],[Afhængig variabel ID]]&lt;&gt;LineærRegression_Valg[[#This Row],[Uafhængig variabel ID]]</f>
        <v>1</v>
      </c>
      <c r="E1629" s="45" t="b">
        <f>LineærRegression_Valg[[#This Row],[Afhængig variabel ID]]&lt;=$B$5</f>
        <v>0</v>
      </c>
      <c r="F1629" t="str" cm="1">
        <f t="array" ref="F1629">IF(LineærRegression_Valg[[#This Row],[Indenfor range]],INDEX(DataTitel_liste,LineærRegression_Valg[[#This Row],[Afhængig variabel ID]]),INDEX(DataTitel_liste,1))</f>
        <v>Eksempel 1 (interval)</v>
      </c>
      <c r="G1629" s="45" t="str" cm="1">
        <f t="array" ref="G1629">IF(LineærRegression_Valg[[#This Row],[Indenfor range]],IF(LineærRegression_Valg[[#This Row],[Intet overlap]],INDEX(DataTitel_liste,LineærRegression_Valg[[#This Row],[Uafhængig variabel ID]]),INDEX(DataTitel_liste,IF(LineærRegression_Valg[[#This Row],[Afhængig variabel ID]]=1,2,1))),$B$7)</f>
        <v>Eksempel 2 (interval)</v>
      </c>
      <c r="H1629" s="45">
        <f>_xlfn.AGGREGATE(2,5,LineærRegression_Valg[[#This Row],[Tabel ID]])</f>
        <v>1</v>
      </c>
    </row>
    <row r="1630" spans="1:8" x14ac:dyDescent="0.2">
      <c r="A1630">
        <f>ROW(LineærRegression_Valg[[#This Row],[Tabel ID]])-ROW(LineærRegression_Valg[[#Headers],[Tabel ID]])</f>
        <v>1620</v>
      </c>
      <c r="B1630" s="45">
        <f>ROUNDDOWN((LineærRegression_Valg[[#This Row],[Tabel ID]]-1)/$B$5,0)+1</f>
        <v>405</v>
      </c>
      <c r="C1630" s="45">
        <f t="shared" si="25"/>
        <v>4</v>
      </c>
      <c r="D1630" s="45" t="b">
        <f>LineærRegression_Valg[[#This Row],[Afhængig variabel ID]]&lt;&gt;LineærRegression_Valg[[#This Row],[Uafhængig variabel ID]]</f>
        <v>1</v>
      </c>
      <c r="E1630" s="45" t="b">
        <f>LineærRegression_Valg[[#This Row],[Afhængig variabel ID]]&lt;=$B$5</f>
        <v>0</v>
      </c>
      <c r="F1630" t="str" cm="1">
        <f t="array" ref="F1630">IF(LineærRegression_Valg[[#This Row],[Indenfor range]],INDEX(DataTitel_liste,LineærRegression_Valg[[#This Row],[Afhængig variabel ID]]),INDEX(DataTitel_liste,1))</f>
        <v>Eksempel 1 (interval)</v>
      </c>
      <c r="G1630" s="45" t="str" cm="1">
        <f t="array" ref="G1630">IF(LineærRegression_Valg[[#This Row],[Indenfor range]],IF(LineærRegression_Valg[[#This Row],[Intet overlap]],INDEX(DataTitel_liste,LineærRegression_Valg[[#This Row],[Uafhængig variabel ID]]),INDEX(DataTitel_liste,IF(LineærRegression_Valg[[#This Row],[Afhængig variabel ID]]=1,2,1))),$B$7)</f>
        <v>Eksempel 2 (interval)</v>
      </c>
      <c r="H1630" s="45">
        <f>_xlfn.AGGREGATE(2,5,LineærRegression_Valg[[#This Row],[Tabel ID]])</f>
        <v>1</v>
      </c>
    </row>
    <row r="1631" spans="1:8" x14ac:dyDescent="0.2">
      <c r="A1631">
        <f>ROW(LineærRegression_Valg[[#This Row],[Tabel ID]])-ROW(LineærRegression_Valg[[#Headers],[Tabel ID]])</f>
        <v>1621</v>
      </c>
      <c r="B1631" s="45">
        <f>ROUNDDOWN((LineærRegression_Valg[[#This Row],[Tabel ID]]-1)/$B$5,0)+1</f>
        <v>406</v>
      </c>
      <c r="C1631" s="45">
        <f t="shared" si="25"/>
        <v>1</v>
      </c>
      <c r="D1631" s="45" t="b">
        <f>LineærRegression_Valg[[#This Row],[Afhængig variabel ID]]&lt;&gt;LineærRegression_Valg[[#This Row],[Uafhængig variabel ID]]</f>
        <v>1</v>
      </c>
      <c r="E1631" s="45" t="b">
        <f>LineærRegression_Valg[[#This Row],[Afhængig variabel ID]]&lt;=$B$5</f>
        <v>0</v>
      </c>
      <c r="F1631" t="str" cm="1">
        <f t="array" ref="F1631">IF(LineærRegression_Valg[[#This Row],[Indenfor range]],INDEX(DataTitel_liste,LineærRegression_Valg[[#This Row],[Afhængig variabel ID]]),INDEX(DataTitel_liste,1))</f>
        <v>Eksempel 1 (interval)</v>
      </c>
      <c r="G1631" s="45" t="str" cm="1">
        <f t="array" ref="G1631">IF(LineærRegression_Valg[[#This Row],[Indenfor range]],IF(LineærRegression_Valg[[#This Row],[Intet overlap]],INDEX(DataTitel_liste,LineærRegression_Valg[[#This Row],[Uafhængig variabel ID]]),INDEX(DataTitel_liste,IF(LineærRegression_Valg[[#This Row],[Afhængig variabel ID]]=1,2,1))),$B$7)</f>
        <v>Eksempel 2 (interval)</v>
      </c>
      <c r="H1631" s="45">
        <f>_xlfn.AGGREGATE(2,5,LineærRegression_Valg[[#This Row],[Tabel ID]])</f>
        <v>1</v>
      </c>
    </row>
    <row r="1632" spans="1:8" x14ac:dyDescent="0.2">
      <c r="A1632">
        <f>ROW(LineærRegression_Valg[[#This Row],[Tabel ID]])-ROW(LineærRegression_Valg[[#Headers],[Tabel ID]])</f>
        <v>1622</v>
      </c>
      <c r="B1632" s="45">
        <f>ROUNDDOWN((LineærRegression_Valg[[#This Row],[Tabel ID]]-1)/$B$5,0)+1</f>
        <v>406</v>
      </c>
      <c r="C1632" s="45">
        <f t="shared" si="25"/>
        <v>2</v>
      </c>
      <c r="D1632" s="45" t="b">
        <f>LineærRegression_Valg[[#This Row],[Afhængig variabel ID]]&lt;&gt;LineærRegression_Valg[[#This Row],[Uafhængig variabel ID]]</f>
        <v>1</v>
      </c>
      <c r="E1632" s="45" t="b">
        <f>LineærRegression_Valg[[#This Row],[Afhængig variabel ID]]&lt;=$B$5</f>
        <v>0</v>
      </c>
      <c r="F1632" t="str" cm="1">
        <f t="array" ref="F1632">IF(LineærRegression_Valg[[#This Row],[Indenfor range]],INDEX(DataTitel_liste,LineærRegression_Valg[[#This Row],[Afhængig variabel ID]]),INDEX(DataTitel_liste,1))</f>
        <v>Eksempel 1 (interval)</v>
      </c>
      <c r="G1632" s="45" t="str" cm="1">
        <f t="array" ref="G1632">IF(LineærRegression_Valg[[#This Row],[Indenfor range]],IF(LineærRegression_Valg[[#This Row],[Intet overlap]],INDEX(DataTitel_liste,LineærRegression_Valg[[#This Row],[Uafhængig variabel ID]]),INDEX(DataTitel_liste,IF(LineærRegression_Valg[[#This Row],[Afhængig variabel ID]]=1,2,1))),$B$7)</f>
        <v>Eksempel 2 (interval)</v>
      </c>
      <c r="H1632" s="45">
        <f>_xlfn.AGGREGATE(2,5,LineærRegression_Valg[[#This Row],[Tabel ID]])</f>
        <v>1</v>
      </c>
    </row>
    <row r="1633" spans="1:8" x14ac:dyDescent="0.2">
      <c r="A1633">
        <f>ROW(LineærRegression_Valg[[#This Row],[Tabel ID]])-ROW(LineærRegression_Valg[[#Headers],[Tabel ID]])</f>
        <v>1623</v>
      </c>
      <c r="B1633" s="45">
        <f>ROUNDDOWN((LineærRegression_Valg[[#This Row],[Tabel ID]]-1)/$B$5,0)+1</f>
        <v>406</v>
      </c>
      <c r="C1633" s="45">
        <f t="shared" si="25"/>
        <v>3</v>
      </c>
      <c r="D1633" s="45" t="b">
        <f>LineærRegression_Valg[[#This Row],[Afhængig variabel ID]]&lt;&gt;LineærRegression_Valg[[#This Row],[Uafhængig variabel ID]]</f>
        <v>1</v>
      </c>
      <c r="E1633" s="45" t="b">
        <f>LineærRegression_Valg[[#This Row],[Afhængig variabel ID]]&lt;=$B$5</f>
        <v>0</v>
      </c>
      <c r="F1633" t="str" cm="1">
        <f t="array" ref="F1633">IF(LineærRegression_Valg[[#This Row],[Indenfor range]],INDEX(DataTitel_liste,LineærRegression_Valg[[#This Row],[Afhængig variabel ID]]),INDEX(DataTitel_liste,1))</f>
        <v>Eksempel 1 (interval)</v>
      </c>
      <c r="G1633" s="45" t="str" cm="1">
        <f t="array" ref="G1633">IF(LineærRegression_Valg[[#This Row],[Indenfor range]],IF(LineærRegression_Valg[[#This Row],[Intet overlap]],INDEX(DataTitel_liste,LineærRegression_Valg[[#This Row],[Uafhængig variabel ID]]),INDEX(DataTitel_liste,IF(LineærRegression_Valg[[#This Row],[Afhængig variabel ID]]=1,2,1))),$B$7)</f>
        <v>Eksempel 2 (interval)</v>
      </c>
      <c r="H1633" s="45">
        <f>_xlfn.AGGREGATE(2,5,LineærRegression_Valg[[#This Row],[Tabel ID]])</f>
        <v>1</v>
      </c>
    </row>
    <row r="1634" spans="1:8" x14ac:dyDescent="0.2">
      <c r="A1634">
        <f>ROW(LineærRegression_Valg[[#This Row],[Tabel ID]])-ROW(LineærRegression_Valg[[#Headers],[Tabel ID]])</f>
        <v>1624</v>
      </c>
      <c r="B1634" s="45">
        <f>ROUNDDOWN((LineærRegression_Valg[[#This Row],[Tabel ID]]-1)/$B$5,0)+1</f>
        <v>406</v>
      </c>
      <c r="C1634" s="45">
        <f t="shared" si="25"/>
        <v>4</v>
      </c>
      <c r="D1634" s="45" t="b">
        <f>LineærRegression_Valg[[#This Row],[Afhængig variabel ID]]&lt;&gt;LineærRegression_Valg[[#This Row],[Uafhængig variabel ID]]</f>
        <v>1</v>
      </c>
      <c r="E1634" s="45" t="b">
        <f>LineærRegression_Valg[[#This Row],[Afhængig variabel ID]]&lt;=$B$5</f>
        <v>0</v>
      </c>
      <c r="F1634" t="str" cm="1">
        <f t="array" ref="F1634">IF(LineærRegression_Valg[[#This Row],[Indenfor range]],INDEX(DataTitel_liste,LineærRegression_Valg[[#This Row],[Afhængig variabel ID]]),INDEX(DataTitel_liste,1))</f>
        <v>Eksempel 1 (interval)</v>
      </c>
      <c r="G1634" s="45" t="str" cm="1">
        <f t="array" ref="G1634">IF(LineærRegression_Valg[[#This Row],[Indenfor range]],IF(LineærRegression_Valg[[#This Row],[Intet overlap]],INDEX(DataTitel_liste,LineærRegression_Valg[[#This Row],[Uafhængig variabel ID]]),INDEX(DataTitel_liste,IF(LineærRegression_Valg[[#This Row],[Afhængig variabel ID]]=1,2,1))),$B$7)</f>
        <v>Eksempel 2 (interval)</v>
      </c>
      <c r="H1634" s="45">
        <f>_xlfn.AGGREGATE(2,5,LineærRegression_Valg[[#This Row],[Tabel ID]])</f>
        <v>1</v>
      </c>
    </row>
    <row r="1635" spans="1:8" x14ac:dyDescent="0.2">
      <c r="A1635">
        <f>ROW(LineærRegression_Valg[[#This Row],[Tabel ID]])-ROW(LineærRegression_Valg[[#Headers],[Tabel ID]])</f>
        <v>1625</v>
      </c>
      <c r="B1635" s="45">
        <f>ROUNDDOWN((LineærRegression_Valg[[#This Row],[Tabel ID]]-1)/$B$5,0)+1</f>
        <v>407</v>
      </c>
      <c r="C1635" s="45">
        <f t="shared" si="25"/>
        <v>1</v>
      </c>
      <c r="D1635" s="45" t="b">
        <f>LineærRegression_Valg[[#This Row],[Afhængig variabel ID]]&lt;&gt;LineærRegression_Valg[[#This Row],[Uafhængig variabel ID]]</f>
        <v>1</v>
      </c>
      <c r="E1635" s="45" t="b">
        <f>LineærRegression_Valg[[#This Row],[Afhængig variabel ID]]&lt;=$B$5</f>
        <v>0</v>
      </c>
      <c r="F1635" t="str" cm="1">
        <f t="array" ref="F1635">IF(LineærRegression_Valg[[#This Row],[Indenfor range]],INDEX(DataTitel_liste,LineærRegression_Valg[[#This Row],[Afhængig variabel ID]]),INDEX(DataTitel_liste,1))</f>
        <v>Eksempel 1 (interval)</v>
      </c>
      <c r="G1635" s="45" t="str" cm="1">
        <f t="array" ref="G1635">IF(LineærRegression_Valg[[#This Row],[Indenfor range]],IF(LineærRegression_Valg[[#This Row],[Intet overlap]],INDEX(DataTitel_liste,LineærRegression_Valg[[#This Row],[Uafhængig variabel ID]]),INDEX(DataTitel_liste,IF(LineærRegression_Valg[[#This Row],[Afhængig variabel ID]]=1,2,1))),$B$7)</f>
        <v>Eksempel 2 (interval)</v>
      </c>
      <c r="H1635" s="45">
        <f>_xlfn.AGGREGATE(2,5,LineærRegression_Valg[[#This Row],[Tabel ID]])</f>
        <v>1</v>
      </c>
    </row>
    <row r="1636" spans="1:8" x14ac:dyDescent="0.2">
      <c r="A1636">
        <f>ROW(LineærRegression_Valg[[#This Row],[Tabel ID]])-ROW(LineærRegression_Valg[[#Headers],[Tabel ID]])</f>
        <v>1626</v>
      </c>
      <c r="B1636" s="45">
        <f>ROUNDDOWN((LineærRegression_Valg[[#This Row],[Tabel ID]]-1)/$B$5,0)+1</f>
        <v>407</v>
      </c>
      <c r="C1636" s="45">
        <f t="shared" si="25"/>
        <v>2</v>
      </c>
      <c r="D1636" s="45" t="b">
        <f>LineærRegression_Valg[[#This Row],[Afhængig variabel ID]]&lt;&gt;LineærRegression_Valg[[#This Row],[Uafhængig variabel ID]]</f>
        <v>1</v>
      </c>
      <c r="E1636" s="45" t="b">
        <f>LineærRegression_Valg[[#This Row],[Afhængig variabel ID]]&lt;=$B$5</f>
        <v>0</v>
      </c>
      <c r="F1636" t="str" cm="1">
        <f t="array" ref="F1636">IF(LineærRegression_Valg[[#This Row],[Indenfor range]],INDEX(DataTitel_liste,LineærRegression_Valg[[#This Row],[Afhængig variabel ID]]),INDEX(DataTitel_liste,1))</f>
        <v>Eksempel 1 (interval)</v>
      </c>
      <c r="G1636" s="45" t="str" cm="1">
        <f t="array" ref="G1636">IF(LineærRegression_Valg[[#This Row],[Indenfor range]],IF(LineærRegression_Valg[[#This Row],[Intet overlap]],INDEX(DataTitel_liste,LineærRegression_Valg[[#This Row],[Uafhængig variabel ID]]),INDEX(DataTitel_liste,IF(LineærRegression_Valg[[#This Row],[Afhængig variabel ID]]=1,2,1))),$B$7)</f>
        <v>Eksempel 2 (interval)</v>
      </c>
      <c r="H1636" s="45">
        <f>_xlfn.AGGREGATE(2,5,LineærRegression_Valg[[#This Row],[Tabel ID]])</f>
        <v>1</v>
      </c>
    </row>
    <row r="1637" spans="1:8" x14ac:dyDescent="0.2">
      <c r="A1637">
        <f>ROW(LineærRegression_Valg[[#This Row],[Tabel ID]])-ROW(LineærRegression_Valg[[#Headers],[Tabel ID]])</f>
        <v>1627</v>
      </c>
      <c r="B1637" s="45">
        <f>ROUNDDOWN((LineærRegression_Valg[[#This Row],[Tabel ID]]-1)/$B$5,0)+1</f>
        <v>407</v>
      </c>
      <c r="C1637" s="45">
        <f t="shared" si="25"/>
        <v>3</v>
      </c>
      <c r="D1637" s="45" t="b">
        <f>LineærRegression_Valg[[#This Row],[Afhængig variabel ID]]&lt;&gt;LineærRegression_Valg[[#This Row],[Uafhængig variabel ID]]</f>
        <v>1</v>
      </c>
      <c r="E1637" s="45" t="b">
        <f>LineærRegression_Valg[[#This Row],[Afhængig variabel ID]]&lt;=$B$5</f>
        <v>0</v>
      </c>
      <c r="F1637" t="str" cm="1">
        <f t="array" ref="F1637">IF(LineærRegression_Valg[[#This Row],[Indenfor range]],INDEX(DataTitel_liste,LineærRegression_Valg[[#This Row],[Afhængig variabel ID]]),INDEX(DataTitel_liste,1))</f>
        <v>Eksempel 1 (interval)</v>
      </c>
      <c r="G1637" s="45" t="str" cm="1">
        <f t="array" ref="G1637">IF(LineærRegression_Valg[[#This Row],[Indenfor range]],IF(LineærRegression_Valg[[#This Row],[Intet overlap]],INDEX(DataTitel_liste,LineærRegression_Valg[[#This Row],[Uafhængig variabel ID]]),INDEX(DataTitel_liste,IF(LineærRegression_Valg[[#This Row],[Afhængig variabel ID]]=1,2,1))),$B$7)</f>
        <v>Eksempel 2 (interval)</v>
      </c>
      <c r="H1637" s="45">
        <f>_xlfn.AGGREGATE(2,5,LineærRegression_Valg[[#This Row],[Tabel ID]])</f>
        <v>1</v>
      </c>
    </row>
    <row r="1638" spans="1:8" x14ac:dyDescent="0.2">
      <c r="A1638">
        <f>ROW(LineærRegression_Valg[[#This Row],[Tabel ID]])-ROW(LineærRegression_Valg[[#Headers],[Tabel ID]])</f>
        <v>1628</v>
      </c>
      <c r="B1638" s="45">
        <f>ROUNDDOWN((LineærRegression_Valg[[#This Row],[Tabel ID]]-1)/$B$5,0)+1</f>
        <v>407</v>
      </c>
      <c r="C1638" s="45">
        <f t="shared" si="25"/>
        <v>4</v>
      </c>
      <c r="D1638" s="45" t="b">
        <f>LineærRegression_Valg[[#This Row],[Afhængig variabel ID]]&lt;&gt;LineærRegression_Valg[[#This Row],[Uafhængig variabel ID]]</f>
        <v>1</v>
      </c>
      <c r="E1638" s="45" t="b">
        <f>LineærRegression_Valg[[#This Row],[Afhængig variabel ID]]&lt;=$B$5</f>
        <v>0</v>
      </c>
      <c r="F1638" t="str" cm="1">
        <f t="array" ref="F1638">IF(LineærRegression_Valg[[#This Row],[Indenfor range]],INDEX(DataTitel_liste,LineærRegression_Valg[[#This Row],[Afhængig variabel ID]]),INDEX(DataTitel_liste,1))</f>
        <v>Eksempel 1 (interval)</v>
      </c>
      <c r="G1638" s="45" t="str" cm="1">
        <f t="array" ref="G1638">IF(LineærRegression_Valg[[#This Row],[Indenfor range]],IF(LineærRegression_Valg[[#This Row],[Intet overlap]],INDEX(DataTitel_liste,LineærRegression_Valg[[#This Row],[Uafhængig variabel ID]]),INDEX(DataTitel_liste,IF(LineærRegression_Valg[[#This Row],[Afhængig variabel ID]]=1,2,1))),$B$7)</f>
        <v>Eksempel 2 (interval)</v>
      </c>
      <c r="H1638" s="45">
        <f>_xlfn.AGGREGATE(2,5,LineærRegression_Valg[[#This Row],[Tabel ID]])</f>
        <v>1</v>
      </c>
    </row>
    <row r="1639" spans="1:8" x14ac:dyDescent="0.2">
      <c r="A1639">
        <f>ROW(LineærRegression_Valg[[#This Row],[Tabel ID]])-ROW(LineærRegression_Valg[[#Headers],[Tabel ID]])</f>
        <v>1629</v>
      </c>
      <c r="B1639" s="45">
        <f>ROUNDDOWN((LineærRegression_Valg[[#This Row],[Tabel ID]]-1)/$B$5,0)+1</f>
        <v>408</v>
      </c>
      <c r="C1639" s="45">
        <f t="shared" si="25"/>
        <v>1</v>
      </c>
      <c r="D1639" s="45" t="b">
        <f>LineærRegression_Valg[[#This Row],[Afhængig variabel ID]]&lt;&gt;LineærRegression_Valg[[#This Row],[Uafhængig variabel ID]]</f>
        <v>1</v>
      </c>
      <c r="E1639" s="45" t="b">
        <f>LineærRegression_Valg[[#This Row],[Afhængig variabel ID]]&lt;=$B$5</f>
        <v>0</v>
      </c>
      <c r="F1639" t="str" cm="1">
        <f t="array" ref="F1639">IF(LineærRegression_Valg[[#This Row],[Indenfor range]],INDEX(DataTitel_liste,LineærRegression_Valg[[#This Row],[Afhængig variabel ID]]),INDEX(DataTitel_liste,1))</f>
        <v>Eksempel 1 (interval)</v>
      </c>
      <c r="G1639" s="45" t="str" cm="1">
        <f t="array" ref="G1639">IF(LineærRegression_Valg[[#This Row],[Indenfor range]],IF(LineærRegression_Valg[[#This Row],[Intet overlap]],INDEX(DataTitel_liste,LineærRegression_Valg[[#This Row],[Uafhængig variabel ID]]),INDEX(DataTitel_liste,IF(LineærRegression_Valg[[#This Row],[Afhængig variabel ID]]=1,2,1))),$B$7)</f>
        <v>Eksempel 2 (interval)</v>
      </c>
      <c r="H1639" s="45">
        <f>_xlfn.AGGREGATE(2,5,LineærRegression_Valg[[#This Row],[Tabel ID]])</f>
        <v>1</v>
      </c>
    </row>
    <row r="1640" spans="1:8" x14ac:dyDescent="0.2">
      <c r="A1640">
        <f>ROW(LineærRegression_Valg[[#This Row],[Tabel ID]])-ROW(LineærRegression_Valg[[#Headers],[Tabel ID]])</f>
        <v>1630</v>
      </c>
      <c r="B1640" s="45">
        <f>ROUNDDOWN((LineærRegression_Valg[[#This Row],[Tabel ID]]-1)/$B$5,0)+1</f>
        <v>408</v>
      </c>
      <c r="C1640" s="45">
        <f t="shared" si="25"/>
        <v>2</v>
      </c>
      <c r="D1640" s="45" t="b">
        <f>LineærRegression_Valg[[#This Row],[Afhængig variabel ID]]&lt;&gt;LineærRegression_Valg[[#This Row],[Uafhængig variabel ID]]</f>
        <v>1</v>
      </c>
      <c r="E1640" s="45" t="b">
        <f>LineærRegression_Valg[[#This Row],[Afhængig variabel ID]]&lt;=$B$5</f>
        <v>0</v>
      </c>
      <c r="F1640" t="str" cm="1">
        <f t="array" ref="F1640">IF(LineærRegression_Valg[[#This Row],[Indenfor range]],INDEX(DataTitel_liste,LineærRegression_Valg[[#This Row],[Afhængig variabel ID]]),INDEX(DataTitel_liste,1))</f>
        <v>Eksempel 1 (interval)</v>
      </c>
      <c r="G1640" s="45" t="str" cm="1">
        <f t="array" ref="G1640">IF(LineærRegression_Valg[[#This Row],[Indenfor range]],IF(LineærRegression_Valg[[#This Row],[Intet overlap]],INDEX(DataTitel_liste,LineærRegression_Valg[[#This Row],[Uafhængig variabel ID]]),INDEX(DataTitel_liste,IF(LineærRegression_Valg[[#This Row],[Afhængig variabel ID]]=1,2,1))),$B$7)</f>
        <v>Eksempel 2 (interval)</v>
      </c>
      <c r="H1640" s="45">
        <f>_xlfn.AGGREGATE(2,5,LineærRegression_Valg[[#This Row],[Tabel ID]])</f>
        <v>1</v>
      </c>
    </row>
    <row r="1641" spans="1:8" x14ac:dyDescent="0.2">
      <c r="A1641">
        <f>ROW(LineærRegression_Valg[[#This Row],[Tabel ID]])-ROW(LineærRegression_Valg[[#Headers],[Tabel ID]])</f>
        <v>1631</v>
      </c>
      <c r="B1641" s="45">
        <f>ROUNDDOWN((LineærRegression_Valg[[#This Row],[Tabel ID]]-1)/$B$5,0)+1</f>
        <v>408</v>
      </c>
      <c r="C1641" s="45">
        <f t="shared" si="25"/>
        <v>3</v>
      </c>
      <c r="D1641" s="45" t="b">
        <f>LineærRegression_Valg[[#This Row],[Afhængig variabel ID]]&lt;&gt;LineærRegression_Valg[[#This Row],[Uafhængig variabel ID]]</f>
        <v>1</v>
      </c>
      <c r="E1641" s="45" t="b">
        <f>LineærRegression_Valg[[#This Row],[Afhængig variabel ID]]&lt;=$B$5</f>
        <v>0</v>
      </c>
      <c r="F1641" t="str" cm="1">
        <f t="array" ref="F1641">IF(LineærRegression_Valg[[#This Row],[Indenfor range]],INDEX(DataTitel_liste,LineærRegression_Valg[[#This Row],[Afhængig variabel ID]]),INDEX(DataTitel_liste,1))</f>
        <v>Eksempel 1 (interval)</v>
      </c>
      <c r="G1641" s="45" t="str" cm="1">
        <f t="array" ref="G1641">IF(LineærRegression_Valg[[#This Row],[Indenfor range]],IF(LineærRegression_Valg[[#This Row],[Intet overlap]],INDEX(DataTitel_liste,LineærRegression_Valg[[#This Row],[Uafhængig variabel ID]]),INDEX(DataTitel_liste,IF(LineærRegression_Valg[[#This Row],[Afhængig variabel ID]]=1,2,1))),$B$7)</f>
        <v>Eksempel 2 (interval)</v>
      </c>
      <c r="H1641" s="45">
        <f>_xlfn.AGGREGATE(2,5,LineærRegression_Valg[[#This Row],[Tabel ID]])</f>
        <v>1</v>
      </c>
    </row>
    <row r="1642" spans="1:8" x14ac:dyDescent="0.2">
      <c r="A1642">
        <f>ROW(LineærRegression_Valg[[#This Row],[Tabel ID]])-ROW(LineærRegression_Valg[[#Headers],[Tabel ID]])</f>
        <v>1632</v>
      </c>
      <c r="B1642" s="45">
        <f>ROUNDDOWN((LineærRegression_Valg[[#This Row],[Tabel ID]]-1)/$B$5,0)+1</f>
        <v>408</v>
      </c>
      <c r="C1642" s="45">
        <f t="shared" si="25"/>
        <v>4</v>
      </c>
      <c r="D1642" s="45" t="b">
        <f>LineærRegression_Valg[[#This Row],[Afhængig variabel ID]]&lt;&gt;LineærRegression_Valg[[#This Row],[Uafhængig variabel ID]]</f>
        <v>1</v>
      </c>
      <c r="E1642" s="45" t="b">
        <f>LineærRegression_Valg[[#This Row],[Afhængig variabel ID]]&lt;=$B$5</f>
        <v>0</v>
      </c>
      <c r="F1642" t="str" cm="1">
        <f t="array" ref="F1642">IF(LineærRegression_Valg[[#This Row],[Indenfor range]],INDEX(DataTitel_liste,LineærRegression_Valg[[#This Row],[Afhængig variabel ID]]),INDEX(DataTitel_liste,1))</f>
        <v>Eksempel 1 (interval)</v>
      </c>
      <c r="G1642" s="45" t="str" cm="1">
        <f t="array" ref="G1642">IF(LineærRegression_Valg[[#This Row],[Indenfor range]],IF(LineærRegression_Valg[[#This Row],[Intet overlap]],INDEX(DataTitel_liste,LineærRegression_Valg[[#This Row],[Uafhængig variabel ID]]),INDEX(DataTitel_liste,IF(LineærRegression_Valg[[#This Row],[Afhængig variabel ID]]=1,2,1))),$B$7)</f>
        <v>Eksempel 2 (interval)</v>
      </c>
      <c r="H1642" s="45">
        <f>_xlfn.AGGREGATE(2,5,LineærRegression_Valg[[#This Row],[Tabel ID]])</f>
        <v>1</v>
      </c>
    </row>
    <row r="1643" spans="1:8" x14ac:dyDescent="0.2">
      <c r="A1643">
        <f>ROW(LineærRegression_Valg[[#This Row],[Tabel ID]])-ROW(LineærRegression_Valg[[#Headers],[Tabel ID]])</f>
        <v>1633</v>
      </c>
      <c r="B1643" s="45">
        <f>ROUNDDOWN((LineærRegression_Valg[[#This Row],[Tabel ID]]-1)/$B$5,0)+1</f>
        <v>409</v>
      </c>
      <c r="C1643" s="45">
        <f t="shared" si="25"/>
        <v>1</v>
      </c>
      <c r="D1643" s="45" t="b">
        <f>LineærRegression_Valg[[#This Row],[Afhængig variabel ID]]&lt;&gt;LineærRegression_Valg[[#This Row],[Uafhængig variabel ID]]</f>
        <v>1</v>
      </c>
      <c r="E1643" s="45" t="b">
        <f>LineærRegression_Valg[[#This Row],[Afhængig variabel ID]]&lt;=$B$5</f>
        <v>0</v>
      </c>
      <c r="F1643" t="str" cm="1">
        <f t="array" ref="F1643">IF(LineærRegression_Valg[[#This Row],[Indenfor range]],INDEX(DataTitel_liste,LineærRegression_Valg[[#This Row],[Afhængig variabel ID]]),INDEX(DataTitel_liste,1))</f>
        <v>Eksempel 1 (interval)</v>
      </c>
      <c r="G1643" s="45" t="str" cm="1">
        <f t="array" ref="G1643">IF(LineærRegression_Valg[[#This Row],[Indenfor range]],IF(LineærRegression_Valg[[#This Row],[Intet overlap]],INDEX(DataTitel_liste,LineærRegression_Valg[[#This Row],[Uafhængig variabel ID]]),INDEX(DataTitel_liste,IF(LineærRegression_Valg[[#This Row],[Afhængig variabel ID]]=1,2,1))),$B$7)</f>
        <v>Eksempel 2 (interval)</v>
      </c>
      <c r="H1643" s="45">
        <f>_xlfn.AGGREGATE(2,5,LineærRegression_Valg[[#This Row],[Tabel ID]])</f>
        <v>1</v>
      </c>
    </row>
    <row r="1644" spans="1:8" x14ac:dyDescent="0.2">
      <c r="A1644">
        <f>ROW(LineærRegression_Valg[[#This Row],[Tabel ID]])-ROW(LineærRegression_Valg[[#Headers],[Tabel ID]])</f>
        <v>1634</v>
      </c>
      <c r="B1644" s="45">
        <f>ROUNDDOWN((LineærRegression_Valg[[#This Row],[Tabel ID]]-1)/$B$5,0)+1</f>
        <v>409</v>
      </c>
      <c r="C1644" s="45">
        <f t="shared" si="25"/>
        <v>2</v>
      </c>
      <c r="D1644" s="45" t="b">
        <f>LineærRegression_Valg[[#This Row],[Afhængig variabel ID]]&lt;&gt;LineærRegression_Valg[[#This Row],[Uafhængig variabel ID]]</f>
        <v>1</v>
      </c>
      <c r="E1644" s="45" t="b">
        <f>LineærRegression_Valg[[#This Row],[Afhængig variabel ID]]&lt;=$B$5</f>
        <v>0</v>
      </c>
      <c r="F1644" t="str" cm="1">
        <f t="array" ref="F1644">IF(LineærRegression_Valg[[#This Row],[Indenfor range]],INDEX(DataTitel_liste,LineærRegression_Valg[[#This Row],[Afhængig variabel ID]]),INDEX(DataTitel_liste,1))</f>
        <v>Eksempel 1 (interval)</v>
      </c>
      <c r="G1644" s="45" t="str" cm="1">
        <f t="array" ref="G1644">IF(LineærRegression_Valg[[#This Row],[Indenfor range]],IF(LineærRegression_Valg[[#This Row],[Intet overlap]],INDEX(DataTitel_liste,LineærRegression_Valg[[#This Row],[Uafhængig variabel ID]]),INDEX(DataTitel_liste,IF(LineærRegression_Valg[[#This Row],[Afhængig variabel ID]]=1,2,1))),$B$7)</f>
        <v>Eksempel 2 (interval)</v>
      </c>
      <c r="H1644" s="45">
        <f>_xlfn.AGGREGATE(2,5,LineærRegression_Valg[[#This Row],[Tabel ID]])</f>
        <v>1</v>
      </c>
    </row>
    <row r="1645" spans="1:8" x14ac:dyDescent="0.2">
      <c r="A1645">
        <f>ROW(LineærRegression_Valg[[#This Row],[Tabel ID]])-ROW(LineærRegression_Valg[[#Headers],[Tabel ID]])</f>
        <v>1635</v>
      </c>
      <c r="B1645" s="45">
        <f>ROUNDDOWN((LineærRegression_Valg[[#This Row],[Tabel ID]]-1)/$B$5,0)+1</f>
        <v>409</v>
      </c>
      <c r="C1645" s="45">
        <f t="shared" si="25"/>
        <v>3</v>
      </c>
      <c r="D1645" s="45" t="b">
        <f>LineærRegression_Valg[[#This Row],[Afhængig variabel ID]]&lt;&gt;LineærRegression_Valg[[#This Row],[Uafhængig variabel ID]]</f>
        <v>1</v>
      </c>
      <c r="E1645" s="45" t="b">
        <f>LineærRegression_Valg[[#This Row],[Afhængig variabel ID]]&lt;=$B$5</f>
        <v>0</v>
      </c>
      <c r="F1645" t="str" cm="1">
        <f t="array" ref="F1645">IF(LineærRegression_Valg[[#This Row],[Indenfor range]],INDEX(DataTitel_liste,LineærRegression_Valg[[#This Row],[Afhængig variabel ID]]),INDEX(DataTitel_liste,1))</f>
        <v>Eksempel 1 (interval)</v>
      </c>
      <c r="G1645" s="45" t="str" cm="1">
        <f t="array" ref="G1645">IF(LineærRegression_Valg[[#This Row],[Indenfor range]],IF(LineærRegression_Valg[[#This Row],[Intet overlap]],INDEX(DataTitel_liste,LineærRegression_Valg[[#This Row],[Uafhængig variabel ID]]),INDEX(DataTitel_liste,IF(LineærRegression_Valg[[#This Row],[Afhængig variabel ID]]=1,2,1))),$B$7)</f>
        <v>Eksempel 2 (interval)</v>
      </c>
      <c r="H1645" s="45">
        <f>_xlfn.AGGREGATE(2,5,LineærRegression_Valg[[#This Row],[Tabel ID]])</f>
        <v>1</v>
      </c>
    </row>
    <row r="1646" spans="1:8" x14ac:dyDescent="0.2">
      <c r="A1646">
        <f>ROW(LineærRegression_Valg[[#This Row],[Tabel ID]])-ROW(LineærRegression_Valg[[#Headers],[Tabel ID]])</f>
        <v>1636</v>
      </c>
      <c r="B1646" s="45">
        <f>ROUNDDOWN((LineærRegression_Valg[[#This Row],[Tabel ID]]-1)/$B$5,0)+1</f>
        <v>409</v>
      </c>
      <c r="C1646" s="45">
        <f t="shared" si="25"/>
        <v>4</v>
      </c>
      <c r="D1646" s="45" t="b">
        <f>LineærRegression_Valg[[#This Row],[Afhængig variabel ID]]&lt;&gt;LineærRegression_Valg[[#This Row],[Uafhængig variabel ID]]</f>
        <v>1</v>
      </c>
      <c r="E1646" s="45" t="b">
        <f>LineærRegression_Valg[[#This Row],[Afhængig variabel ID]]&lt;=$B$5</f>
        <v>0</v>
      </c>
      <c r="F1646" t="str" cm="1">
        <f t="array" ref="F1646">IF(LineærRegression_Valg[[#This Row],[Indenfor range]],INDEX(DataTitel_liste,LineærRegression_Valg[[#This Row],[Afhængig variabel ID]]),INDEX(DataTitel_liste,1))</f>
        <v>Eksempel 1 (interval)</v>
      </c>
      <c r="G1646" s="45" t="str" cm="1">
        <f t="array" ref="G1646">IF(LineærRegression_Valg[[#This Row],[Indenfor range]],IF(LineærRegression_Valg[[#This Row],[Intet overlap]],INDEX(DataTitel_liste,LineærRegression_Valg[[#This Row],[Uafhængig variabel ID]]),INDEX(DataTitel_liste,IF(LineærRegression_Valg[[#This Row],[Afhængig variabel ID]]=1,2,1))),$B$7)</f>
        <v>Eksempel 2 (interval)</v>
      </c>
      <c r="H1646" s="45">
        <f>_xlfn.AGGREGATE(2,5,LineærRegression_Valg[[#This Row],[Tabel ID]])</f>
        <v>1</v>
      </c>
    </row>
    <row r="1647" spans="1:8" x14ac:dyDescent="0.2">
      <c r="A1647">
        <f>ROW(LineærRegression_Valg[[#This Row],[Tabel ID]])-ROW(LineærRegression_Valg[[#Headers],[Tabel ID]])</f>
        <v>1637</v>
      </c>
      <c r="B1647" s="45">
        <f>ROUNDDOWN((LineærRegression_Valg[[#This Row],[Tabel ID]]-1)/$B$5,0)+1</f>
        <v>410</v>
      </c>
      <c r="C1647" s="45">
        <f t="shared" si="25"/>
        <v>1</v>
      </c>
      <c r="D1647" s="45" t="b">
        <f>LineærRegression_Valg[[#This Row],[Afhængig variabel ID]]&lt;&gt;LineærRegression_Valg[[#This Row],[Uafhængig variabel ID]]</f>
        <v>1</v>
      </c>
      <c r="E1647" s="45" t="b">
        <f>LineærRegression_Valg[[#This Row],[Afhængig variabel ID]]&lt;=$B$5</f>
        <v>0</v>
      </c>
      <c r="F1647" t="str" cm="1">
        <f t="array" ref="F1647">IF(LineærRegression_Valg[[#This Row],[Indenfor range]],INDEX(DataTitel_liste,LineærRegression_Valg[[#This Row],[Afhængig variabel ID]]),INDEX(DataTitel_liste,1))</f>
        <v>Eksempel 1 (interval)</v>
      </c>
      <c r="G1647" s="45" t="str" cm="1">
        <f t="array" ref="G1647">IF(LineærRegression_Valg[[#This Row],[Indenfor range]],IF(LineærRegression_Valg[[#This Row],[Intet overlap]],INDEX(DataTitel_liste,LineærRegression_Valg[[#This Row],[Uafhængig variabel ID]]),INDEX(DataTitel_liste,IF(LineærRegression_Valg[[#This Row],[Afhængig variabel ID]]=1,2,1))),$B$7)</f>
        <v>Eksempel 2 (interval)</v>
      </c>
      <c r="H1647" s="45">
        <f>_xlfn.AGGREGATE(2,5,LineærRegression_Valg[[#This Row],[Tabel ID]])</f>
        <v>1</v>
      </c>
    </row>
    <row r="1648" spans="1:8" x14ac:dyDescent="0.2">
      <c r="A1648">
        <f>ROW(LineærRegression_Valg[[#This Row],[Tabel ID]])-ROW(LineærRegression_Valg[[#Headers],[Tabel ID]])</f>
        <v>1638</v>
      </c>
      <c r="B1648" s="45">
        <f>ROUNDDOWN((LineærRegression_Valg[[#This Row],[Tabel ID]]-1)/$B$5,0)+1</f>
        <v>410</v>
      </c>
      <c r="C1648" s="45">
        <f t="shared" si="25"/>
        <v>2</v>
      </c>
      <c r="D1648" s="45" t="b">
        <f>LineærRegression_Valg[[#This Row],[Afhængig variabel ID]]&lt;&gt;LineærRegression_Valg[[#This Row],[Uafhængig variabel ID]]</f>
        <v>1</v>
      </c>
      <c r="E1648" s="45" t="b">
        <f>LineærRegression_Valg[[#This Row],[Afhængig variabel ID]]&lt;=$B$5</f>
        <v>0</v>
      </c>
      <c r="F1648" t="str" cm="1">
        <f t="array" ref="F1648">IF(LineærRegression_Valg[[#This Row],[Indenfor range]],INDEX(DataTitel_liste,LineærRegression_Valg[[#This Row],[Afhængig variabel ID]]),INDEX(DataTitel_liste,1))</f>
        <v>Eksempel 1 (interval)</v>
      </c>
      <c r="G1648" s="45" t="str" cm="1">
        <f t="array" ref="G1648">IF(LineærRegression_Valg[[#This Row],[Indenfor range]],IF(LineærRegression_Valg[[#This Row],[Intet overlap]],INDEX(DataTitel_liste,LineærRegression_Valg[[#This Row],[Uafhængig variabel ID]]),INDEX(DataTitel_liste,IF(LineærRegression_Valg[[#This Row],[Afhængig variabel ID]]=1,2,1))),$B$7)</f>
        <v>Eksempel 2 (interval)</v>
      </c>
      <c r="H1648" s="45">
        <f>_xlfn.AGGREGATE(2,5,LineærRegression_Valg[[#This Row],[Tabel ID]])</f>
        <v>1</v>
      </c>
    </row>
    <row r="1649" spans="1:8" x14ac:dyDescent="0.2">
      <c r="A1649">
        <f>ROW(LineærRegression_Valg[[#This Row],[Tabel ID]])-ROW(LineærRegression_Valg[[#Headers],[Tabel ID]])</f>
        <v>1639</v>
      </c>
      <c r="B1649" s="45">
        <f>ROUNDDOWN((LineærRegression_Valg[[#This Row],[Tabel ID]]-1)/$B$5,0)+1</f>
        <v>410</v>
      </c>
      <c r="C1649" s="45">
        <f t="shared" si="25"/>
        <v>3</v>
      </c>
      <c r="D1649" s="45" t="b">
        <f>LineærRegression_Valg[[#This Row],[Afhængig variabel ID]]&lt;&gt;LineærRegression_Valg[[#This Row],[Uafhængig variabel ID]]</f>
        <v>1</v>
      </c>
      <c r="E1649" s="45" t="b">
        <f>LineærRegression_Valg[[#This Row],[Afhængig variabel ID]]&lt;=$B$5</f>
        <v>0</v>
      </c>
      <c r="F1649" t="str" cm="1">
        <f t="array" ref="F1649">IF(LineærRegression_Valg[[#This Row],[Indenfor range]],INDEX(DataTitel_liste,LineærRegression_Valg[[#This Row],[Afhængig variabel ID]]),INDEX(DataTitel_liste,1))</f>
        <v>Eksempel 1 (interval)</v>
      </c>
      <c r="G1649" s="45" t="str" cm="1">
        <f t="array" ref="G1649">IF(LineærRegression_Valg[[#This Row],[Indenfor range]],IF(LineærRegression_Valg[[#This Row],[Intet overlap]],INDEX(DataTitel_liste,LineærRegression_Valg[[#This Row],[Uafhængig variabel ID]]),INDEX(DataTitel_liste,IF(LineærRegression_Valg[[#This Row],[Afhængig variabel ID]]=1,2,1))),$B$7)</f>
        <v>Eksempel 2 (interval)</v>
      </c>
      <c r="H1649" s="45">
        <f>_xlfn.AGGREGATE(2,5,LineærRegression_Valg[[#This Row],[Tabel ID]])</f>
        <v>1</v>
      </c>
    </row>
    <row r="1650" spans="1:8" x14ac:dyDescent="0.2">
      <c r="A1650">
        <f>ROW(LineærRegression_Valg[[#This Row],[Tabel ID]])-ROW(LineærRegression_Valg[[#Headers],[Tabel ID]])</f>
        <v>1640</v>
      </c>
      <c r="B1650" s="45">
        <f>ROUNDDOWN((LineærRegression_Valg[[#This Row],[Tabel ID]]-1)/$B$5,0)+1</f>
        <v>410</v>
      </c>
      <c r="C1650" s="45">
        <f t="shared" si="25"/>
        <v>4</v>
      </c>
      <c r="D1650" s="45" t="b">
        <f>LineærRegression_Valg[[#This Row],[Afhængig variabel ID]]&lt;&gt;LineærRegression_Valg[[#This Row],[Uafhængig variabel ID]]</f>
        <v>1</v>
      </c>
      <c r="E1650" s="45" t="b">
        <f>LineærRegression_Valg[[#This Row],[Afhængig variabel ID]]&lt;=$B$5</f>
        <v>0</v>
      </c>
      <c r="F1650" t="str" cm="1">
        <f t="array" ref="F1650">IF(LineærRegression_Valg[[#This Row],[Indenfor range]],INDEX(DataTitel_liste,LineærRegression_Valg[[#This Row],[Afhængig variabel ID]]),INDEX(DataTitel_liste,1))</f>
        <v>Eksempel 1 (interval)</v>
      </c>
      <c r="G1650" s="45" t="str" cm="1">
        <f t="array" ref="G1650">IF(LineærRegression_Valg[[#This Row],[Indenfor range]],IF(LineærRegression_Valg[[#This Row],[Intet overlap]],INDEX(DataTitel_liste,LineærRegression_Valg[[#This Row],[Uafhængig variabel ID]]),INDEX(DataTitel_liste,IF(LineærRegression_Valg[[#This Row],[Afhængig variabel ID]]=1,2,1))),$B$7)</f>
        <v>Eksempel 2 (interval)</v>
      </c>
      <c r="H1650" s="45">
        <f>_xlfn.AGGREGATE(2,5,LineærRegression_Valg[[#This Row],[Tabel ID]])</f>
        <v>1</v>
      </c>
    </row>
    <row r="1651" spans="1:8" x14ac:dyDescent="0.2">
      <c r="A1651">
        <f>ROW(LineærRegression_Valg[[#This Row],[Tabel ID]])-ROW(LineærRegression_Valg[[#Headers],[Tabel ID]])</f>
        <v>1641</v>
      </c>
      <c r="B1651" s="45">
        <f>ROUNDDOWN((LineærRegression_Valg[[#This Row],[Tabel ID]]-1)/$B$5,0)+1</f>
        <v>411</v>
      </c>
      <c r="C1651" s="45">
        <f t="shared" si="25"/>
        <v>1</v>
      </c>
      <c r="D1651" s="45" t="b">
        <f>LineærRegression_Valg[[#This Row],[Afhængig variabel ID]]&lt;&gt;LineærRegression_Valg[[#This Row],[Uafhængig variabel ID]]</f>
        <v>1</v>
      </c>
      <c r="E1651" s="45" t="b">
        <f>LineærRegression_Valg[[#This Row],[Afhængig variabel ID]]&lt;=$B$5</f>
        <v>0</v>
      </c>
      <c r="F1651" t="str" cm="1">
        <f t="array" ref="F1651">IF(LineærRegression_Valg[[#This Row],[Indenfor range]],INDEX(DataTitel_liste,LineærRegression_Valg[[#This Row],[Afhængig variabel ID]]),INDEX(DataTitel_liste,1))</f>
        <v>Eksempel 1 (interval)</v>
      </c>
      <c r="G1651" s="45" t="str" cm="1">
        <f t="array" ref="G1651">IF(LineærRegression_Valg[[#This Row],[Indenfor range]],IF(LineærRegression_Valg[[#This Row],[Intet overlap]],INDEX(DataTitel_liste,LineærRegression_Valg[[#This Row],[Uafhængig variabel ID]]),INDEX(DataTitel_liste,IF(LineærRegression_Valg[[#This Row],[Afhængig variabel ID]]=1,2,1))),$B$7)</f>
        <v>Eksempel 2 (interval)</v>
      </c>
      <c r="H1651" s="45">
        <f>_xlfn.AGGREGATE(2,5,LineærRegression_Valg[[#This Row],[Tabel ID]])</f>
        <v>1</v>
      </c>
    </row>
    <row r="1652" spans="1:8" x14ac:dyDescent="0.2">
      <c r="A1652">
        <f>ROW(LineærRegression_Valg[[#This Row],[Tabel ID]])-ROW(LineærRegression_Valg[[#Headers],[Tabel ID]])</f>
        <v>1642</v>
      </c>
      <c r="B1652" s="45">
        <f>ROUNDDOWN((LineærRegression_Valg[[#This Row],[Tabel ID]]-1)/$B$5,0)+1</f>
        <v>411</v>
      </c>
      <c r="C1652" s="45">
        <f t="shared" si="25"/>
        <v>2</v>
      </c>
      <c r="D1652" s="45" t="b">
        <f>LineærRegression_Valg[[#This Row],[Afhængig variabel ID]]&lt;&gt;LineærRegression_Valg[[#This Row],[Uafhængig variabel ID]]</f>
        <v>1</v>
      </c>
      <c r="E1652" s="45" t="b">
        <f>LineærRegression_Valg[[#This Row],[Afhængig variabel ID]]&lt;=$B$5</f>
        <v>0</v>
      </c>
      <c r="F1652" t="str" cm="1">
        <f t="array" ref="F1652">IF(LineærRegression_Valg[[#This Row],[Indenfor range]],INDEX(DataTitel_liste,LineærRegression_Valg[[#This Row],[Afhængig variabel ID]]),INDEX(DataTitel_liste,1))</f>
        <v>Eksempel 1 (interval)</v>
      </c>
      <c r="G1652" s="45" t="str" cm="1">
        <f t="array" ref="G1652">IF(LineærRegression_Valg[[#This Row],[Indenfor range]],IF(LineærRegression_Valg[[#This Row],[Intet overlap]],INDEX(DataTitel_liste,LineærRegression_Valg[[#This Row],[Uafhængig variabel ID]]),INDEX(DataTitel_liste,IF(LineærRegression_Valg[[#This Row],[Afhængig variabel ID]]=1,2,1))),$B$7)</f>
        <v>Eksempel 2 (interval)</v>
      </c>
      <c r="H1652" s="45">
        <f>_xlfn.AGGREGATE(2,5,LineærRegression_Valg[[#This Row],[Tabel ID]])</f>
        <v>1</v>
      </c>
    </row>
    <row r="1653" spans="1:8" x14ac:dyDescent="0.2">
      <c r="A1653">
        <f>ROW(LineærRegression_Valg[[#This Row],[Tabel ID]])-ROW(LineærRegression_Valg[[#Headers],[Tabel ID]])</f>
        <v>1643</v>
      </c>
      <c r="B1653" s="45">
        <f>ROUNDDOWN((LineærRegression_Valg[[#This Row],[Tabel ID]]-1)/$B$5,0)+1</f>
        <v>411</v>
      </c>
      <c r="C1653" s="45">
        <f t="shared" si="25"/>
        <v>3</v>
      </c>
      <c r="D1653" s="45" t="b">
        <f>LineærRegression_Valg[[#This Row],[Afhængig variabel ID]]&lt;&gt;LineærRegression_Valg[[#This Row],[Uafhængig variabel ID]]</f>
        <v>1</v>
      </c>
      <c r="E1653" s="45" t="b">
        <f>LineærRegression_Valg[[#This Row],[Afhængig variabel ID]]&lt;=$B$5</f>
        <v>0</v>
      </c>
      <c r="F1653" t="str" cm="1">
        <f t="array" ref="F1653">IF(LineærRegression_Valg[[#This Row],[Indenfor range]],INDEX(DataTitel_liste,LineærRegression_Valg[[#This Row],[Afhængig variabel ID]]),INDEX(DataTitel_liste,1))</f>
        <v>Eksempel 1 (interval)</v>
      </c>
      <c r="G1653" s="45" t="str" cm="1">
        <f t="array" ref="G1653">IF(LineærRegression_Valg[[#This Row],[Indenfor range]],IF(LineærRegression_Valg[[#This Row],[Intet overlap]],INDEX(DataTitel_liste,LineærRegression_Valg[[#This Row],[Uafhængig variabel ID]]),INDEX(DataTitel_liste,IF(LineærRegression_Valg[[#This Row],[Afhængig variabel ID]]=1,2,1))),$B$7)</f>
        <v>Eksempel 2 (interval)</v>
      </c>
      <c r="H1653" s="45">
        <f>_xlfn.AGGREGATE(2,5,LineærRegression_Valg[[#This Row],[Tabel ID]])</f>
        <v>1</v>
      </c>
    </row>
    <row r="1654" spans="1:8" x14ac:dyDescent="0.2">
      <c r="A1654">
        <f>ROW(LineærRegression_Valg[[#This Row],[Tabel ID]])-ROW(LineærRegression_Valg[[#Headers],[Tabel ID]])</f>
        <v>1644</v>
      </c>
      <c r="B1654" s="45">
        <f>ROUNDDOWN((LineærRegression_Valg[[#This Row],[Tabel ID]]-1)/$B$5,0)+1</f>
        <v>411</v>
      </c>
      <c r="C1654" s="45">
        <f t="shared" si="25"/>
        <v>4</v>
      </c>
      <c r="D1654" s="45" t="b">
        <f>LineærRegression_Valg[[#This Row],[Afhængig variabel ID]]&lt;&gt;LineærRegression_Valg[[#This Row],[Uafhængig variabel ID]]</f>
        <v>1</v>
      </c>
      <c r="E1654" s="45" t="b">
        <f>LineærRegression_Valg[[#This Row],[Afhængig variabel ID]]&lt;=$B$5</f>
        <v>0</v>
      </c>
      <c r="F1654" t="str" cm="1">
        <f t="array" ref="F1654">IF(LineærRegression_Valg[[#This Row],[Indenfor range]],INDEX(DataTitel_liste,LineærRegression_Valg[[#This Row],[Afhængig variabel ID]]),INDEX(DataTitel_liste,1))</f>
        <v>Eksempel 1 (interval)</v>
      </c>
      <c r="G1654" s="45" t="str" cm="1">
        <f t="array" ref="G1654">IF(LineærRegression_Valg[[#This Row],[Indenfor range]],IF(LineærRegression_Valg[[#This Row],[Intet overlap]],INDEX(DataTitel_liste,LineærRegression_Valg[[#This Row],[Uafhængig variabel ID]]),INDEX(DataTitel_liste,IF(LineærRegression_Valg[[#This Row],[Afhængig variabel ID]]=1,2,1))),$B$7)</f>
        <v>Eksempel 2 (interval)</v>
      </c>
      <c r="H1654" s="45">
        <f>_xlfn.AGGREGATE(2,5,LineærRegression_Valg[[#This Row],[Tabel ID]])</f>
        <v>1</v>
      </c>
    </row>
    <row r="1655" spans="1:8" x14ac:dyDescent="0.2">
      <c r="A1655">
        <f>ROW(LineærRegression_Valg[[#This Row],[Tabel ID]])-ROW(LineærRegression_Valg[[#Headers],[Tabel ID]])</f>
        <v>1645</v>
      </c>
      <c r="B1655" s="45">
        <f>ROUNDDOWN((LineærRegression_Valg[[#This Row],[Tabel ID]]-1)/$B$5,0)+1</f>
        <v>412</v>
      </c>
      <c r="C1655" s="45">
        <f t="shared" si="25"/>
        <v>1</v>
      </c>
      <c r="D1655" s="45" t="b">
        <f>LineærRegression_Valg[[#This Row],[Afhængig variabel ID]]&lt;&gt;LineærRegression_Valg[[#This Row],[Uafhængig variabel ID]]</f>
        <v>1</v>
      </c>
      <c r="E1655" s="45" t="b">
        <f>LineærRegression_Valg[[#This Row],[Afhængig variabel ID]]&lt;=$B$5</f>
        <v>0</v>
      </c>
      <c r="F1655" t="str" cm="1">
        <f t="array" ref="F1655">IF(LineærRegression_Valg[[#This Row],[Indenfor range]],INDEX(DataTitel_liste,LineærRegression_Valg[[#This Row],[Afhængig variabel ID]]),INDEX(DataTitel_liste,1))</f>
        <v>Eksempel 1 (interval)</v>
      </c>
      <c r="G1655" s="45" t="str" cm="1">
        <f t="array" ref="G1655">IF(LineærRegression_Valg[[#This Row],[Indenfor range]],IF(LineærRegression_Valg[[#This Row],[Intet overlap]],INDEX(DataTitel_liste,LineærRegression_Valg[[#This Row],[Uafhængig variabel ID]]),INDEX(DataTitel_liste,IF(LineærRegression_Valg[[#This Row],[Afhængig variabel ID]]=1,2,1))),$B$7)</f>
        <v>Eksempel 2 (interval)</v>
      </c>
      <c r="H1655" s="45">
        <f>_xlfn.AGGREGATE(2,5,LineærRegression_Valg[[#This Row],[Tabel ID]])</f>
        <v>1</v>
      </c>
    </row>
    <row r="1656" spans="1:8" x14ac:dyDescent="0.2">
      <c r="A1656">
        <f>ROW(LineærRegression_Valg[[#This Row],[Tabel ID]])-ROW(LineærRegression_Valg[[#Headers],[Tabel ID]])</f>
        <v>1646</v>
      </c>
      <c r="B1656" s="45">
        <f>ROUNDDOWN((LineærRegression_Valg[[#This Row],[Tabel ID]]-1)/$B$5,0)+1</f>
        <v>412</v>
      </c>
      <c r="C1656" s="45">
        <f t="shared" si="25"/>
        <v>2</v>
      </c>
      <c r="D1656" s="45" t="b">
        <f>LineærRegression_Valg[[#This Row],[Afhængig variabel ID]]&lt;&gt;LineærRegression_Valg[[#This Row],[Uafhængig variabel ID]]</f>
        <v>1</v>
      </c>
      <c r="E1656" s="45" t="b">
        <f>LineærRegression_Valg[[#This Row],[Afhængig variabel ID]]&lt;=$B$5</f>
        <v>0</v>
      </c>
      <c r="F1656" t="str" cm="1">
        <f t="array" ref="F1656">IF(LineærRegression_Valg[[#This Row],[Indenfor range]],INDEX(DataTitel_liste,LineærRegression_Valg[[#This Row],[Afhængig variabel ID]]),INDEX(DataTitel_liste,1))</f>
        <v>Eksempel 1 (interval)</v>
      </c>
      <c r="G1656" s="45" t="str" cm="1">
        <f t="array" ref="G1656">IF(LineærRegression_Valg[[#This Row],[Indenfor range]],IF(LineærRegression_Valg[[#This Row],[Intet overlap]],INDEX(DataTitel_liste,LineærRegression_Valg[[#This Row],[Uafhængig variabel ID]]),INDEX(DataTitel_liste,IF(LineærRegression_Valg[[#This Row],[Afhængig variabel ID]]=1,2,1))),$B$7)</f>
        <v>Eksempel 2 (interval)</v>
      </c>
      <c r="H1656" s="45">
        <f>_xlfn.AGGREGATE(2,5,LineærRegression_Valg[[#This Row],[Tabel ID]])</f>
        <v>1</v>
      </c>
    </row>
    <row r="1657" spans="1:8" x14ac:dyDescent="0.2">
      <c r="A1657">
        <f>ROW(LineærRegression_Valg[[#This Row],[Tabel ID]])-ROW(LineærRegression_Valg[[#Headers],[Tabel ID]])</f>
        <v>1647</v>
      </c>
      <c r="B1657" s="45">
        <f>ROUNDDOWN((LineærRegression_Valg[[#This Row],[Tabel ID]]-1)/$B$5,0)+1</f>
        <v>412</v>
      </c>
      <c r="C1657" s="45">
        <f t="shared" si="25"/>
        <v>3</v>
      </c>
      <c r="D1657" s="45" t="b">
        <f>LineærRegression_Valg[[#This Row],[Afhængig variabel ID]]&lt;&gt;LineærRegression_Valg[[#This Row],[Uafhængig variabel ID]]</f>
        <v>1</v>
      </c>
      <c r="E1657" s="45" t="b">
        <f>LineærRegression_Valg[[#This Row],[Afhængig variabel ID]]&lt;=$B$5</f>
        <v>0</v>
      </c>
      <c r="F1657" t="str" cm="1">
        <f t="array" ref="F1657">IF(LineærRegression_Valg[[#This Row],[Indenfor range]],INDEX(DataTitel_liste,LineærRegression_Valg[[#This Row],[Afhængig variabel ID]]),INDEX(DataTitel_liste,1))</f>
        <v>Eksempel 1 (interval)</v>
      </c>
      <c r="G1657" s="45" t="str" cm="1">
        <f t="array" ref="G1657">IF(LineærRegression_Valg[[#This Row],[Indenfor range]],IF(LineærRegression_Valg[[#This Row],[Intet overlap]],INDEX(DataTitel_liste,LineærRegression_Valg[[#This Row],[Uafhængig variabel ID]]),INDEX(DataTitel_liste,IF(LineærRegression_Valg[[#This Row],[Afhængig variabel ID]]=1,2,1))),$B$7)</f>
        <v>Eksempel 2 (interval)</v>
      </c>
      <c r="H1657" s="45">
        <f>_xlfn.AGGREGATE(2,5,LineærRegression_Valg[[#This Row],[Tabel ID]])</f>
        <v>1</v>
      </c>
    </row>
    <row r="1658" spans="1:8" x14ac:dyDescent="0.2">
      <c r="A1658">
        <f>ROW(LineærRegression_Valg[[#This Row],[Tabel ID]])-ROW(LineærRegression_Valg[[#Headers],[Tabel ID]])</f>
        <v>1648</v>
      </c>
      <c r="B1658" s="45">
        <f>ROUNDDOWN((LineærRegression_Valg[[#This Row],[Tabel ID]]-1)/$B$5,0)+1</f>
        <v>412</v>
      </c>
      <c r="C1658" s="45">
        <f t="shared" si="25"/>
        <v>4</v>
      </c>
      <c r="D1658" s="45" t="b">
        <f>LineærRegression_Valg[[#This Row],[Afhængig variabel ID]]&lt;&gt;LineærRegression_Valg[[#This Row],[Uafhængig variabel ID]]</f>
        <v>1</v>
      </c>
      <c r="E1658" s="45" t="b">
        <f>LineærRegression_Valg[[#This Row],[Afhængig variabel ID]]&lt;=$B$5</f>
        <v>0</v>
      </c>
      <c r="F1658" t="str" cm="1">
        <f t="array" ref="F1658">IF(LineærRegression_Valg[[#This Row],[Indenfor range]],INDEX(DataTitel_liste,LineærRegression_Valg[[#This Row],[Afhængig variabel ID]]),INDEX(DataTitel_liste,1))</f>
        <v>Eksempel 1 (interval)</v>
      </c>
      <c r="G1658" s="45" t="str" cm="1">
        <f t="array" ref="G1658">IF(LineærRegression_Valg[[#This Row],[Indenfor range]],IF(LineærRegression_Valg[[#This Row],[Intet overlap]],INDEX(DataTitel_liste,LineærRegression_Valg[[#This Row],[Uafhængig variabel ID]]),INDEX(DataTitel_liste,IF(LineærRegression_Valg[[#This Row],[Afhængig variabel ID]]=1,2,1))),$B$7)</f>
        <v>Eksempel 2 (interval)</v>
      </c>
      <c r="H1658" s="45">
        <f>_xlfn.AGGREGATE(2,5,LineærRegression_Valg[[#This Row],[Tabel ID]])</f>
        <v>1</v>
      </c>
    </row>
    <row r="1659" spans="1:8" x14ac:dyDescent="0.2">
      <c r="A1659">
        <f>ROW(LineærRegression_Valg[[#This Row],[Tabel ID]])-ROW(LineærRegression_Valg[[#Headers],[Tabel ID]])</f>
        <v>1649</v>
      </c>
      <c r="B1659" s="45">
        <f>ROUNDDOWN((LineærRegression_Valg[[#This Row],[Tabel ID]]-1)/$B$5,0)+1</f>
        <v>413</v>
      </c>
      <c r="C1659" s="45">
        <f t="shared" si="25"/>
        <v>1</v>
      </c>
      <c r="D1659" s="45" t="b">
        <f>LineærRegression_Valg[[#This Row],[Afhængig variabel ID]]&lt;&gt;LineærRegression_Valg[[#This Row],[Uafhængig variabel ID]]</f>
        <v>1</v>
      </c>
      <c r="E1659" s="45" t="b">
        <f>LineærRegression_Valg[[#This Row],[Afhængig variabel ID]]&lt;=$B$5</f>
        <v>0</v>
      </c>
      <c r="F1659" t="str" cm="1">
        <f t="array" ref="F1659">IF(LineærRegression_Valg[[#This Row],[Indenfor range]],INDEX(DataTitel_liste,LineærRegression_Valg[[#This Row],[Afhængig variabel ID]]),INDEX(DataTitel_liste,1))</f>
        <v>Eksempel 1 (interval)</v>
      </c>
      <c r="G1659" s="45" t="str" cm="1">
        <f t="array" ref="G1659">IF(LineærRegression_Valg[[#This Row],[Indenfor range]],IF(LineærRegression_Valg[[#This Row],[Intet overlap]],INDEX(DataTitel_liste,LineærRegression_Valg[[#This Row],[Uafhængig variabel ID]]),INDEX(DataTitel_liste,IF(LineærRegression_Valg[[#This Row],[Afhængig variabel ID]]=1,2,1))),$B$7)</f>
        <v>Eksempel 2 (interval)</v>
      </c>
      <c r="H1659" s="45">
        <f>_xlfn.AGGREGATE(2,5,LineærRegression_Valg[[#This Row],[Tabel ID]])</f>
        <v>1</v>
      </c>
    </row>
    <row r="1660" spans="1:8" x14ac:dyDescent="0.2">
      <c r="A1660">
        <f>ROW(LineærRegression_Valg[[#This Row],[Tabel ID]])-ROW(LineærRegression_Valg[[#Headers],[Tabel ID]])</f>
        <v>1650</v>
      </c>
      <c r="B1660" s="45">
        <f>ROUNDDOWN((LineærRegression_Valg[[#This Row],[Tabel ID]]-1)/$B$5,0)+1</f>
        <v>413</v>
      </c>
      <c r="C1660" s="45">
        <f t="shared" si="25"/>
        <v>2</v>
      </c>
      <c r="D1660" s="45" t="b">
        <f>LineærRegression_Valg[[#This Row],[Afhængig variabel ID]]&lt;&gt;LineærRegression_Valg[[#This Row],[Uafhængig variabel ID]]</f>
        <v>1</v>
      </c>
      <c r="E1660" s="45" t="b">
        <f>LineærRegression_Valg[[#This Row],[Afhængig variabel ID]]&lt;=$B$5</f>
        <v>0</v>
      </c>
      <c r="F1660" t="str" cm="1">
        <f t="array" ref="F1660">IF(LineærRegression_Valg[[#This Row],[Indenfor range]],INDEX(DataTitel_liste,LineærRegression_Valg[[#This Row],[Afhængig variabel ID]]),INDEX(DataTitel_liste,1))</f>
        <v>Eksempel 1 (interval)</v>
      </c>
      <c r="G1660" s="45" t="str" cm="1">
        <f t="array" ref="G1660">IF(LineærRegression_Valg[[#This Row],[Indenfor range]],IF(LineærRegression_Valg[[#This Row],[Intet overlap]],INDEX(DataTitel_liste,LineærRegression_Valg[[#This Row],[Uafhængig variabel ID]]),INDEX(DataTitel_liste,IF(LineærRegression_Valg[[#This Row],[Afhængig variabel ID]]=1,2,1))),$B$7)</f>
        <v>Eksempel 2 (interval)</v>
      </c>
      <c r="H1660" s="45">
        <f>_xlfn.AGGREGATE(2,5,LineærRegression_Valg[[#This Row],[Tabel ID]])</f>
        <v>1</v>
      </c>
    </row>
    <row r="1661" spans="1:8" x14ac:dyDescent="0.2">
      <c r="A1661">
        <f>ROW(LineærRegression_Valg[[#This Row],[Tabel ID]])-ROW(LineærRegression_Valg[[#Headers],[Tabel ID]])</f>
        <v>1651</v>
      </c>
      <c r="B1661" s="45">
        <f>ROUNDDOWN((LineærRegression_Valg[[#This Row],[Tabel ID]]-1)/$B$5,0)+1</f>
        <v>413</v>
      </c>
      <c r="C1661" s="45">
        <f t="shared" si="25"/>
        <v>3</v>
      </c>
      <c r="D1661" s="45" t="b">
        <f>LineærRegression_Valg[[#This Row],[Afhængig variabel ID]]&lt;&gt;LineærRegression_Valg[[#This Row],[Uafhængig variabel ID]]</f>
        <v>1</v>
      </c>
      <c r="E1661" s="45" t="b">
        <f>LineærRegression_Valg[[#This Row],[Afhængig variabel ID]]&lt;=$B$5</f>
        <v>0</v>
      </c>
      <c r="F1661" t="str" cm="1">
        <f t="array" ref="F1661">IF(LineærRegression_Valg[[#This Row],[Indenfor range]],INDEX(DataTitel_liste,LineærRegression_Valg[[#This Row],[Afhængig variabel ID]]),INDEX(DataTitel_liste,1))</f>
        <v>Eksempel 1 (interval)</v>
      </c>
      <c r="G1661" s="45" t="str" cm="1">
        <f t="array" ref="G1661">IF(LineærRegression_Valg[[#This Row],[Indenfor range]],IF(LineærRegression_Valg[[#This Row],[Intet overlap]],INDEX(DataTitel_liste,LineærRegression_Valg[[#This Row],[Uafhængig variabel ID]]),INDEX(DataTitel_liste,IF(LineærRegression_Valg[[#This Row],[Afhængig variabel ID]]=1,2,1))),$B$7)</f>
        <v>Eksempel 2 (interval)</v>
      </c>
      <c r="H1661" s="45">
        <f>_xlfn.AGGREGATE(2,5,LineærRegression_Valg[[#This Row],[Tabel ID]])</f>
        <v>1</v>
      </c>
    </row>
    <row r="1662" spans="1:8" x14ac:dyDescent="0.2">
      <c r="A1662">
        <f>ROW(LineærRegression_Valg[[#This Row],[Tabel ID]])-ROW(LineærRegression_Valg[[#Headers],[Tabel ID]])</f>
        <v>1652</v>
      </c>
      <c r="B1662" s="45">
        <f>ROUNDDOWN((LineærRegression_Valg[[#This Row],[Tabel ID]]-1)/$B$5,0)+1</f>
        <v>413</v>
      </c>
      <c r="C1662" s="45">
        <f t="shared" si="25"/>
        <v>4</v>
      </c>
      <c r="D1662" s="45" t="b">
        <f>LineærRegression_Valg[[#This Row],[Afhængig variabel ID]]&lt;&gt;LineærRegression_Valg[[#This Row],[Uafhængig variabel ID]]</f>
        <v>1</v>
      </c>
      <c r="E1662" s="45" t="b">
        <f>LineærRegression_Valg[[#This Row],[Afhængig variabel ID]]&lt;=$B$5</f>
        <v>0</v>
      </c>
      <c r="F1662" t="str" cm="1">
        <f t="array" ref="F1662">IF(LineærRegression_Valg[[#This Row],[Indenfor range]],INDEX(DataTitel_liste,LineærRegression_Valg[[#This Row],[Afhængig variabel ID]]),INDEX(DataTitel_liste,1))</f>
        <v>Eksempel 1 (interval)</v>
      </c>
      <c r="G1662" s="45" t="str" cm="1">
        <f t="array" ref="G1662">IF(LineærRegression_Valg[[#This Row],[Indenfor range]],IF(LineærRegression_Valg[[#This Row],[Intet overlap]],INDEX(DataTitel_liste,LineærRegression_Valg[[#This Row],[Uafhængig variabel ID]]),INDEX(DataTitel_liste,IF(LineærRegression_Valg[[#This Row],[Afhængig variabel ID]]=1,2,1))),$B$7)</f>
        <v>Eksempel 2 (interval)</v>
      </c>
      <c r="H1662" s="45">
        <f>_xlfn.AGGREGATE(2,5,LineærRegression_Valg[[#This Row],[Tabel ID]])</f>
        <v>1</v>
      </c>
    </row>
    <row r="1663" spans="1:8" x14ac:dyDescent="0.2">
      <c r="A1663">
        <f>ROW(LineærRegression_Valg[[#This Row],[Tabel ID]])-ROW(LineærRegression_Valg[[#Headers],[Tabel ID]])</f>
        <v>1653</v>
      </c>
      <c r="B1663" s="45">
        <f>ROUNDDOWN((LineærRegression_Valg[[#This Row],[Tabel ID]]-1)/$B$5,0)+1</f>
        <v>414</v>
      </c>
      <c r="C1663" s="45">
        <f t="shared" si="25"/>
        <v>1</v>
      </c>
      <c r="D1663" s="45" t="b">
        <f>LineærRegression_Valg[[#This Row],[Afhængig variabel ID]]&lt;&gt;LineærRegression_Valg[[#This Row],[Uafhængig variabel ID]]</f>
        <v>1</v>
      </c>
      <c r="E1663" s="45" t="b">
        <f>LineærRegression_Valg[[#This Row],[Afhængig variabel ID]]&lt;=$B$5</f>
        <v>0</v>
      </c>
      <c r="F1663" t="str" cm="1">
        <f t="array" ref="F1663">IF(LineærRegression_Valg[[#This Row],[Indenfor range]],INDEX(DataTitel_liste,LineærRegression_Valg[[#This Row],[Afhængig variabel ID]]),INDEX(DataTitel_liste,1))</f>
        <v>Eksempel 1 (interval)</v>
      </c>
      <c r="G1663" s="45" t="str" cm="1">
        <f t="array" ref="G1663">IF(LineærRegression_Valg[[#This Row],[Indenfor range]],IF(LineærRegression_Valg[[#This Row],[Intet overlap]],INDEX(DataTitel_liste,LineærRegression_Valg[[#This Row],[Uafhængig variabel ID]]),INDEX(DataTitel_liste,IF(LineærRegression_Valg[[#This Row],[Afhængig variabel ID]]=1,2,1))),$B$7)</f>
        <v>Eksempel 2 (interval)</v>
      </c>
      <c r="H1663" s="45">
        <f>_xlfn.AGGREGATE(2,5,LineærRegression_Valg[[#This Row],[Tabel ID]])</f>
        <v>1</v>
      </c>
    </row>
    <row r="1664" spans="1:8" x14ac:dyDescent="0.2">
      <c r="A1664">
        <f>ROW(LineærRegression_Valg[[#This Row],[Tabel ID]])-ROW(LineærRegression_Valg[[#Headers],[Tabel ID]])</f>
        <v>1654</v>
      </c>
      <c r="B1664" s="45">
        <f>ROUNDDOWN((LineærRegression_Valg[[#This Row],[Tabel ID]]-1)/$B$5,0)+1</f>
        <v>414</v>
      </c>
      <c r="C1664" s="45">
        <f t="shared" si="25"/>
        <v>2</v>
      </c>
      <c r="D1664" s="45" t="b">
        <f>LineærRegression_Valg[[#This Row],[Afhængig variabel ID]]&lt;&gt;LineærRegression_Valg[[#This Row],[Uafhængig variabel ID]]</f>
        <v>1</v>
      </c>
      <c r="E1664" s="45" t="b">
        <f>LineærRegression_Valg[[#This Row],[Afhængig variabel ID]]&lt;=$B$5</f>
        <v>0</v>
      </c>
      <c r="F1664" t="str" cm="1">
        <f t="array" ref="F1664">IF(LineærRegression_Valg[[#This Row],[Indenfor range]],INDEX(DataTitel_liste,LineærRegression_Valg[[#This Row],[Afhængig variabel ID]]),INDEX(DataTitel_liste,1))</f>
        <v>Eksempel 1 (interval)</v>
      </c>
      <c r="G1664" s="45" t="str" cm="1">
        <f t="array" ref="G1664">IF(LineærRegression_Valg[[#This Row],[Indenfor range]],IF(LineærRegression_Valg[[#This Row],[Intet overlap]],INDEX(DataTitel_liste,LineærRegression_Valg[[#This Row],[Uafhængig variabel ID]]),INDEX(DataTitel_liste,IF(LineærRegression_Valg[[#This Row],[Afhængig variabel ID]]=1,2,1))),$B$7)</f>
        <v>Eksempel 2 (interval)</v>
      </c>
      <c r="H1664" s="45">
        <f>_xlfn.AGGREGATE(2,5,LineærRegression_Valg[[#This Row],[Tabel ID]])</f>
        <v>1</v>
      </c>
    </row>
    <row r="1665" spans="1:8" x14ac:dyDescent="0.2">
      <c r="A1665">
        <f>ROW(LineærRegression_Valg[[#This Row],[Tabel ID]])-ROW(LineærRegression_Valg[[#Headers],[Tabel ID]])</f>
        <v>1655</v>
      </c>
      <c r="B1665" s="45">
        <f>ROUNDDOWN((LineærRegression_Valg[[#This Row],[Tabel ID]]-1)/$B$5,0)+1</f>
        <v>414</v>
      </c>
      <c r="C1665" s="45">
        <f t="shared" si="25"/>
        <v>3</v>
      </c>
      <c r="D1665" s="45" t="b">
        <f>LineærRegression_Valg[[#This Row],[Afhængig variabel ID]]&lt;&gt;LineærRegression_Valg[[#This Row],[Uafhængig variabel ID]]</f>
        <v>1</v>
      </c>
      <c r="E1665" s="45" t="b">
        <f>LineærRegression_Valg[[#This Row],[Afhængig variabel ID]]&lt;=$B$5</f>
        <v>0</v>
      </c>
      <c r="F1665" t="str" cm="1">
        <f t="array" ref="F1665">IF(LineærRegression_Valg[[#This Row],[Indenfor range]],INDEX(DataTitel_liste,LineærRegression_Valg[[#This Row],[Afhængig variabel ID]]),INDEX(DataTitel_liste,1))</f>
        <v>Eksempel 1 (interval)</v>
      </c>
      <c r="G1665" s="45" t="str" cm="1">
        <f t="array" ref="G1665">IF(LineærRegression_Valg[[#This Row],[Indenfor range]],IF(LineærRegression_Valg[[#This Row],[Intet overlap]],INDEX(DataTitel_liste,LineærRegression_Valg[[#This Row],[Uafhængig variabel ID]]),INDEX(DataTitel_liste,IF(LineærRegression_Valg[[#This Row],[Afhængig variabel ID]]=1,2,1))),$B$7)</f>
        <v>Eksempel 2 (interval)</v>
      </c>
      <c r="H1665" s="45">
        <f>_xlfn.AGGREGATE(2,5,LineærRegression_Valg[[#This Row],[Tabel ID]])</f>
        <v>1</v>
      </c>
    </row>
    <row r="1666" spans="1:8" x14ac:dyDescent="0.2">
      <c r="A1666">
        <f>ROW(LineærRegression_Valg[[#This Row],[Tabel ID]])-ROW(LineærRegression_Valg[[#Headers],[Tabel ID]])</f>
        <v>1656</v>
      </c>
      <c r="B1666" s="45">
        <f>ROUNDDOWN((LineærRegression_Valg[[#This Row],[Tabel ID]]-1)/$B$5,0)+1</f>
        <v>414</v>
      </c>
      <c r="C1666" s="45">
        <f t="shared" si="25"/>
        <v>4</v>
      </c>
      <c r="D1666" s="45" t="b">
        <f>LineærRegression_Valg[[#This Row],[Afhængig variabel ID]]&lt;&gt;LineærRegression_Valg[[#This Row],[Uafhængig variabel ID]]</f>
        <v>1</v>
      </c>
      <c r="E1666" s="45" t="b">
        <f>LineærRegression_Valg[[#This Row],[Afhængig variabel ID]]&lt;=$B$5</f>
        <v>0</v>
      </c>
      <c r="F1666" t="str" cm="1">
        <f t="array" ref="F1666">IF(LineærRegression_Valg[[#This Row],[Indenfor range]],INDEX(DataTitel_liste,LineærRegression_Valg[[#This Row],[Afhængig variabel ID]]),INDEX(DataTitel_liste,1))</f>
        <v>Eksempel 1 (interval)</v>
      </c>
      <c r="G1666" s="45" t="str" cm="1">
        <f t="array" ref="G1666">IF(LineærRegression_Valg[[#This Row],[Indenfor range]],IF(LineærRegression_Valg[[#This Row],[Intet overlap]],INDEX(DataTitel_liste,LineærRegression_Valg[[#This Row],[Uafhængig variabel ID]]),INDEX(DataTitel_liste,IF(LineærRegression_Valg[[#This Row],[Afhængig variabel ID]]=1,2,1))),$B$7)</f>
        <v>Eksempel 2 (interval)</v>
      </c>
      <c r="H1666" s="45">
        <f>_xlfn.AGGREGATE(2,5,LineærRegression_Valg[[#This Row],[Tabel ID]])</f>
        <v>1</v>
      </c>
    </row>
    <row r="1667" spans="1:8" x14ac:dyDescent="0.2">
      <c r="A1667">
        <f>ROW(LineærRegression_Valg[[#This Row],[Tabel ID]])-ROW(LineærRegression_Valg[[#Headers],[Tabel ID]])</f>
        <v>1657</v>
      </c>
      <c r="B1667" s="45">
        <f>ROUNDDOWN((LineærRegression_Valg[[#This Row],[Tabel ID]]-1)/$B$5,0)+1</f>
        <v>415</v>
      </c>
      <c r="C1667" s="45">
        <f t="shared" si="25"/>
        <v>1</v>
      </c>
      <c r="D1667" s="45" t="b">
        <f>LineærRegression_Valg[[#This Row],[Afhængig variabel ID]]&lt;&gt;LineærRegression_Valg[[#This Row],[Uafhængig variabel ID]]</f>
        <v>1</v>
      </c>
      <c r="E1667" s="45" t="b">
        <f>LineærRegression_Valg[[#This Row],[Afhængig variabel ID]]&lt;=$B$5</f>
        <v>0</v>
      </c>
      <c r="F1667" t="str" cm="1">
        <f t="array" ref="F1667">IF(LineærRegression_Valg[[#This Row],[Indenfor range]],INDEX(DataTitel_liste,LineærRegression_Valg[[#This Row],[Afhængig variabel ID]]),INDEX(DataTitel_liste,1))</f>
        <v>Eksempel 1 (interval)</v>
      </c>
      <c r="G1667" s="45" t="str" cm="1">
        <f t="array" ref="G1667">IF(LineærRegression_Valg[[#This Row],[Indenfor range]],IF(LineærRegression_Valg[[#This Row],[Intet overlap]],INDEX(DataTitel_liste,LineærRegression_Valg[[#This Row],[Uafhængig variabel ID]]),INDEX(DataTitel_liste,IF(LineærRegression_Valg[[#This Row],[Afhængig variabel ID]]=1,2,1))),$B$7)</f>
        <v>Eksempel 2 (interval)</v>
      </c>
      <c r="H1667" s="45">
        <f>_xlfn.AGGREGATE(2,5,LineærRegression_Valg[[#This Row],[Tabel ID]])</f>
        <v>1</v>
      </c>
    </row>
    <row r="1668" spans="1:8" x14ac:dyDescent="0.2">
      <c r="A1668">
        <f>ROW(LineærRegression_Valg[[#This Row],[Tabel ID]])-ROW(LineærRegression_Valg[[#Headers],[Tabel ID]])</f>
        <v>1658</v>
      </c>
      <c r="B1668" s="45">
        <f>ROUNDDOWN((LineærRegression_Valg[[#This Row],[Tabel ID]]-1)/$B$5,0)+1</f>
        <v>415</v>
      </c>
      <c r="C1668" s="45">
        <f t="shared" si="25"/>
        <v>2</v>
      </c>
      <c r="D1668" s="45" t="b">
        <f>LineærRegression_Valg[[#This Row],[Afhængig variabel ID]]&lt;&gt;LineærRegression_Valg[[#This Row],[Uafhængig variabel ID]]</f>
        <v>1</v>
      </c>
      <c r="E1668" s="45" t="b">
        <f>LineærRegression_Valg[[#This Row],[Afhængig variabel ID]]&lt;=$B$5</f>
        <v>0</v>
      </c>
      <c r="F1668" t="str" cm="1">
        <f t="array" ref="F1668">IF(LineærRegression_Valg[[#This Row],[Indenfor range]],INDEX(DataTitel_liste,LineærRegression_Valg[[#This Row],[Afhængig variabel ID]]),INDEX(DataTitel_liste,1))</f>
        <v>Eksempel 1 (interval)</v>
      </c>
      <c r="G1668" s="45" t="str" cm="1">
        <f t="array" ref="G1668">IF(LineærRegression_Valg[[#This Row],[Indenfor range]],IF(LineærRegression_Valg[[#This Row],[Intet overlap]],INDEX(DataTitel_liste,LineærRegression_Valg[[#This Row],[Uafhængig variabel ID]]),INDEX(DataTitel_liste,IF(LineærRegression_Valg[[#This Row],[Afhængig variabel ID]]=1,2,1))),$B$7)</f>
        <v>Eksempel 2 (interval)</v>
      </c>
      <c r="H1668" s="45">
        <f>_xlfn.AGGREGATE(2,5,LineærRegression_Valg[[#This Row],[Tabel ID]])</f>
        <v>1</v>
      </c>
    </row>
    <row r="1669" spans="1:8" x14ac:dyDescent="0.2">
      <c r="A1669">
        <f>ROW(LineærRegression_Valg[[#This Row],[Tabel ID]])-ROW(LineærRegression_Valg[[#Headers],[Tabel ID]])</f>
        <v>1659</v>
      </c>
      <c r="B1669" s="45">
        <f>ROUNDDOWN((LineærRegression_Valg[[#This Row],[Tabel ID]]-1)/$B$5,0)+1</f>
        <v>415</v>
      </c>
      <c r="C1669" s="45">
        <f t="shared" si="25"/>
        <v>3</v>
      </c>
      <c r="D1669" s="45" t="b">
        <f>LineærRegression_Valg[[#This Row],[Afhængig variabel ID]]&lt;&gt;LineærRegression_Valg[[#This Row],[Uafhængig variabel ID]]</f>
        <v>1</v>
      </c>
      <c r="E1669" s="45" t="b">
        <f>LineærRegression_Valg[[#This Row],[Afhængig variabel ID]]&lt;=$B$5</f>
        <v>0</v>
      </c>
      <c r="F1669" t="str" cm="1">
        <f t="array" ref="F1669">IF(LineærRegression_Valg[[#This Row],[Indenfor range]],INDEX(DataTitel_liste,LineærRegression_Valg[[#This Row],[Afhængig variabel ID]]),INDEX(DataTitel_liste,1))</f>
        <v>Eksempel 1 (interval)</v>
      </c>
      <c r="G1669" s="45" t="str" cm="1">
        <f t="array" ref="G1669">IF(LineærRegression_Valg[[#This Row],[Indenfor range]],IF(LineærRegression_Valg[[#This Row],[Intet overlap]],INDEX(DataTitel_liste,LineærRegression_Valg[[#This Row],[Uafhængig variabel ID]]),INDEX(DataTitel_liste,IF(LineærRegression_Valg[[#This Row],[Afhængig variabel ID]]=1,2,1))),$B$7)</f>
        <v>Eksempel 2 (interval)</v>
      </c>
      <c r="H1669" s="45">
        <f>_xlfn.AGGREGATE(2,5,LineærRegression_Valg[[#This Row],[Tabel ID]])</f>
        <v>1</v>
      </c>
    </row>
    <row r="1670" spans="1:8" x14ac:dyDescent="0.2">
      <c r="A1670">
        <f>ROW(LineærRegression_Valg[[#This Row],[Tabel ID]])-ROW(LineærRegression_Valg[[#Headers],[Tabel ID]])</f>
        <v>1660</v>
      </c>
      <c r="B1670" s="45">
        <f>ROUNDDOWN((LineærRegression_Valg[[#This Row],[Tabel ID]]-1)/$B$5,0)+1</f>
        <v>415</v>
      </c>
      <c r="C1670" s="45">
        <f t="shared" si="25"/>
        <v>4</v>
      </c>
      <c r="D1670" s="45" t="b">
        <f>LineærRegression_Valg[[#This Row],[Afhængig variabel ID]]&lt;&gt;LineærRegression_Valg[[#This Row],[Uafhængig variabel ID]]</f>
        <v>1</v>
      </c>
      <c r="E1670" s="45" t="b">
        <f>LineærRegression_Valg[[#This Row],[Afhængig variabel ID]]&lt;=$B$5</f>
        <v>0</v>
      </c>
      <c r="F1670" t="str" cm="1">
        <f t="array" ref="F1670">IF(LineærRegression_Valg[[#This Row],[Indenfor range]],INDEX(DataTitel_liste,LineærRegression_Valg[[#This Row],[Afhængig variabel ID]]),INDEX(DataTitel_liste,1))</f>
        <v>Eksempel 1 (interval)</v>
      </c>
      <c r="G1670" s="45" t="str" cm="1">
        <f t="array" ref="G1670">IF(LineærRegression_Valg[[#This Row],[Indenfor range]],IF(LineærRegression_Valg[[#This Row],[Intet overlap]],INDEX(DataTitel_liste,LineærRegression_Valg[[#This Row],[Uafhængig variabel ID]]),INDEX(DataTitel_liste,IF(LineærRegression_Valg[[#This Row],[Afhængig variabel ID]]=1,2,1))),$B$7)</f>
        <v>Eksempel 2 (interval)</v>
      </c>
      <c r="H1670" s="45">
        <f>_xlfn.AGGREGATE(2,5,LineærRegression_Valg[[#This Row],[Tabel ID]])</f>
        <v>1</v>
      </c>
    </row>
    <row r="1671" spans="1:8" x14ac:dyDescent="0.2">
      <c r="A1671">
        <f>ROW(LineærRegression_Valg[[#This Row],[Tabel ID]])-ROW(LineærRegression_Valg[[#Headers],[Tabel ID]])</f>
        <v>1661</v>
      </c>
      <c r="B1671" s="45">
        <f>ROUNDDOWN((LineærRegression_Valg[[#This Row],[Tabel ID]]-1)/$B$5,0)+1</f>
        <v>416</v>
      </c>
      <c r="C1671" s="45">
        <f t="shared" si="25"/>
        <v>1</v>
      </c>
      <c r="D1671" s="45" t="b">
        <f>LineærRegression_Valg[[#This Row],[Afhængig variabel ID]]&lt;&gt;LineærRegression_Valg[[#This Row],[Uafhængig variabel ID]]</f>
        <v>1</v>
      </c>
      <c r="E1671" s="45" t="b">
        <f>LineærRegression_Valg[[#This Row],[Afhængig variabel ID]]&lt;=$B$5</f>
        <v>0</v>
      </c>
      <c r="F1671" t="str" cm="1">
        <f t="array" ref="F1671">IF(LineærRegression_Valg[[#This Row],[Indenfor range]],INDEX(DataTitel_liste,LineærRegression_Valg[[#This Row],[Afhængig variabel ID]]),INDEX(DataTitel_liste,1))</f>
        <v>Eksempel 1 (interval)</v>
      </c>
      <c r="G1671" s="45" t="str" cm="1">
        <f t="array" ref="G1671">IF(LineærRegression_Valg[[#This Row],[Indenfor range]],IF(LineærRegression_Valg[[#This Row],[Intet overlap]],INDEX(DataTitel_liste,LineærRegression_Valg[[#This Row],[Uafhængig variabel ID]]),INDEX(DataTitel_liste,IF(LineærRegression_Valg[[#This Row],[Afhængig variabel ID]]=1,2,1))),$B$7)</f>
        <v>Eksempel 2 (interval)</v>
      </c>
      <c r="H1671" s="45">
        <f>_xlfn.AGGREGATE(2,5,LineærRegression_Valg[[#This Row],[Tabel ID]])</f>
        <v>1</v>
      </c>
    </row>
    <row r="1672" spans="1:8" x14ac:dyDescent="0.2">
      <c r="A1672">
        <f>ROW(LineærRegression_Valg[[#This Row],[Tabel ID]])-ROW(LineærRegression_Valg[[#Headers],[Tabel ID]])</f>
        <v>1662</v>
      </c>
      <c r="B1672" s="45">
        <f>ROUNDDOWN((LineærRegression_Valg[[#This Row],[Tabel ID]]-1)/$B$5,0)+1</f>
        <v>416</v>
      </c>
      <c r="C1672" s="45">
        <f t="shared" si="25"/>
        <v>2</v>
      </c>
      <c r="D1672" s="45" t="b">
        <f>LineærRegression_Valg[[#This Row],[Afhængig variabel ID]]&lt;&gt;LineærRegression_Valg[[#This Row],[Uafhængig variabel ID]]</f>
        <v>1</v>
      </c>
      <c r="E1672" s="45" t="b">
        <f>LineærRegression_Valg[[#This Row],[Afhængig variabel ID]]&lt;=$B$5</f>
        <v>0</v>
      </c>
      <c r="F1672" t="str" cm="1">
        <f t="array" ref="F1672">IF(LineærRegression_Valg[[#This Row],[Indenfor range]],INDEX(DataTitel_liste,LineærRegression_Valg[[#This Row],[Afhængig variabel ID]]),INDEX(DataTitel_liste,1))</f>
        <v>Eksempel 1 (interval)</v>
      </c>
      <c r="G1672" s="45" t="str" cm="1">
        <f t="array" ref="G1672">IF(LineærRegression_Valg[[#This Row],[Indenfor range]],IF(LineærRegression_Valg[[#This Row],[Intet overlap]],INDEX(DataTitel_liste,LineærRegression_Valg[[#This Row],[Uafhængig variabel ID]]),INDEX(DataTitel_liste,IF(LineærRegression_Valg[[#This Row],[Afhængig variabel ID]]=1,2,1))),$B$7)</f>
        <v>Eksempel 2 (interval)</v>
      </c>
      <c r="H1672" s="45">
        <f>_xlfn.AGGREGATE(2,5,LineærRegression_Valg[[#This Row],[Tabel ID]])</f>
        <v>1</v>
      </c>
    </row>
    <row r="1673" spans="1:8" x14ac:dyDescent="0.2">
      <c r="A1673">
        <f>ROW(LineærRegression_Valg[[#This Row],[Tabel ID]])-ROW(LineærRegression_Valg[[#Headers],[Tabel ID]])</f>
        <v>1663</v>
      </c>
      <c r="B1673" s="45">
        <f>ROUNDDOWN((LineærRegression_Valg[[#This Row],[Tabel ID]]-1)/$B$5,0)+1</f>
        <v>416</v>
      </c>
      <c r="C1673" s="45">
        <f t="shared" si="25"/>
        <v>3</v>
      </c>
      <c r="D1673" s="45" t="b">
        <f>LineærRegression_Valg[[#This Row],[Afhængig variabel ID]]&lt;&gt;LineærRegression_Valg[[#This Row],[Uafhængig variabel ID]]</f>
        <v>1</v>
      </c>
      <c r="E1673" s="45" t="b">
        <f>LineærRegression_Valg[[#This Row],[Afhængig variabel ID]]&lt;=$B$5</f>
        <v>0</v>
      </c>
      <c r="F1673" t="str" cm="1">
        <f t="array" ref="F1673">IF(LineærRegression_Valg[[#This Row],[Indenfor range]],INDEX(DataTitel_liste,LineærRegression_Valg[[#This Row],[Afhængig variabel ID]]),INDEX(DataTitel_liste,1))</f>
        <v>Eksempel 1 (interval)</v>
      </c>
      <c r="G1673" s="45" t="str" cm="1">
        <f t="array" ref="G1673">IF(LineærRegression_Valg[[#This Row],[Indenfor range]],IF(LineærRegression_Valg[[#This Row],[Intet overlap]],INDEX(DataTitel_liste,LineærRegression_Valg[[#This Row],[Uafhængig variabel ID]]),INDEX(DataTitel_liste,IF(LineærRegression_Valg[[#This Row],[Afhængig variabel ID]]=1,2,1))),$B$7)</f>
        <v>Eksempel 2 (interval)</v>
      </c>
      <c r="H1673" s="45">
        <f>_xlfn.AGGREGATE(2,5,LineærRegression_Valg[[#This Row],[Tabel ID]])</f>
        <v>1</v>
      </c>
    </row>
    <row r="1674" spans="1:8" x14ac:dyDescent="0.2">
      <c r="A1674">
        <f>ROW(LineærRegression_Valg[[#This Row],[Tabel ID]])-ROW(LineærRegression_Valg[[#Headers],[Tabel ID]])</f>
        <v>1664</v>
      </c>
      <c r="B1674" s="45">
        <f>ROUNDDOWN((LineærRegression_Valg[[#This Row],[Tabel ID]]-1)/$B$5,0)+1</f>
        <v>416</v>
      </c>
      <c r="C1674" s="45">
        <f t="shared" si="25"/>
        <v>4</v>
      </c>
      <c r="D1674" s="45" t="b">
        <f>LineærRegression_Valg[[#This Row],[Afhængig variabel ID]]&lt;&gt;LineærRegression_Valg[[#This Row],[Uafhængig variabel ID]]</f>
        <v>1</v>
      </c>
      <c r="E1674" s="45" t="b">
        <f>LineærRegression_Valg[[#This Row],[Afhængig variabel ID]]&lt;=$B$5</f>
        <v>0</v>
      </c>
      <c r="F1674" t="str" cm="1">
        <f t="array" ref="F1674">IF(LineærRegression_Valg[[#This Row],[Indenfor range]],INDEX(DataTitel_liste,LineærRegression_Valg[[#This Row],[Afhængig variabel ID]]),INDEX(DataTitel_liste,1))</f>
        <v>Eksempel 1 (interval)</v>
      </c>
      <c r="G1674" s="45" t="str" cm="1">
        <f t="array" ref="G1674">IF(LineærRegression_Valg[[#This Row],[Indenfor range]],IF(LineærRegression_Valg[[#This Row],[Intet overlap]],INDEX(DataTitel_liste,LineærRegression_Valg[[#This Row],[Uafhængig variabel ID]]),INDEX(DataTitel_liste,IF(LineærRegression_Valg[[#This Row],[Afhængig variabel ID]]=1,2,1))),$B$7)</f>
        <v>Eksempel 2 (interval)</v>
      </c>
      <c r="H1674" s="45">
        <f>_xlfn.AGGREGATE(2,5,LineærRegression_Valg[[#This Row],[Tabel ID]])</f>
        <v>1</v>
      </c>
    </row>
    <row r="1675" spans="1:8" x14ac:dyDescent="0.2">
      <c r="A1675">
        <f>ROW(LineærRegression_Valg[[#This Row],[Tabel ID]])-ROW(LineærRegression_Valg[[#Headers],[Tabel ID]])</f>
        <v>1665</v>
      </c>
      <c r="B1675" s="45">
        <f>ROUNDDOWN((LineærRegression_Valg[[#This Row],[Tabel ID]]-1)/$B$5,0)+1</f>
        <v>417</v>
      </c>
      <c r="C1675" s="45">
        <f t="shared" ref="C1675:C1738" si="26">MOD(A1675-1,$B$5)+1</f>
        <v>1</v>
      </c>
      <c r="D1675" s="45" t="b">
        <f>LineærRegression_Valg[[#This Row],[Afhængig variabel ID]]&lt;&gt;LineærRegression_Valg[[#This Row],[Uafhængig variabel ID]]</f>
        <v>1</v>
      </c>
      <c r="E1675" s="45" t="b">
        <f>LineærRegression_Valg[[#This Row],[Afhængig variabel ID]]&lt;=$B$5</f>
        <v>0</v>
      </c>
      <c r="F1675" t="str" cm="1">
        <f t="array" ref="F1675">IF(LineærRegression_Valg[[#This Row],[Indenfor range]],INDEX(DataTitel_liste,LineærRegression_Valg[[#This Row],[Afhængig variabel ID]]),INDEX(DataTitel_liste,1))</f>
        <v>Eksempel 1 (interval)</v>
      </c>
      <c r="G1675" s="45" t="str" cm="1">
        <f t="array" ref="G1675">IF(LineærRegression_Valg[[#This Row],[Indenfor range]],IF(LineærRegression_Valg[[#This Row],[Intet overlap]],INDEX(DataTitel_liste,LineærRegression_Valg[[#This Row],[Uafhængig variabel ID]]),INDEX(DataTitel_liste,IF(LineærRegression_Valg[[#This Row],[Afhængig variabel ID]]=1,2,1))),$B$7)</f>
        <v>Eksempel 2 (interval)</v>
      </c>
      <c r="H1675" s="45">
        <f>_xlfn.AGGREGATE(2,5,LineærRegression_Valg[[#This Row],[Tabel ID]])</f>
        <v>1</v>
      </c>
    </row>
    <row r="1676" spans="1:8" x14ac:dyDescent="0.2">
      <c r="A1676">
        <f>ROW(LineærRegression_Valg[[#This Row],[Tabel ID]])-ROW(LineærRegression_Valg[[#Headers],[Tabel ID]])</f>
        <v>1666</v>
      </c>
      <c r="B1676" s="45">
        <f>ROUNDDOWN((LineærRegression_Valg[[#This Row],[Tabel ID]]-1)/$B$5,0)+1</f>
        <v>417</v>
      </c>
      <c r="C1676" s="45">
        <f t="shared" si="26"/>
        <v>2</v>
      </c>
      <c r="D1676" s="45" t="b">
        <f>LineærRegression_Valg[[#This Row],[Afhængig variabel ID]]&lt;&gt;LineærRegression_Valg[[#This Row],[Uafhængig variabel ID]]</f>
        <v>1</v>
      </c>
      <c r="E1676" s="45" t="b">
        <f>LineærRegression_Valg[[#This Row],[Afhængig variabel ID]]&lt;=$B$5</f>
        <v>0</v>
      </c>
      <c r="F1676" t="str" cm="1">
        <f t="array" ref="F1676">IF(LineærRegression_Valg[[#This Row],[Indenfor range]],INDEX(DataTitel_liste,LineærRegression_Valg[[#This Row],[Afhængig variabel ID]]),INDEX(DataTitel_liste,1))</f>
        <v>Eksempel 1 (interval)</v>
      </c>
      <c r="G1676" s="45" t="str" cm="1">
        <f t="array" ref="G1676">IF(LineærRegression_Valg[[#This Row],[Indenfor range]],IF(LineærRegression_Valg[[#This Row],[Intet overlap]],INDEX(DataTitel_liste,LineærRegression_Valg[[#This Row],[Uafhængig variabel ID]]),INDEX(DataTitel_liste,IF(LineærRegression_Valg[[#This Row],[Afhængig variabel ID]]=1,2,1))),$B$7)</f>
        <v>Eksempel 2 (interval)</v>
      </c>
      <c r="H1676" s="45">
        <f>_xlfn.AGGREGATE(2,5,LineærRegression_Valg[[#This Row],[Tabel ID]])</f>
        <v>1</v>
      </c>
    </row>
    <row r="1677" spans="1:8" x14ac:dyDescent="0.2">
      <c r="A1677">
        <f>ROW(LineærRegression_Valg[[#This Row],[Tabel ID]])-ROW(LineærRegression_Valg[[#Headers],[Tabel ID]])</f>
        <v>1667</v>
      </c>
      <c r="B1677" s="45">
        <f>ROUNDDOWN((LineærRegression_Valg[[#This Row],[Tabel ID]]-1)/$B$5,0)+1</f>
        <v>417</v>
      </c>
      <c r="C1677" s="45">
        <f t="shared" si="26"/>
        <v>3</v>
      </c>
      <c r="D1677" s="45" t="b">
        <f>LineærRegression_Valg[[#This Row],[Afhængig variabel ID]]&lt;&gt;LineærRegression_Valg[[#This Row],[Uafhængig variabel ID]]</f>
        <v>1</v>
      </c>
      <c r="E1677" s="45" t="b">
        <f>LineærRegression_Valg[[#This Row],[Afhængig variabel ID]]&lt;=$B$5</f>
        <v>0</v>
      </c>
      <c r="F1677" t="str" cm="1">
        <f t="array" ref="F1677">IF(LineærRegression_Valg[[#This Row],[Indenfor range]],INDEX(DataTitel_liste,LineærRegression_Valg[[#This Row],[Afhængig variabel ID]]),INDEX(DataTitel_liste,1))</f>
        <v>Eksempel 1 (interval)</v>
      </c>
      <c r="G1677" s="45" t="str" cm="1">
        <f t="array" ref="G1677">IF(LineærRegression_Valg[[#This Row],[Indenfor range]],IF(LineærRegression_Valg[[#This Row],[Intet overlap]],INDEX(DataTitel_liste,LineærRegression_Valg[[#This Row],[Uafhængig variabel ID]]),INDEX(DataTitel_liste,IF(LineærRegression_Valg[[#This Row],[Afhængig variabel ID]]=1,2,1))),$B$7)</f>
        <v>Eksempel 2 (interval)</v>
      </c>
      <c r="H1677" s="45">
        <f>_xlfn.AGGREGATE(2,5,LineærRegression_Valg[[#This Row],[Tabel ID]])</f>
        <v>1</v>
      </c>
    </row>
    <row r="1678" spans="1:8" x14ac:dyDescent="0.2">
      <c r="A1678">
        <f>ROW(LineærRegression_Valg[[#This Row],[Tabel ID]])-ROW(LineærRegression_Valg[[#Headers],[Tabel ID]])</f>
        <v>1668</v>
      </c>
      <c r="B1678" s="45">
        <f>ROUNDDOWN((LineærRegression_Valg[[#This Row],[Tabel ID]]-1)/$B$5,0)+1</f>
        <v>417</v>
      </c>
      <c r="C1678" s="45">
        <f t="shared" si="26"/>
        <v>4</v>
      </c>
      <c r="D1678" s="45" t="b">
        <f>LineærRegression_Valg[[#This Row],[Afhængig variabel ID]]&lt;&gt;LineærRegression_Valg[[#This Row],[Uafhængig variabel ID]]</f>
        <v>1</v>
      </c>
      <c r="E1678" s="45" t="b">
        <f>LineærRegression_Valg[[#This Row],[Afhængig variabel ID]]&lt;=$B$5</f>
        <v>0</v>
      </c>
      <c r="F1678" t="str" cm="1">
        <f t="array" ref="F1678">IF(LineærRegression_Valg[[#This Row],[Indenfor range]],INDEX(DataTitel_liste,LineærRegression_Valg[[#This Row],[Afhængig variabel ID]]),INDEX(DataTitel_liste,1))</f>
        <v>Eksempel 1 (interval)</v>
      </c>
      <c r="G1678" s="45" t="str" cm="1">
        <f t="array" ref="G1678">IF(LineærRegression_Valg[[#This Row],[Indenfor range]],IF(LineærRegression_Valg[[#This Row],[Intet overlap]],INDEX(DataTitel_liste,LineærRegression_Valg[[#This Row],[Uafhængig variabel ID]]),INDEX(DataTitel_liste,IF(LineærRegression_Valg[[#This Row],[Afhængig variabel ID]]=1,2,1))),$B$7)</f>
        <v>Eksempel 2 (interval)</v>
      </c>
      <c r="H1678" s="45">
        <f>_xlfn.AGGREGATE(2,5,LineærRegression_Valg[[#This Row],[Tabel ID]])</f>
        <v>1</v>
      </c>
    </row>
    <row r="1679" spans="1:8" x14ac:dyDescent="0.2">
      <c r="A1679">
        <f>ROW(LineærRegression_Valg[[#This Row],[Tabel ID]])-ROW(LineærRegression_Valg[[#Headers],[Tabel ID]])</f>
        <v>1669</v>
      </c>
      <c r="B1679" s="45">
        <f>ROUNDDOWN((LineærRegression_Valg[[#This Row],[Tabel ID]]-1)/$B$5,0)+1</f>
        <v>418</v>
      </c>
      <c r="C1679" s="45">
        <f t="shared" si="26"/>
        <v>1</v>
      </c>
      <c r="D1679" s="45" t="b">
        <f>LineærRegression_Valg[[#This Row],[Afhængig variabel ID]]&lt;&gt;LineærRegression_Valg[[#This Row],[Uafhængig variabel ID]]</f>
        <v>1</v>
      </c>
      <c r="E1679" s="45" t="b">
        <f>LineærRegression_Valg[[#This Row],[Afhængig variabel ID]]&lt;=$B$5</f>
        <v>0</v>
      </c>
      <c r="F1679" t="str" cm="1">
        <f t="array" ref="F1679">IF(LineærRegression_Valg[[#This Row],[Indenfor range]],INDEX(DataTitel_liste,LineærRegression_Valg[[#This Row],[Afhængig variabel ID]]),INDEX(DataTitel_liste,1))</f>
        <v>Eksempel 1 (interval)</v>
      </c>
      <c r="G1679" s="45" t="str" cm="1">
        <f t="array" ref="G1679">IF(LineærRegression_Valg[[#This Row],[Indenfor range]],IF(LineærRegression_Valg[[#This Row],[Intet overlap]],INDEX(DataTitel_liste,LineærRegression_Valg[[#This Row],[Uafhængig variabel ID]]),INDEX(DataTitel_liste,IF(LineærRegression_Valg[[#This Row],[Afhængig variabel ID]]=1,2,1))),$B$7)</f>
        <v>Eksempel 2 (interval)</v>
      </c>
      <c r="H1679" s="45">
        <f>_xlfn.AGGREGATE(2,5,LineærRegression_Valg[[#This Row],[Tabel ID]])</f>
        <v>1</v>
      </c>
    </row>
    <row r="1680" spans="1:8" x14ac:dyDescent="0.2">
      <c r="A1680">
        <f>ROW(LineærRegression_Valg[[#This Row],[Tabel ID]])-ROW(LineærRegression_Valg[[#Headers],[Tabel ID]])</f>
        <v>1670</v>
      </c>
      <c r="B1680" s="45">
        <f>ROUNDDOWN((LineærRegression_Valg[[#This Row],[Tabel ID]]-1)/$B$5,0)+1</f>
        <v>418</v>
      </c>
      <c r="C1680" s="45">
        <f t="shared" si="26"/>
        <v>2</v>
      </c>
      <c r="D1680" s="45" t="b">
        <f>LineærRegression_Valg[[#This Row],[Afhængig variabel ID]]&lt;&gt;LineærRegression_Valg[[#This Row],[Uafhængig variabel ID]]</f>
        <v>1</v>
      </c>
      <c r="E1680" s="45" t="b">
        <f>LineærRegression_Valg[[#This Row],[Afhængig variabel ID]]&lt;=$B$5</f>
        <v>0</v>
      </c>
      <c r="F1680" t="str" cm="1">
        <f t="array" ref="F1680">IF(LineærRegression_Valg[[#This Row],[Indenfor range]],INDEX(DataTitel_liste,LineærRegression_Valg[[#This Row],[Afhængig variabel ID]]),INDEX(DataTitel_liste,1))</f>
        <v>Eksempel 1 (interval)</v>
      </c>
      <c r="G1680" s="45" t="str" cm="1">
        <f t="array" ref="G1680">IF(LineærRegression_Valg[[#This Row],[Indenfor range]],IF(LineærRegression_Valg[[#This Row],[Intet overlap]],INDEX(DataTitel_liste,LineærRegression_Valg[[#This Row],[Uafhængig variabel ID]]),INDEX(DataTitel_liste,IF(LineærRegression_Valg[[#This Row],[Afhængig variabel ID]]=1,2,1))),$B$7)</f>
        <v>Eksempel 2 (interval)</v>
      </c>
      <c r="H1680" s="45">
        <f>_xlfn.AGGREGATE(2,5,LineærRegression_Valg[[#This Row],[Tabel ID]])</f>
        <v>1</v>
      </c>
    </row>
    <row r="1681" spans="1:8" x14ac:dyDescent="0.2">
      <c r="A1681">
        <f>ROW(LineærRegression_Valg[[#This Row],[Tabel ID]])-ROW(LineærRegression_Valg[[#Headers],[Tabel ID]])</f>
        <v>1671</v>
      </c>
      <c r="B1681" s="45">
        <f>ROUNDDOWN((LineærRegression_Valg[[#This Row],[Tabel ID]]-1)/$B$5,0)+1</f>
        <v>418</v>
      </c>
      <c r="C1681" s="45">
        <f t="shared" si="26"/>
        <v>3</v>
      </c>
      <c r="D1681" s="45" t="b">
        <f>LineærRegression_Valg[[#This Row],[Afhængig variabel ID]]&lt;&gt;LineærRegression_Valg[[#This Row],[Uafhængig variabel ID]]</f>
        <v>1</v>
      </c>
      <c r="E1681" s="45" t="b">
        <f>LineærRegression_Valg[[#This Row],[Afhængig variabel ID]]&lt;=$B$5</f>
        <v>0</v>
      </c>
      <c r="F1681" t="str" cm="1">
        <f t="array" ref="F1681">IF(LineærRegression_Valg[[#This Row],[Indenfor range]],INDEX(DataTitel_liste,LineærRegression_Valg[[#This Row],[Afhængig variabel ID]]),INDEX(DataTitel_liste,1))</f>
        <v>Eksempel 1 (interval)</v>
      </c>
      <c r="G1681" s="45" t="str" cm="1">
        <f t="array" ref="G1681">IF(LineærRegression_Valg[[#This Row],[Indenfor range]],IF(LineærRegression_Valg[[#This Row],[Intet overlap]],INDEX(DataTitel_liste,LineærRegression_Valg[[#This Row],[Uafhængig variabel ID]]),INDEX(DataTitel_liste,IF(LineærRegression_Valg[[#This Row],[Afhængig variabel ID]]=1,2,1))),$B$7)</f>
        <v>Eksempel 2 (interval)</v>
      </c>
      <c r="H1681" s="45">
        <f>_xlfn.AGGREGATE(2,5,LineærRegression_Valg[[#This Row],[Tabel ID]])</f>
        <v>1</v>
      </c>
    </row>
    <row r="1682" spans="1:8" x14ac:dyDescent="0.2">
      <c r="A1682">
        <f>ROW(LineærRegression_Valg[[#This Row],[Tabel ID]])-ROW(LineærRegression_Valg[[#Headers],[Tabel ID]])</f>
        <v>1672</v>
      </c>
      <c r="B1682" s="45">
        <f>ROUNDDOWN((LineærRegression_Valg[[#This Row],[Tabel ID]]-1)/$B$5,0)+1</f>
        <v>418</v>
      </c>
      <c r="C1682" s="45">
        <f t="shared" si="26"/>
        <v>4</v>
      </c>
      <c r="D1682" s="45" t="b">
        <f>LineærRegression_Valg[[#This Row],[Afhængig variabel ID]]&lt;&gt;LineærRegression_Valg[[#This Row],[Uafhængig variabel ID]]</f>
        <v>1</v>
      </c>
      <c r="E1682" s="45" t="b">
        <f>LineærRegression_Valg[[#This Row],[Afhængig variabel ID]]&lt;=$B$5</f>
        <v>0</v>
      </c>
      <c r="F1682" t="str" cm="1">
        <f t="array" ref="F1682">IF(LineærRegression_Valg[[#This Row],[Indenfor range]],INDEX(DataTitel_liste,LineærRegression_Valg[[#This Row],[Afhængig variabel ID]]),INDEX(DataTitel_liste,1))</f>
        <v>Eksempel 1 (interval)</v>
      </c>
      <c r="G1682" s="45" t="str" cm="1">
        <f t="array" ref="G1682">IF(LineærRegression_Valg[[#This Row],[Indenfor range]],IF(LineærRegression_Valg[[#This Row],[Intet overlap]],INDEX(DataTitel_liste,LineærRegression_Valg[[#This Row],[Uafhængig variabel ID]]),INDEX(DataTitel_liste,IF(LineærRegression_Valg[[#This Row],[Afhængig variabel ID]]=1,2,1))),$B$7)</f>
        <v>Eksempel 2 (interval)</v>
      </c>
      <c r="H1682" s="45">
        <f>_xlfn.AGGREGATE(2,5,LineærRegression_Valg[[#This Row],[Tabel ID]])</f>
        <v>1</v>
      </c>
    </row>
    <row r="1683" spans="1:8" x14ac:dyDescent="0.2">
      <c r="A1683">
        <f>ROW(LineærRegression_Valg[[#This Row],[Tabel ID]])-ROW(LineærRegression_Valg[[#Headers],[Tabel ID]])</f>
        <v>1673</v>
      </c>
      <c r="B1683" s="45">
        <f>ROUNDDOWN((LineærRegression_Valg[[#This Row],[Tabel ID]]-1)/$B$5,0)+1</f>
        <v>419</v>
      </c>
      <c r="C1683" s="45">
        <f t="shared" si="26"/>
        <v>1</v>
      </c>
      <c r="D1683" s="45" t="b">
        <f>LineærRegression_Valg[[#This Row],[Afhængig variabel ID]]&lt;&gt;LineærRegression_Valg[[#This Row],[Uafhængig variabel ID]]</f>
        <v>1</v>
      </c>
      <c r="E1683" s="45" t="b">
        <f>LineærRegression_Valg[[#This Row],[Afhængig variabel ID]]&lt;=$B$5</f>
        <v>0</v>
      </c>
      <c r="F1683" t="str" cm="1">
        <f t="array" ref="F1683">IF(LineærRegression_Valg[[#This Row],[Indenfor range]],INDEX(DataTitel_liste,LineærRegression_Valg[[#This Row],[Afhængig variabel ID]]),INDEX(DataTitel_liste,1))</f>
        <v>Eksempel 1 (interval)</v>
      </c>
      <c r="G1683" s="45" t="str" cm="1">
        <f t="array" ref="G1683">IF(LineærRegression_Valg[[#This Row],[Indenfor range]],IF(LineærRegression_Valg[[#This Row],[Intet overlap]],INDEX(DataTitel_liste,LineærRegression_Valg[[#This Row],[Uafhængig variabel ID]]),INDEX(DataTitel_liste,IF(LineærRegression_Valg[[#This Row],[Afhængig variabel ID]]=1,2,1))),$B$7)</f>
        <v>Eksempel 2 (interval)</v>
      </c>
      <c r="H1683" s="45">
        <f>_xlfn.AGGREGATE(2,5,LineærRegression_Valg[[#This Row],[Tabel ID]])</f>
        <v>1</v>
      </c>
    </row>
    <row r="1684" spans="1:8" x14ac:dyDescent="0.2">
      <c r="A1684">
        <f>ROW(LineærRegression_Valg[[#This Row],[Tabel ID]])-ROW(LineærRegression_Valg[[#Headers],[Tabel ID]])</f>
        <v>1674</v>
      </c>
      <c r="B1684" s="45">
        <f>ROUNDDOWN((LineærRegression_Valg[[#This Row],[Tabel ID]]-1)/$B$5,0)+1</f>
        <v>419</v>
      </c>
      <c r="C1684" s="45">
        <f t="shared" si="26"/>
        <v>2</v>
      </c>
      <c r="D1684" s="45" t="b">
        <f>LineærRegression_Valg[[#This Row],[Afhængig variabel ID]]&lt;&gt;LineærRegression_Valg[[#This Row],[Uafhængig variabel ID]]</f>
        <v>1</v>
      </c>
      <c r="E1684" s="45" t="b">
        <f>LineærRegression_Valg[[#This Row],[Afhængig variabel ID]]&lt;=$B$5</f>
        <v>0</v>
      </c>
      <c r="F1684" t="str" cm="1">
        <f t="array" ref="F1684">IF(LineærRegression_Valg[[#This Row],[Indenfor range]],INDEX(DataTitel_liste,LineærRegression_Valg[[#This Row],[Afhængig variabel ID]]),INDEX(DataTitel_liste,1))</f>
        <v>Eksempel 1 (interval)</v>
      </c>
      <c r="G1684" s="45" t="str" cm="1">
        <f t="array" ref="G1684">IF(LineærRegression_Valg[[#This Row],[Indenfor range]],IF(LineærRegression_Valg[[#This Row],[Intet overlap]],INDEX(DataTitel_liste,LineærRegression_Valg[[#This Row],[Uafhængig variabel ID]]),INDEX(DataTitel_liste,IF(LineærRegression_Valg[[#This Row],[Afhængig variabel ID]]=1,2,1))),$B$7)</f>
        <v>Eksempel 2 (interval)</v>
      </c>
      <c r="H1684" s="45">
        <f>_xlfn.AGGREGATE(2,5,LineærRegression_Valg[[#This Row],[Tabel ID]])</f>
        <v>1</v>
      </c>
    </row>
    <row r="1685" spans="1:8" x14ac:dyDescent="0.2">
      <c r="A1685">
        <f>ROW(LineærRegression_Valg[[#This Row],[Tabel ID]])-ROW(LineærRegression_Valg[[#Headers],[Tabel ID]])</f>
        <v>1675</v>
      </c>
      <c r="B1685" s="45">
        <f>ROUNDDOWN((LineærRegression_Valg[[#This Row],[Tabel ID]]-1)/$B$5,0)+1</f>
        <v>419</v>
      </c>
      <c r="C1685" s="45">
        <f t="shared" si="26"/>
        <v>3</v>
      </c>
      <c r="D1685" s="45" t="b">
        <f>LineærRegression_Valg[[#This Row],[Afhængig variabel ID]]&lt;&gt;LineærRegression_Valg[[#This Row],[Uafhængig variabel ID]]</f>
        <v>1</v>
      </c>
      <c r="E1685" s="45" t="b">
        <f>LineærRegression_Valg[[#This Row],[Afhængig variabel ID]]&lt;=$B$5</f>
        <v>0</v>
      </c>
      <c r="F1685" t="str" cm="1">
        <f t="array" ref="F1685">IF(LineærRegression_Valg[[#This Row],[Indenfor range]],INDEX(DataTitel_liste,LineærRegression_Valg[[#This Row],[Afhængig variabel ID]]),INDEX(DataTitel_liste,1))</f>
        <v>Eksempel 1 (interval)</v>
      </c>
      <c r="G1685" s="45" t="str" cm="1">
        <f t="array" ref="G1685">IF(LineærRegression_Valg[[#This Row],[Indenfor range]],IF(LineærRegression_Valg[[#This Row],[Intet overlap]],INDEX(DataTitel_liste,LineærRegression_Valg[[#This Row],[Uafhængig variabel ID]]),INDEX(DataTitel_liste,IF(LineærRegression_Valg[[#This Row],[Afhængig variabel ID]]=1,2,1))),$B$7)</f>
        <v>Eksempel 2 (interval)</v>
      </c>
      <c r="H1685" s="45">
        <f>_xlfn.AGGREGATE(2,5,LineærRegression_Valg[[#This Row],[Tabel ID]])</f>
        <v>1</v>
      </c>
    </row>
    <row r="1686" spans="1:8" x14ac:dyDescent="0.2">
      <c r="A1686">
        <f>ROW(LineærRegression_Valg[[#This Row],[Tabel ID]])-ROW(LineærRegression_Valg[[#Headers],[Tabel ID]])</f>
        <v>1676</v>
      </c>
      <c r="B1686" s="45">
        <f>ROUNDDOWN((LineærRegression_Valg[[#This Row],[Tabel ID]]-1)/$B$5,0)+1</f>
        <v>419</v>
      </c>
      <c r="C1686" s="45">
        <f t="shared" si="26"/>
        <v>4</v>
      </c>
      <c r="D1686" s="45" t="b">
        <f>LineærRegression_Valg[[#This Row],[Afhængig variabel ID]]&lt;&gt;LineærRegression_Valg[[#This Row],[Uafhængig variabel ID]]</f>
        <v>1</v>
      </c>
      <c r="E1686" s="45" t="b">
        <f>LineærRegression_Valg[[#This Row],[Afhængig variabel ID]]&lt;=$B$5</f>
        <v>0</v>
      </c>
      <c r="F1686" t="str" cm="1">
        <f t="array" ref="F1686">IF(LineærRegression_Valg[[#This Row],[Indenfor range]],INDEX(DataTitel_liste,LineærRegression_Valg[[#This Row],[Afhængig variabel ID]]),INDEX(DataTitel_liste,1))</f>
        <v>Eksempel 1 (interval)</v>
      </c>
      <c r="G1686" s="45" t="str" cm="1">
        <f t="array" ref="G1686">IF(LineærRegression_Valg[[#This Row],[Indenfor range]],IF(LineærRegression_Valg[[#This Row],[Intet overlap]],INDEX(DataTitel_liste,LineærRegression_Valg[[#This Row],[Uafhængig variabel ID]]),INDEX(DataTitel_liste,IF(LineærRegression_Valg[[#This Row],[Afhængig variabel ID]]=1,2,1))),$B$7)</f>
        <v>Eksempel 2 (interval)</v>
      </c>
      <c r="H1686" s="45">
        <f>_xlfn.AGGREGATE(2,5,LineærRegression_Valg[[#This Row],[Tabel ID]])</f>
        <v>1</v>
      </c>
    </row>
    <row r="1687" spans="1:8" x14ac:dyDescent="0.2">
      <c r="A1687">
        <f>ROW(LineærRegression_Valg[[#This Row],[Tabel ID]])-ROW(LineærRegression_Valg[[#Headers],[Tabel ID]])</f>
        <v>1677</v>
      </c>
      <c r="B1687" s="45">
        <f>ROUNDDOWN((LineærRegression_Valg[[#This Row],[Tabel ID]]-1)/$B$5,0)+1</f>
        <v>420</v>
      </c>
      <c r="C1687" s="45">
        <f t="shared" si="26"/>
        <v>1</v>
      </c>
      <c r="D1687" s="45" t="b">
        <f>LineærRegression_Valg[[#This Row],[Afhængig variabel ID]]&lt;&gt;LineærRegression_Valg[[#This Row],[Uafhængig variabel ID]]</f>
        <v>1</v>
      </c>
      <c r="E1687" s="45" t="b">
        <f>LineærRegression_Valg[[#This Row],[Afhængig variabel ID]]&lt;=$B$5</f>
        <v>0</v>
      </c>
      <c r="F1687" t="str" cm="1">
        <f t="array" ref="F1687">IF(LineærRegression_Valg[[#This Row],[Indenfor range]],INDEX(DataTitel_liste,LineærRegression_Valg[[#This Row],[Afhængig variabel ID]]),INDEX(DataTitel_liste,1))</f>
        <v>Eksempel 1 (interval)</v>
      </c>
      <c r="G1687" s="45" t="str" cm="1">
        <f t="array" ref="G1687">IF(LineærRegression_Valg[[#This Row],[Indenfor range]],IF(LineærRegression_Valg[[#This Row],[Intet overlap]],INDEX(DataTitel_liste,LineærRegression_Valg[[#This Row],[Uafhængig variabel ID]]),INDEX(DataTitel_liste,IF(LineærRegression_Valg[[#This Row],[Afhængig variabel ID]]=1,2,1))),$B$7)</f>
        <v>Eksempel 2 (interval)</v>
      </c>
      <c r="H1687" s="45">
        <f>_xlfn.AGGREGATE(2,5,LineærRegression_Valg[[#This Row],[Tabel ID]])</f>
        <v>1</v>
      </c>
    </row>
    <row r="1688" spans="1:8" x14ac:dyDescent="0.2">
      <c r="A1688">
        <f>ROW(LineærRegression_Valg[[#This Row],[Tabel ID]])-ROW(LineærRegression_Valg[[#Headers],[Tabel ID]])</f>
        <v>1678</v>
      </c>
      <c r="B1688" s="45">
        <f>ROUNDDOWN((LineærRegression_Valg[[#This Row],[Tabel ID]]-1)/$B$5,0)+1</f>
        <v>420</v>
      </c>
      <c r="C1688" s="45">
        <f t="shared" si="26"/>
        <v>2</v>
      </c>
      <c r="D1688" s="45" t="b">
        <f>LineærRegression_Valg[[#This Row],[Afhængig variabel ID]]&lt;&gt;LineærRegression_Valg[[#This Row],[Uafhængig variabel ID]]</f>
        <v>1</v>
      </c>
      <c r="E1688" s="45" t="b">
        <f>LineærRegression_Valg[[#This Row],[Afhængig variabel ID]]&lt;=$B$5</f>
        <v>0</v>
      </c>
      <c r="F1688" t="str" cm="1">
        <f t="array" ref="F1688">IF(LineærRegression_Valg[[#This Row],[Indenfor range]],INDEX(DataTitel_liste,LineærRegression_Valg[[#This Row],[Afhængig variabel ID]]),INDEX(DataTitel_liste,1))</f>
        <v>Eksempel 1 (interval)</v>
      </c>
      <c r="G1688" s="45" t="str" cm="1">
        <f t="array" ref="G1688">IF(LineærRegression_Valg[[#This Row],[Indenfor range]],IF(LineærRegression_Valg[[#This Row],[Intet overlap]],INDEX(DataTitel_liste,LineærRegression_Valg[[#This Row],[Uafhængig variabel ID]]),INDEX(DataTitel_liste,IF(LineærRegression_Valg[[#This Row],[Afhængig variabel ID]]=1,2,1))),$B$7)</f>
        <v>Eksempel 2 (interval)</v>
      </c>
      <c r="H1688" s="45">
        <f>_xlfn.AGGREGATE(2,5,LineærRegression_Valg[[#This Row],[Tabel ID]])</f>
        <v>1</v>
      </c>
    </row>
    <row r="1689" spans="1:8" x14ac:dyDescent="0.2">
      <c r="A1689">
        <f>ROW(LineærRegression_Valg[[#This Row],[Tabel ID]])-ROW(LineærRegression_Valg[[#Headers],[Tabel ID]])</f>
        <v>1679</v>
      </c>
      <c r="B1689" s="45">
        <f>ROUNDDOWN((LineærRegression_Valg[[#This Row],[Tabel ID]]-1)/$B$5,0)+1</f>
        <v>420</v>
      </c>
      <c r="C1689" s="45">
        <f t="shared" si="26"/>
        <v>3</v>
      </c>
      <c r="D1689" s="45" t="b">
        <f>LineærRegression_Valg[[#This Row],[Afhængig variabel ID]]&lt;&gt;LineærRegression_Valg[[#This Row],[Uafhængig variabel ID]]</f>
        <v>1</v>
      </c>
      <c r="E1689" s="45" t="b">
        <f>LineærRegression_Valg[[#This Row],[Afhængig variabel ID]]&lt;=$B$5</f>
        <v>0</v>
      </c>
      <c r="F1689" t="str" cm="1">
        <f t="array" ref="F1689">IF(LineærRegression_Valg[[#This Row],[Indenfor range]],INDEX(DataTitel_liste,LineærRegression_Valg[[#This Row],[Afhængig variabel ID]]),INDEX(DataTitel_liste,1))</f>
        <v>Eksempel 1 (interval)</v>
      </c>
      <c r="G1689" s="45" t="str" cm="1">
        <f t="array" ref="G1689">IF(LineærRegression_Valg[[#This Row],[Indenfor range]],IF(LineærRegression_Valg[[#This Row],[Intet overlap]],INDEX(DataTitel_liste,LineærRegression_Valg[[#This Row],[Uafhængig variabel ID]]),INDEX(DataTitel_liste,IF(LineærRegression_Valg[[#This Row],[Afhængig variabel ID]]=1,2,1))),$B$7)</f>
        <v>Eksempel 2 (interval)</v>
      </c>
      <c r="H1689" s="45">
        <f>_xlfn.AGGREGATE(2,5,LineærRegression_Valg[[#This Row],[Tabel ID]])</f>
        <v>1</v>
      </c>
    </row>
    <row r="1690" spans="1:8" x14ac:dyDescent="0.2">
      <c r="A1690">
        <f>ROW(LineærRegression_Valg[[#This Row],[Tabel ID]])-ROW(LineærRegression_Valg[[#Headers],[Tabel ID]])</f>
        <v>1680</v>
      </c>
      <c r="B1690" s="45">
        <f>ROUNDDOWN((LineærRegression_Valg[[#This Row],[Tabel ID]]-1)/$B$5,0)+1</f>
        <v>420</v>
      </c>
      <c r="C1690" s="45">
        <f t="shared" si="26"/>
        <v>4</v>
      </c>
      <c r="D1690" s="45" t="b">
        <f>LineærRegression_Valg[[#This Row],[Afhængig variabel ID]]&lt;&gt;LineærRegression_Valg[[#This Row],[Uafhængig variabel ID]]</f>
        <v>1</v>
      </c>
      <c r="E1690" s="45" t="b">
        <f>LineærRegression_Valg[[#This Row],[Afhængig variabel ID]]&lt;=$B$5</f>
        <v>0</v>
      </c>
      <c r="F1690" t="str" cm="1">
        <f t="array" ref="F1690">IF(LineærRegression_Valg[[#This Row],[Indenfor range]],INDEX(DataTitel_liste,LineærRegression_Valg[[#This Row],[Afhængig variabel ID]]),INDEX(DataTitel_liste,1))</f>
        <v>Eksempel 1 (interval)</v>
      </c>
      <c r="G1690" s="45" t="str" cm="1">
        <f t="array" ref="G1690">IF(LineærRegression_Valg[[#This Row],[Indenfor range]],IF(LineærRegression_Valg[[#This Row],[Intet overlap]],INDEX(DataTitel_liste,LineærRegression_Valg[[#This Row],[Uafhængig variabel ID]]),INDEX(DataTitel_liste,IF(LineærRegression_Valg[[#This Row],[Afhængig variabel ID]]=1,2,1))),$B$7)</f>
        <v>Eksempel 2 (interval)</v>
      </c>
      <c r="H1690" s="45">
        <f>_xlfn.AGGREGATE(2,5,LineærRegression_Valg[[#This Row],[Tabel ID]])</f>
        <v>1</v>
      </c>
    </row>
    <row r="1691" spans="1:8" x14ac:dyDescent="0.2">
      <c r="A1691">
        <f>ROW(LineærRegression_Valg[[#This Row],[Tabel ID]])-ROW(LineærRegression_Valg[[#Headers],[Tabel ID]])</f>
        <v>1681</v>
      </c>
      <c r="B1691" s="45">
        <f>ROUNDDOWN((LineærRegression_Valg[[#This Row],[Tabel ID]]-1)/$B$5,0)+1</f>
        <v>421</v>
      </c>
      <c r="C1691" s="45">
        <f t="shared" si="26"/>
        <v>1</v>
      </c>
      <c r="D1691" s="45" t="b">
        <f>LineærRegression_Valg[[#This Row],[Afhængig variabel ID]]&lt;&gt;LineærRegression_Valg[[#This Row],[Uafhængig variabel ID]]</f>
        <v>1</v>
      </c>
      <c r="E1691" s="45" t="b">
        <f>LineærRegression_Valg[[#This Row],[Afhængig variabel ID]]&lt;=$B$5</f>
        <v>0</v>
      </c>
      <c r="F1691" t="str" cm="1">
        <f t="array" ref="F1691">IF(LineærRegression_Valg[[#This Row],[Indenfor range]],INDEX(DataTitel_liste,LineærRegression_Valg[[#This Row],[Afhængig variabel ID]]),INDEX(DataTitel_liste,1))</f>
        <v>Eksempel 1 (interval)</v>
      </c>
      <c r="G1691" s="45" t="str" cm="1">
        <f t="array" ref="G1691">IF(LineærRegression_Valg[[#This Row],[Indenfor range]],IF(LineærRegression_Valg[[#This Row],[Intet overlap]],INDEX(DataTitel_liste,LineærRegression_Valg[[#This Row],[Uafhængig variabel ID]]),INDEX(DataTitel_liste,IF(LineærRegression_Valg[[#This Row],[Afhængig variabel ID]]=1,2,1))),$B$7)</f>
        <v>Eksempel 2 (interval)</v>
      </c>
      <c r="H1691" s="45">
        <f>_xlfn.AGGREGATE(2,5,LineærRegression_Valg[[#This Row],[Tabel ID]])</f>
        <v>1</v>
      </c>
    </row>
    <row r="1692" spans="1:8" x14ac:dyDescent="0.2">
      <c r="A1692">
        <f>ROW(LineærRegression_Valg[[#This Row],[Tabel ID]])-ROW(LineærRegression_Valg[[#Headers],[Tabel ID]])</f>
        <v>1682</v>
      </c>
      <c r="B1692" s="45">
        <f>ROUNDDOWN((LineærRegression_Valg[[#This Row],[Tabel ID]]-1)/$B$5,0)+1</f>
        <v>421</v>
      </c>
      <c r="C1692" s="45">
        <f t="shared" si="26"/>
        <v>2</v>
      </c>
      <c r="D1692" s="45" t="b">
        <f>LineærRegression_Valg[[#This Row],[Afhængig variabel ID]]&lt;&gt;LineærRegression_Valg[[#This Row],[Uafhængig variabel ID]]</f>
        <v>1</v>
      </c>
      <c r="E1692" s="45" t="b">
        <f>LineærRegression_Valg[[#This Row],[Afhængig variabel ID]]&lt;=$B$5</f>
        <v>0</v>
      </c>
      <c r="F1692" t="str" cm="1">
        <f t="array" ref="F1692">IF(LineærRegression_Valg[[#This Row],[Indenfor range]],INDEX(DataTitel_liste,LineærRegression_Valg[[#This Row],[Afhængig variabel ID]]),INDEX(DataTitel_liste,1))</f>
        <v>Eksempel 1 (interval)</v>
      </c>
      <c r="G1692" s="45" t="str" cm="1">
        <f t="array" ref="G1692">IF(LineærRegression_Valg[[#This Row],[Indenfor range]],IF(LineærRegression_Valg[[#This Row],[Intet overlap]],INDEX(DataTitel_liste,LineærRegression_Valg[[#This Row],[Uafhængig variabel ID]]),INDEX(DataTitel_liste,IF(LineærRegression_Valg[[#This Row],[Afhængig variabel ID]]=1,2,1))),$B$7)</f>
        <v>Eksempel 2 (interval)</v>
      </c>
      <c r="H1692" s="45">
        <f>_xlfn.AGGREGATE(2,5,LineærRegression_Valg[[#This Row],[Tabel ID]])</f>
        <v>1</v>
      </c>
    </row>
    <row r="1693" spans="1:8" x14ac:dyDescent="0.2">
      <c r="A1693">
        <f>ROW(LineærRegression_Valg[[#This Row],[Tabel ID]])-ROW(LineærRegression_Valg[[#Headers],[Tabel ID]])</f>
        <v>1683</v>
      </c>
      <c r="B1693" s="45">
        <f>ROUNDDOWN((LineærRegression_Valg[[#This Row],[Tabel ID]]-1)/$B$5,0)+1</f>
        <v>421</v>
      </c>
      <c r="C1693" s="45">
        <f t="shared" si="26"/>
        <v>3</v>
      </c>
      <c r="D1693" s="45" t="b">
        <f>LineærRegression_Valg[[#This Row],[Afhængig variabel ID]]&lt;&gt;LineærRegression_Valg[[#This Row],[Uafhængig variabel ID]]</f>
        <v>1</v>
      </c>
      <c r="E1693" s="45" t="b">
        <f>LineærRegression_Valg[[#This Row],[Afhængig variabel ID]]&lt;=$B$5</f>
        <v>0</v>
      </c>
      <c r="F1693" t="str" cm="1">
        <f t="array" ref="F1693">IF(LineærRegression_Valg[[#This Row],[Indenfor range]],INDEX(DataTitel_liste,LineærRegression_Valg[[#This Row],[Afhængig variabel ID]]),INDEX(DataTitel_liste,1))</f>
        <v>Eksempel 1 (interval)</v>
      </c>
      <c r="G1693" s="45" t="str" cm="1">
        <f t="array" ref="G1693">IF(LineærRegression_Valg[[#This Row],[Indenfor range]],IF(LineærRegression_Valg[[#This Row],[Intet overlap]],INDEX(DataTitel_liste,LineærRegression_Valg[[#This Row],[Uafhængig variabel ID]]),INDEX(DataTitel_liste,IF(LineærRegression_Valg[[#This Row],[Afhængig variabel ID]]=1,2,1))),$B$7)</f>
        <v>Eksempel 2 (interval)</v>
      </c>
      <c r="H1693" s="45">
        <f>_xlfn.AGGREGATE(2,5,LineærRegression_Valg[[#This Row],[Tabel ID]])</f>
        <v>1</v>
      </c>
    </row>
    <row r="1694" spans="1:8" x14ac:dyDescent="0.2">
      <c r="A1694">
        <f>ROW(LineærRegression_Valg[[#This Row],[Tabel ID]])-ROW(LineærRegression_Valg[[#Headers],[Tabel ID]])</f>
        <v>1684</v>
      </c>
      <c r="B1694" s="45">
        <f>ROUNDDOWN((LineærRegression_Valg[[#This Row],[Tabel ID]]-1)/$B$5,0)+1</f>
        <v>421</v>
      </c>
      <c r="C1694" s="45">
        <f t="shared" si="26"/>
        <v>4</v>
      </c>
      <c r="D1694" s="45" t="b">
        <f>LineærRegression_Valg[[#This Row],[Afhængig variabel ID]]&lt;&gt;LineærRegression_Valg[[#This Row],[Uafhængig variabel ID]]</f>
        <v>1</v>
      </c>
      <c r="E1694" s="45" t="b">
        <f>LineærRegression_Valg[[#This Row],[Afhængig variabel ID]]&lt;=$B$5</f>
        <v>0</v>
      </c>
      <c r="F1694" t="str" cm="1">
        <f t="array" ref="F1694">IF(LineærRegression_Valg[[#This Row],[Indenfor range]],INDEX(DataTitel_liste,LineærRegression_Valg[[#This Row],[Afhængig variabel ID]]),INDEX(DataTitel_liste,1))</f>
        <v>Eksempel 1 (interval)</v>
      </c>
      <c r="G1694" s="45" t="str" cm="1">
        <f t="array" ref="G1694">IF(LineærRegression_Valg[[#This Row],[Indenfor range]],IF(LineærRegression_Valg[[#This Row],[Intet overlap]],INDEX(DataTitel_liste,LineærRegression_Valg[[#This Row],[Uafhængig variabel ID]]),INDEX(DataTitel_liste,IF(LineærRegression_Valg[[#This Row],[Afhængig variabel ID]]=1,2,1))),$B$7)</f>
        <v>Eksempel 2 (interval)</v>
      </c>
      <c r="H1694" s="45">
        <f>_xlfn.AGGREGATE(2,5,LineærRegression_Valg[[#This Row],[Tabel ID]])</f>
        <v>1</v>
      </c>
    </row>
    <row r="1695" spans="1:8" x14ac:dyDescent="0.2">
      <c r="A1695">
        <f>ROW(LineærRegression_Valg[[#This Row],[Tabel ID]])-ROW(LineærRegression_Valg[[#Headers],[Tabel ID]])</f>
        <v>1685</v>
      </c>
      <c r="B1695" s="45">
        <f>ROUNDDOWN((LineærRegression_Valg[[#This Row],[Tabel ID]]-1)/$B$5,0)+1</f>
        <v>422</v>
      </c>
      <c r="C1695" s="45">
        <f t="shared" si="26"/>
        <v>1</v>
      </c>
      <c r="D1695" s="45" t="b">
        <f>LineærRegression_Valg[[#This Row],[Afhængig variabel ID]]&lt;&gt;LineærRegression_Valg[[#This Row],[Uafhængig variabel ID]]</f>
        <v>1</v>
      </c>
      <c r="E1695" s="45" t="b">
        <f>LineærRegression_Valg[[#This Row],[Afhængig variabel ID]]&lt;=$B$5</f>
        <v>0</v>
      </c>
      <c r="F1695" t="str" cm="1">
        <f t="array" ref="F1695">IF(LineærRegression_Valg[[#This Row],[Indenfor range]],INDEX(DataTitel_liste,LineærRegression_Valg[[#This Row],[Afhængig variabel ID]]),INDEX(DataTitel_liste,1))</f>
        <v>Eksempel 1 (interval)</v>
      </c>
      <c r="G1695" s="45" t="str" cm="1">
        <f t="array" ref="G1695">IF(LineærRegression_Valg[[#This Row],[Indenfor range]],IF(LineærRegression_Valg[[#This Row],[Intet overlap]],INDEX(DataTitel_liste,LineærRegression_Valg[[#This Row],[Uafhængig variabel ID]]),INDEX(DataTitel_liste,IF(LineærRegression_Valg[[#This Row],[Afhængig variabel ID]]=1,2,1))),$B$7)</f>
        <v>Eksempel 2 (interval)</v>
      </c>
      <c r="H1695" s="45">
        <f>_xlfn.AGGREGATE(2,5,LineærRegression_Valg[[#This Row],[Tabel ID]])</f>
        <v>1</v>
      </c>
    </row>
    <row r="1696" spans="1:8" x14ac:dyDescent="0.2">
      <c r="A1696">
        <f>ROW(LineærRegression_Valg[[#This Row],[Tabel ID]])-ROW(LineærRegression_Valg[[#Headers],[Tabel ID]])</f>
        <v>1686</v>
      </c>
      <c r="B1696" s="45">
        <f>ROUNDDOWN((LineærRegression_Valg[[#This Row],[Tabel ID]]-1)/$B$5,0)+1</f>
        <v>422</v>
      </c>
      <c r="C1696" s="45">
        <f t="shared" si="26"/>
        <v>2</v>
      </c>
      <c r="D1696" s="45" t="b">
        <f>LineærRegression_Valg[[#This Row],[Afhængig variabel ID]]&lt;&gt;LineærRegression_Valg[[#This Row],[Uafhængig variabel ID]]</f>
        <v>1</v>
      </c>
      <c r="E1696" s="45" t="b">
        <f>LineærRegression_Valg[[#This Row],[Afhængig variabel ID]]&lt;=$B$5</f>
        <v>0</v>
      </c>
      <c r="F1696" t="str" cm="1">
        <f t="array" ref="F1696">IF(LineærRegression_Valg[[#This Row],[Indenfor range]],INDEX(DataTitel_liste,LineærRegression_Valg[[#This Row],[Afhængig variabel ID]]),INDEX(DataTitel_liste,1))</f>
        <v>Eksempel 1 (interval)</v>
      </c>
      <c r="G1696" s="45" t="str" cm="1">
        <f t="array" ref="G1696">IF(LineærRegression_Valg[[#This Row],[Indenfor range]],IF(LineærRegression_Valg[[#This Row],[Intet overlap]],INDEX(DataTitel_liste,LineærRegression_Valg[[#This Row],[Uafhængig variabel ID]]),INDEX(DataTitel_liste,IF(LineærRegression_Valg[[#This Row],[Afhængig variabel ID]]=1,2,1))),$B$7)</f>
        <v>Eksempel 2 (interval)</v>
      </c>
      <c r="H1696" s="45">
        <f>_xlfn.AGGREGATE(2,5,LineærRegression_Valg[[#This Row],[Tabel ID]])</f>
        <v>1</v>
      </c>
    </row>
    <row r="1697" spans="1:8" x14ac:dyDescent="0.2">
      <c r="A1697">
        <f>ROW(LineærRegression_Valg[[#This Row],[Tabel ID]])-ROW(LineærRegression_Valg[[#Headers],[Tabel ID]])</f>
        <v>1687</v>
      </c>
      <c r="B1697" s="45">
        <f>ROUNDDOWN((LineærRegression_Valg[[#This Row],[Tabel ID]]-1)/$B$5,0)+1</f>
        <v>422</v>
      </c>
      <c r="C1697" s="45">
        <f t="shared" si="26"/>
        <v>3</v>
      </c>
      <c r="D1697" s="45" t="b">
        <f>LineærRegression_Valg[[#This Row],[Afhængig variabel ID]]&lt;&gt;LineærRegression_Valg[[#This Row],[Uafhængig variabel ID]]</f>
        <v>1</v>
      </c>
      <c r="E1697" s="45" t="b">
        <f>LineærRegression_Valg[[#This Row],[Afhængig variabel ID]]&lt;=$B$5</f>
        <v>0</v>
      </c>
      <c r="F1697" t="str" cm="1">
        <f t="array" ref="F1697">IF(LineærRegression_Valg[[#This Row],[Indenfor range]],INDEX(DataTitel_liste,LineærRegression_Valg[[#This Row],[Afhængig variabel ID]]),INDEX(DataTitel_liste,1))</f>
        <v>Eksempel 1 (interval)</v>
      </c>
      <c r="G1697" s="45" t="str" cm="1">
        <f t="array" ref="G1697">IF(LineærRegression_Valg[[#This Row],[Indenfor range]],IF(LineærRegression_Valg[[#This Row],[Intet overlap]],INDEX(DataTitel_liste,LineærRegression_Valg[[#This Row],[Uafhængig variabel ID]]),INDEX(DataTitel_liste,IF(LineærRegression_Valg[[#This Row],[Afhængig variabel ID]]=1,2,1))),$B$7)</f>
        <v>Eksempel 2 (interval)</v>
      </c>
      <c r="H1697" s="45">
        <f>_xlfn.AGGREGATE(2,5,LineærRegression_Valg[[#This Row],[Tabel ID]])</f>
        <v>1</v>
      </c>
    </row>
    <row r="1698" spans="1:8" x14ac:dyDescent="0.2">
      <c r="A1698">
        <f>ROW(LineærRegression_Valg[[#This Row],[Tabel ID]])-ROW(LineærRegression_Valg[[#Headers],[Tabel ID]])</f>
        <v>1688</v>
      </c>
      <c r="B1698" s="45">
        <f>ROUNDDOWN((LineærRegression_Valg[[#This Row],[Tabel ID]]-1)/$B$5,0)+1</f>
        <v>422</v>
      </c>
      <c r="C1698" s="45">
        <f t="shared" si="26"/>
        <v>4</v>
      </c>
      <c r="D1698" s="45" t="b">
        <f>LineærRegression_Valg[[#This Row],[Afhængig variabel ID]]&lt;&gt;LineærRegression_Valg[[#This Row],[Uafhængig variabel ID]]</f>
        <v>1</v>
      </c>
      <c r="E1698" s="45" t="b">
        <f>LineærRegression_Valg[[#This Row],[Afhængig variabel ID]]&lt;=$B$5</f>
        <v>0</v>
      </c>
      <c r="F1698" t="str" cm="1">
        <f t="array" ref="F1698">IF(LineærRegression_Valg[[#This Row],[Indenfor range]],INDEX(DataTitel_liste,LineærRegression_Valg[[#This Row],[Afhængig variabel ID]]),INDEX(DataTitel_liste,1))</f>
        <v>Eksempel 1 (interval)</v>
      </c>
      <c r="G1698" s="45" t="str" cm="1">
        <f t="array" ref="G1698">IF(LineærRegression_Valg[[#This Row],[Indenfor range]],IF(LineærRegression_Valg[[#This Row],[Intet overlap]],INDEX(DataTitel_liste,LineærRegression_Valg[[#This Row],[Uafhængig variabel ID]]),INDEX(DataTitel_liste,IF(LineærRegression_Valg[[#This Row],[Afhængig variabel ID]]=1,2,1))),$B$7)</f>
        <v>Eksempel 2 (interval)</v>
      </c>
      <c r="H1698" s="45">
        <f>_xlfn.AGGREGATE(2,5,LineærRegression_Valg[[#This Row],[Tabel ID]])</f>
        <v>1</v>
      </c>
    </row>
    <row r="1699" spans="1:8" x14ac:dyDescent="0.2">
      <c r="A1699">
        <f>ROW(LineærRegression_Valg[[#This Row],[Tabel ID]])-ROW(LineærRegression_Valg[[#Headers],[Tabel ID]])</f>
        <v>1689</v>
      </c>
      <c r="B1699" s="45">
        <f>ROUNDDOWN((LineærRegression_Valg[[#This Row],[Tabel ID]]-1)/$B$5,0)+1</f>
        <v>423</v>
      </c>
      <c r="C1699" s="45">
        <f t="shared" si="26"/>
        <v>1</v>
      </c>
      <c r="D1699" s="45" t="b">
        <f>LineærRegression_Valg[[#This Row],[Afhængig variabel ID]]&lt;&gt;LineærRegression_Valg[[#This Row],[Uafhængig variabel ID]]</f>
        <v>1</v>
      </c>
      <c r="E1699" s="45" t="b">
        <f>LineærRegression_Valg[[#This Row],[Afhængig variabel ID]]&lt;=$B$5</f>
        <v>0</v>
      </c>
      <c r="F1699" t="str" cm="1">
        <f t="array" ref="F1699">IF(LineærRegression_Valg[[#This Row],[Indenfor range]],INDEX(DataTitel_liste,LineærRegression_Valg[[#This Row],[Afhængig variabel ID]]),INDEX(DataTitel_liste,1))</f>
        <v>Eksempel 1 (interval)</v>
      </c>
      <c r="G1699" s="45" t="str" cm="1">
        <f t="array" ref="G1699">IF(LineærRegression_Valg[[#This Row],[Indenfor range]],IF(LineærRegression_Valg[[#This Row],[Intet overlap]],INDEX(DataTitel_liste,LineærRegression_Valg[[#This Row],[Uafhængig variabel ID]]),INDEX(DataTitel_liste,IF(LineærRegression_Valg[[#This Row],[Afhængig variabel ID]]=1,2,1))),$B$7)</f>
        <v>Eksempel 2 (interval)</v>
      </c>
      <c r="H1699" s="45">
        <f>_xlfn.AGGREGATE(2,5,LineærRegression_Valg[[#This Row],[Tabel ID]])</f>
        <v>1</v>
      </c>
    </row>
    <row r="1700" spans="1:8" x14ac:dyDescent="0.2">
      <c r="A1700">
        <f>ROW(LineærRegression_Valg[[#This Row],[Tabel ID]])-ROW(LineærRegression_Valg[[#Headers],[Tabel ID]])</f>
        <v>1690</v>
      </c>
      <c r="B1700" s="45">
        <f>ROUNDDOWN((LineærRegression_Valg[[#This Row],[Tabel ID]]-1)/$B$5,0)+1</f>
        <v>423</v>
      </c>
      <c r="C1700" s="45">
        <f t="shared" si="26"/>
        <v>2</v>
      </c>
      <c r="D1700" s="45" t="b">
        <f>LineærRegression_Valg[[#This Row],[Afhængig variabel ID]]&lt;&gt;LineærRegression_Valg[[#This Row],[Uafhængig variabel ID]]</f>
        <v>1</v>
      </c>
      <c r="E1700" s="45" t="b">
        <f>LineærRegression_Valg[[#This Row],[Afhængig variabel ID]]&lt;=$B$5</f>
        <v>0</v>
      </c>
      <c r="F1700" t="str" cm="1">
        <f t="array" ref="F1700">IF(LineærRegression_Valg[[#This Row],[Indenfor range]],INDEX(DataTitel_liste,LineærRegression_Valg[[#This Row],[Afhængig variabel ID]]),INDEX(DataTitel_liste,1))</f>
        <v>Eksempel 1 (interval)</v>
      </c>
      <c r="G1700" s="45" t="str" cm="1">
        <f t="array" ref="G1700">IF(LineærRegression_Valg[[#This Row],[Indenfor range]],IF(LineærRegression_Valg[[#This Row],[Intet overlap]],INDEX(DataTitel_liste,LineærRegression_Valg[[#This Row],[Uafhængig variabel ID]]),INDEX(DataTitel_liste,IF(LineærRegression_Valg[[#This Row],[Afhængig variabel ID]]=1,2,1))),$B$7)</f>
        <v>Eksempel 2 (interval)</v>
      </c>
      <c r="H1700" s="45">
        <f>_xlfn.AGGREGATE(2,5,LineærRegression_Valg[[#This Row],[Tabel ID]])</f>
        <v>1</v>
      </c>
    </row>
    <row r="1701" spans="1:8" x14ac:dyDescent="0.2">
      <c r="A1701">
        <f>ROW(LineærRegression_Valg[[#This Row],[Tabel ID]])-ROW(LineærRegression_Valg[[#Headers],[Tabel ID]])</f>
        <v>1691</v>
      </c>
      <c r="B1701" s="45">
        <f>ROUNDDOWN((LineærRegression_Valg[[#This Row],[Tabel ID]]-1)/$B$5,0)+1</f>
        <v>423</v>
      </c>
      <c r="C1701" s="45">
        <f t="shared" si="26"/>
        <v>3</v>
      </c>
      <c r="D1701" s="45" t="b">
        <f>LineærRegression_Valg[[#This Row],[Afhængig variabel ID]]&lt;&gt;LineærRegression_Valg[[#This Row],[Uafhængig variabel ID]]</f>
        <v>1</v>
      </c>
      <c r="E1701" s="45" t="b">
        <f>LineærRegression_Valg[[#This Row],[Afhængig variabel ID]]&lt;=$B$5</f>
        <v>0</v>
      </c>
      <c r="F1701" t="str" cm="1">
        <f t="array" ref="F1701">IF(LineærRegression_Valg[[#This Row],[Indenfor range]],INDEX(DataTitel_liste,LineærRegression_Valg[[#This Row],[Afhængig variabel ID]]),INDEX(DataTitel_liste,1))</f>
        <v>Eksempel 1 (interval)</v>
      </c>
      <c r="G1701" s="45" t="str" cm="1">
        <f t="array" ref="G1701">IF(LineærRegression_Valg[[#This Row],[Indenfor range]],IF(LineærRegression_Valg[[#This Row],[Intet overlap]],INDEX(DataTitel_liste,LineærRegression_Valg[[#This Row],[Uafhængig variabel ID]]),INDEX(DataTitel_liste,IF(LineærRegression_Valg[[#This Row],[Afhængig variabel ID]]=1,2,1))),$B$7)</f>
        <v>Eksempel 2 (interval)</v>
      </c>
      <c r="H1701" s="45">
        <f>_xlfn.AGGREGATE(2,5,LineærRegression_Valg[[#This Row],[Tabel ID]])</f>
        <v>1</v>
      </c>
    </row>
    <row r="1702" spans="1:8" x14ac:dyDescent="0.2">
      <c r="A1702">
        <f>ROW(LineærRegression_Valg[[#This Row],[Tabel ID]])-ROW(LineærRegression_Valg[[#Headers],[Tabel ID]])</f>
        <v>1692</v>
      </c>
      <c r="B1702" s="45">
        <f>ROUNDDOWN((LineærRegression_Valg[[#This Row],[Tabel ID]]-1)/$B$5,0)+1</f>
        <v>423</v>
      </c>
      <c r="C1702" s="45">
        <f t="shared" si="26"/>
        <v>4</v>
      </c>
      <c r="D1702" s="45" t="b">
        <f>LineærRegression_Valg[[#This Row],[Afhængig variabel ID]]&lt;&gt;LineærRegression_Valg[[#This Row],[Uafhængig variabel ID]]</f>
        <v>1</v>
      </c>
      <c r="E1702" s="45" t="b">
        <f>LineærRegression_Valg[[#This Row],[Afhængig variabel ID]]&lt;=$B$5</f>
        <v>0</v>
      </c>
      <c r="F1702" t="str" cm="1">
        <f t="array" ref="F1702">IF(LineærRegression_Valg[[#This Row],[Indenfor range]],INDEX(DataTitel_liste,LineærRegression_Valg[[#This Row],[Afhængig variabel ID]]),INDEX(DataTitel_liste,1))</f>
        <v>Eksempel 1 (interval)</v>
      </c>
      <c r="G1702" s="45" t="str" cm="1">
        <f t="array" ref="G1702">IF(LineærRegression_Valg[[#This Row],[Indenfor range]],IF(LineærRegression_Valg[[#This Row],[Intet overlap]],INDEX(DataTitel_liste,LineærRegression_Valg[[#This Row],[Uafhængig variabel ID]]),INDEX(DataTitel_liste,IF(LineærRegression_Valg[[#This Row],[Afhængig variabel ID]]=1,2,1))),$B$7)</f>
        <v>Eksempel 2 (interval)</v>
      </c>
      <c r="H1702" s="45">
        <f>_xlfn.AGGREGATE(2,5,LineærRegression_Valg[[#This Row],[Tabel ID]])</f>
        <v>1</v>
      </c>
    </row>
    <row r="1703" spans="1:8" x14ac:dyDescent="0.2">
      <c r="A1703">
        <f>ROW(LineærRegression_Valg[[#This Row],[Tabel ID]])-ROW(LineærRegression_Valg[[#Headers],[Tabel ID]])</f>
        <v>1693</v>
      </c>
      <c r="B1703" s="45">
        <f>ROUNDDOWN((LineærRegression_Valg[[#This Row],[Tabel ID]]-1)/$B$5,0)+1</f>
        <v>424</v>
      </c>
      <c r="C1703" s="45">
        <f t="shared" si="26"/>
        <v>1</v>
      </c>
      <c r="D1703" s="45" t="b">
        <f>LineærRegression_Valg[[#This Row],[Afhængig variabel ID]]&lt;&gt;LineærRegression_Valg[[#This Row],[Uafhængig variabel ID]]</f>
        <v>1</v>
      </c>
      <c r="E1703" s="45" t="b">
        <f>LineærRegression_Valg[[#This Row],[Afhængig variabel ID]]&lt;=$B$5</f>
        <v>0</v>
      </c>
      <c r="F1703" t="str" cm="1">
        <f t="array" ref="F1703">IF(LineærRegression_Valg[[#This Row],[Indenfor range]],INDEX(DataTitel_liste,LineærRegression_Valg[[#This Row],[Afhængig variabel ID]]),INDEX(DataTitel_liste,1))</f>
        <v>Eksempel 1 (interval)</v>
      </c>
      <c r="G1703" s="45" t="str" cm="1">
        <f t="array" ref="G1703">IF(LineærRegression_Valg[[#This Row],[Indenfor range]],IF(LineærRegression_Valg[[#This Row],[Intet overlap]],INDEX(DataTitel_liste,LineærRegression_Valg[[#This Row],[Uafhængig variabel ID]]),INDEX(DataTitel_liste,IF(LineærRegression_Valg[[#This Row],[Afhængig variabel ID]]=1,2,1))),$B$7)</f>
        <v>Eksempel 2 (interval)</v>
      </c>
      <c r="H1703" s="45">
        <f>_xlfn.AGGREGATE(2,5,LineærRegression_Valg[[#This Row],[Tabel ID]])</f>
        <v>1</v>
      </c>
    </row>
    <row r="1704" spans="1:8" x14ac:dyDescent="0.2">
      <c r="A1704">
        <f>ROW(LineærRegression_Valg[[#This Row],[Tabel ID]])-ROW(LineærRegression_Valg[[#Headers],[Tabel ID]])</f>
        <v>1694</v>
      </c>
      <c r="B1704" s="45">
        <f>ROUNDDOWN((LineærRegression_Valg[[#This Row],[Tabel ID]]-1)/$B$5,0)+1</f>
        <v>424</v>
      </c>
      <c r="C1704" s="45">
        <f t="shared" si="26"/>
        <v>2</v>
      </c>
      <c r="D1704" s="45" t="b">
        <f>LineærRegression_Valg[[#This Row],[Afhængig variabel ID]]&lt;&gt;LineærRegression_Valg[[#This Row],[Uafhængig variabel ID]]</f>
        <v>1</v>
      </c>
      <c r="E1704" s="45" t="b">
        <f>LineærRegression_Valg[[#This Row],[Afhængig variabel ID]]&lt;=$B$5</f>
        <v>0</v>
      </c>
      <c r="F1704" t="str" cm="1">
        <f t="array" ref="F1704">IF(LineærRegression_Valg[[#This Row],[Indenfor range]],INDEX(DataTitel_liste,LineærRegression_Valg[[#This Row],[Afhængig variabel ID]]),INDEX(DataTitel_liste,1))</f>
        <v>Eksempel 1 (interval)</v>
      </c>
      <c r="G1704" s="45" t="str" cm="1">
        <f t="array" ref="G1704">IF(LineærRegression_Valg[[#This Row],[Indenfor range]],IF(LineærRegression_Valg[[#This Row],[Intet overlap]],INDEX(DataTitel_liste,LineærRegression_Valg[[#This Row],[Uafhængig variabel ID]]),INDEX(DataTitel_liste,IF(LineærRegression_Valg[[#This Row],[Afhængig variabel ID]]=1,2,1))),$B$7)</f>
        <v>Eksempel 2 (interval)</v>
      </c>
      <c r="H1704" s="45">
        <f>_xlfn.AGGREGATE(2,5,LineærRegression_Valg[[#This Row],[Tabel ID]])</f>
        <v>1</v>
      </c>
    </row>
    <row r="1705" spans="1:8" x14ac:dyDescent="0.2">
      <c r="A1705">
        <f>ROW(LineærRegression_Valg[[#This Row],[Tabel ID]])-ROW(LineærRegression_Valg[[#Headers],[Tabel ID]])</f>
        <v>1695</v>
      </c>
      <c r="B1705" s="45">
        <f>ROUNDDOWN((LineærRegression_Valg[[#This Row],[Tabel ID]]-1)/$B$5,0)+1</f>
        <v>424</v>
      </c>
      <c r="C1705" s="45">
        <f t="shared" si="26"/>
        <v>3</v>
      </c>
      <c r="D1705" s="45" t="b">
        <f>LineærRegression_Valg[[#This Row],[Afhængig variabel ID]]&lt;&gt;LineærRegression_Valg[[#This Row],[Uafhængig variabel ID]]</f>
        <v>1</v>
      </c>
      <c r="E1705" s="45" t="b">
        <f>LineærRegression_Valg[[#This Row],[Afhængig variabel ID]]&lt;=$B$5</f>
        <v>0</v>
      </c>
      <c r="F1705" t="str" cm="1">
        <f t="array" ref="F1705">IF(LineærRegression_Valg[[#This Row],[Indenfor range]],INDEX(DataTitel_liste,LineærRegression_Valg[[#This Row],[Afhængig variabel ID]]),INDEX(DataTitel_liste,1))</f>
        <v>Eksempel 1 (interval)</v>
      </c>
      <c r="G1705" s="45" t="str" cm="1">
        <f t="array" ref="G1705">IF(LineærRegression_Valg[[#This Row],[Indenfor range]],IF(LineærRegression_Valg[[#This Row],[Intet overlap]],INDEX(DataTitel_liste,LineærRegression_Valg[[#This Row],[Uafhængig variabel ID]]),INDEX(DataTitel_liste,IF(LineærRegression_Valg[[#This Row],[Afhængig variabel ID]]=1,2,1))),$B$7)</f>
        <v>Eksempel 2 (interval)</v>
      </c>
      <c r="H1705" s="45">
        <f>_xlfn.AGGREGATE(2,5,LineærRegression_Valg[[#This Row],[Tabel ID]])</f>
        <v>1</v>
      </c>
    </row>
    <row r="1706" spans="1:8" x14ac:dyDescent="0.2">
      <c r="A1706">
        <f>ROW(LineærRegression_Valg[[#This Row],[Tabel ID]])-ROW(LineærRegression_Valg[[#Headers],[Tabel ID]])</f>
        <v>1696</v>
      </c>
      <c r="B1706" s="45">
        <f>ROUNDDOWN((LineærRegression_Valg[[#This Row],[Tabel ID]]-1)/$B$5,0)+1</f>
        <v>424</v>
      </c>
      <c r="C1706" s="45">
        <f t="shared" si="26"/>
        <v>4</v>
      </c>
      <c r="D1706" s="45" t="b">
        <f>LineærRegression_Valg[[#This Row],[Afhængig variabel ID]]&lt;&gt;LineærRegression_Valg[[#This Row],[Uafhængig variabel ID]]</f>
        <v>1</v>
      </c>
      <c r="E1706" s="45" t="b">
        <f>LineærRegression_Valg[[#This Row],[Afhængig variabel ID]]&lt;=$B$5</f>
        <v>0</v>
      </c>
      <c r="F1706" t="str" cm="1">
        <f t="array" ref="F1706">IF(LineærRegression_Valg[[#This Row],[Indenfor range]],INDEX(DataTitel_liste,LineærRegression_Valg[[#This Row],[Afhængig variabel ID]]),INDEX(DataTitel_liste,1))</f>
        <v>Eksempel 1 (interval)</v>
      </c>
      <c r="G1706" s="45" t="str" cm="1">
        <f t="array" ref="G1706">IF(LineærRegression_Valg[[#This Row],[Indenfor range]],IF(LineærRegression_Valg[[#This Row],[Intet overlap]],INDEX(DataTitel_liste,LineærRegression_Valg[[#This Row],[Uafhængig variabel ID]]),INDEX(DataTitel_liste,IF(LineærRegression_Valg[[#This Row],[Afhængig variabel ID]]=1,2,1))),$B$7)</f>
        <v>Eksempel 2 (interval)</v>
      </c>
      <c r="H1706" s="45">
        <f>_xlfn.AGGREGATE(2,5,LineærRegression_Valg[[#This Row],[Tabel ID]])</f>
        <v>1</v>
      </c>
    </row>
    <row r="1707" spans="1:8" x14ac:dyDescent="0.2">
      <c r="A1707">
        <f>ROW(LineærRegression_Valg[[#This Row],[Tabel ID]])-ROW(LineærRegression_Valg[[#Headers],[Tabel ID]])</f>
        <v>1697</v>
      </c>
      <c r="B1707" s="45">
        <f>ROUNDDOWN((LineærRegression_Valg[[#This Row],[Tabel ID]]-1)/$B$5,0)+1</f>
        <v>425</v>
      </c>
      <c r="C1707" s="45">
        <f t="shared" si="26"/>
        <v>1</v>
      </c>
      <c r="D1707" s="45" t="b">
        <f>LineærRegression_Valg[[#This Row],[Afhængig variabel ID]]&lt;&gt;LineærRegression_Valg[[#This Row],[Uafhængig variabel ID]]</f>
        <v>1</v>
      </c>
      <c r="E1707" s="45" t="b">
        <f>LineærRegression_Valg[[#This Row],[Afhængig variabel ID]]&lt;=$B$5</f>
        <v>0</v>
      </c>
      <c r="F1707" t="str" cm="1">
        <f t="array" ref="F1707">IF(LineærRegression_Valg[[#This Row],[Indenfor range]],INDEX(DataTitel_liste,LineærRegression_Valg[[#This Row],[Afhængig variabel ID]]),INDEX(DataTitel_liste,1))</f>
        <v>Eksempel 1 (interval)</v>
      </c>
      <c r="G1707" s="45" t="str" cm="1">
        <f t="array" ref="G1707">IF(LineærRegression_Valg[[#This Row],[Indenfor range]],IF(LineærRegression_Valg[[#This Row],[Intet overlap]],INDEX(DataTitel_liste,LineærRegression_Valg[[#This Row],[Uafhængig variabel ID]]),INDEX(DataTitel_liste,IF(LineærRegression_Valg[[#This Row],[Afhængig variabel ID]]=1,2,1))),$B$7)</f>
        <v>Eksempel 2 (interval)</v>
      </c>
      <c r="H1707" s="45">
        <f>_xlfn.AGGREGATE(2,5,LineærRegression_Valg[[#This Row],[Tabel ID]])</f>
        <v>1</v>
      </c>
    </row>
    <row r="1708" spans="1:8" x14ac:dyDescent="0.2">
      <c r="A1708">
        <f>ROW(LineærRegression_Valg[[#This Row],[Tabel ID]])-ROW(LineærRegression_Valg[[#Headers],[Tabel ID]])</f>
        <v>1698</v>
      </c>
      <c r="B1708" s="45">
        <f>ROUNDDOWN((LineærRegression_Valg[[#This Row],[Tabel ID]]-1)/$B$5,0)+1</f>
        <v>425</v>
      </c>
      <c r="C1708" s="45">
        <f t="shared" si="26"/>
        <v>2</v>
      </c>
      <c r="D1708" s="45" t="b">
        <f>LineærRegression_Valg[[#This Row],[Afhængig variabel ID]]&lt;&gt;LineærRegression_Valg[[#This Row],[Uafhængig variabel ID]]</f>
        <v>1</v>
      </c>
      <c r="E1708" s="45" t="b">
        <f>LineærRegression_Valg[[#This Row],[Afhængig variabel ID]]&lt;=$B$5</f>
        <v>0</v>
      </c>
      <c r="F1708" t="str" cm="1">
        <f t="array" ref="F1708">IF(LineærRegression_Valg[[#This Row],[Indenfor range]],INDEX(DataTitel_liste,LineærRegression_Valg[[#This Row],[Afhængig variabel ID]]),INDEX(DataTitel_liste,1))</f>
        <v>Eksempel 1 (interval)</v>
      </c>
      <c r="G1708" s="45" t="str" cm="1">
        <f t="array" ref="G1708">IF(LineærRegression_Valg[[#This Row],[Indenfor range]],IF(LineærRegression_Valg[[#This Row],[Intet overlap]],INDEX(DataTitel_liste,LineærRegression_Valg[[#This Row],[Uafhængig variabel ID]]),INDEX(DataTitel_liste,IF(LineærRegression_Valg[[#This Row],[Afhængig variabel ID]]=1,2,1))),$B$7)</f>
        <v>Eksempel 2 (interval)</v>
      </c>
      <c r="H1708" s="45">
        <f>_xlfn.AGGREGATE(2,5,LineærRegression_Valg[[#This Row],[Tabel ID]])</f>
        <v>1</v>
      </c>
    </row>
    <row r="1709" spans="1:8" x14ac:dyDescent="0.2">
      <c r="A1709">
        <f>ROW(LineærRegression_Valg[[#This Row],[Tabel ID]])-ROW(LineærRegression_Valg[[#Headers],[Tabel ID]])</f>
        <v>1699</v>
      </c>
      <c r="B1709" s="45">
        <f>ROUNDDOWN((LineærRegression_Valg[[#This Row],[Tabel ID]]-1)/$B$5,0)+1</f>
        <v>425</v>
      </c>
      <c r="C1709" s="45">
        <f t="shared" si="26"/>
        <v>3</v>
      </c>
      <c r="D1709" s="45" t="b">
        <f>LineærRegression_Valg[[#This Row],[Afhængig variabel ID]]&lt;&gt;LineærRegression_Valg[[#This Row],[Uafhængig variabel ID]]</f>
        <v>1</v>
      </c>
      <c r="E1709" s="45" t="b">
        <f>LineærRegression_Valg[[#This Row],[Afhængig variabel ID]]&lt;=$B$5</f>
        <v>0</v>
      </c>
      <c r="F1709" t="str" cm="1">
        <f t="array" ref="F1709">IF(LineærRegression_Valg[[#This Row],[Indenfor range]],INDEX(DataTitel_liste,LineærRegression_Valg[[#This Row],[Afhængig variabel ID]]),INDEX(DataTitel_liste,1))</f>
        <v>Eksempel 1 (interval)</v>
      </c>
      <c r="G1709" s="45" t="str" cm="1">
        <f t="array" ref="G1709">IF(LineærRegression_Valg[[#This Row],[Indenfor range]],IF(LineærRegression_Valg[[#This Row],[Intet overlap]],INDEX(DataTitel_liste,LineærRegression_Valg[[#This Row],[Uafhængig variabel ID]]),INDEX(DataTitel_liste,IF(LineærRegression_Valg[[#This Row],[Afhængig variabel ID]]=1,2,1))),$B$7)</f>
        <v>Eksempel 2 (interval)</v>
      </c>
      <c r="H1709" s="45">
        <f>_xlfn.AGGREGATE(2,5,LineærRegression_Valg[[#This Row],[Tabel ID]])</f>
        <v>1</v>
      </c>
    </row>
    <row r="1710" spans="1:8" x14ac:dyDescent="0.2">
      <c r="A1710">
        <f>ROW(LineærRegression_Valg[[#This Row],[Tabel ID]])-ROW(LineærRegression_Valg[[#Headers],[Tabel ID]])</f>
        <v>1700</v>
      </c>
      <c r="B1710" s="45">
        <f>ROUNDDOWN((LineærRegression_Valg[[#This Row],[Tabel ID]]-1)/$B$5,0)+1</f>
        <v>425</v>
      </c>
      <c r="C1710" s="45">
        <f t="shared" si="26"/>
        <v>4</v>
      </c>
      <c r="D1710" s="45" t="b">
        <f>LineærRegression_Valg[[#This Row],[Afhængig variabel ID]]&lt;&gt;LineærRegression_Valg[[#This Row],[Uafhængig variabel ID]]</f>
        <v>1</v>
      </c>
      <c r="E1710" s="45" t="b">
        <f>LineærRegression_Valg[[#This Row],[Afhængig variabel ID]]&lt;=$B$5</f>
        <v>0</v>
      </c>
      <c r="F1710" t="str" cm="1">
        <f t="array" ref="F1710">IF(LineærRegression_Valg[[#This Row],[Indenfor range]],INDEX(DataTitel_liste,LineærRegression_Valg[[#This Row],[Afhængig variabel ID]]),INDEX(DataTitel_liste,1))</f>
        <v>Eksempel 1 (interval)</v>
      </c>
      <c r="G1710" s="45" t="str" cm="1">
        <f t="array" ref="G1710">IF(LineærRegression_Valg[[#This Row],[Indenfor range]],IF(LineærRegression_Valg[[#This Row],[Intet overlap]],INDEX(DataTitel_liste,LineærRegression_Valg[[#This Row],[Uafhængig variabel ID]]),INDEX(DataTitel_liste,IF(LineærRegression_Valg[[#This Row],[Afhængig variabel ID]]=1,2,1))),$B$7)</f>
        <v>Eksempel 2 (interval)</v>
      </c>
      <c r="H1710" s="45">
        <f>_xlfn.AGGREGATE(2,5,LineærRegression_Valg[[#This Row],[Tabel ID]])</f>
        <v>1</v>
      </c>
    </row>
    <row r="1711" spans="1:8" x14ac:dyDescent="0.2">
      <c r="A1711">
        <f>ROW(LineærRegression_Valg[[#This Row],[Tabel ID]])-ROW(LineærRegression_Valg[[#Headers],[Tabel ID]])</f>
        <v>1701</v>
      </c>
      <c r="B1711" s="45">
        <f>ROUNDDOWN((LineærRegression_Valg[[#This Row],[Tabel ID]]-1)/$B$5,0)+1</f>
        <v>426</v>
      </c>
      <c r="C1711" s="45">
        <f t="shared" si="26"/>
        <v>1</v>
      </c>
      <c r="D1711" s="45" t="b">
        <f>LineærRegression_Valg[[#This Row],[Afhængig variabel ID]]&lt;&gt;LineærRegression_Valg[[#This Row],[Uafhængig variabel ID]]</f>
        <v>1</v>
      </c>
      <c r="E1711" s="45" t="b">
        <f>LineærRegression_Valg[[#This Row],[Afhængig variabel ID]]&lt;=$B$5</f>
        <v>0</v>
      </c>
      <c r="F1711" t="str" cm="1">
        <f t="array" ref="F1711">IF(LineærRegression_Valg[[#This Row],[Indenfor range]],INDEX(DataTitel_liste,LineærRegression_Valg[[#This Row],[Afhængig variabel ID]]),INDEX(DataTitel_liste,1))</f>
        <v>Eksempel 1 (interval)</v>
      </c>
      <c r="G1711" s="45" t="str" cm="1">
        <f t="array" ref="G1711">IF(LineærRegression_Valg[[#This Row],[Indenfor range]],IF(LineærRegression_Valg[[#This Row],[Intet overlap]],INDEX(DataTitel_liste,LineærRegression_Valg[[#This Row],[Uafhængig variabel ID]]),INDEX(DataTitel_liste,IF(LineærRegression_Valg[[#This Row],[Afhængig variabel ID]]=1,2,1))),$B$7)</f>
        <v>Eksempel 2 (interval)</v>
      </c>
      <c r="H1711" s="45">
        <f>_xlfn.AGGREGATE(2,5,LineærRegression_Valg[[#This Row],[Tabel ID]])</f>
        <v>1</v>
      </c>
    </row>
    <row r="1712" spans="1:8" x14ac:dyDescent="0.2">
      <c r="A1712">
        <f>ROW(LineærRegression_Valg[[#This Row],[Tabel ID]])-ROW(LineærRegression_Valg[[#Headers],[Tabel ID]])</f>
        <v>1702</v>
      </c>
      <c r="B1712" s="45">
        <f>ROUNDDOWN((LineærRegression_Valg[[#This Row],[Tabel ID]]-1)/$B$5,0)+1</f>
        <v>426</v>
      </c>
      <c r="C1712" s="45">
        <f t="shared" si="26"/>
        <v>2</v>
      </c>
      <c r="D1712" s="45" t="b">
        <f>LineærRegression_Valg[[#This Row],[Afhængig variabel ID]]&lt;&gt;LineærRegression_Valg[[#This Row],[Uafhængig variabel ID]]</f>
        <v>1</v>
      </c>
      <c r="E1712" s="45" t="b">
        <f>LineærRegression_Valg[[#This Row],[Afhængig variabel ID]]&lt;=$B$5</f>
        <v>0</v>
      </c>
      <c r="F1712" t="str" cm="1">
        <f t="array" ref="F1712">IF(LineærRegression_Valg[[#This Row],[Indenfor range]],INDEX(DataTitel_liste,LineærRegression_Valg[[#This Row],[Afhængig variabel ID]]),INDEX(DataTitel_liste,1))</f>
        <v>Eksempel 1 (interval)</v>
      </c>
      <c r="G1712" s="45" t="str" cm="1">
        <f t="array" ref="G1712">IF(LineærRegression_Valg[[#This Row],[Indenfor range]],IF(LineærRegression_Valg[[#This Row],[Intet overlap]],INDEX(DataTitel_liste,LineærRegression_Valg[[#This Row],[Uafhængig variabel ID]]),INDEX(DataTitel_liste,IF(LineærRegression_Valg[[#This Row],[Afhængig variabel ID]]=1,2,1))),$B$7)</f>
        <v>Eksempel 2 (interval)</v>
      </c>
      <c r="H1712" s="45">
        <f>_xlfn.AGGREGATE(2,5,LineærRegression_Valg[[#This Row],[Tabel ID]])</f>
        <v>1</v>
      </c>
    </row>
    <row r="1713" spans="1:8" x14ac:dyDescent="0.2">
      <c r="A1713">
        <f>ROW(LineærRegression_Valg[[#This Row],[Tabel ID]])-ROW(LineærRegression_Valg[[#Headers],[Tabel ID]])</f>
        <v>1703</v>
      </c>
      <c r="B1713" s="45">
        <f>ROUNDDOWN((LineærRegression_Valg[[#This Row],[Tabel ID]]-1)/$B$5,0)+1</f>
        <v>426</v>
      </c>
      <c r="C1713" s="45">
        <f t="shared" si="26"/>
        <v>3</v>
      </c>
      <c r="D1713" s="45" t="b">
        <f>LineærRegression_Valg[[#This Row],[Afhængig variabel ID]]&lt;&gt;LineærRegression_Valg[[#This Row],[Uafhængig variabel ID]]</f>
        <v>1</v>
      </c>
      <c r="E1713" s="45" t="b">
        <f>LineærRegression_Valg[[#This Row],[Afhængig variabel ID]]&lt;=$B$5</f>
        <v>0</v>
      </c>
      <c r="F1713" t="str" cm="1">
        <f t="array" ref="F1713">IF(LineærRegression_Valg[[#This Row],[Indenfor range]],INDEX(DataTitel_liste,LineærRegression_Valg[[#This Row],[Afhængig variabel ID]]),INDEX(DataTitel_liste,1))</f>
        <v>Eksempel 1 (interval)</v>
      </c>
      <c r="G1713" s="45" t="str" cm="1">
        <f t="array" ref="G1713">IF(LineærRegression_Valg[[#This Row],[Indenfor range]],IF(LineærRegression_Valg[[#This Row],[Intet overlap]],INDEX(DataTitel_liste,LineærRegression_Valg[[#This Row],[Uafhængig variabel ID]]),INDEX(DataTitel_liste,IF(LineærRegression_Valg[[#This Row],[Afhængig variabel ID]]=1,2,1))),$B$7)</f>
        <v>Eksempel 2 (interval)</v>
      </c>
      <c r="H1713" s="45">
        <f>_xlfn.AGGREGATE(2,5,LineærRegression_Valg[[#This Row],[Tabel ID]])</f>
        <v>1</v>
      </c>
    </row>
    <row r="1714" spans="1:8" x14ac:dyDescent="0.2">
      <c r="A1714">
        <f>ROW(LineærRegression_Valg[[#This Row],[Tabel ID]])-ROW(LineærRegression_Valg[[#Headers],[Tabel ID]])</f>
        <v>1704</v>
      </c>
      <c r="B1714" s="45">
        <f>ROUNDDOWN((LineærRegression_Valg[[#This Row],[Tabel ID]]-1)/$B$5,0)+1</f>
        <v>426</v>
      </c>
      <c r="C1714" s="45">
        <f t="shared" si="26"/>
        <v>4</v>
      </c>
      <c r="D1714" s="45" t="b">
        <f>LineærRegression_Valg[[#This Row],[Afhængig variabel ID]]&lt;&gt;LineærRegression_Valg[[#This Row],[Uafhængig variabel ID]]</f>
        <v>1</v>
      </c>
      <c r="E1714" s="45" t="b">
        <f>LineærRegression_Valg[[#This Row],[Afhængig variabel ID]]&lt;=$B$5</f>
        <v>0</v>
      </c>
      <c r="F1714" t="str" cm="1">
        <f t="array" ref="F1714">IF(LineærRegression_Valg[[#This Row],[Indenfor range]],INDEX(DataTitel_liste,LineærRegression_Valg[[#This Row],[Afhængig variabel ID]]),INDEX(DataTitel_liste,1))</f>
        <v>Eksempel 1 (interval)</v>
      </c>
      <c r="G1714" s="45" t="str" cm="1">
        <f t="array" ref="G1714">IF(LineærRegression_Valg[[#This Row],[Indenfor range]],IF(LineærRegression_Valg[[#This Row],[Intet overlap]],INDEX(DataTitel_liste,LineærRegression_Valg[[#This Row],[Uafhængig variabel ID]]),INDEX(DataTitel_liste,IF(LineærRegression_Valg[[#This Row],[Afhængig variabel ID]]=1,2,1))),$B$7)</f>
        <v>Eksempel 2 (interval)</v>
      </c>
      <c r="H1714" s="45">
        <f>_xlfn.AGGREGATE(2,5,LineærRegression_Valg[[#This Row],[Tabel ID]])</f>
        <v>1</v>
      </c>
    </row>
    <row r="1715" spans="1:8" x14ac:dyDescent="0.2">
      <c r="A1715">
        <f>ROW(LineærRegression_Valg[[#This Row],[Tabel ID]])-ROW(LineærRegression_Valg[[#Headers],[Tabel ID]])</f>
        <v>1705</v>
      </c>
      <c r="B1715" s="45">
        <f>ROUNDDOWN((LineærRegression_Valg[[#This Row],[Tabel ID]]-1)/$B$5,0)+1</f>
        <v>427</v>
      </c>
      <c r="C1715" s="45">
        <f t="shared" si="26"/>
        <v>1</v>
      </c>
      <c r="D1715" s="45" t="b">
        <f>LineærRegression_Valg[[#This Row],[Afhængig variabel ID]]&lt;&gt;LineærRegression_Valg[[#This Row],[Uafhængig variabel ID]]</f>
        <v>1</v>
      </c>
      <c r="E1715" s="45" t="b">
        <f>LineærRegression_Valg[[#This Row],[Afhængig variabel ID]]&lt;=$B$5</f>
        <v>0</v>
      </c>
      <c r="F1715" t="str" cm="1">
        <f t="array" ref="F1715">IF(LineærRegression_Valg[[#This Row],[Indenfor range]],INDEX(DataTitel_liste,LineærRegression_Valg[[#This Row],[Afhængig variabel ID]]),INDEX(DataTitel_liste,1))</f>
        <v>Eksempel 1 (interval)</v>
      </c>
      <c r="G1715" s="45" t="str" cm="1">
        <f t="array" ref="G1715">IF(LineærRegression_Valg[[#This Row],[Indenfor range]],IF(LineærRegression_Valg[[#This Row],[Intet overlap]],INDEX(DataTitel_liste,LineærRegression_Valg[[#This Row],[Uafhængig variabel ID]]),INDEX(DataTitel_liste,IF(LineærRegression_Valg[[#This Row],[Afhængig variabel ID]]=1,2,1))),$B$7)</f>
        <v>Eksempel 2 (interval)</v>
      </c>
      <c r="H1715" s="45">
        <f>_xlfn.AGGREGATE(2,5,LineærRegression_Valg[[#This Row],[Tabel ID]])</f>
        <v>1</v>
      </c>
    </row>
    <row r="1716" spans="1:8" x14ac:dyDescent="0.2">
      <c r="A1716">
        <f>ROW(LineærRegression_Valg[[#This Row],[Tabel ID]])-ROW(LineærRegression_Valg[[#Headers],[Tabel ID]])</f>
        <v>1706</v>
      </c>
      <c r="B1716" s="45">
        <f>ROUNDDOWN((LineærRegression_Valg[[#This Row],[Tabel ID]]-1)/$B$5,0)+1</f>
        <v>427</v>
      </c>
      <c r="C1716" s="45">
        <f t="shared" si="26"/>
        <v>2</v>
      </c>
      <c r="D1716" s="45" t="b">
        <f>LineærRegression_Valg[[#This Row],[Afhængig variabel ID]]&lt;&gt;LineærRegression_Valg[[#This Row],[Uafhængig variabel ID]]</f>
        <v>1</v>
      </c>
      <c r="E1716" s="45" t="b">
        <f>LineærRegression_Valg[[#This Row],[Afhængig variabel ID]]&lt;=$B$5</f>
        <v>0</v>
      </c>
      <c r="F1716" t="str" cm="1">
        <f t="array" ref="F1716">IF(LineærRegression_Valg[[#This Row],[Indenfor range]],INDEX(DataTitel_liste,LineærRegression_Valg[[#This Row],[Afhængig variabel ID]]),INDEX(DataTitel_liste,1))</f>
        <v>Eksempel 1 (interval)</v>
      </c>
      <c r="G1716" s="45" t="str" cm="1">
        <f t="array" ref="G1716">IF(LineærRegression_Valg[[#This Row],[Indenfor range]],IF(LineærRegression_Valg[[#This Row],[Intet overlap]],INDEX(DataTitel_liste,LineærRegression_Valg[[#This Row],[Uafhængig variabel ID]]),INDEX(DataTitel_liste,IF(LineærRegression_Valg[[#This Row],[Afhængig variabel ID]]=1,2,1))),$B$7)</f>
        <v>Eksempel 2 (interval)</v>
      </c>
      <c r="H1716" s="45">
        <f>_xlfn.AGGREGATE(2,5,LineærRegression_Valg[[#This Row],[Tabel ID]])</f>
        <v>1</v>
      </c>
    </row>
    <row r="1717" spans="1:8" x14ac:dyDescent="0.2">
      <c r="A1717">
        <f>ROW(LineærRegression_Valg[[#This Row],[Tabel ID]])-ROW(LineærRegression_Valg[[#Headers],[Tabel ID]])</f>
        <v>1707</v>
      </c>
      <c r="B1717" s="45">
        <f>ROUNDDOWN((LineærRegression_Valg[[#This Row],[Tabel ID]]-1)/$B$5,0)+1</f>
        <v>427</v>
      </c>
      <c r="C1717" s="45">
        <f t="shared" si="26"/>
        <v>3</v>
      </c>
      <c r="D1717" s="45" t="b">
        <f>LineærRegression_Valg[[#This Row],[Afhængig variabel ID]]&lt;&gt;LineærRegression_Valg[[#This Row],[Uafhængig variabel ID]]</f>
        <v>1</v>
      </c>
      <c r="E1717" s="45" t="b">
        <f>LineærRegression_Valg[[#This Row],[Afhængig variabel ID]]&lt;=$B$5</f>
        <v>0</v>
      </c>
      <c r="F1717" t="str" cm="1">
        <f t="array" ref="F1717">IF(LineærRegression_Valg[[#This Row],[Indenfor range]],INDEX(DataTitel_liste,LineærRegression_Valg[[#This Row],[Afhængig variabel ID]]),INDEX(DataTitel_liste,1))</f>
        <v>Eksempel 1 (interval)</v>
      </c>
      <c r="G1717" s="45" t="str" cm="1">
        <f t="array" ref="G1717">IF(LineærRegression_Valg[[#This Row],[Indenfor range]],IF(LineærRegression_Valg[[#This Row],[Intet overlap]],INDEX(DataTitel_liste,LineærRegression_Valg[[#This Row],[Uafhængig variabel ID]]),INDEX(DataTitel_liste,IF(LineærRegression_Valg[[#This Row],[Afhængig variabel ID]]=1,2,1))),$B$7)</f>
        <v>Eksempel 2 (interval)</v>
      </c>
      <c r="H1717" s="45">
        <f>_xlfn.AGGREGATE(2,5,LineærRegression_Valg[[#This Row],[Tabel ID]])</f>
        <v>1</v>
      </c>
    </row>
    <row r="1718" spans="1:8" x14ac:dyDescent="0.2">
      <c r="A1718">
        <f>ROW(LineærRegression_Valg[[#This Row],[Tabel ID]])-ROW(LineærRegression_Valg[[#Headers],[Tabel ID]])</f>
        <v>1708</v>
      </c>
      <c r="B1718" s="45">
        <f>ROUNDDOWN((LineærRegression_Valg[[#This Row],[Tabel ID]]-1)/$B$5,0)+1</f>
        <v>427</v>
      </c>
      <c r="C1718" s="45">
        <f t="shared" si="26"/>
        <v>4</v>
      </c>
      <c r="D1718" s="45" t="b">
        <f>LineærRegression_Valg[[#This Row],[Afhængig variabel ID]]&lt;&gt;LineærRegression_Valg[[#This Row],[Uafhængig variabel ID]]</f>
        <v>1</v>
      </c>
      <c r="E1718" s="45" t="b">
        <f>LineærRegression_Valg[[#This Row],[Afhængig variabel ID]]&lt;=$B$5</f>
        <v>0</v>
      </c>
      <c r="F1718" t="str" cm="1">
        <f t="array" ref="F1718">IF(LineærRegression_Valg[[#This Row],[Indenfor range]],INDEX(DataTitel_liste,LineærRegression_Valg[[#This Row],[Afhængig variabel ID]]),INDEX(DataTitel_liste,1))</f>
        <v>Eksempel 1 (interval)</v>
      </c>
      <c r="G1718" s="45" t="str" cm="1">
        <f t="array" ref="G1718">IF(LineærRegression_Valg[[#This Row],[Indenfor range]],IF(LineærRegression_Valg[[#This Row],[Intet overlap]],INDEX(DataTitel_liste,LineærRegression_Valg[[#This Row],[Uafhængig variabel ID]]),INDEX(DataTitel_liste,IF(LineærRegression_Valg[[#This Row],[Afhængig variabel ID]]=1,2,1))),$B$7)</f>
        <v>Eksempel 2 (interval)</v>
      </c>
      <c r="H1718" s="45">
        <f>_xlfn.AGGREGATE(2,5,LineærRegression_Valg[[#This Row],[Tabel ID]])</f>
        <v>1</v>
      </c>
    </row>
    <row r="1719" spans="1:8" x14ac:dyDescent="0.2">
      <c r="A1719">
        <f>ROW(LineærRegression_Valg[[#This Row],[Tabel ID]])-ROW(LineærRegression_Valg[[#Headers],[Tabel ID]])</f>
        <v>1709</v>
      </c>
      <c r="B1719" s="45">
        <f>ROUNDDOWN((LineærRegression_Valg[[#This Row],[Tabel ID]]-1)/$B$5,0)+1</f>
        <v>428</v>
      </c>
      <c r="C1719" s="45">
        <f t="shared" si="26"/>
        <v>1</v>
      </c>
      <c r="D1719" s="45" t="b">
        <f>LineærRegression_Valg[[#This Row],[Afhængig variabel ID]]&lt;&gt;LineærRegression_Valg[[#This Row],[Uafhængig variabel ID]]</f>
        <v>1</v>
      </c>
      <c r="E1719" s="45" t="b">
        <f>LineærRegression_Valg[[#This Row],[Afhængig variabel ID]]&lt;=$B$5</f>
        <v>0</v>
      </c>
      <c r="F1719" t="str" cm="1">
        <f t="array" ref="F1719">IF(LineærRegression_Valg[[#This Row],[Indenfor range]],INDEX(DataTitel_liste,LineærRegression_Valg[[#This Row],[Afhængig variabel ID]]),INDEX(DataTitel_liste,1))</f>
        <v>Eksempel 1 (interval)</v>
      </c>
      <c r="G1719" s="45" t="str" cm="1">
        <f t="array" ref="G1719">IF(LineærRegression_Valg[[#This Row],[Indenfor range]],IF(LineærRegression_Valg[[#This Row],[Intet overlap]],INDEX(DataTitel_liste,LineærRegression_Valg[[#This Row],[Uafhængig variabel ID]]),INDEX(DataTitel_liste,IF(LineærRegression_Valg[[#This Row],[Afhængig variabel ID]]=1,2,1))),$B$7)</f>
        <v>Eksempel 2 (interval)</v>
      </c>
      <c r="H1719" s="45">
        <f>_xlfn.AGGREGATE(2,5,LineærRegression_Valg[[#This Row],[Tabel ID]])</f>
        <v>1</v>
      </c>
    </row>
    <row r="1720" spans="1:8" x14ac:dyDescent="0.2">
      <c r="A1720">
        <f>ROW(LineærRegression_Valg[[#This Row],[Tabel ID]])-ROW(LineærRegression_Valg[[#Headers],[Tabel ID]])</f>
        <v>1710</v>
      </c>
      <c r="B1720" s="45">
        <f>ROUNDDOWN((LineærRegression_Valg[[#This Row],[Tabel ID]]-1)/$B$5,0)+1</f>
        <v>428</v>
      </c>
      <c r="C1720" s="45">
        <f t="shared" si="26"/>
        <v>2</v>
      </c>
      <c r="D1720" s="45" t="b">
        <f>LineærRegression_Valg[[#This Row],[Afhængig variabel ID]]&lt;&gt;LineærRegression_Valg[[#This Row],[Uafhængig variabel ID]]</f>
        <v>1</v>
      </c>
      <c r="E1720" s="45" t="b">
        <f>LineærRegression_Valg[[#This Row],[Afhængig variabel ID]]&lt;=$B$5</f>
        <v>0</v>
      </c>
      <c r="F1720" t="str" cm="1">
        <f t="array" ref="F1720">IF(LineærRegression_Valg[[#This Row],[Indenfor range]],INDEX(DataTitel_liste,LineærRegression_Valg[[#This Row],[Afhængig variabel ID]]),INDEX(DataTitel_liste,1))</f>
        <v>Eksempel 1 (interval)</v>
      </c>
      <c r="G1720" s="45" t="str" cm="1">
        <f t="array" ref="G1720">IF(LineærRegression_Valg[[#This Row],[Indenfor range]],IF(LineærRegression_Valg[[#This Row],[Intet overlap]],INDEX(DataTitel_liste,LineærRegression_Valg[[#This Row],[Uafhængig variabel ID]]),INDEX(DataTitel_liste,IF(LineærRegression_Valg[[#This Row],[Afhængig variabel ID]]=1,2,1))),$B$7)</f>
        <v>Eksempel 2 (interval)</v>
      </c>
      <c r="H1720" s="45">
        <f>_xlfn.AGGREGATE(2,5,LineærRegression_Valg[[#This Row],[Tabel ID]])</f>
        <v>1</v>
      </c>
    </row>
    <row r="1721" spans="1:8" x14ac:dyDescent="0.2">
      <c r="A1721">
        <f>ROW(LineærRegression_Valg[[#This Row],[Tabel ID]])-ROW(LineærRegression_Valg[[#Headers],[Tabel ID]])</f>
        <v>1711</v>
      </c>
      <c r="B1721" s="45">
        <f>ROUNDDOWN((LineærRegression_Valg[[#This Row],[Tabel ID]]-1)/$B$5,0)+1</f>
        <v>428</v>
      </c>
      <c r="C1721" s="45">
        <f t="shared" si="26"/>
        <v>3</v>
      </c>
      <c r="D1721" s="45" t="b">
        <f>LineærRegression_Valg[[#This Row],[Afhængig variabel ID]]&lt;&gt;LineærRegression_Valg[[#This Row],[Uafhængig variabel ID]]</f>
        <v>1</v>
      </c>
      <c r="E1721" s="45" t="b">
        <f>LineærRegression_Valg[[#This Row],[Afhængig variabel ID]]&lt;=$B$5</f>
        <v>0</v>
      </c>
      <c r="F1721" t="str" cm="1">
        <f t="array" ref="F1721">IF(LineærRegression_Valg[[#This Row],[Indenfor range]],INDEX(DataTitel_liste,LineærRegression_Valg[[#This Row],[Afhængig variabel ID]]),INDEX(DataTitel_liste,1))</f>
        <v>Eksempel 1 (interval)</v>
      </c>
      <c r="G1721" s="45" t="str" cm="1">
        <f t="array" ref="G1721">IF(LineærRegression_Valg[[#This Row],[Indenfor range]],IF(LineærRegression_Valg[[#This Row],[Intet overlap]],INDEX(DataTitel_liste,LineærRegression_Valg[[#This Row],[Uafhængig variabel ID]]),INDEX(DataTitel_liste,IF(LineærRegression_Valg[[#This Row],[Afhængig variabel ID]]=1,2,1))),$B$7)</f>
        <v>Eksempel 2 (interval)</v>
      </c>
      <c r="H1721" s="45">
        <f>_xlfn.AGGREGATE(2,5,LineærRegression_Valg[[#This Row],[Tabel ID]])</f>
        <v>1</v>
      </c>
    </row>
    <row r="1722" spans="1:8" x14ac:dyDescent="0.2">
      <c r="A1722">
        <f>ROW(LineærRegression_Valg[[#This Row],[Tabel ID]])-ROW(LineærRegression_Valg[[#Headers],[Tabel ID]])</f>
        <v>1712</v>
      </c>
      <c r="B1722" s="45">
        <f>ROUNDDOWN((LineærRegression_Valg[[#This Row],[Tabel ID]]-1)/$B$5,0)+1</f>
        <v>428</v>
      </c>
      <c r="C1722" s="45">
        <f t="shared" si="26"/>
        <v>4</v>
      </c>
      <c r="D1722" s="45" t="b">
        <f>LineærRegression_Valg[[#This Row],[Afhængig variabel ID]]&lt;&gt;LineærRegression_Valg[[#This Row],[Uafhængig variabel ID]]</f>
        <v>1</v>
      </c>
      <c r="E1722" s="45" t="b">
        <f>LineærRegression_Valg[[#This Row],[Afhængig variabel ID]]&lt;=$B$5</f>
        <v>0</v>
      </c>
      <c r="F1722" t="str" cm="1">
        <f t="array" ref="F1722">IF(LineærRegression_Valg[[#This Row],[Indenfor range]],INDEX(DataTitel_liste,LineærRegression_Valg[[#This Row],[Afhængig variabel ID]]),INDEX(DataTitel_liste,1))</f>
        <v>Eksempel 1 (interval)</v>
      </c>
      <c r="G1722" s="45" t="str" cm="1">
        <f t="array" ref="G1722">IF(LineærRegression_Valg[[#This Row],[Indenfor range]],IF(LineærRegression_Valg[[#This Row],[Intet overlap]],INDEX(DataTitel_liste,LineærRegression_Valg[[#This Row],[Uafhængig variabel ID]]),INDEX(DataTitel_liste,IF(LineærRegression_Valg[[#This Row],[Afhængig variabel ID]]=1,2,1))),$B$7)</f>
        <v>Eksempel 2 (interval)</v>
      </c>
      <c r="H1722" s="45">
        <f>_xlfn.AGGREGATE(2,5,LineærRegression_Valg[[#This Row],[Tabel ID]])</f>
        <v>1</v>
      </c>
    </row>
    <row r="1723" spans="1:8" x14ac:dyDescent="0.2">
      <c r="A1723">
        <f>ROW(LineærRegression_Valg[[#This Row],[Tabel ID]])-ROW(LineærRegression_Valg[[#Headers],[Tabel ID]])</f>
        <v>1713</v>
      </c>
      <c r="B1723" s="45">
        <f>ROUNDDOWN((LineærRegression_Valg[[#This Row],[Tabel ID]]-1)/$B$5,0)+1</f>
        <v>429</v>
      </c>
      <c r="C1723" s="45">
        <f t="shared" si="26"/>
        <v>1</v>
      </c>
      <c r="D1723" s="45" t="b">
        <f>LineærRegression_Valg[[#This Row],[Afhængig variabel ID]]&lt;&gt;LineærRegression_Valg[[#This Row],[Uafhængig variabel ID]]</f>
        <v>1</v>
      </c>
      <c r="E1723" s="45" t="b">
        <f>LineærRegression_Valg[[#This Row],[Afhængig variabel ID]]&lt;=$B$5</f>
        <v>0</v>
      </c>
      <c r="F1723" t="str" cm="1">
        <f t="array" ref="F1723">IF(LineærRegression_Valg[[#This Row],[Indenfor range]],INDEX(DataTitel_liste,LineærRegression_Valg[[#This Row],[Afhængig variabel ID]]),INDEX(DataTitel_liste,1))</f>
        <v>Eksempel 1 (interval)</v>
      </c>
      <c r="G1723" s="45" t="str" cm="1">
        <f t="array" ref="G1723">IF(LineærRegression_Valg[[#This Row],[Indenfor range]],IF(LineærRegression_Valg[[#This Row],[Intet overlap]],INDEX(DataTitel_liste,LineærRegression_Valg[[#This Row],[Uafhængig variabel ID]]),INDEX(DataTitel_liste,IF(LineærRegression_Valg[[#This Row],[Afhængig variabel ID]]=1,2,1))),$B$7)</f>
        <v>Eksempel 2 (interval)</v>
      </c>
      <c r="H1723" s="45">
        <f>_xlfn.AGGREGATE(2,5,LineærRegression_Valg[[#This Row],[Tabel ID]])</f>
        <v>1</v>
      </c>
    </row>
    <row r="1724" spans="1:8" x14ac:dyDescent="0.2">
      <c r="A1724">
        <f>ROW(LineærRegression_Valg[[#This Row],[Tabel ID]])-ROW(LineærRegression_Valg[[#Headers],[Tabel ID]])</f>
        <v>1714</v>
      </c>
      <c r="B1724" s="45">
        <f>ROUNDDOWN((LineærRegression_Valg[[#This Row],[Tabel ID]]-1)/$B$5,0)+1</f>
        <v>429</v>
      </c>
      <c r="C1724" s="45">
        <f t="shared" si="26"/>
        <v>2</v>
      </c>
      <c r="D1724" s="45" t="b">
        <f>LineærRegression_Valg[[#This Row],[Afhængig variabel ID]]&lt;&gt;LineærRegression_Valg[[#This Row],[Uafhængig variabel ID]]</f>
        <v>1</v>
      </c>
      <c r="E1724" s="45" t="b">
        <f>LineærRegression_Valg[[#This Row],[Afhængig variabel ID]]&lt;=$B$5</f>
        <v>0</v>
      </c>
      <c r="F1724" t="str" cm="1">
        <f t="array" ref="F1724">IF(LineærRegression_Valg[[#This Row],[Indenfor range]],INDEX(DataTitel_liste,LineærRegression_Valg[[#This Row],[Afhængig variabel ID]]),INDEX(DataTitel_liste,1))</f>
        <v>Eksempel 1 (interval)</v>
      </c>
      <c r="G1724" s="45" t="str" cm="1">
        <f t="array" ref="G1724">IF(LineærRegression_Valg[[#This Row],[Indenfor range]],IF(LineærRegression_Valg[[#This Row],[Intet overlap]],INDEX(DataTitel_liste,LineærRegression_Valg[[#This Row],[Uafhængig variabel ID]]),INDEX(DataTitel_liste,IF(LineærRegression_Valg[[#This Row],[Afhængig variabel ID]]=1,2,1))),$B$7)</f>
        <v>Eksempel 2 (interval)</v>
      </c>
      <c r="H1724" s="45">
        <f>_xlfn.AGGREGATE(2,5,LineærRegression_Valg[[#This Row],[Tabel ID]])</f>
        <v>1</v>
      </c>
    </row>
    <row r="1725" spans="1:8" x14ac:dyDescent="0.2">
      <c r="A1725">
        <f>ROW(LineærRegression_Valg[[#This Row],[Tabel ID]])-ROW(LineærRegression_Valg[[#Headers],[Tabel ID]])</f>
        <v>1715</v>
      </c>
      <c r="B1725" s="45">
        <f>ROUNDDOWN((LineærRegression_Valg[[#This Row],[Tabel ID]]-1)/$B$5,0)+1</f>
        <v>429</v>
      </c>
      <c r="C1725" s="45">
        <f t="shared" si="26"/>
        <v>3</v>
      </c>
      <c r="D1725" s="45" t="b">
        <f>LineærRegression_Valg[[#This Row],[Afhængig variabel ID]]&lt;&gt;LineærRegression_Valg[[#This Row],[Uafhængig variabel ID]]</f>
        <v>1</v>
      </c>
      <c r="E1725" s="45" t="b">
        <f>LineærRegression_Valg[[#This Row],[Afhængig variabel ID]]&lt;=$B$5</f>
        <v>0</v>
      </c>
      <c r="F1725" t="str" cm="1">
        <f t="array" ref="F1725">IF(LineærRegression_Valg[[#This Row],[Indenfor range]],INDEX(DataTitel_liste,LineærRegression_Valg[[#This Row],[Afhængig variabel ID]]),INDEX(DataTitel_liste,1))</f>
        <v>Eksempel 1 (interval)</v>
      </c>
      <c r="G1725" s="45" t="str" cm="1">
        <f t="array" ref="G1725">IF(LineærRegression_Valg[[#This Row],[Indenfor range]],IF(LineærRegression_Valg[[#This Row],[Intet overlap]],INDEX(DataTitel_liste,LineærRegression_Valg[[#This Row],[Uafhængig variabel ID]]),INDEX(DataTitel_liste,IF(LineærRegression_Valg[[#This Row],[Afhængig variabel ID]]=1,2,1))),$B$7)</f>
        <v>Eksempel 2 (interval)</v>
      </c>
      <c r="H1725" s="45">
        <f>_xlfn.AGGREGATE(2,5,LineærRegression_Valg[[#This Row],[Tabel ID]])</f>
        <v>1</v>
      </c>
    </row>
    <row r="1726" spans="1:8" x14ac:dyDescent="0.2">
      <c r="A1726">
        <f>ROW(LineærRegression_Valg[[#This Row],[Tabel ID]])-ROW(LineærRegression_Valg[[#Headers],[Tabel ID]])</f>
        <v>1716</v>
      </c>
      <c r="B1726" s="45">
        <f>ROUNDDOWN((LineærRegression_Valg[[#This Row],[Tabel ID]]-1)/$B$5,0)+1</f>
        <v>429</v>
      </c>
      <c r="C1726" s="45">
        <f t="shared" si="26"/>
        <v>4</v>
      </c>
      <c r="D1726" s="45" t="b">
        <f>LineærRegression_Valg[[#This Row],[Afhængig variabel ID]]&lt;&gt;LineærRegression_Valg[[#This Row],[Uafhængig variabel ID]]</f>
        <v>1</v>
      </c>
      <c r="E1726" s="45" t="b">
        <f>LineærRegression_Valg[[#This Row],[Afhængig variabel ID]]&lt;=$B$5</f>
        <v>0</v>
      </c>
      <c r="F1726" t="str" cm="1">
        <f t="array" ref="F1726">IF(LineærRegression_Valg[[#This Row],[Indenfor range]],INDEX(DataTitel_liste,LineærRegression_Valg[[#This Row],[Afhængig variabel ID]]),INDEX(DataTitel_liste,1))</f>
        <v>Eksempel 1 (interval)</v>
      </c>
      <c r="G1726" s="45" t="str" cm="1">
        <f t="array" ref="G1726">IF(LineærRegression_Valg[[#This Row],[Indenfor range]],IF(LineærRegression_Valg[[#This Row],[Intet overlap]],INDEX(DataTitel_liste,LineærRegression_Valg[[#This Row],[Uafhængig variabel ID]]),INDEX(DataTitel_liste,IF(LineærRegression_Valg[[#This Row],[Afhængig variabel ID]]=1,2,1))),$B$7)</f>
        <v>Eksempel 2 (interval)</v>
      </c>
      <c r="H1726" s="45">
        <f>_xlfn.AGGREGATE(2,5,LineærRegression_Valg[[#This Row],[Tabel ID]])</f>
        <v>1</v>
      </c>
    </row>
    <row r="1727" spans="1:8" x14ac:dyDescent="0.2">
      <c r="A1727">
        <f>ROW(LineærRegression_Valg[[#This Row],[Tabel ID]])-ROW(LineærRegression_Valg[[#Headers],[Tabel ID]])</f>
        <v>1717</v>
      </c>
      <c r="B1727" s="45">
        <f>ROUNDDOWN((LineærRegression_Valg[[#This Row],[Tabel ID]]-1)/$B$5,0)+1</f>
        <v>430</v>
      </c>
      <c r="C1727" s="45">
        <f t="shared" si="26"/>
        <v>1</v>
      </c>
      <c r="D1727" s="45" t="b">
        <f>LineærRegression_Valg[[#This Row],[Afhængig variabel ID]]&lt;&gt;LineærRegression_Valg[[#This Row],[Uafhængig variabel ID]]</f>
        <v>1</v>
      </c>
      <c r="E1727" s="45" t="b">
        <f>LineærRegression_Valg[[#This Row],[Afhængig variabel ID]]&lt;=$B$5</f>
        <v>0</v>
      </c>
      <c r="F1727" t="str" cm="1">
        <f t="array" ref="F1727">IF(LineærRegression_Valg[[#This Row],[Indenfor range]],INDEX(DataTitel_liste,LineærRegression_Valg[[#This Row],[Afhængig variabel ID]]),INDEX(DataTitel_liste,1))</f>
        <v>Eksempel 1 (interval)</v>
      </c>
      <c r="G1727" s="45" t="str" cm="1">
        <f t="array" ref="G1727">IF(LineærRegression_Valg[[#This Row],[Indenfor range]],IF(LineærRegression_Valg[[#This Row],[Intet overlap]],INDEX(DataTitel_liste,LineærRegression_Valg[[#This Row],[Uafhængig variabel ID]]),INDEX(DataTitel_liste,IF(LineærRegression_Valg[[#This Row],[Afhængig variabel ID]]=1,2,1))),$B$7)</f>
        <v>Eksempel 2 (interval)</v>
      </c>
      <c r="H1727" s="45">
        <f>_xlfn.AGGREGATE(2,5,LineærRegression_Valg[[#This Row],[Tabel ID]])</f>
        <v>1</v>
      </c>
    </row>
    <row r="1728" spans="1:8" x14ac:dyDescent="0.2">
      <c r="A1728">
        <f>ROW(LineærRegression_Valg[[#This Row],[Tabel ID]])-ROW(LineærRegression_Valg[[#Headers],[Tabel ID]])</f>
        <v>1718</v>
      </c>
      <c r="B1728" s="45">
        <f>ROUNDDOWN((LineærRegression_Valg[[#This Row],[Tabel ID]]-1)/$B$5,0)+1</f>
        <v>430</v>
      </c>
      <c r="C1728" s="45">
        <f t="shared" si="26"/>
        <v>2</v>
      </c>
      <c r="D1728" s="45" t="b">
        <f>LineærRegression_Valg[[#This Row],[Afhængig variabel ID]]&lt;&gt;LineærRegression_Valg[[#This Row],[Uafhængig variabel ID]]</f>
        <v>1</v>
      </c>
      <c r="E1728" s="45" t="b">
        <f>LineærRegression_Valg[[#This Row],[Afhængig variabel ID]]&lt;=$B$5</f>
        <v>0</v>
      </c>
      <c r="F1728" t="str" cm="1">
        <f t="array" ref="F1728">IF(LineærRegression_Valg[[#This Row],[Indenfor range]],INDEX(DataTitel_liste,LineærRegression_Valg[[#This Row],[Afhængig variabel ID]]),INDEX(DataTitel_liste,1))</f>
        <v>Eksempel 1 (interval)</v>
      </c>
      <c r="G1728" s="45" t="str" cm="1">
        <f t="array" ref="G1728">IF(LineærRegression_Valg[[#This Row],[Indenfor range]],IF(LineærRegression_Valg[[#This Row],[Intet overlap]],INDEX(DataTitel_liste,LineærRegression_Valg[[#This Row],[Uafhængig variabel ID]]),INDEX(DataTitel_liste,IF(LineærRegression_Valg[[#This Row],[Afhængig variabel ID]]=1,2,1))),$B$7)</f>
        <v>Eksempel 2 (interval)</v>
      </c>
      <c r="H1728" s="45">
        <f>_xlfn.AGGREGATE(2,5,LineærRegression_Valg[[#This Row],[Tabel ID]])</f>
        <v>1</v>
      </c>
    </row>
    <row r="1729" spans="1:8" x14ac:dyDescent="0.2">
      <c r="A1729">
        <f>ROW(LineærRegression_Valg[[#This Row],[Tabel ID]])-ROW(LineærRegression_Valg[[#Headers],[Tabel ID]])</f>
        <v>1719</v>
      </c>
      <c r="B1729" s="45">
        <f>ROUNDDOWN((LineærRegression_Valg[[#This Row],[Tabel ID]]-1)/$B$5,0)+1</f>
        <v>430</v>
      </c>
      <c r="C1729" s="45">
        <f t="shared" si="26"/>
        <v>3</v>
      </c>
      <c r="D1729" s="45" t="b">
        <f>LineærRegression_Valg[[#This Row],[Afhængig variabel ID]]&lt;&gt;LineærRegression_Valg[[#This Row],[Uafhængig variabel ID]]</f>
        <v>1</v>
      </c>
      <c r="E1729" s="45" t="b">
        <f>LineærRegression_Valg[[#This Row],[Afhængig variabel ID]]&lt;=$B$5</f>
        <v>0</v>
      </c>
      <c r="F1729" t="str" cm="1">
        <f t="array" ref="F1729">IF(LineærRegression_Valg[[#This Row],[Indenfor range]],INDEX(DataTitel_liste,LineærRegression_Valg[[#This Row],[Afhængig variabel ID]]),INDEX(DataTitel_liste,1))</f>
        <v>Eksempel 1 (interval)</v>
      </c>
      <c r="G1729" s="45" t="str" cm="1">
        <f t="array" ref="G1729">IF(LineærRegression_Valg[[#This Row],[Indenfor range]],IF(LineærRegression_Valg[[#This Row],[Intet overlap]],INDEX(DataTitel_liste,LineærRegression_Valg[[#This Row],[Uafhængig variabel ID]]),INDEX(DataTitel_liste,IF(LineærRegression_Valg[[#This Row],[Afhængig variabel ID]]=1,2,1))),$B$7)</f>
        <v>Eksempel 2 (interval)</v>
      </c>
      <c r="H1729" s="45">
        <f>_xlfn.AGGREGATE(2,5,LineærRegression_Valg[[#This Row],[Tabel ID]])</f>
        <v>1</v>
      </c>
    </row>
    <row r="1730" spans="1:8" x14ac:dyDescent="0.2">
      <c r="A1730">
        <f>ROW(LineærRegression_Valg[[#This Row],[Tabel ID]])-ROW(LineærRegression_Valg[[#Headers],[Tabel ID]])</f>
        <v>1720</v>
      </c>
      <c r="B1730" s="45">
        <f>ROUNDDOWN((LineærRegression_Valg[[#This Row],[Tabel ID]]-1)/$B$5,0)+1</f>
        <v>430</v>
      </c>
      <c r="C1730" s="45">
        <f t="shared" si="26"/>
        <v>4</v>
      </c>
      <c r="D1730" s="45" t="b">
        <f>LineærRegression_Valg[[#This Row],[Afhængig variabel ID]]&lt;&gt;LineærRegression_Valg[[#This Row],[Uafhængig variabel ID]]</f>
        <v>1</v>
      </c>
      <c r="E1730" s="45" t="b">
        <f>LineærRegression_Valg[[#This Row],[Afhængig variabel ID]]&lt;=$B$5</f>
        <v>0</v>
      </c>
      <c r="F1730" t="str" cm="1">
        <f t="array" ref="F1730">IF(LineærRegression_Valg[[#This Row],[Indenfor range]],INDEX(DataTitel_liste,LineærRegression_Valg[[#This Row],[Afhængig variabel ID]]),INDEX(DataTitel_liste,1))</f>
        <v>Eksempel 1 (interval)</v>
      </c>
      <c r="G1730" s="45" t="str" cm="1">
        <f t="array" ref="G1730">IF(LineærRegression_Valg[[#This Row],[Indenfor range]],IF(LineærRegression_Valg[[#This Row],[Intet overlap]],INDEX(DataTitel_liste,LineærRegression_Valg[[#This Row],[Uafhængig variabel ID]]),INDEX(DataTitel_liste,IF(LineærRegression_Valg[[#This Row],[Afhængig variabel ID]]=1,2,1))),$B$7)</f>
        <v>Eksempel 2 (interval)</v>
      </c>
      <c r="H1730" s="45">
        <f>_xlfn.AGGREGATE(2,5,LineærRegression_Valg[[#This Row],[Tabel ID]])</f>
        <v>1</v>
      </c>
    </row>
    <row r="1731" spans="1:8" x14ac:dyDescent="0.2">
      <c r="A1731">
        <f>ROW(LineærRegression_Valg[[#This Row],[Tabel ID]])-ROW(LineærRegression_Valg[[#Headers],[Tabel ID]])</f>
        <v>1721</v>
      </c>
      <c r="B1731" s="45">
        <f>ROUNDDOWN((LineærRegression_Valg[[#This Row],[Tabel ID]]-1)/$B$5,0)+1</f>
        <v>431</v>
      </c>
      <c r="C1731" s="45">
        <f t="shared" si="26"/>
        <v>1</v>
      </c>
      <c r="D1731" s="45" t="b">
        <f>LineærRegression_Valg[[#This Row],[Afhængig variabel ID]]&lt;&gt;LineærRegression_Valg[[#This Row],[Uafhængig variabel ID]]</f>
        <v>1</v>
      </c>
      <c r="E1731" s="45" t="b">
        <f>LineærRegression_Valg[[#This Row],[Afhængig variabel ID]]&lt;=$B$5</f>
        <v>0</v>
      </c>
      <c r="F1731" t="str" cm="1">
        <f t="array" ref="F1731">IF(LineærRegression_Valg[[#This Row],[Indenfor range]],INDEX(DataTitel_liste,LineærRegression_Valg[[#This Row],[Afhængig variabel ID]]),INDEX(DataTitel_liste,1))</f>
        <v>Eksempel 1 (interval)</v>
      </c>
      <c r="G1731" s="45" t="str" cm="1">
        <f t="array" ref="G1731">IF(LineærRegression_Valg[[#This Row],[Indenfor range]],IF(LineærRegression_Valg[[#This Row],[Intet overlap]],INDEX(DataTitel_liste,LineærRegression_Valg[[#This Row],[Uafhængig variabel ID]]),INDEX(DataTitel_liste,IF(LineærRegression_Valg[[#This Row],[Afhængig variabel ID]]=1,2,1))),$B$7)</f>
        <v>Eksempel 2 (interval)</v>
      </c>
      <c r="H1731" s="45">
        <f>_xlfn.AGGREGATE(2,5,LineærRegression_Valg[[#This Row],[Tabel ID]])</f>
        <v>1</v>
      </c>
    </row>
    <row r="1732" spans="1:8" x14ac:dyDescent="0.2">
      <c r="A1732">
        <f>ROW(LineærRegression_Valg[[#This Row],[Tabel ID]])-ROW(LineærRegression_Valg[[#Headers],[Tabel ID]])</f>
        <v>1722</v>
      </c>
      <c r="B1732" s="45">
        <f>ROUNDDOWN((LineærRegression_Valg[[#This Row],[Tabel ID]]-1)/$B$5,0)+1</f>
        <v>431</v>
      </c>
      <c r="C1732" s="45">
        <f t="shared" si="26"/>
        <v>2</v>
      </c>
      <c r="D1732" s="45" t="b">
        <f>LineærRegression_Valg[[#This Row],[Afhængig variabel ID]]&lt;&gt;LineærRegression_Valg[[#This Row],[Uafhængig variabel ID]]</f>
        <v>1</v>
      </c>
      <c r="E1732" s="45" t="b">
        <f>LineærRegression_Valg[[#This Row],[Afhængig variabel ID]]&lt;=$B$5</f>
        <v>0</v>
      </c>
      <c r="F1732" t="str" cm="1">
        <f t="array" ref="F1732">IF(LineærRegression_Valg[[#This Row],[Indenfor range]],INDEX(DataTitel_liste,LineærRegression_Valg[[#This Row],[Afhængig variabel ID]]),INDEX(DataTitel_liste,1))</f>
        <v>Eksempel 1 (interval)</v>
      </c>
      <c r="G1732" s="45" t="str" cm="1">
        <f t="array" ref="G1732">IF(LineærRegression_Valg[[#This Row],[Indenfor range]],IF(LineærRegression_Valg[[#This Row],[Intet overlap]],INDEX(DataTitel_liste,LineærRegression_Valg[[#This Row],[Uafhængig variabel ID]]),INDEX(DataTitel_liste,IF(LineærRegression_Valg[[#This Row],[Afhængig variabel ID]]=1,2,1))),$B$7)</f>
        <v>Eksempel 2 (interval)</v>
      </c>
      <c r="H1732" s="45">
        <f>_xlfn.AGGREGATE(2,5,LineærRegression_Valg[[#This Row],[Tabel ID]])</f>
        <v>1</v>
      </c>
    </row>
    <row r="1733" spans="1:8" x14ac:dyDescent="0.2">
      <c r="A1733">
        <f>ROW(LineærRegression_Valg[[#This Row],[Tabel ID]])-ROW(LineærRegression_Valg[[#Headers],[Tabel ID]])</f>
        <v>1723</v>
      </c>
      <c r="B1733" s="45">
        <f>ROUNDDOWN((LineærRegression_Valg[[#This Row],[Tabel ID]]-1)/$B$5,0)+1</f>
        <v>431</v>
      </c>
      <c r="C1733" s="45">
        <f t="shared" si="26"/>
        <v>3</v>
      </c>
      <c r="D1733" s="45" t="b">
        <f>LineærRegression_Valg[[#This Row],[Afhængig variabel ID]]&lt;&gt;LineærRegression_Valg[[#This Row],[Uafhængig variabel ID]]</f>
        <v>1</v>
      </c>
      <c r="E1733" s="45" t="b">
        <f>LineærRegression_Valg[[#This Row],[Afhængig variabel ID]]&lt;=$B$5</f>
        <v>0</v>
      </c>
      <c r="F1733" t="str" cm="1">
        <f t="array" ref="F1733">IF(LineærRegression_Valg[[#This Row],[Indenfor range]],INDEX(DataTitel_liste,LineærRegression_Valg[[#This Row],[Afhængig variabel ID]]),INDEX(DataTitel_liste,1))</f>
        <v>Eksempel 1 (interval)</v>
      </c>
      <c r="G1733" s="45" t="str" cm="1">
        <f t="array" ref="G1733">IF(LineærRegression_Valg[[#This Row],[Indenfor range]],IF(LineærRegression_Valg[[#This Row],[Intet overlap]],INDEX(DataTitel_liste,LineærRegression_Valg[[#This Row],[Uafhængig variabel ID]]),INDEX(DataTitel_liste,IF(LineærRegression_Valg[[#This Row],[Afhængig variabel ID]]=1,2,1))),$B$7)</f>
        <v>Eksempel 2 (interval)</v>
      </c>
      <c r="H1733" s="45">
        <f>_xlfn.AGGREGATE(2,5,LineærRegression_Valg[[#This Row],[Tabel ID]])</f>
        <v>1</v>
      </c>
    </row>
    <row r="1734" spans="1:8" x14ac:dyDescent="0.2">
      <c r="A1734">
        <f>ROW(LineærRegression_Valg[[#This Row],[Tabel ID]])-ROW(LineærRegression_Valg[[#Headers],[Tabel ID]])</f>
        <v>1724</v>
      </c>
      <c r="B1734" s="45">
        <f>ROUNDDOWN((LineærRegression_Valg[[#This Row],[Tabel ID]]-1)/$B$5,0)+1</f>
        <v>431</v>
      </c>
      <c r="C1734" s="45">
        <f t="shared" si="26"/>
        <v>4</v>
      </c>
      <c r="D1734" s="45" t="b">
        <f>LineærRegression_Valg[[#This Row],[Afhængig variabel ID]]&lt;&gt;LineærRegression_Valg[[#This Row],[Uafhængig variabel ID]]</f>
        <v>1</v>
      </c>
      <c r="E1734" s="45" t="b">
        <f>LineærRegression_Valg[[#This Row],[Afhængig variabel ID]]&lt;=$B$5</f>
        <v>0</v>
      </c>
      <c r="F1734" t="str" cm="1">
        <f t="array" ref="F1734">IF(LineærRegression_Valg[[#This Row],[Indenfor range]],INDEX(DataTitel_liste,LineærRegression_Valg[[#This Row],[Afhængig variabel ID]]),INDEX(DataTitel_liste,1))</f>
        <v>Eksempel 1 (interval)</v>
      </c>
      <c r="G1734" s="45" t="str" cm="1">
        <f t="array" ref="G1734">IF(LineærRegression_Valg[[#This Row],[Indenfor range]],IF(LineærRegression_Valg[[#This Row],[Intet overlap]],INDEX(DataTitel_liste,LineærRegression_Valg[[#This Row],[Uafhængig variabel ID]]),INDEX(DataTitel_liste,IF(LineærRegression_Valg[[#This Row],[Afhængig variabel ID]]=1,2,1))),$B$7)</f>
        <v>Eksempel 2 (interval)</v>
      </c>
      <c r="H1734" s="45">
        <f>_xlfn.AGGREGATE(2,5,LineærRegression_Valg[[#This Row],[Tabel ID]])</f>
        <v>1</v>
      </c>
    </row>
    <row r="1735" spans="1:8" x14ac:dyDescent="0.2">
      <c r="A1735">
        <f>ROW(LineærRegression_Valg[[#This Row],[Tabel ID]])-ROW(LineærRegression_Valg[[#Headers],[Tabel ID]])</f>
        <v>1725</v>
      </c>
      <c r="B1735" s="45">
        <f>ROUNDDOWN((LineærRegression_Valg[[#This Row],[Tabel ID]]-1)/$B$5,0)+1</f>
        <v>432</v>
      </c>
      <c r="C1735" s="45">
        <f t="shared" si="26"/>
        <v>1</v>
      </c>
      <c r="D1735" s="45" t="b">
        <f>LineærRegression_Valg[[#This Row],[Afhængig variabel ID]]&lt;&gt;LineærRegression_Valg[[#This Row],[Uafhængig variabel ID]]</f>
        <v>1</v>
      </c>
      <c r="E1735" s="45" t="b">
        <f>LineærRegression_Valg[[#This Row],[Afhængig variabel ID]]&lt;=$B$5</f>
        <v>0</v>
      </c>
      <c r="F1735" t="str" cm="1">
        <f t="array" ref="F1735">IF(LineærRegression_Valg[[#This Row],[Indenfor range]],INDEX(DataTitel_liste,LineærRegression_Valg[[#This Row],[Afhængig variabel ID]]),INDEX(DataTitel_liste,1))</f>
        <v>Eksempel 1 (interval)</v>
      </c>
      <c r="G1735" s="45" t="str" cm="1">
        <f t="array" ref="G1735">IF(LineærRegression_Valg[[#This Row],[Indenfor range]],IF(LineærRegression_Valg[[#This Row],[Intet overlap]],INDEX(DataTitel_liste,LineærRegression_Valg[[#This Row],[Uafhængig variabel ID]]),INDEX(DataTitel_liste,IF(LineærRegression_Valg[[#This Row],[Afhængig variabel ID]]=1,2,1))),$B$7)</f>
        <v>Eksempel 2 (interval)</v>
      </c>
      <c r="H1735" s="45">
        <f>_xlfn.AGGREGATE(2,5,LineærRegression_Valg[[#This Row],[Tabel ID]])</f>
        <v>1</v>
      </c>
    </row>
    <row r="1736" spans="1:8" x14ac:dyDescent="0.2">
      <c r="A1736">
        <f>ROW(LineærRegression_Valg[[#This Row],[Tabel ID]])-ROW(LineærRegression_Valg[[#Headers],[Tabel ID]])</f>
        <v>1726</v>
      </c>
      <c r="B1736" s="45">
        <f>ROUNDDOWN((LineærRegression_Valg[[#This Row],[Tabel ID]]-1)/$B$5,0)+1</f>
        <v>432</v>
      </c>
      <c r="C1736" s="45">
        <f t="shared" si="26"/>
        <v>2</v>
      </c>
      <c r="D1736" s="45" t="b">
        <f>LineærRegression_Valg[[#This Row],[Afhængig variabel ID]]&lt;&gt;LineærRegression_Valg[[#This Row],[Uafhængig variabel ID]]</f>
        <v>1</v>
      </c>
      <c r="E1736" s="45" t="b">
        <f>LineærRegression_Valg[[#This Row],[Afhængig variabel ID]]&lt;=$B$5</f>
        <v>0</v>
      </c>
      <c r="F1736" t="str" cm="1">
        <f t="array" ref="F1736">IF(LineærRegression_Valg[[#This Row],[Indenfor range]],INDEX(DataTitel_liste,LineærRegression_Valg[[#This Row],[Afhængig variabel ID]]),INDEX(DataTitel_liste,1))</f>
        <v>Eksempel 1 (interval)</v>
      </c>
      <c r="G1736" s="45" t="str" cm="1">
        <f t="array" ref="G1736">IF(LineærRegression_Valg[[#This Row],[Indenfor range]],IF(LineærRegression_Valg[[#This Row],[Intet overlap]],INDEX(DataTitel_liste,LineærRegression_Valg[[#This Row],[Uafhængig variabel ID]]),INDEX(DataTitel_liste,IF(LineærRegression_Valg[[#This Row],[Afhængig variabel ID]]=1,2,1))),$B$7)</f>
        <v>Eksempel 2 (interval)</v>
      </c>
      <c r="H1736" s="45">
        <f>_xlfn.AGGREGATE(2,5,LineærRegression_Valg[[#This Row],[Tabel ID]])</f>
        <v>1</v>
      </c>
    </row>
    <row r="1737" spans="1:8" x14ac:dyDescent="0.2">
      <c r="A1737">
        <f>ROW(LineærRegression_Valg[[#This Row],[Tabel ID]])-ROW(LineærRegression_Valg[[#Headers],[Tabel ID]])</f>
        <v>1727</v>
      </c>
      <c r="B1737" s="45">
        <f>ROUNDDOWN((LineærRegression_Valg[[#This Row],[Tabel ID]]-1)/$B$5,0)+1</f>
        <v>432</v>
      </c>
      <c r="C1737" s="45">
        <f t="shared" si="26"/>
        <v>3</v>
      </c>
      <c r="D1737" s="45" t="b">
        <f>LineærRegression_Valg[[#This Row],[Afhængig variabel ID]]&lt;&gt;LineærRegression_Valg[[#This Row],[Uafhængig variabel ID]]</f>
        <v>1</v>
      </c>
      <c r="E1737" s="45" t="b">
        <f>LineærRegression_Valg[[#This Row],[Afhængig variabel ID]]&lt;=$B$5</f>
        <v>0</v>
      </c>
      <c r="F1737" t="str" cm="1">
        <f t="array" ref="F1737">IF(LineærRegression_Valg[[#This Row],[Indenfor range]],INDEX(DataTitel_liste,LineærRegression_Valg[[#This Row],[Afhængig variabel ID]]),INDEX(DataTitel_liste,1))</f>
        <v>Eksempel 1 (interval)</v>
      </c>
      <c r="G1737" s="45" t="str" cm="1">
        <f t="array" ref="G1737">IF(LineærRegression_Valg[[#This Row],[Indenfor range]],IF(LineærRegression_Valg[[#This Row],[Intet overlap]],INDEX(DataTitel_liste,LineærRegression_Valg[[#This Row],[Uafhængig variabel ID]]),INDEX(DataTitel_liste,IF(LineærRegression_Valg[[#This Row],[Afhængig variabel ID]]=1,2,1))),$B$7)</f>
        <v>Eksempel 2 (interval)</v>
      </c>
      <c r="H1737" s="45">
        <f>_xlfn.AGGREGATE(2,5,LineærRegression_Valg[[#This Row],[Tabel ID]])</f>
        <v>1</v>
      </c>
    </row>
    <row r="1738" spans="1:8" x14ac:dyDescent="0.2">
      <c r="A1738">
        <f>ROW(LineærRegression_Valg[[#This Row],[Tabel ID]])-ROW(LineærRegression_Valg[[#Headers],[Tabel ID]])</f>
        <v>1728</v>
      </c>
      <c r="B1738" s="45">
        <f>ROUNDDOWN((LineærRegression_Valg[[#This Row],[Tabel ID]]-1)/$B$5,0)+1</f>
        <v>432</v>
      </c>
      <c r="C1738" s="45">
        <f t="shared" si="26"/>
        <v>4</v>
      </c>
      <c r="D1738" s="45" t="b">
        <f>LineærRegression_Valg[[#This Row],[Afhængig variabel ID]]&lt;&gt;LineærRegression_Valg[[#This Row],[Uafhængig variabel ID]]</f>
        <v>1</v>
      </c>
      <c r="E1738" s="45" t="b">
        <f>LineærRegression_Valg[[#This Row],[Afhængig variabel ID]]&lt;=$B$5</f>
        <v>0</v>
      </c>
      <c r="F1738" t="str" cm="1">
        <f t="array" ref="F1738">IF(LineærRegression_Valg[[#This Row],[Indenfor range]],INDEX(DataTitel_liste,LineærRegression_Valg[[#This Row],[Afhængig variabel ID]]),INDEX(DataTitel_liste,1))</f>
        <v>Eksempel 1 (interval)</v>
      </c>
      <c r="G1738" s="45" t="str" cm="1">
        <f t="array" ref="G1738">IF(LineærRegression_Valg[[#This Row],[Indenfor range]],IF(LineærRegression_Valg[[#This Row],[Intet overlap]],INDEX(DataTitel_liste,LineærRegression_Valg[[#This Row],[Uafhængig variabel ID]]),INDEX(DataTitel_liste,IF(LineærRegression_Valg[[#This Row],[Afhængig variabel ID]]=1,2,1))),$B$7)</f>
        <v>Eksempel 2 (interval)</v>
      </c>
      <c r="H1738" s="45">
        <f>_xlfn.AGGREGATE(2,5,LineærRegression_Valg[[#This Row],[Tabel ID]])</f>
        <v>1</v>
      </c>
    </row>
    <row r="1739" spans="1:8" x14ac:dyDescent="0.2">
      <c r="A1739">
        <f>ROW(LineærRegression_Valg[[#This Row],[Tabel ID]])-ROW(LineærRegression_Valg[[#Headers],[Tabel ID]])</f>
        <v>1729</v>
      </c>
      <c r="B1739" s="45">
        <f>ROUNDDOWN((LineærRegression_Valg[[#This Row],[Tabel ID]]-1)/$B$5,0)+1</f>
        <v>433</v>
      </c>
      <c r="C1739" s="45">
        <f t="shared" ref="C1739:C1802" si="27">MOD(A1739-1,$B$5)+1</f>
        <v>1</v>
      </c>
      <c r="D1739" s="45" t="b">
        <f>LineærRegression_Valg[[#This Row],[Afhængig variabel ID]]&lt;&gt;LineærRegression_Valg[[#This Row],[Uafhængig variabel ID]]</f>
        <v>1</v>
      </c>
      <c r="E1739" s="45" t="b">
        <f>LineærRegression_Valg[[#This Row],[Afhængig variabel ID]]&lt;=$B$5</f>
        <v>0</v>
      </c>
      <c r="F1739" t="str" cm="1">
        <f t="array" ref="F1739">IF(LineærRegression_Valg[[#This Row],[Indenfor range]],INDEX(DataTitel_liste,LineærRegression_Valg[[#This Row],[Afhængig variabel ID]]),INDEX(DataTitel_liste,1))</f>
        <v>Eksempel 1 (interval)</v>
      </c>
      <c r="G1739" s="45" t="str" cm="1">
        <f t="array" ref="G1739">IF(LineærRegression_Valg[[#This Row],[Indenfor range]],IF(LineærRegression_Valg[[#This Row],[Intet overlap]],INDEX(DataTitel_liste,LineærRegression_Valg[[#This Row],[Uafhængig variabel ID]]),INDEX(DataTitel_liste,IF(LineærRegression_Valg[[#This Row],[Afhængig variabel ID]]=1,2,1))),$B$7)</f>
        <v>Eksempel 2 (interval)</v>
      </c>
      <c r="H1739" s="45">
        <f>_xlfn.AGGREGATE(2,5,LineærRegression_Valg[[#This Row],[Tabel ID]])</f>
        <v>1</v>
      </c>
    </row>
    <row r="1740" spans="1:8" x14ac:dyDescent="0.2">
      <c r="A1740">
        <f>ROW(LineærRegression_Valg[[#This Row],[Tabel ID]])-ROW(LineærRegression_Valg[[#Headers],[Tabel ID]])</f>
        <v>1730</v>
      </c>
      <c r="B1740" s="45">
        <f>ROUNDDOWN((LineærRegression_Valg[[#This Row],[Tabel ID]]-1)/$B$5,0)+1</f>
        <v>433</v>
      </c>
      <c r="C1740" s="45">
        <f t="shared" si="27"/>
        <v>2</v>
      </c>
      <c r="D1740" s="45" t="b">
        <f>LineærRegression_Valg[[#This Row],[Afhængig variabel ID]]&lt;&gt;LineærRegression_Valg[[#This Row],[Uafhængig variabel ID]]</f>
        <v>1</v>
      </c>
      <c r="E1740" s="45" t="b">
        <f>LineærRegression_Valg[[#This Row],[Afhængig variabel ID]]&lt;=$B$5</f>
        <v>0</v>
      </c>
      <c r="F1740" t="str" cm="1">
        <f t="array" ref="F1740">IF(LineærRegression_Valg[[#This Row],[Indenfor range]],INDEX(DataTitel_liste,LineærRegression_Valg[[#This Row],[Afhængig variabel ID]]),INDEX(DataTitel_liste,1))</f>
        <v>Eksempel 1 (interval)</v>
      </c>
      <c r="G1740" s="45" t="str" cm="1">
        <f t="array" ref="G1740">IF(LineærRegression_Valg[[#This Row],[Indenfor range]],IF(LineærRegression_Valg[[#This Row],[Intet overlap]],INDEX(DataTitel_liste,LineærRegression_Valg[[#This Row],[Uafhængig variabel ID]]),INDEX(DataTitel_liste,IF(LineærRegression_Valg[[#This Row],[Afhængig variabel ID]]=1,2,1))),$B$7)</f>
        <v>Eksempel 2 (interval)</v>
      </c>
      <c r="H1740" s="45">
        <f>_xlfn.AGGREGATE(2,5,LineærRegression_Valg[[#This Row],[Tabel ID]])</f>
        <v>1</v>
      </c>
    </row>
    <row r="1741" spans="1:8" x14ac:dyDescent="0.2">
      <c r="A1741">
        <f>ROW(LineærRegression_Valg[[#This Row],[Tabel ID]])-ROW(LineærRegression_Valg[[#Headers],[Tabel ID]])</f>
        <v>1731</v>
      </c>
      <c r="B1741" s="45">
        <f>ROUNDDOWN((LineærRegression_Valg[[#This Row],[Tabel ID]]-1)/$B$5,0)+1</f>
        <v>433</v>
      </c>
      <c r="C1741" s="45">
        <f t="shared" si="27"/>
        <v>3</v>
      </c>
      <c r="D1741" s="45" t="b">
        <f>LineærRegression_Valg[[#This Row],[Afhængig variabel ID]]&lt;&gt;LineærRegression_Valg[[#This Row],[Uafhængig variabel ID]]</f>
        <v>1</v>
      </c>
      <c r="E1741" s="45" t="b">
        <f>LineærRegression_Valg[[#This Row],[Afhængig variabel ID]]&lt;=$B$5</f>
        <v>0</v>
      </c>
      <c r="F1741" t="str" cm="1">
        <f t="array" ref="F1741">IF(LineærRegression_Valg[[#This Row],[Indenfor range]],INDEX(DataTitel_liste,LineærRegression_Valg[[#This Row],[Afhængig variabel ID]]),INDEX(DataTitel_liste,1))</f>
        <v>Eksempel 1 (interval)</v>
      </c>
      <c r="G1741" s="45" t="str" cm="1">
        <f t="array" ref="G1741">IF(LineærRegression_Valg[[#This Row],[Indenfor range]],IF(LineærRegression_Valg[[#This Row],[Intet overlap]],INDEX(DataTitel_liste,LineærRegression_Valg[[#This Row],[Uafhængig variabel ID]]),INDEX(DataTitel_liste,IF(LineærRegression_Valg[[#This Row],[Afhængig variabel ID]]=1,2,1))),$B$7)</f>
        <v>Eksempel 2 (interval)</v>
      </c>
      <c r="H1741" s="45">
        <f>_xlfn.AGGREGATE(2,5,LineærRegression_Valg[[#This Row],[Tabel ID]])</f>
        <v>1</v>
      </c>
    </row>
    <row r="1742" spans="1:8" x14ac:dyDescent="0.2">
      <c r="A1742">
        <f>ROW(LineærRegression_Valg[[#This Row],[Tabel ID]])-ROW(LineærRegression_Valg[[#Headers],[Tabel ID]])</f>
        <v>1732</v>
      </c>
      <c r="B1742" s="45">
        <f>ROUNDDOWN((LineærRegression_Valg[[#This Row],[Tabel ID]]-1)/$B$5,0)+1</f>
        <v>433</v>
      </c>
      <c r="C1742" s="45">
        <f t="shared" si="27"/>
        <v>4</v>
      </c>
      <c r="D1742" s="45" t="b">
        <f>LineærRegression_Valg[[#This Row],[Afhængig variabel ID]]&lt;&gt;LineærRegression_Valg[[#This Row],[Uafhængig variabel ID]]</f>
        <v>1</v>
      </c>
      <c r="E1742" s="45" t="b">
        <f>LineærRegression_Valg[[#This Row],[Afhængig variabel ID]]&lt;=$B$5</f>
        <v>0</v>
      </c>
      <c r="F1742" t="str" cm="1">
        <f t="array" ref="F1742">IF(LineærRegression_Valg[[#This Row],[Indenfor range]],INDEX(DataTitel_liste,LineærRegression_Valg[[#This Row],[Afhængig variabel ID]]),INDEX(DataTitel_liste,1))</f>
        <v>Eksempel 1 (interval)</v>
      </c>
      <c r="G1742" s="45" t="str" cm="1">
        <f t="array" ref="G1742">IF(LineærRegression_Valg[[#This Row],[Indenfor range]],IF(LineærRegression_Valg[[#This Row],[Intet overlap]],INDEX(DataTitel_liste,LineærRegression_Valg[[#This Row],[Uafhængig variabel ID]]),INDEX(DataTitel_liste,IF(LineærRegression_Valg[[#This Row],[Afhængig variabel ID]]=1,2,1))),$B$7)</f>
        <v>Eksempel 2 (interval)</v>
      </c>
      <c r="H1742" s="45">
        <f>_xlfn.AGGREGATE(2,5,LineærRegression_Valg[[#This Row],[Tabel ID]])</f>
        <v>1</v>
      </c>
    </row>
    <row r="1743" spans="1:8" x14ac:dyDescent="0.2">
      <c r="A1743">
        <f>ROW(LineærRegression_Valg[[#This Row],[Tabel ID]])-ROW(LineærRegression_Valg[[#Headers],[Tabel ID]])</f>
        <v>1733</v>
      </c>
      <c r="B1743" s="45">
        <f>ROUNDDOWN((LineærRegression_Valg[[#This Row],[Tabel ID]]-1)/$B$5,0)+1</f>
        <v>434</v>
      </c>
      <c r="C1743" s="45">
        <f t="shared" si="27"/>
        <v>1</v>
      </c>
      <c r="D1743" s="45" t="b">
        <f>LineærRegression_Valg[[#This Row],[Afhængig variabel ID]]&lt;&gt;LineærRegression_Valg[[#This Row],[Uafhængig variabel ID]]</f>
        <v>1</v>
      </c>
      <c r="E1743" s="45" t="b">
        <f>LineærRegression_Valg[[#This Row],[Afhængig variabel ID]]&lt;=$B$5</f>
        <v>0</v>
      </c>
      <c r="F1743" t="str" cm="1">
        <f t="array" ref="F1743">IF(LineærRegression_Valg[[#This Row],[Indenfor range]],INDEX(DataTitel_liste,LineærRegression_Valg[[#This Row],[Afhængig variabel ID]]),INDEX(DataTitel_liste,1))</f>
        <v>Eksempel 1 (interval)</v>
      </c>
      <c r="G1743" s="45" t="str" cm="1">
        <f t="array" ref="G1743">IF(LineærRegression_Valg[[#This Row],[Indenfor range]],IF(LineærRegression_Valg[[#This Row],[Intet overlap]],INDEX(DataTitel_liste,LineærRegression_Valg[[#This Row],[Uafhængig variabel ID]]),INDEX(DataTitel_liste,IF(LineærRegression_Valg[[#This Row],[Afhængig variabel ID]]=1,2,1))),$B$7)</f>
        <v>Eksempel 2 (interval)</v>
      </c>
      <c r="H1743" s="45">
        <f>_xlfn.AGGREGATE(2,5,LineærRegression_Valg[[#This Row],[Tabel ID]])</f>
        <v>1</v>
      </c>
    </row>
    <row r="1744" spans="1:8" x14ac:dyDescent="0.2">
      <c r="A1744">
        <f>ROW(LineærRegression_Valg[[#This Row],[Tabel ID]])-ROW(LineærRegression_Valg[[#Headers],[Tabel ID]])</f>
        <v>1734</v>
      </c>
      <c r="B1744" s="45">
        <f>ROUNDDOWN((LineærRegression_Valg[[#This Row],[Tabel ID]]-1)/$B$5,0)+1</f>
        <v>434</v>
      </c>
      <c r="C1744" s="45">
        <f t="shared" si="27"/>
        <v>2</v>
      </c>
      <c r="D1744" s="45" t="b">
        <f>LineærRegression_Valg[[#This Row],[Afhængig variabel ID]]&lt;&gt;LineærRegression_Valg[[#This Row],[Uafhængig variabel ID]]</f>
        <v>1</v>
      </c>
      <c r="E1744" s="45" t="b">
        <f>LineærRegression_Valg[[#This Row],[Afhængig variabel ID]]&lt;=$B$5</f>
        <v>0</v>
      </c>
      <c r="F1744" t="str" cm="1">
        <f t="array" ref="F1744">IF(LineærRegression_Valg[[#This Row],[Indenfor range]],INDEX(DataTitel_liste,LineærRegression_Valg[[#This Row],[Afhængig variabel ID]]),INDEX(DataTitel_liste,1))</f>
        <v>Eksempel 1 (interval)</v>
      </c>
      <c r="G1744" s="45" t="str" cm="1">
        <f t="array" ref="G1744">IF(LineærRegression_Valg[[#This Row],[Indenfor range]],IF(LineærRegression_Valg[[#This Row],[Intet overlap]],INDEX(DataTitel_liste,LineærRegression_Valg[[#This Row],[Uafhængig variabel ID]]),INDEX(DataTitel_liste,IF(LineærRegression_Valg[[#This Row],[Afhængig variabel ID]]=1,2,1))),$B$7)</f>
        <v>Eksempel 2 (interval)</v>
      </c>
      <c r="H1744" s="45">
        <f>_xlfn.AGGREGATE(2,5,LineærRegression_Valg[[#This Row],[Tabel ID]])</f>
        <v>1</v>
      </c>
    </row>
    <row r="1745" spans="1:8" x14ac:dyDescent="0.2">
      <c r="A1745">
        <f>ROW(LineærRegression_Valg[[#This Row],[Tabel ID]])-ROW(LineærRegression_Valg[[#Headers],[Tabel ID]])</f>
        <v>1735</v>
      </c>
      <c r="B1745" s="45">
        <f>ROUNDDOWN((LineærRegression_Valg[[#This Row],[Tabel ID]]-1)/$B$5,0)+1</f>
        <v>434</v>
      </c>
      <c r="C1745" s="45">
        <f t="shared" si="27"/>
        <v>3</v>
      </c>
      <c r="D1745" s="45" t="b">
        <f>LineærRegression_Valg[[#This Row],[Afhængig variabel ID]]&lt;&gt;LineærRegression_Valg[[#This Row],[Uafhængig variabel ID]]</f>
        <v>1</v>
      </c>
      <c r="E1745" s="45" t="b">
        <f>LineærRegression_Valg[[#This Row],[Afhængig variabel ID]]&lt;=$B$5</f>
        <v>0</v>
      </c>
      <c r="F1745" t="str" cm="1">
        <f t="array" ref="F1745">IF(LineærRegression_Valg[[#This Row],[Indenfor range]],INDEX(DataTitel_liste,LineærRegression_Valg[[#This Row],[Afhængig variabel ID]]),INDEX(DataTitel_liste,1))</f>
        <v>Eksempel 1 (interval)</v>
      </c>
      <c r="G1745" s="45" t="str" cm="1">
        <f t="array" ref="G1745">IF(LineærRegression_Valg[[#This Row],[Indenfor range]],IF(LineærRegression_Valg[[#This Row],[Intet overlap]],INDEX(DataTitel_liste,LineærRegression_Valg[[#This Row],[Uafhængig variabel ID]]),INDEX(DataTitel_liste,IF(LineærRegression_Valg[[#This Row],[Afhængig variabel ID]]=1,2,1))),$B$7)</f>
        <v>Eksempel 2 (interval)</v>
      </c>
      <c r="H1745" s="45">
        <f>_xlfn.AGGREGATE(2,5,LineærRegression_Valg[[#This Row],[Tabel ID]])</f>
        <v>1</v>
      </c>
    </row>
    <row r="1746" spans="1:8" x14ac:dyDescent="0.2">
      <c r="A1746">
        <f>ROW(LineærRegression_Valg[[#This Row],[Tabel ID]])-ROW(LineærRegression_Valg[[#Headers],[Tabel ID]])</f>
        <v>1736</v>
      </c>
      <c r="B1746" s="45">
        <f>ROUNDDOWN((LineærRegression_Valg[[#This Row],[Tabel ID]]-1)/$B$5,0)+1</f>
        <v>434</v>
      </c>
      <c r="C1746" s="45">
        <f t="shared" si="27"/>
        <v>4</v>
      </c>
      <c r="D1746" s="45" t="b">
        <f>LineærRegression_Valg[[#This Row],[Afhængig variabel ID]]&lt;&gt;LineærRegression_Valg[[#This Row],[Uafhængig variabel ID]]</f>
        <v>1</v>
      </c>
      <c r="E1746" s="45" t="b">
        <f>LineærRegression_Valg[[#This Row],[Afhængig variabel ID]]&lt;=$B$5</f>
        <v>0</v>
      </c>
      <c r="F1746" t="str" cm="1">
        <f t="array" ref="F1746">IF(LineærRegression_Valg[[#This Row],[Indenfor range]],INDEX(DataTitel_liste,LineærRegression_Valg[[#This Row],[Afhængig variabel ID]]),INDEX(DataTitel_liste,1))</f>
        <v>Eksempel 1 (interval)</v>
      </c>
      <c r="G1746" s="45" t="str" cm="1">
        <f t="array" ref="G1746">IF(LineærRegression_Valg[[#This Row],[Indenfor range]],IF(LineærRegression_Valg[[#This Row],[Intet overlap]],INDEX(DataTitel_liste,LineærRegression_Valg[[#This Row],[Uafhængig variabel ID]]),INDEX(DataTitel_liste,IF(LineærRegression_Valg[[#This Row],[Afhængig variabel ID]]=1,2,1))),$B$7)</f>
        <v>Eksempel 2 (interval)</v>
      </c>
      <c r="H1746" s="45">
        <f>_xlfn.AGGREGATE(2,5,LineærRegression_Valg[[#This Row],[Tabel ID]])</f>
        <v>1</v>
      </c>
    </row>
    <row r="1747" spans="1:8" x14ac:dyDescent="0.2">
      <c r="A1747">
        <f>ROW(LineærRegression_Valg[[#This Row],[Tabel ID]])-ROW(LineærRegression_Valg[[#Headers],[Tabel ID]])</f>
        <v>1737</v>
      </c>
      <c r="B1747" s="45">
        <f>ROUNDDOWN((LineærRegression_Valg[[#This Row],[Tabel ID]]-1)/$B$5,0)+1</f>
        <v>435</v>
      </c>
      <c r="C1747" s="45">
        <f t="shared" si="27"/>
        <v>1</v>
      </c>
      <c r="D1747" s="45" t="b">
        <f>LineærRegression_Valg[[#This Row],[Afhængig variabel ID]]&lt;&gt;LineærRegression_Valg[[#This Row],[Uafhængig variabel ID]]</f>
        <v>1</v>
      </c>
      <c r="E1747" s="45" t="b">
        <f>LineærRegression_Valg[[#This Row],[Afhængig variabel ID]]&lt;=$B$5</f>
        <v>0</v>
      </c>
      <c r="F1747" t="str" cm="1">
        <f t="array" ref="F1747">IF(LineærRegression_Valg[[#This Row],[Indenfor range]],INDEX(DataTitel_liste,LineærRegression_Valg[[#This Row],[Afhængig variabel ID]]),INDEX(DataTitel_liste,1))</f>
        <v>Eksempel 1 (interval)</v>
      </c>
      <c r="G1747" s="45" t="str" cm="1">
        <f t="array" ref="G1747">IF(LineærRegression_Valg[[#This Row],[Indenfor range]],IF(LineærRegression_Valg[[#This Row],[Intet overlap]],INDEX(DataTitel_liste,LineærRegression_Valg[[#This Row],[Uafhængig variabel ID]]),INDEX(DataTitel_liste,IF(LineærRegression_Valg[[#This Row],[Afhængig variabel ID]]=1,2,1))),$B$7)</f>
        <v>Eksempel 2 (interval)</v>
      </c>
      <c r="H1747" s="45">
        <f>_xlfn.AGGREGATE(2,5,LineærRegression_Valg[[#This Row],[Tabel ID]])</f>
        <v>1</v>
      </c>
    </row>
    <row r="1748" spans="1:8" x14ac:dyDescent="0.2">
      <c r="A1748">
        <f>ROW(LineærRegression_Valg[[#This Row],[Tabel ID]])-ROW(LineærRegression_Valg[[#Headers],[Tabel ID]])</f>
        <v>1738</v>
      </c>
      <c r="B1748" s="45">
        <f>ROUNDDOWN((LineærRegression_Valg[[#This Row],[Tabel ID]]-1)/$B$5,0)+1</f>
        <v>435</v>
      </c>
      <c r="C1748" s="45">
        <f t="shared" si="27"/>
        <v>2</v>
      </c>
      <c r="D1748" s="45" t="b">
        <f>LineærRegression_Valg[[#This Row],[Afhængig variabel ID]]&lt;&gt;LineærRegression_Valg[[#This Row],[Uafhængig variabel ID]]</f>
        <v>1</v>
      </c>
      <c r="E1748" s="45" t="b">
        <f>LineærRegression_Valg[[#This Row],[Afhængig variabel ID]]&lt;=$B$5</f>
        <v>0</v>
      </c>
      <c r="F1748" t="str" cm="1">
        <f t="array" ref="F1748">IF(LineærRegression_Valg[[#This Row],[Indenfor range]],INDEX(DataTitel_liste,LineærRegression_Valg[[#This Row],[Afhængig variabel ID]]),INDEX(DataTitel_liste,1))</f>
        <v>Eksempel 1 (interval)</v>
      </c>
      <c r="G1748" s="45" t="str" cm="1">
        <f t="array" ref="G1748">IF(LineærRegression_Valg[[#This Row],[Indenfor range]],IF(LineærRegression_Valg[[#This Row],[Intet overlap]],INDEX(DataTitel_liste,LineærRegression_Valg[[#This Row],[Uafhængig variabel ID]]),INDEX(DataTitel_liste,IF(LineærRegression_Valg[[#This Row],[Afhængig variabel ID]]=1,2,1))),$B$7)</f>
        <v>Eksempel 2 (interval)</v>
      </c>
      <c r="H1748" s="45">
        <f>_xlfn.AGGREGATE(2,5,LineærRegression_Valg[[#This Row],[Tabel ID]])</f>
        <v>1</v>
      </c>
    </row>
    <row r="1749" spans="1:8" x14ac:dyDescent="0.2">
      <c r="A1749">
        <f>ROW(LineærRegression_Valg[[#This Row],[Tabel ID]])-ROW(LineærRegression_Valg[[#Headers],[Tabel ID]])</f>
        <v>1739</v>
      </c>
      <c r="B1749" s="45">
        <f>ROUNDDOWN((LineærRegression_Valg[[#This Row],[Tabel ID]]-1)/$B$5,0)+1</f>
        <v>435</v>
      </c>
      <c r="C1749" s="45">
        <f t="shared" si="27"/>
        <v>3</v>
      </c>
      <c r="D1749" s="45" t="b">
        <f>LineærRegression_Valg[[#This Row],[Afhængig variabel ID]]&lt;&gt;LineærRegression_Valg[[#This Row],[Uafhængig variabel ID]]</f>
        <v>1</v>
      </c>
      <c r="E1749" s="45" t="b">
        <f>LineærRegression_Valg[[#This Row],[Afhængig variabel ID]]&lt;=$B$5</f>
        <v>0</v>
      </c>
      <c r="F1749" t="str" cm="1">
        <f t="array" ref="F1749">IF(LineærRegression_Valg[[#This Row],[Indenfor range]],INDEX(DataTitel_liste,LineærRegression_Valg[[#This Row],[Afhængig variabel ID]]),INDEX(DataTitel_liste,1))</f>
        <v>Eksempel 1 (interval)</v>
      </c>
      <c r="G1749" s="45" t="str" cm="1">
        <f t="array" ref="G1749">IF(LineærRegression_Valg[[#This Row],[Indenfor range]],IF(LineærRegression_Valg[[#This Row],[Intet overlap]],INDEX(DataTitel_liste,LineærRegression_Valg[[#This Row],[Uafhængig variabel ID]]),INDEX(DataTitel_liste,IF(LineærRegression_Valg[[#This Row],[Afhængig variabel ID]]=1,2,1))),$B$7)</f>
        <v>Eksempel 2 (interval)</v>
      </c>
      <c r="H1749" s="45">
        <f>_xlfn.AGGREGATE(2,5,LineærRegression_Valg[[#This Row],[Tabel ID]])</f>
        <v>1</v>
      </c>
    </row>
    <row r="1750" spans="1:8" x14ac:dyDescent="0.2">
      <c r="A1750">
        <f>ROW(LineærRegression_Valg[[#This Row],[Tabel ID]])-ROW(LineærRegression_Valg[[#Headers],[Tabel ID]])</f>
        <v>1740</v>
      </c>
      <c r="B1750" s="45">
        <f>ROUNDDOWN((LineærRegression_Valg[[#This Row],[Tabel ID]]-1)/$B$5,0)+1</f>
        <v>435</v>
      </c>
      <c r="C1750" s="45">
        <f t="shared" si="27"/>
        <v>4</v>
      </c>
      <c r="D1750" s="45" t="b">
        <f>LineærRegression_Valg[[#This Row],[Afhængig variabel ID]]&lt;&gt;LineærRegression_Valg[[#This Row],[Uafhængig variabel ID]]</f>
        <v>1</v>
      </c>
      <c r="E1750" s="45" t="b">
        <f>LineærRegression_Valg[[#This Row],[Afhængig variabel ID]]&lt;=$B$5</f>
        <v>0</v>
      </c>
      <c r="F1750" t="str" cm="1">
        <f t="array" ref="F1750">IF(LineærRegression_Valg[[#This Row],[Indenfor range]],INDEX(DataTitel_liste,LineærRegression_Valg[[#This Row],[Afhængig variabel ID]]),INDEX(DataTitel_liste,1))</f>
        <v>Eksempel 1 (interval)</v>
      </c>
      <c r="G1750" s="45" t="str" cm="1">
        <f t="array" ref="G1750">IF(LineærRegression_Valg[[#This Row],[Indenfor range]],IF(LineærRegression_Valg[[#This Row],[Intet overlap]],INDEX(DataTitel_liste,LineærRegression_Valg[[#This Row],[Uafhængig variabel ID]]),INDEX(DataTitel_liste,IF(LineærRegression_Valg[[#This Row],[Afhængig variabel ID]]=1,2,1))),$B$7)</f>
        <v>Eksempel 2 (interval)</v>
      </c>
      <c r="H1750" s="45">
        <f>_xlfn.AGGREGATE(2,5,LineærRegression_Valg[[#This Row],[Tabel ID]])</f>
        <v>1</v>
      </c>
    </row>
    <row r="1751" spans="1:8" x14ac:dyDescent="0.2">
      <c r="A1751">
        <f>ROW(LineærRegression_Valg[[#This Row],[Tabel ID]])-ROW(LineærRegression_Valg[[#Headers],[Tabel ID]])</f>
        <v>1741</v>
      </c>
      <c r="B1751" s="45">
        <f>ROUNDDOWN((LineærRegression_Valg[[#This Row],[Tabel ID]]-1)/$B$5,0)+1</f>
        <v>436</v>
      </c>
      <c r="C1751" s="45">
        <f t="shared" si="27"/>
        <v>1</v>
      </c>
      <c r="D1751" s="45" t="b">
        <f>LineærRegression_Valg[[#This Row],[Afhængig variabel ID]]&lt;&gt;LineærRegression_Valg[[#This Row],[Uafhængig variabel ID]]</f>
        <v>1</v>
      </c>
      <c r="E1751" s="45" t="b">
        <f>LineærRegression_Valg[[#This Row],[Afhængig variabel ID]]&lt;=$B$5</f>
        <v>0</v>
      </c>
      <c r="F1751" t="str" cm="1">
        <f t="array" ref="F1751">IF(LineærRegression_Valg[[#This Row],[Indenfor range]],INDEX(DataTitel_liste,LineærRegression_Valg[[#This Row],[Afhængig variabel ID]]),INDEX(DataTitel_liste,1))</f>
        <v>Eksempel 1 (interval)</v>
      </c>
      <c r="G1751" s="45" t="str" cm="1">
        <f t="array" ref="G1751">IF(LineærRegression_Valg[[#This Row],[Indenfor range]],IF(LineærRegression_Valg[[#This Row],[Intet overlap]],INDEX(DataTitel_liste,LineærRegression_Valg[[#This Row],[Uafhængig variabel ID]]),INDEX(DataTitel_liste,IF(LineærRegression_Valg[[#This Row],[Afhængig variabel ID]]=1,2,1))),$B$7)</f>
        <v>Eksempel 2 (interval)</v>
      </c>
      <c r="H1751" s="45">
        <f>_xlfn.AGGREGATE(2,5,LineærRegression_Valg[[#This Row],[Tabel ID]])</f>
        <v>1</v>
      </c>
    </row>
    <row r="1752" spans="1:8" x14ac:dyDescent="0.2">
      <c r="A1752">
        <f>ROW(LineærRegression_Valg[[#This Row],[Tabel ID]])-ROW(LineærRegression_Valg[[#Headers],[Tabel ID]])</f>
        <v>1742</v>
      </c>
      <c r="B1752" s="45">
        <f>ROUNDDOWN((LineærRegression_Valg[[#This Row],[Tabel ID]]-1)/$B$5,0)+1</f>
        <v>436</v>
      </c>
      <c r="C1752" s="45">
        <f t="shared" si="27"/>
        <v>2</v>
      </c>
      <c r="D1752" s="45" t="b">
        <f>LineærRegression_Valg[[#This Row],[Afhængig variabel ID]]&lt;&gt;LineærRegression_Valg[[#This Row],[Uafhængig variabel ID]]</f>
        <v>1</v>
      </c>
      <c r="E1752" s="45" t="b">
        <f>LineærRegression_Valg[[#This Row],[Afhængig variabel ID]]&lt;=$B$5</f>
        <v>0</v>
      </c>
      <c r="F1752" t="str" cm="1">
        <f t="array" ref="F1752">IF(LineærRegression_Valg[[#This Row],[Indenfor range]],INDEX(DataTitel_liste,LineærRegression_Valg[[#This Row],[Afhængig variabel ID]]),INDEX(DataTitel_liste,1))</f>
        <v>Eksempel 1 (interval)</v>
      </c>
      <c r="G1752" s="45" t="str" cm="1">
        <f t="array" ref="G1752">IF(LineærRegression_Valg[[#This Row],[Indenfor range]],IF(LineærRegression_Valg[[#This Row],[Intet overlap]],INDEX(DataTitel_liste,LineærRegression_Valg[[#This Row],[Uafhængig variabel ID]]),INDEX(DataTitel_liste,IF(LineærRegression_Valg[[#This Row],[Afhængig variabel ID]]=1,2,1))),$B$7)</f>
        <v>Eksempel 2 (interval)</v>
      </c>
      <c r="H1752" s="45">
        <f>_xlfn.AGGREGATE(2,5,LineærRegression_Valg[[#This Row],[Tabel ID]])</f>
        <v>1</v>
      </c>
    </row>
    <row r="1753" spans="1:8" x14ac:dyDescent="0.2">
      <c r="A1753">
        <f>ROW(LineærRegression_Valg[[#This Row],[Tabel ID]])-ROW(LineærRegression_Valg[[#Headers],[Tabel ID]])</f>
        <v>1743</v>
      </c>
      <c r="B1753" s="45">
        <f>ROUNDDOWN((LineærRegression_Valg[[#This Row],[Tabel ID]]-1)/$B$5,0)+1</f>
        <v>436</v>
      </c>
      <c r="C1753" s="45">
        <f t="shared" si="27"/>
        <v>3</v>
      </c>
      <c r="D1753" s="45" t="b">
        <f>LineærRegression_Valg[[#This Row],[Afhængig variabel ID]]&lt;&gt;LineærRegression_Valg[[#This Row],[Uafhængig variabel ID]]</f>
        <v>1</v>
      </c>
      <c r="E1753" s="45" t="b">
        <f>LineærRegression_Valg[[#This Row],[Afhængig variabel ID]]&lt;=$B$5</f>
        <v>0</v>
      </c>
      <c r="F1753" t="str" cm="1">
        <f t="array" ref="F1753">IF(LineærRegression_Valg[[#This Row],[Indenfor range]],INDEX(DataTitel_liste,LineærRegression_Valg[[#This Row],[Afhængig variabel ID]]),INDEX(DataTitel_liste,1))</f>
        <v>Eksempel 1 (interval)</v>
      </c>
      <c r="G1753" s="45" t="str" cm="1">
        <f t="array" ref="G1753">IF(LineærRegression_Valg[[#This Row],[Indenfor range]],IF(LineærRegression_Valg[[#This Row],[Intet overlap]],INDEX(DataTitel_liste,LineærRegression_Valg[[#This Row],[Uafhængig variabel ID]]),INDEX(DataTitel_liste,IF(LineærRegression_Valg[[#This Row],[Afhængig variabel ID]]=1,2,1))),$B$7)</f>
        <v>Eksempel 2 (interval)</v>
      </c>
      <c r="H1753" s="45">
        <f>_xlfn.AGGREGATE(2,5,LineærRegression_Valg[[#This Row],[Tabel ID]])</f>
        <v>1</v>
      </c>
    </row>
    <row r="1754" spans="1:8" x14ac:dyDescent="0.2">
      <c r="A1754">
        <f>ROW(LineærRegression_Valg[[#This Row],[Tabel ID]])-ROW(LineærRegression_Valg[[#Headers],[Tabel ID]])</f>
        <v>1744</v>
      </c>
      <c r="B1754" s="45">
        <f>ROUNDDOWN((LineærRegression_Valg[[#This Row],[Tabel ID]]-1)/$B$5,0)+1</f>
        <v>436</v>
      </c>
      <c r="C1754" s="45">
        <f t="shared" si="27"/>
        <v>4</v>
      </c>
      <c r="D1754" s="45" t="b">
        <f>LineærRegression_Valg[[#This Row],[Afhængig variabel ID]]&lt;&gt;LineærRegression_Valg[[#This Row],[Uafhængig variabel ID]]</f>
        <v>1</v>
      </c>
      <c r="E1754" s="45" t="b">
        <f>LineærRegression_Valg[[#This Row],[Afhængig variabel ID]]&lt;=$B$5</f>
        <v>0</v>
      </c>
      <c r="F1754" t="str" cm="1">
        <f t="array" ref="F1754">IF(LineærRegression_Valg[[#This Row],[Indenfor range]],INDEX(DataTitel_liste,LineærRegression_Valg[[#This Row],[Afhængig variabel ID]]),INDEX(DataTitel_liste,1))</f>
        <v>Eksempel 1 (interval)</v>
      </c>
      <c r="G1754" s="45" t="str" cm="1">
        <f t="array" ref="G1754">IF(LineærRegression_Valg[[#This Row],[Indenfor range]],IF(LineærRegression_Valg[[#This Row],[Intet overlap]],INDEX(DataTitel_liste,LineærRegression_Valg[[#This Row],[Uafhængig variabel ID]]),INDEX(DataTitel_liste,IF(LineærRegression_Valg[[#This Row],[Afhængig variabel ID]]=1,2,1))),$B$7)</f>
        <v>Eksempel 2 (interval)</v>
      </c>
      <c r="H1754" s="45">
        <f>_xlfn.AGGREGATE(2,5,LineærRegression_Valg[[#This Row],[Tabel ID]])</f>
        <v>1</v>
      </c>
    </row>
    <row r="1755" spans="1:8" x14ac:dyDescent="0.2">
      <c r="A1755">
        <f>ROW(LineærRegression_Valg[[#This Row],[Tabel ID]])-ROW(LineærRegression_Valg[[#Headers],[Tabel ID]])</f>
        <v>1745</v>
      </c>
      <c r="B1755" s="45">
        <f>ROUNDDOWN((LineærRegression_Valg[[#This Row],[Tabel ID]]-1)/$B$5,0)+1</f>
        <v>437</v>
      </c>
      <c r="C1755" s="45">
        <f t="shared" si="27"/>
        <v>1</v>
      </c>
      <c r="D1755" s="45" t="b">
        <f>LineærRegression_Valg[[#This Row],[Afhængig variabel ID]]&lt;&gt;LineærRegression_Valg[[#This Row],[Uafhængig variabel ID]]</f>
        <v>1</v>
      </c>
      <c r="E1755" s="45" t="b">
        <f>LineærRegression_Valg[[#This Row],[Afhængig variabel ID]]&lt;=$B$5</f>
        <v>0</v>
      </c>
      <c r="F1755" t="str" cm="1">
        <f t="array" ref="F1755">IF(LineærRegression_Valg[[#This Row],[Indenfor range]],INDEX(DataTitel_liste,LineærRegression_Valg[[#This Row],[Afhængig variabel ID]]),INDEX(DataTitel_liste,1))</f>
        <v>Eksempel 1 (interval)</v>
      </c>
      <c r="G1755" s="45" t="str" cm="1">
        <f t="array" ref="G1755">IF(LineærRegression_Valg[[#This Row],[Indenfor range]],IF(LineærRegression_Valg[[#This Row],[Intet overlap]],INDEX(DataTitel_liste,LineærRegression_Valg[[#This Row],[Uafhængig variabel ID]]),INDEX(DataTitel_liste,IF(LineærRegression_Valg[[#This Row],[Afhængig variabel ID]]=1,2,1))),$B$7)</f>
        <v>Eksempel 2 (interval)</v>
      </c>
      <c r="H1755" s="45">
        <f>_xlfn.AGGREGATE(2,5,LineærRegression_Valg[[#This Row],[Tabel ID]])</f>
        <v>1</v>
      </c>
    </row>
    <row r="1756" spans="1:8" x14ac:dyDescent="0.2">
      <c r="A1756">
        <f>ROW(LineærRegression_Valg[[#This Row],[Tabel ID]])-ROW(LineærRegression_Valg[[#Headers],[Tabel ID]])</f>
        <v>1746</v>
      </c>
      <c r="B1756" s="45">
        <f>ROUNDDOWN((LineærRegression_Valg[[#This Row],[Tabel ID]]-1)/$B$5,0)+1</f>
        <v>437</v>
      </c>
      <c r="C1756" s="45">
        <f t="shared" si="27"/>
        <v>2</v>
      </c>
      <c r="D1756" s="45" t="b">
        <f>LineærRegression_Valg[[#This Row],[Afhængig variabel ID]]&lt;&gt;LineærRegression_Valg[[#This Row],[Uafhængig variabel ID]]</f>
        <v>1</v>
      </c>
      <c r="E1756" s="45" t="b">
        <f>LineærRegression_Valg[[#This Row],[Afhængig variabel ID]]&lt;=$B$5</f>
        <v>0</v>
      </c>
      <c r="F1756" t="str" cm="1">
        <f t="array" ref="F1756">IF(LineærRegression_Valg[[#This Row],[Indenfor range]],INDEX(DataTitel_liste,LineærRegression_Valg[[#This Row],[Afhængig variabel ID]]),INDEX(DataTitel_liste,1))</f>
        <v>Eksempel 1 (interval)</v>
      </c>
      <c r="G1756" s="45" t="str" cm="1">
        <f t="array" ref="G1756">IF(LineærRegression_Valg[[#This Row],[Indenfor range]],IF(LineærRegression_Valg[[#This Row],[Intet overlap]],INDEX(DataTitel_liste,LineærRegression_Valg[[#This Row],[Uafhængig variabel ID]]),INDEX(DataTitel_liste,IF(LineærRegression_Valg[[#This Row],[Afhængig variabel ID]]=1,2,1))),$B$7)</f>
        <v>Eksempel 2 (interval)</v>
      </c>
      <c r="H1756" s="45">
        <f>_xlfn.AGGREGATE(2,5,LineærRegression_Valg[[#This Row],[Tabel ID]])</f>
        <v>1</v>
      </c>
    </row>
    <row r="1757" spans="1:8" x14ac:dyDescent="0.2">
      <c r="A1757">
        <f>ROW(LineærRegression_Valg[[#This Row],[Tabel ID]])-ROW(LineærRegression_Valg[[#Headers],[Tabel ID]])</f>
        <v>1747</v>
      </c>
      <c r="B1757" s="45">
        <f>ROUNDDOWN((LineærRegression_Valg[[#This Row],[Tabel ID]]-1)/$B$5,0)+1</f>
        <v>437</v>
      </c>
      <c r="C1757" s="45">
        <f t="shared" si="27"/>
        <v>3</v>
      </c>
      <c r="D1757" s="45" t="b">
        <f>LineærRegression_Valg[[#This Row],[Afhængig variabel ID]]&lt;&gt;LineærRegression_Valg[[#This Row],[Uafhængig variabel ID]]</f>
        <v>1</v>
      </c>
      <c r="E1757" s="45" t="b">
        <f>LineærRegression_Valg[[#This Row],[Afhængig variabel ID]]&lt;=$B$5</f>
        <v>0</v>
      </c>
      <c r="F1757" t="str" cm="1">
        <f t="array" ref="F1757">IF(LineærRegression_Valg[[#This Row],[Indenfor range]],INDEX(DataTitel_liste,LineærRegression_Valg[[#This Row],[Afhængig variabel ID]]),INDEX(DataTitel_liste,1))</f>
        <v>Eksempel 1 (interval)</v>
      </c>
      <c r="G1757" s="45" t="str" cm="1">
        <f t="array" ref="G1757">IF(LineærRegression_Valg[[#This Row],[Indenfor range]],IF(LineærRegression_Valg[[#This Row],[Intet overlap]],INDEX(DataTitel_liste,LineærRegression_Valg[[#This Row],[Uafhængig variabel ID]]),INDEX(DataTitel_liste,IF(LineærRegression_Valg[[#This Row],[Afhængig variabel ID]]=1,2,1))),$B$7)</f>
        <v>Eksempel 2 (interval)</v>
      </c>
      <c r="H1757" s="45">
        <f>_xlfn.AGGREGATE(2,5,LineærRegression_Valg[[#This Row],[Tabel ID]])</f>
        <v>1</v>
      </c>
    </row>
    <row r="1758" spans="1:8" x14ac:dyDescent="0.2">
      <c r="A1758">
        <f>ROW(LineærRegression_Valg[[#This Row],[Tabel ID]])-ROW(LineærRegression_Valg[[#Headers],[Tabel ID]])</f>
        <v>1748</v>
      </c>
      <c r="B1758" s="45">
        <f>ROUNDDOWN((LineærRegression_Valg[[#This Row],[Tabel ID]]-1)/$B$5,0)+1</f>
        <v>437</v>
      </c>
      <c r="C1758" s="45">
        <f t="shared" si="27"/>
        <v>4</v>
      </c>
      <c r="D1758" s="45" t="b">
        <f>LineærRegression_Valg[[#This Row],[Afhængig variabel ID]]&lt;&gt;LineærRegression_Valg[[#This Row],[Uafhængig variabel ID]]</f>
        <v>1</v>
      </c>
      <c r="E1758" s="45" t="b">
        <f>LineærRegression_Valg[[#This Row],[Afhængig variabel ID]]&lt;=$B$5</f>
        <v>0</v>
      </c>
      <c r="F1758" t="str" cm="1">
        <f t="array" ref="F1758">IF(LineærRegression_Valg[[#This Row],[Indenfor range]],INDEX(DataTitel_liste,LineærRegression_Valg[[#This Row],[Afhængig variabel ID]]),INDEX(DataTitel_liste,1))</f>
        <v>Eksempel 1 (interval)</v>
      </c>
      <c r="G1758" s="45" t="str" cm="1">
        <f t="array" ref="G1758">IF(LineærRegression_Valg[[#This Row],[Indenfor range]],IF(LineærRegression_Valg[[#This Row],[Intet overlap]],INDEX(DataTitel_liste,LineærRegression_Valg[[#This Row],[Uafhængig variabel ID]]),INDEX(DataTitel_liste,IF(LineærRegression_Valg[[#This Row],[Afhængig variabel ID]]=1,2,1))),$B$7)</f>
        <v>Eksempel 2 (interval)</v>
      </c>
      <c r="H1758" s="45">
        <f>_xlfn.AGGREGATE(2,5,LineærRegression_Valg[[#This Row],[Tabel ID]])</f>
        <v>1</v>
      </c>
    </row>
    <row r="1759" spans="1:8" x14ac:dyDescent="0.2">
      <c r="A1759">
        <f>ROW(LineærRegression_Valg[[#This Row],[Tabel ID]])-ROW(LineærRegression_Valg[[#Headers],[Tabel ID]])</f>
        <v>1749</v>
      </c>
      <c r="B1759" s="45">
        <f>ROUNDDOWN((LineærRegression_Valg[[#This Row],[Tabel ID]]-1)/$B$5,0)+1</f>
        <v>438</v>
      </c>
      <c r="C1759" s="45">
        <f t="shared" si="27"/>
        <v>1</v>
      </c>
      <c r="D1759" s="45" t="b">
        <f>LineærRegression_Valg[[#This Row],[Afhængig variabel ID]]&lt;&gt;LineærRegression_Valg[[#This Row],[Uafhængig variabel ID]]</f>
        <v>1</v>
      </c>
      <c r="E1759" s="45" t="b">
        <f>LineærRegression_Valg[[#This Row],[Afhængig variabel ID]]&lt;=$B$5</f>
        <v>0</v>
      </c>
      <c r="F1759" t="str" cm="1">
        <f t="array" ref="F1759">IF(LineærRegression_Valg[[#This Row],[Indenfor range]],INDEX(DataTitel_liste,LineærRegression_Valg[[#This Row],[Afhængig variabel ID]]),INDEX(DataTitel_liste,1))</f>
        <v>Eksempel 1 (interval)</v>
      </c>
      <c r="G1759" s="45" t="str" cm="1">
        <f t="array" ref="G1759">IF(LineærRegression_Valg[[#This Row],[Indenfor range]],IF(LineærRegression_Valg[[#This Row],[Intet overlap]],INDEX(DataTitel_liste,LineærRegression_Valg[[#This Row],[Uafhængig variabel ID]]),INDEX(DataTitel_liste,IF(LineærRegression_Valg[[#This Row],[Afhængig variabel ID]]=1,2,1))),$B$7)</f>
        <v>Eksempel 2 (interval)</v>
      </c>
      <c r="H1759" s="45">
        <f>_xlfn.AGGREGATE(2,5,LineærRegression_Valg[[#This Row],[Tabel ID]])</f>
        <v>1</v>
      </c>
    </row>
    <row r="1760" spans="1:8" x14ac:dyDescent="0.2">
      <c r="A1760">
        <f>ROW(LineærRegression_Valg[[#This Row],[Tabel ID]])-ROW(LineærRegression_Valg[[#Headers],[Tabel ID]])</f>
        <v>1750</v>
      </c>
      <c r="B1760" s="45">
        <f>ROUNDDOWN((LineærRegression_Valg[[#This Row],[Tabel ID]]-1)/$B$5,0)+1</f>
        <v>438</v>
      </c>
      <c r="C1760" s="45">
        <f t="shared" si="27"/>
        <v>2</v>
      </c>
      <c r="D1760" s="45" t="b">
        <f>LineærRegression_Valg[[#This Row],[Afhængig variabel ID]]&lt;&gt;LineærRegression_Valg[[#This Row],[Uafhængig variabel ID]]</f>
        <v>1</v>
      </c>
      <c r="E1760" s="45" t="b">
        <f>LineærRegression_Valg[[#This Row],[Afhængig variabel ID]]&lt;=$B$5</f>
        <v>0</v>
      </c>
      <c r="F1760" t="str" cm="1">
        <f t="array" ref="F1760">IF(LineærRegression_Valg[[#This Row],[Indenfor range]],INDEX(DataTitel_liste,LineærRegression_Valg[[#This Row],[Afhængig variabel ID]]),INDEX(DataTitel_liste,1))</f>
        <v>Eksempel 1 (interval)</v>
      </c>
      <c r="G1760" s="45" t="str" cm="1">
        <f t="array" ref="G1760">IF(LineærRegression_Valg[[#This Row],[Indenfor range]],IF(LineærRegression_Valg[[#This Row],[Intet overlap]],INDEX(DataTitel_liste,LineærRegression_Valg[[#This Row],[Uafhængig variabel ID]]),INDEX(DataTitel_liste,IF(LineærRegression_Valg[[#This Row],[Afhængig variabel ID]]=1,2,1))),$B$7)</f>
        <v>Eksempel 2 (interval)</v>
      </c>
      <c r="H1760" s="45">
        <f>_xlfn.AGGREGATE(2,5,LineærRegression_Valg[[#This Row],[Tabel ID]])</f>
        <v>1</v>
      </c>
    </row>
    <row r="1761" spans="1:8" x14ac:dyDescent="0.2">
      <c r="A1761">
        <f>ROW(LineærRegression_Valg[[#This Row],[Tabel ID]])-ROW(LineærRegression_Valg[[#Headers],[Tabel ID]])</f>
        <v>1751</v>
      </c>
      <c r="B1761" s="45">
        <f>ROUNDDOWN((LineærRegression_Valg[[#This Row],[Tabel ID]]-1)/$B$5,0)+1</f>
        <v>438</v>
      </c>
      <c r="C1761" s="45">
        <f t="shared" si="27"/>
        <v>3</v>
      </c>
      <c r="D1761" s="45" t="b">
        <f>LineærRegression_Valg[[#This Row],[Afhængig variabel ID]]&lt;&gt;LineærRegression_Valg[[#This Row],[Uafhængig variabel ID]]</f>
        <v>1</v>
      </c>
      <c r="E1761" s="45" t="b">
        <f>LineærRegression_Valg[[#This Row],[Afhængig variabel ID]]&lt;=$B$5</f>
        <v>0</v>
      </c>
      <c r="F1761" t="str" cm="1">
        <f t="array" ref="F1761">IF(LineærRegression_Valg[[#This Row],[Indenfor range]],INDEX(DataTitel_liste,LineærRegression_Valg[[#This Row],[Afhængig variabel ID]]),INDEX(DataTitel_liste,1))</f>
        <v>Eksempel 1 (interval)</v>
      </c>
      <c r="G1761" s="45" t="str" cm="1">
        <f t="array" ref="G1761">IF(LineærRegression_Valg[[#This Row],[Indenfor range]],IF(LineærRegression_Valg[[#This Row],[Intet overlap]],INDEX(DataTitel_liste,LineærRegression_Valg[[#This Row],[Uafhængig variabel ID]]),INDEX(DataTitel_liste,IF(LineærRegression_Valg[[#This Row],[Afhængig variabel ID]]=1,2,1))),$B$7)</f>
        <v>Eksempel 2 (interval)</v>
      </c>
      <c r="H1761" s="45">
        <f>_xlfn.AGGREGATE(2,5,LineærRegression_Valg[[#This Row],[Tabel ID]])</f>
        <v>1</v>
      </c>
    </row>
    <row r="1762" spans="1:8" x14ac:dyDescent="0.2">
      <c r="A1762">
        <f>ROW(LineærRegression_Valg[[#This Row],[Tabel ID]])-ROW(LineærRegression_Valg[[#Headers],[Tabel ID]])</f>
        <v>1752</v>
      </c>
      <c r="B1762" s="45">
        <f>ROUNDDOWN((LineærRegression_Valg[[#This Row],[Tabel ID]]-1)/$B$5,0)+1</f>
        <v>438</v>
      </c>
      <c r="C1762" s="45">
        <f t="shared" si="27"/>
        <v>4</v>
      </c>
      <c r="D1762" s="45" t="b">
        <f>LineærRegression_Valg[[#This Row],[Afhængig variabel ID]]&lt;&gt;LineærRegression_Valg[[#This Row],[Uafhængig variabel ID]]</f>
        <v>1</v>
      </c>
      <c r="E1762" s="45" t="b">
        <f>LineærRegression_Valg[[#This Row],[Afhængig variabel ID]]&lt;=$B$5</f>
        <v>0</v>
      </c>
      <c r="F1762" t="str" cm="1">
        <f t="array" ref="F1762">IF(LineærRegression_Valg[[#This Row],[Indenfor range]],INDEX(DataTitel_liste,LineærRegression_Valg[[#This Row],[Afhængig variabel ID]]),INDEX(DataTitel_liste,1))</f>
        <v>Eksempel 1 (interval)</v>
      </c>
      <c r="G1762" s="45" t="str" cm="1">
        <f t="array" ref="G1762">IF(LineærRegression_Valg[[#This Row],[Indenfor range]],IF(LineærRegression_Valg[[#This Row],[Intet overlap]],INDEX(DataTitel_liste,LineærRegression_Valg[[#This Row],[Uafhængig variabel ID]]),INDEX(DataTitel_liste,IF(LineærRegression_Valg[[#This Row],[Afhængig variabel ID]]=1,2,1))),$B$7)</f>
        <v>Eksempel 2 (interval)</v>
      </c>
      <c r="H1762" s="45">
        <f>_xlfn.AGGREGATE(2,5,LineærRegression_Valg[[#This Row],[Tabel ID]])</f>
        <v>1</v>
      </c>
    </row>
    <row r="1763" spans="1:8" x14ac:dyDescent="0.2">
      <c r="A1763">
        <f>ROW(LineærRegression_Valg[[#This Row],[Tabel ID]])-ROW(LineærRegression_Valg[[#Headers],[Tabel ID]])</f>
        <v>1753</v>
      </c>
      <c r="B1763" s="45">
        <f>ROUNDDOWN((LineærRegression_Valg[[#This Row],[Tabel ID]]-1)/$B$5,0)+1</f>
        <v>439</v>
      </c>
      <c r="C1763" s="45">
        <f t="shared" si="27"/>
        <v>1</v>
      </c>
      <c r="D1763" s="45" t="b">
        <f>LineærRegression_Valg[[#This Row],[Afhængig variabel ID]]&lt;&gt;LineærRegression_Valg[[#This Row],[Uafhængig variabel ID]]</f>
        <v>1</v>
      </c>
      <c r="E1763" s="45" t="b">
        <f>LineærRegression_Valg[[#This Row],[Afhængig variabel ID]]&lt;=$B$5</f>
        <v>0</v>
      </c>
      <c r="F1763" t="str" cm="1">
        <f t="array" ref="F1763">IF(LineærRegression_Valg[[#This Row],[Indenfor range]],INDEX(DataTitel_liste,LineærRegression_Valg[[#This Row],[Afhængig variabel ID]]),INDEX(DataTitel_liste,1))</f>
        <v>Eksempel 1 (interval)</v>
      </c>
      <c r="G1763" s="45" t="str" cm="1">
        <f t="array" ref="G1763">IF(LineærRegression_Valg[[#This Row],[Indenfor range]],IF(LineærRegression_Valg[[#This Row],[Intet overlap]],INDEX(DataTitel_liste,LineærRegression_Valg[[#This Row],[Uafhængig variabel ID]]),INDEX(DataTitel_liste,IF(LineærRegression_Valg[[#This Row],[Afhængig variabel ID]]=1,2,1))),$B$7)</f>
        <v>Eksempel 2 (interval)</v>
      </c>
      <c r="H1763" s="45">
        <f>_xlfn.AGGREGATE(2,5,LineærRegression_Valg[[#This Row],[Tabel ID]])</f>
        <v>1</v>
      </c>
    </row>
    <row r="1764" spans="1:8" x14ac:dyDescent="0.2">
      <c r="A1764">
        <f>ROW(LineærRegression_Valg[[#This Row],[Tabel ID]])-ROW(LineærRegression_Valg[[#Headers],[Tabel ID]])</f>
        <v>1754</v>
      </c>
      <c r="B1764" s="45">
        <f>ROUNDDOWN((LineærRegression_Valg[[#This Row],[Tabel ID]]-1)/$B$5,0)+1</f>
        <v>439</v>
      </c>
      <c r="C1764" s="45">
        <f t="shared" si="27"/>
        <v>2</v>
      </c>
      <c r="D1764" s="45" t="b">
        <f>LineærRegression_Valg[[#This Row],[Afhængig variabel ID]]&lt;&gt;LineærRegression_Valg[[#This Row],[Uafhængig variabel ID]]</f>
        <v>1</v>
      </c>
      <c r="E1764" s="45" t="b">
        <f>LineærRegression_Valg[[#This Row],[Afhængig variabel ID]]&lt;=$B$5</f>
        <v>0</v>
      </c>
      <c r="F1764" t="str" cm="1">
        <f t="array" ref="F1764">IF(LineærRegression_Valg[[#This Row],[Indenfor range]],INDEX(DataTitel_liste,LineærRegression_Valg[[#This Row],[Afhængig variabel ID]]),INDEX(DataTitel_liste,1))</f>
        <v>Eksempel 1 (interval)</v>
      </c>
      <c r="G1764" s="45" t="str" cm="1">
        <f t="array" ref="G1764">IF(LineærRegression_Valg[[#This Row],[Indenfor range]],IF(LineærRegression_Valg[[#This Row],[Intet overlap]],INDEX(DataTitel_liste,LineærRegression_Valg[[#This Row],[Uafhængig variabel ID]]),INDEX(DataTitel_liste,IF(LineærRegression_Valg[[#This Row],[Afhængig variabel ID]]=1,2,1))),$B$7)</f>
        <v>Eksempel 2 (interval)</v>
      </c>
      <c r="H1764" s="45">
        <f>_xlfn.AGGREGATE(2,5,LineærRegression_Valg[[#This Row],[Tabel ID]])</f>
        <v>1</v>
      </c>
    </row>
    <row r="1765" spans="1:8" x14ac:dyDescent="0.2">
      <c r="A1765">
        <f>ROW(LineærRegression_Valg[[#This Row],[Tabel ID]])-ROW(LineærRegression_Valg[[#Headers],[Tabel ID]])</f>
        <v>1755</v>
      </c>
      <c r="B1765" s="45">
        <f>ROUNDDOWN((LineærRegression_Valg[[#This Row],[Tabel ID]]-1)/$B$5,0)+1</f>
        <v>439</v>
      </c>
      <c r="C1765" s="45">
        <f t="shared" si="27"/>
        <v>3</v>
      </c>
      <c r="D1765" s="45" t="b">
        <f>LineærRegression_Valg[[#This Row],[Afhængig variabel ID]]&lt;&gt;LineærRegression_Valg[[#This Row],[Uafhængig variabel ID]]</f>
        <v>1</v>
      </c>
      <c r="E1765" s="45" t="b">
        <f>LineærRegression_Valg[[#This Row],[Afhængig variabel ID]]&lt;=$B$5</f>
        <v>0</v>
      </c>
      <c r="F1765" t="str" cm="1">
        <f t="array" ref="F1765">IF(LineærRegression_Valg[[#This Row],[Indenfor range]],INDEX(DataTitel_liste,LineærRegression_Valg[[#This Row],[Afhængig variabel ID]]),INDEX(DataTitel_liste,1))</f>
        <v>Eksempel 1 (interval)</v>
      </c>
      <c r="G1765" s="45" t="str" cm="1">
        <f t="array" ref="G1765">IF(LineærRegression_Valg[[#This Row],[Indenfor range]],IF(LineærRegression_Valg[[#This Row],[Intet overlap]],INDEX(DataTitel_liste,LineærRegression_Valg[[#This Row],[Uafhængig variabel ID]]),INDEX(DataTitel_liste,IF(LineærRegression_Valg[[#This Row],[Afhængig variabel ID]]=1,2,1))),$B$7)</f>
        <v>Eksempel 2 (interval)</v>
      </c>
      <c r="H1765" s="45">
        <f>_xlfn.AGGREGATE(2,5,LineærRegression_Valg[[#This Row],[Tabel ID]])</f>
        <v>1</v>
      </c>
    </row>
    <row r="1766" spans="1:8" x14ac:dyDescent="0.2">
      <c r="A1766">
        <f>ROW(LineærRegression_Valg[[#This Row],[Tabel ID]])-ROW(LineærRegression_Valg[[#Headers],[Tabel ID]])</f>
        <v>1756</v>
      </c>
      <c r="B1766" s="45">
        <f>ROUNDDOWN((LineærRegression_Valg[[#This Row],[Tabel ID]]-1)/$B$5,0)+1</f>
        <v>439</v>
      </c>
      <c r="C1766" s="45">
        <f t="shared" si="27"/>
        <v>4</v>
      </c>
      <c r="D1766" s="45" t="b">
        <f>LineærRegression_Valg[[#This Row],[Afhængig variabel ID]]&lt;&gt;LineærRegression_Valg[[#This Row],[Uafhængig variabel ID]]</f>
        <v>1</v>
      </c>
      <c r="E1766" s="45" t="b">
        <f>LineærRegression_Valg[[#This Row],[Afhængig variabel ID]]&lt;=$B$5</f>
        <v>0</v>
      </c>
      <c r="F1766" t="str" cm="1">
        <f t="array" ref="F1766">IF(LineærRegression_Valg[[#This Row],[Indenfor range]],INDEX(DataTitel_liste,LineærRegression_Valg[[#This Row],[Afhængig variabel ID]]),INDEX(DataTitel_liste,1))</f>
        <v>Eksempel 1 (interval)</v>
      </c>
      <c r="G1766" s="45" t="str" cm="1">
        <f t="array" ref="G1766">IF(LineærRegression_Valg[[#This Row],[Indenfor range]],IF(LineærRegression_Valg[[#This Row],[Intet overlap]],INDEX(DataTitel_liste,LineærRegression_Valg[[#This Row],[Uafhængig variabel ID]]),INDEX(DataTitel_liste,IF(LineærRegression_Valg[[#This Row],[Afhængig variabel ID]]=1,2,1))),$B$7)</f>
        <v>Eksempel 2 (interval)</v>
      </c>
      <c r="H1766" s="45">
        <f>_xlfn.AGGREGATE(2,5,LineærRegression_Valg[[#This Row],[Tabel ID]])</f>
        <v>1</v>
      </c>
    </row>
    <row r="1767" spans="1:8" x14ac:dyDescent="0.2">
      <c r="A1767">
        <f>ROW(LineærRegression_Valg[[#This Row],[Tabel ID]])-ROW(LineærRegression_Valg[[#Headers],[Tabel ID]])</f>
        <v>1757</v>
      </c>
      <c r="B1767" s="45">
        <f>ROUNDDOWN((LineærRegression_Valg[[#This Row],[Tabel ID]]-1)/$B$5,0)+1</f>
        <v>440</v>
      </c>
      <c r="C1767" s="45">
        <f t="shared" si="27"/>
        <v>1</v>
      </c>
      <c r="D1767" s="45" t="b">
        <f>LineærRegression_Valg[[#This Row],[Afhængig variabel ID]]&lt;&gt;LineærRegression_Valg[[#This Row],[Uafhængig variabel ID]]</f>
        <v>1</v>
      </c>
      <c r="E1767" s="45" t="b">
        <f>LineærRegression_Valg[[#This Row],[Afhængig variabel ID]]&lt;=$B$5</f>
        <v>0</v>
      </c>
      <c r="F1767" t="str" cm="1">
        <f t="array" ref="F1767">IF(LineærRegression_Valg[[#This Row],[Indenfor range]],INDEX(DataTitel_liste,LineærRegression_Valg[[#This Row],[Afhængig variabel ID]]),INDEX(DataTitel_liste,1))</f>
        <v>Eksempel 1 (interval)</v>
      </c>
      <c r="G1767" s="45" t="str" cm="1">
        <f t="array" ref="G1767">IF(LineærRegression_Valg[[#This Row],[Indenfor range]],IF(LineærRegression_Valg[[#This Row],[Intet overlap]],INDEX(DataTitel_liste,LineærRegression_Valg[[#This Row],[Uafhængig variabel ID]]),INDEX(DataTitel_liste,IF(LineærRegression_Valg[[#This Row],[Afhængig variabel ID]]=1,2,1))),$B$7)</f>
        <v>Eksempel 2 (interval)</v>
      </c>
      <c r="H1767" s="45">
        <f>_xlfn.AGGREGATE(2,5,LineærRegression_Valg[[#This Row],[Tabel ID]])</f>
        <v>1</v>
      </c>
    </row>
    <row r="1768" spans="1:8" x14ac:dyDescent="0.2">
      <c r="A1768">
        <f>ROW(LineærRegression_Valg[[#This Row],[Tabel ID]])-ROW(LineærRegression_Valg[[#Headers],[Tabel ID]])</f>
        <v>1758</v>
      </c>
      <c r="B1768" s="45">
        <f>ROUNDDOWN((LineærRegression_Valg[[#This Row],[Tabel ID]]-1)/$B$5,0)+1</f>
        <v>440</v>
      </c>
      <c r="C1768" s="45">
        <f t="shared" si="27"/>
        <v>2</v>
      </c>
      <c r="D1768" s="45" t="b">
        <f>LineærRegression_Valg[[#This Row],[Afhængig variabel ID]]&lt;&gt;LineærRegression_Valg[[#This Row],[Uafhængig variabel ID]]</f>
        <v>1</v>
      </c>
      <c r="E1768" s="45" t="b">
        <f>LineærRegression_Valg[[#This Row],[Afhængig variabel ID]]&lt;=$B$5</f>
        <v>0</v>
      </c>
      <c r="F1768" t="str" cm="1">
        <f t="array" ref="F1768">IF(LineærRegression_Valg[[#This Row],[Indenfor range]],INDEX(DataTitel_liste,LineærRegression_Valg[[#This Row],[Afhængig variabel ID]]),INDEX(DataTitel_liste,1))</f>
        <v>Eksempel 1 (interval)</v>
      </c>
      <c r="G1768" s="45" t="str" cm="1">
        <f t="array" ref="G1768">IF(LineærRegression_Valg[[#This Row],[Indenfor range]],IF(LineærRegression_Valg[[#This Row],[Intet overlap]],INDEX(DataTitel_liste,LineærRegression_Valg[[#This Row],[Uafhængig variabel ID]]),INDEX(DataTitel_liste,IF(LineærRegression_Valg[[#This Row],[Afhængig variabel ID]]=1,2,1))),$B$7)</f>
        <v>Eksempel 2 (interval)</v>
      </c>
      <c r="H1768" s="45">
        <f>_xlfn.AGGREGATE(2,5,LineærRegression_Valg[[#This Row],[Tabel ID]])</f>
        <v>1</v>
      </c>
    </row>
    <row r="1769" spans="1:8" x14ac:dyDescent="0.2">
      <c r="A1769">
        <f>ROW(LineærRegression_Valg[[#This Row],[Tabel ID]])-ROW(LineærRegression_Valg[[#Headers],[Tabel ID]])</f>
        <v>1759</v>
      </c>
      <c r="B1769" s="45">
        <f>ROUNDDOWN((LineærRegression_Valg[[#This Row],[Tabel ID]]-1)/$B$5,0)+1</f>
        <v>440</v>
      </c>
      <c r="C1769" s="45">
        <f t="shared" si="27"/>
        <v>3</v>
      </c>
      <c r="D1769" s="45" t="b">
        <f>LineærRegression_Valg[[#This Row],[Afhængig variabel ID]]&lt;&gt;LineærRegression_Valg[[#This Row],[Uafhængig variabel ID]]</f>
        <v>1</v>
      </c>
      <c r="E1769" s="45" t="b">
        <f>LineærRegression_Valg[[#This Row],[Afhængig variabel ID]]&lt;=$B$5</f>
        <v>0</v>
      </c>
      <c r="F1769" t="str" cm="1">
        <f t="array" ref="F1769">IF(LineærRegression_Valg[[#This Row],[Indenfor range]],INDEX(DataTitel_liste,LineærRegression_Valg[[#This Row],[Afhængig variabel ID]]),INDEX(DataTitel_liste,1))</f>
        <v>Eksempel 1 (interval)</v>
      </c>
      <c r="G1769" s="45" t="str" cm="1">
        <f t="array" ref="G1769">IF(LineærRegression_Valg[[#This Row],[Indenfor range]],IF(LineærRegression_Valg[[#This Row],[Intet overlap]],INDEX(DataTitel_liste,LineærRegression_Valg[[#This Row],[Uafhængig variabel ID]]),INDEX(DataTitel_liste,IF(LineærRegression_Valg[[#This Row],[Afhængig variabel ID]]=1,2,1))),$B$7)</f>
        <v>Eksempel 2 (interval)</v>
      </c>
      <c r="H1769" s="45">
        <f>_xlfn.AGGREGATE(2,5,LineærRegression_Valg[[#This Row],[Tabel ID]])</f>
        <v>1</v>
      </c>
    </row>
    <row r="1770" spans="1:8" x14ac:dyDescent="0.2">
      <c r="A1770">
        <f>ROW(LineærRegression_Valg[[#This Row],[Tabel ID]])-ROW(LineærRegression_Valg[[#Headers],[Tabel ID]])</f>
        <v>1760</v>
      </c>
      <c r="B1770" s="45">
        <f>ROUNDDOWN((LineærRegression_Valg[[#This Row],[Tabel ID]]-1)/$B$5,0)+1</f>
        <v>440</v>
      </c>
      <c r="C1770" s="45">
        <f t="shared" si="27"/>
        <v>4</v>
      </c>
      <c r="D1770" s="45" t="b">
        <f>LineærRegression_Valg[[#This Row],[Afhængig variabel ID]]&lt;&gt;LineærRegression_Valg[[#This Row],[Uafhængig variabel ID]]</f>
        <v>1</v>
      </c>
      <c r="E1770" s="45" t="b">
        <f>LineærRegression_Valg[[#This Row],[Afhængig variabel ID]]&lt;=$B$5</f>
        <v>0</v>
      </c>
      <c r="F1770" t="str" cm="1">
        <f t="array" ref="F1770">IF(LineærRegression_Valg[[#This Row],[Indenfor range]],INDEX(DataTitel_liste,LineærRegression_Valg[[#This Row],[Afhængig variabel ID]]),INDEX(DataTitel_liste,1))</f>
        <v>Eksempel 1 (interval)</v>
      </c>
      <c r="G1770" s="45" t="str" cm="1">
        <f t="array" ref="G1770">IF(LineærRegression_Valg[[#This Row],[Indenfor range]],IF(LineærRegression_Valg[[#This Row],[Intet overlap]],INDEX(DataTitel_liste,LineærRegression_Valg[[#This Row],[Uafhængig variabel ID]]),INDEX(DataTitel_liste,IF(LineærRegression_Valg[[#This Row],[Afhængig variabel ID]]=1,2,1))),$B$7)</f>
        <v>Eksempel 2 (interval)</v>
      </c>
      <c r="H1770" s="45">
        <f>_xlfn.AGGREGATE(2,5,LineærRegression_Valg[[#This Row],[Tabel ID]])</f>
        <v>1</v>
      </c>
    </row>
    <row r="1771" spans="1:8" x14ac:dyDescent="0.2">
      <c r="A1771">
        <f>ROW(LineærRegression_Valg[[#This Row],[Tabel ID]])-ROW(LineærRegression_Valg[[#Headers],[Tabel ID]])</f>
        <v>1761</v>
      </c>
      <c r="B1771" s="45">
        <f>ROUNDDOWN((LineærRegression_Valg[[#This Row],[Tabel ID]]-1)/$B$5,0)+1</f>
        <v>441</v>
      </c>
      <c r="C1771" s="45">
        <f t="shared" si="27"/>
        <v>1</v>
      </c>
      <c r="D1771" s="45" t="b">
        <f>LineærRegression_Valg[[#This Row],[Afhængig variabel ID]]&lt;&gt;LineærRegression_Valg[[#This Row],[Uafhængig variabel ID]]</f>
        <v>1</v>
      </c>
      <c r="E1771" s="45" t="b">
        <f>LineærRegression_Valg[[#This Row],[Afhængig variabel ID]]&lt;=$B$5</f>
        <v>0</v>
      </c>
      <c r="F1771" t="str" cm="1">
        <f t="array" ref="F1771">IF(LineærRegression_Valg[[#This Row],[Indenfor range]],INDEX(DataTitel_liste,LineærRegression_Valg[[#This Row],[Afhængig variabel ID]]),INDEX(DataTitel_liste,1))</f>
        <v>Eksempel 1 (interval)</v>
      </c>
      <c r="G1771" s="45" t="str" cm="1">
        <f t="array" ref="G1771">IF(LineærRegression_Valg[[#This Row],[Indenfor range]],IF(LineærRegression_Valg[[#This Row],[Intet overlap]],INDEX(DataTitel_liste,LineærRegression_Valg[[#This Row],[Uafhængig variabel ID]]),INDEX(DataTitel_liste,IF(LineærRegression_Valg[[#This Row],[Afhængig variabel ID]]=1,2,1))),$B$7)</f>
        <v>Eksempel 2 (interval)</v>
      </c>
      <c r="H1771" s="45">
        <f>_xlfn.AGGREGATE(2,5,LineærRegression_Valg[[#This Row],[Tabel ID]])</f>
        <v>1</v>
      </c>
    </row>
    <row r="1772" spans="1:8" x14ac:dyDescent="0.2">
      <c r="A1772">
        <f>ROW(LineærRegression_Valg[[#This Row],[Tabel ID]])-ROW(LineærRegression_Valg[[#Headers],[Tabel ID]])</f>
        <v>1762</v>
      </c>
      <c r="B1772" s="45">
        <f>ROUNDDOWN((LineærRegression_Valg[[#This Row],[Tabel ID]]-1)/$B$5,0)+1</f>
        <v>441</v>
      </c>
      <c r="C1772" s="45">
        <f t="shared" si="27"/>
        <v>2</v>
      </c>
      <c r="D1772" s="45" t="b">
        <f>LineærRegression_Valg[[#This Row],[Afhængig variabel ID]]&lt;&gt;LineærRegression_Valg[[#This Row],[Uafhængig variabel ID]]</f>
        <v>1</v>
      </c>
      <c r="E1772" s="45" t="b">
        <f>LineærRegression_Valg[[#This Row],[Afhængig variabel ID]]&lt;=$B$5</f>
        <v>0</v>
      </c>
      <c r="F1772" t="str" cm="1">
        <f t="array" ref="F1772">IF(LineærRegression_Valg[[#This Row],[Indenfor range]],INDEX(DataTitel_liste,LineærRegression_Valg[[#This Row],[Afhængig variabel ID]]),INDEX(DataTitel_liste,1))</f>
        <v>Eksempel 1 (interval)</v>
      </c>
      <c r="G1772" s="45" t="str" cm="1">
        <f t="array" ref="G1772">IF(LineærRegression_Valg[[#This Row],[Indenfor range]],IF(LineærRegression_Valg[[#This Row],[Intet overlap]],INDEX(DataTitel_liste,LineærRegression_Valg[[#This Row],[Uafhængig variabel ID]]),INDEX(DataTitel_liste,IF(LineærRegression_Valg[[#This Row],[Afhængig variabel ID]]=1,2,1))),$B$7)</f>
        <v>Eksempel 2 (interval)</v>
      </c>
      <c r="H1772" s="45">
        <f>_xlfn.AGGREGATE(2,5,LineærRegression_Valg[[#This Row],[Tabel ID]])</f>
        <v>1</v>
      </c>
    </row>
    <row r="1773" spans="1:8" x14ac:dyDescent="0.2">
      <c r="A1773">
        <f>ROW(LineærRegression_Valg[[#This Row],[Tabel ID]])-ROW(LineærRegression_Valg[[#Headers],[Tabel ID]])</f>
        <v>1763</v>
      </c>
      <c r="B1773" s="45">
        <f>ROUNDDOWN((LineærRegression_Valg[[#This Row],[Tabel ID]]-1)/$B$5,0)+1</f>
        <v>441</v>
      </c>
      <c r="C1773" s="45">
        <f t="shared" si="27"/>
        <v>3</v>
      </c>
      <c r="D1773" s="45" t="b">
        <f>LineærRegression_Valg[[#This Row],[Afhængig variabel ID]]&lt;&gt;LineærRegression_Valg[[#This Row],[Uafhængig variabel ID]]</f>
        <v>1</v>
      </c>
      <c r="E1773" s="45" t="b">
        <f>LineærRegression_Valg[[#This Row],[Afhængig variabel ID]]&lt;=$B$5</f>
        <v>0</v>
      </c>
      <c r="F1773" t="str" cm="1">
        <f t="array" ref="F1773">IF(LineærRegression_Valg[[#This Row],[Indenfor range]],INDEX(DataTitel_liste,LineærRegression_Valg[[#This Row],[Afhængig variabel ID]]),INDEX(DataTitel_liste,1))</f>
        <v>Eksempel 1 (interval)</v>
      </c>
      <c r="G1773" s="45" t="str" cm="1">
        <f t="array" ref="G1773">IF(LineærRegression_Valg[[#This Row],[Indenfor range]],IF(LineærRegression_Valg[[#This Row],[Intet overlap]],INDEX(DataTitel_liste,LineærRegression_Valg[[#This Row],[Uafhængig variabel ID]]),INDEX(DataTitel_liste,IF(LineærRegression_Valg[[#This Row],[Afhængig variabel ID]]=1,2,1))),$B$7)</f>
        <v>Eksempel 2 (interval)</v>
      </c>
      <c r="H1773" s="45">
        <f>_xlfn.AGGREGATE(2,5,LineærRegression_Valg[[#This Row],[Tabel ID]])</f>
        <v>1</v>
      </c>
    </row>
    <row r="1774" spans="1:8" x14ac:dyDescent="0.2">
      <c r="A1774">
        <f>ROW(LineærRegression_Valg[[#This Row],[Tabel ID]])-ROW(LineærRegression_Valg[[#Headers],[Tabel ID]])</f>
        <v>1764</v>
      </c>
      <c r="B1774" s="45">
        <f>ROUNDDOWN((LineærRegression_Valg[[#This Row],[Tabel ID]]-1)/$B$5,0)+1</f>
        <v>441</v>
      </c>
      <c r="C1774" s="45">
        <f t="shared" si="27"/>
        <v>4</v>
      </c>
      <c r="D1774" s="45" t="b">
        <f>LineærRegression_Valg[[#This Row],[Afhængig variabel ID]]&lt;&gt;LineærRegression_Valg[[#This Row],[Uafhængig variabel ID]]</f>
        <v>1</v>
      </c>
      <c r="E1774" s="45" t="b">
        <f>LineærRegression_Valg[[#This Row],[Afhængig variabel ID]]&lt;=$B$5</f>
        <v>0</v>
      </c>
      <c r="F1774" t="str" cm="1">
        <f t="array" ref="F1774">IF(LineærRegression_Valg[[#This Row],[Indenfor range]],INDEX(DataTitel_liste,LineærRegression_Valg[[#This Row],[Afhængig variabel ID]]),INDEX(DataTitel_liste,1))</f>
        <v>Eksempel 1 (interval)</v>
      </c>
      <c r="G1774" s="45" t="str" cm="1">
        <f t="array" ref="G1774">IF(LineærRegression_Valg[[#This Row],[Indenfor range]],IF(LineærRegression_Valg[[#This Row],[Intet overlap]],INDEX(DataTitel_liste,LineærRegression_Valg[[#This Row],[Uafhængig variabel ID]]),INDEX(DataTitel_liste,IF(LineærRegression_Valg[[#This Row],[Afhængig variabel ID]]=1,2,1))),$B$7)</f>
        <v>Eksempel 2 (interval)</v>
      </c>
      <c r="H1774" s="45">
        <f>_xlfn.AGGREGATE(2,5,LineærRegression_Valg[[#This Row],[Tabel ID]])</f>
        <v>1</v>
      </c>
    </row>
    <row r="1775" spans="1:8" x14ac:dyDescent="0.2">
      <c r="A1775">
        <f>ROW(LineærRegression_Valg[[#This Row],[Tabel ID]])-ROW(LineærRegression_Valg[[#Headers],[Tabel ID]])</f>
        <v>1765</v>
      </c>
      <c r="B1775" s="45">
        <f>ROUNDDOWN((LineærRegression_Valg[[#This Row],[Tabel ID]]-1)/$B$5,0)+1</f>
        <v>442</v>
      </c>
      <c r="C1775" s="45">
        <f t="shared" si="27"/>
        <v>1</v>
      </c>
      <c r="D1775" s="45" t="b">
        <f>LineærRegression_Valg[[#This Row],[Afhængig variabel ID]]&lt;&gt;LineærRegression_Valg[[#This Row],[Uafhængig variabel ID]]</f>
        <v>1</v>
      </c>
      <c r="E1775" s="45" t="b">
        <f>LineærRegression_Valg[[#This Row],[Afhængig variabel ID]]&lt;=$B$5</f>
        <v>0</v>
      </c>
      <c r="F1775" t="str" cm="1">
        <f t="array" ref="F1775">IF(LineærRegression_Valg[[#This Row],[Indenfor range]],INDEX(DataTitel_liste,LineærRegression_Valg[[#This Row],[Afhængig variabel ID]]),INDEX(DataTitel_liste,1))</f>
        <v>Eksempel 1 (interval)</v>
      </c>
      <c r="G1775" s="45" t="str" cm="1">
        <f t="array" ref="G1775">IF(LineærRegression_Valg[[#This Row],[Indenfor range]],IF(LineærRegression_Valg[[#This Row],[Intet overlap]],INDEX(DataTitel_liste,LineærRegression_Valg[[#This Row],[Uafhængig variabel ID]]),INDEX(DataTitel_liste,IF(LineærRegression_Valg[[#This Row],[Afhængig variabel ID]]=1,2,1))),$B$7)</f>
        <v>Eksempel 2 (interval)</v>
      </c>
      <c r="H1775" s="45">
        <f>_xlfn.AGGREGATE(2,5,LineærRegression_Valg[[#This Row],[Tabel ID]])</f>
        <v>1</v>
      </c>
    </row>
    <row r="1776" spans="1:8" x14ac:dyDescent="0.2">
      <c r="A1776">
        <f>ROW(LineærRegression_Valg[[#This Row],[Tabel ID]])-ROW(LineærRegression_Valg[[#Headers],[Tabel ID]])</f>
        <v>1766</v>
      </c>
      <c r="B1776" s="45">
        <f>ROUNDDOWN((LineærRegression_Valg[[#This Row],[Tabel ID]]-1)/$B$5,0)+1</f>
        <v>442</v>
      </c>
      <c r="C1776" s="45">
        <f t="shared" si="27"/>
        <v>2</v>
      </c>
      <c r="D1776" s="45" t="b">
        <f>LineærRegression_Valg[[#This Row],[Afhængig variabel ID]]&lt;&gt;LineærRegression_Valg[[#This Row],[Uafhængig variabel ID]]</f>
        <v>1</v>
      </c>
      <c r="E1776" s="45" t="b">
        <f>LineærRegression_Valg[[#This Row],[Afhængig variabel ID]]&lt;=$B$5</f>
        <v>0</v>
      </c>
      <c r="F1776" t="str" cm="1">
        <f t="array" ref="F1776">IF(LineærRegression_Valg[[#This Row],[Indenfor range]],INDEX(DataTitel_liste,LineærRegression_Valg[[#This Row],[Afhængig variabel ID]]),INDEX(DataTitel_liste,1))</f>
        <v>Eksempel 1 (interval)</v>
      </c>
      <c r="G1776" s="45" t="str" cm="1">
        <f t="array" ref="G1776">IF(LineærRegression_Valg[[#This Row],[Indenfor range]],IF(LineærRegression_Valg[[#This Row],[Intet overlap]],INDEX(DataTitel_liste,LineærRegression_Valg[[#This Row],[Uafhængig variabel ID]]),INDEX(DataTitel_liste,IF(LineærRegression_Valg[[#This Row],[Afhængig variabel ID]]=1,2,1))),$B$7)</f>
        <v>Eksempel 2 (interval)</v>
      </c>
      <c r="H1776" s="45">
        <f>_xlfn.AGGREGATE(2,5,LineærRegression_Valg[[#This Row],[Tabel ID]])</f>
        <v>1</v>
      </c>
    </row>
    <row r="1777" spans="1:8" x14ac:dyDescent="0.2">
      <c r="A1777">
        <f>ROW(LineærRegression_Valg[[#This Row],[Tabel ID]])-ROW(LineærRegression_Valg[[#Headers],[Tabel ID]])</f>
        <v>1767</v>
      </c>
      <c r="B1777" s="45">
        <f>ROUNDDOWN((LineærRegression_Valg[[#This Row],[Tabel ID]]-1)/$B$5,0)+1</f>
        <v>442</v>
      </c>
      <c r="C1777" s="45">
        <f t="shared" si="27"/>
        <v>3</v>
      </c>
      <c r="D1777" s="45" t="b">
        <f>LineærRegression_Valg[[#This Row],[Afhængig variabel ID]]&lt;&gt;LineærRegression_Valg[[#This Row],[Uafhængig variabel ID]]</f>
        <v>1</v>
      </c>
      <c r="E1777" s="45" t="b">
        <f>LineærRegression_Valg[[#This Row],[Afhængig variabel ID]]&lt;=$B$5</f>
        <v>0</v>
      </c>
      <c r="F1777" t="str" cm="1">
        <f t="array" ref="F1777">IF(LineærRegression_Valg[[#This Row],[Indenfor range]],INDEX(DataTitel_liste,LineærRegression_Valg[[#This Row],[Afhængig variabel ID]]),INDEX(DataTitel_liste,1))</f>
        <v>Eksempel 1 (interval)</v>
      </c>
      <c r="G1777" s="45" t="str" cm="1">
        <f t="array" ref="G1777">IF(LineærRegression_Valg[[#This Row],[Indenfor range]],IF(LineærRegression_Valg[[#This Row],[Intet overlap]],INDEX(DataTitel_liste,LineærRegression_Valg[[#This Row],[Uafhængig variabel ID]]),INDEX(DataTitel_liste,IF(LineærRegression_Valg[[#This Row],[Afhængig variabel ID]]=1,2,1))),$B$7)</f>
        <v>Eksempel 2 (interval)</v>
      </c>
      <c r="H1777" s="45">
        <f>_xlfn.AGGREGATE(2,5,LineærRegression_Valg[[#This Row],[Tabel ID]])</f>
        <v>1</v>
      </c>
    </row>
    <row r="1778" spans="1:8" x14ac:dyDescent="0.2">
      <c r="A1778">
        <f>ROW(LineærRegression_Valg[[#This Row],[Tabel ID]])-ROW(LineærRegression_Valg[[#Headers],[Tabel ID]])</f>
        <v>1768</v>
      </c>
      <c r="B1778" s="45">
        <f>ROUNDDOWN((LineærRegression_Valg[[#This Row],[Tabel ID]]-1)/$B$5,0)+1</f>
        <v>442</v>
      </c>
      <c r="C1778" s="45">
        <f t="shared" si="27"/>
        <v>4</v>
      </c>
      <c r="D1778" s="45" t="b">
        <f>LineærRegression_Valg[[#This Row],[Afhængig variabel ID]]&lt;&gt;LineærRegression_Valg[[#This Row],[Uafhængig variabel ID]]</f>
        <v>1</v>
      </c>
      <c r="E1778" s="45" t="b">
        <f>LineærRegression_Valg[[#This Row],[Afhængig variabel ID]]&lt;=$B$5</f>
        <v>0</v>
      </c>
      <c r="F1778" t="str" cm="1">
        <f t="array" ref="F1778">IF(LineærRegression_Valg[[#This Row],[Indenfor range]],INDEX(DataTitel_liste,LineærRegression_Valg[[#This Row],[Afhængig variabel ID]]),INDEX(DataTitel_liste,1))</f>
        <v>Eksempel 1 (interval)</v>
      </c>
      <c r="G1778" s="45" t="str" cm="1">
        <f t="array" ref="G1778">IF(LineærRegression_Valg[[#This Row],[Indenfor range]],IF(LineærRegression_Valg[[#This Row],[Intet overlap]],INDEX(DataTitel_liste,LineærRegression_Valg[[#This Row],[Uafhængig variabel ID]]),INDEX(DataTitel_liste,IF(LineærRegression_Valg[[#This Row],[Afhængig variabel ID]]=1,2,1))),$B$7)</f>
        <v>Eksempel 2 (interval)</v>
      </c>
      <c r="H1778" s="45">
        <f>_xlfn.AGGREGATE(2,5,LineærRegression_Valg[[#This Row],[Tabel ID]])</f>
        <v>1</v>
      </c>
    </row>
    <row r="1779" spans="1:8" x14ac:dyDescent="0.2">
      <c r="A1779">
        <f>ROW(LineærRegression_Valg[[#This Row],[Tabel ID]])-ROW(LineærRegression_Valg[[#Headers],[Tabel ID]])</f>
        <v>1769</v>
      </c>
      <c r="B1779" s="45">
        <f>ROUNDDOWN((LineærRegression_Valg[[#This Row],[Tabel ID]]-1)/$B$5,0)+1</f>
        <v>443</v>
      </c>
      <c r="C1779" s="45">
        <f t="shared" si="27"/>
        <v>1</v>
      </c>
      <c r="D1779" s="45" t="b">
        <f>LineærRegression_Valg[[#This Row],[Afhængig variabel ID]]&lt;&gt;LineærRegression_Valg[[#This Row],[Uafhængig variabel ID]]</f>
        <v>1</v>
      </c>
      <c r="E1779" s="45" t="b">
        <f>LineærRegression_Valg[[#This Row],[Afhængig variabel ID]]&lt;=$B$5</f>
        <v>0</v>
      </c>
      <c r="F1779" t="str" cm="1">
        <f t="array" ref="F1779">IF(LineærRegression_Valg[[#This Row],[Indenfor range]],INDEX(DataTitel_liste,LineærRegression_Valg[[#This Row],[Afhængig variabel ID]]),INDEX(DataTitel_liste,1))</f>
        <v>Eksempel 1 (interval)</v>
      </c>
      <c r="G1779" s="45" t="str" cm="1">
        <f t="array" ref="G1779">IF(LineærRegression_Valg[[#This Row],[Indenfor range]],IF(LineærRegression_Valg[[#This Row],[Intet overlap]],INDEX(DataTitel_liste,LineærRegression_Valg[[#This Row],[Uafhængig variabel ID]]),INDEX(DataTitel_liste,IF(LineærRegression_Valg[[#This Row],[Afhængig variabel ID]]=1,2,1))),$B$7)</f>
        <v>Eksempel 2 (interval)</v>
      </c>
      <c r="H1779" s="45">
        <f>_xlfn.AGGREGATE(2,5,LineærRegression_Valg[[#This Row],[Tabel ID]])</f>
        <v>1</v>
      </c>
    </row>
    <row r="1780" spans="1:8" x14ac:dyDescent="0.2">
      <c r="A1780">
        <f>ROW(LineærRegression_Valg[[#This Row],[Tabel ID]])-ROW(LineærRegression_Valg[[#Headers],[Tabel ID]])</f>
        <v>1770</v>
      </c>
      <c r="B1780" s="45">
        <f>ROUNDDOWN((LineærRegression_Valg[[#This Row],[Tabel ID]]-1)/$B$5,0)+1</f>
        <v>443</v>
      </c>
      <c r="C1780" s="45">
        <f t="shared" si="27"/>
        <v>2</v>
      </c>
      <c r="D1780" s="45" t="b">
        <f>LineærRegression_Valg[[#This Row],[Afhængig variabel ID]]&lt;&gt;LineærRegression_Valg[[#This Row],[Uafhængig variabel ID]]</f>
        <v>1</v>
      </c>
      <c r="E1780" s="45" t="b">
        <f>LineærRegression_Valg[[#This Row],[Afhængig variabel ID]]&lt;=$B$5</f>
        <v>0</v>
      </c>
      <c r="F1780" t="str" cm="1">
        <f t="array" ref="F1780">IF(LineærRegression_Valg[[#This Row],[Indenfor range]],INDEX(DataTitel_liste,LineærRegression_Valg[[#This Row],[Afhængig variabel ID]]),INDEX(DataTitel_liste,1))</f>
        <v>Eksempel 1 (interval)</v>
      </c>
      <c r="G1780" s="45" t="str" cm="1">
        <f t="array" ref="G1780">IF(LineærRegression_Valg[[#This Row],[Indenfor range]],IF(LineærRegression_Valg[[#This Row],[Intet overlap]],INDEX(DataTitel_liste,LineærRegression_Valg[[#This Row],[Uafhængig variabel ID]]),INDEX(DataTitel_liste,IF(LineærRegression_Valg[[#This Row],[Afhængig variabel ID]]=1,2,1))),$B$7)</f>
        <v>Eksempel 2 (interval)</v>
      </c>
      <c r="H1780" s="45">
        <f>_xlfn.AGGREGATE(2,5,LineærRegression_Valg[[#This Row],[Tabel ID]])</f>
        <v>1</v>
      </c>
    </row>
    <row r="1781" spans="1:8" x14ac:dyDescent="0.2">
      <c r="A1781">
        <f>ROW(LineærRegression_Valg[[#This Row],[Tabel ID]])-ROW(LineærRegression_Valg[[#Headers],[Tabel ID]])</f>
        <v>1771</v>
      </c>
      <c r="B1781" s="45">
        <f>ROUNDDOWN((LineærRegression_Valg[[#This Row],[Tabel ID]]-1)/$B$5,0)+1</f>
        <v>443</v>
      </c>
      <c r="C1781" s="45">
        <f t="shared" si="27"/>
        <v>3</v>
      </c>
      <c r="D1781" s="45" t="b">
        <f>LineærRegression_Valg[[#This Row],[Afhængig variabel ID]]&lt;&gt;LineærRegression_Valg[[#This Row],[Uafhængig variabel ID]]</f>
        <v>1</v>
      </c>
      <c r="E1781" s="45" t="b">
        <f>LineærRegression_Valg[[#This Row],[Afhængig variabel ID]]&lt;=$B$5</f>
        <v>0</v>
      </c>
      <c r="F1781" t="str" cm="1">
        <f t="array" ref="F1781">IF(LineærRegression_Valg[[#This Row],[Indenfor range]],INDEX(DataTitel_liste,LineærRegression_Valg[[#This Row],[Afhængig variabel ID]]),INDEX(DataTitel_liste,1))</f>
        <v>Eksempel 1 (interval)</v>
      </c>
      <c r="G1781" s="45" t="str" cm="1">
        <f t="array" ref="G1781">IF(LineærRegression_Valg[[#This Row],[Indenfor range]],IF(LineærRegression_Valg[[#This Row],[Intet overlap]],INDEX(DataTitel_liste,LineærRegression_Valg[[#This Row],[Uafhængig variabel ID]]),INDEX(DataTitel_liste,IF(LineærRegression_Valg[[#This Row],[Afhængig variabel ID]]=1,2,1))),$B$7)</f>
        <v>Eksempel 2 (interval)</v>
      </c>
      <c r="H1781" s="45">
        <f>_xlfn.AGGREGATE(2,5,LineærRegression_Valg[[#This Row],[Tabel ID]])</f>
        <v>1</v>
      </c>
    </row>
    <row r="1782" spans="1:8" x14ac:dyDescent="0.2">
      <c r="A1782">
        <f>ROW(LineærRegression_Valg[[#This Row],[Tabel ID]])-ROW(LineærRegression_Valg[[#Headers],[Tabel ID]])</f>
        <v>1772</v>
      </c>
      <c r="B1782" s="45">
        <f>ROUNDDOWN((LineærRegression_Valg[[#This Row],[Tabel ID]]-1)/$B$5,0)+1</f>
        <v>443</v>
      </c>
      <c r="C1782" s="45">
        <f t="shared" si="27"/>
        <v>4</v>
      </c>
      <c r="D1782" s="45" t="b">
        <f>LineærRegression_Valg[[#This Row],[Afhængig variabel ID]]&lt;&gt;LineærRegression_Valg[[#This Row],[Uafhængig variabel ID]]</f>
        <v>1</v>
      </c>
      <c r="E1782" s="45" t="b">
        <f>LineærRegression_Valg[[#This Row],[Afhængig variabel ID]]&lt;=$B$5</f>
        <v>0</v>
      </c>
      <c r="F1782" t="str" cm="1">
        <f t="array" ref="F1782">IF(LineærRegression_Valg[[#This Row],[Indenfor range]],INDEX(DataTitel_liste,LineærRegression_Valg[[#This Row],[Afhængig variabel ID]]),INDEX(DataTitel_liste,1))</f>
        <v>Eksempel 1 (interval)</v>
      </c>
      <c r="G1782" s="45" t="str" cm="1">
        <f t="array" ref="G1782">IF(LineærRegression_Valg[[#This Row],[Indenfor range]],IF(LineærRegression_Valg[[#This Row],[Intet overlap]],INDEX(DataTitel_liste,LineærRegression_Valg[[#This Row],[Uafhængig variabel ID]]),INDEX(DataTitel_liste,IF(LineærRegression_Valg[[#This Row],[Afhængig variabel ID]]=1,2,1))),$B$7)</f>
        <v>Eksempel 2 (interval)</v>
      </c>
      <c r="H1782" s="45">
        <f>_xlfn.AGGREGATE(2,5,LineærRegression_Valg[[#This Row],[Tabel ID]])</f>
        <v>1</v>
      </c>
    </row>
    <row r="1783" spans="1:8" x14ac:dyDescent="0.2">
      <c r="A1783">
        <f>ROW(LineærRegression_Valg[[#This Row],[Tabel ID]])-ROW(LineærRegression_Valg[[#Headers],[Tabel ID]])</f>
        <v>1773</v>
      </c>
      <c r="B1783" s="45">
        <f>ROUNDDOWN((LineærRegression_Valg[[#This Row],[Tabel ID]]-1)/$B$5,0)+1</f>
        <v>444</v>
      </c>
      <c r="C1783" s="45">
        <f t="shared" si="27"/>
        <v>1</v>
      </c>
      <c r="D1783" s="45" t="b">
        <f>LineærRegression_Valg[[#This Row],[Afhængig variabel ID]]&lt;&gt;LineærRegression_Valg[[#This Row],[Uafhængig variabel ID]]</f>
        <v>1</v>
      </c>
      <c r="E1783" s="45" t="b">
        <f>LineærRegression_Valg[[#This Row],[Afhængig variabel ID]]&lt;=$B$5</f>
        <v>0</v>
      </c>
      <c r="F1783" t="str" cm="1">
        <f t="array" ref="F1783">IF(LineærRegression_Valg[[#This Row],[Indenfor range]],INDEX(DataTitel_liste,LineærRegression_Valg[[#This Row],[Afhængig variabel ID]]),INDEX(DataTitel_liste,1))</f>
        <v>Eksempel 1 (interval)</v>
      </c>
      <c r="G1783" s="45" t="str" cm="1">
        <f t="array" ref="G1783">IF(LineærRegression_Valg[[#This Row],[Indenfor range]],IF(LineærRegression_Valg[[#This Row],[Intet overlap]],INDEX(DataTitel_liste,LineærRegression_Valg[[#This Row],[Uafhængig variabel ID]]),INDEX(DataTitel_liste,IF(LineærRegression_Valg[[#This Row],[Afhængig variabel ID]]=1,2,1))),$B$7)</f>
        <v>Eksempel 2 (interval)</v>
      </c>
      <c r="H1783" s="45">
        <f>_xlfn.AGGREGATE(2,5,LineærRegression_Valg[[#This Row],[Tabel ID]])</f>
        <v>1</v>
      </c>
    </row>
    <row r="1784" spans="1:8" x14ac:dyDescent="0.2">
      <c r="A1784">
        <f>ROW(LineærRegression_Valg[[#This Row],[Tabel ID]])-ROW(LineærRegression_Valg[[#Headers],[Tabel ID]])</f>
        <v>1774</v>
      </c>
      <c r="B1784" s="45">
        <f>ROUNDDOWN((LineærRegression_Valg[[#This Row],[Tabel ID]]-1)/$B$5,0)+1</f>
        <v>444</v>
      </c>
      <c r="C1784" s="45">
        <f t="shared" si="27"/>
        <v>2</v>
      </c>
      <c r="D1784" s="45" t="b">
        <f>LineærRegression_Valg[[#This Row],[Afhængig variabel ID]]&lt;&gt;LineærRegression_Valg[[#This Row],[Uafhængig variabel ID]]</f>
        <v>1</v>
      </c>
      <c r="E1784" s="45" t="b">
        <f>LineærRegression_Valg[[#This Row],[Afhængig variabel ID]]&lt;=$B$5</f>
        <v>0</v>
      </c>
      <c r="F1784" t="str" cm="1">
        <f t="array" ref="F1784">IF(LineærRegression_Valg[[#This Row],[Indenfor range]],INDEX(DataTitel_liste,LineærRegression_Valg[[#This Row],[Afhængig variabel ID]]),INDEX(DataTitel_liste,1))</f>
        <v>Eksempel 1 (interval)</v>
      </c>
      <c r="G1784" s="45" t="str" cm="1">
        <f t="array" ref="G1784">IF(LineærRegression_Valg[[#This Row],[Indenfor range]],IF(LineærRegression_Valg[[#This Row],[Intet overlap]],INDEX(DataTitel_liste,LineærRegression_Valg[[#This Row],[Uafhængig variabel ID]]),INDEX(DataTitel_liste,IF(LineærRegression_Valg[[#This Row],[Afhængig variabel ID]]=1,2,1))),$B$7)</f>
        <v>Eksempel 2 (interval)</v>
      </c>
      <c r="H1784" s="45">
        <f>_xlfn.AGGREGATE(2,5,LineærRegression_Valg[[#This Row],[Tabel ID]])</f>
        <v>1</v>
      </c>
    </row>
    <row r="1785" spans="1:8" x14ac:dyDescent="0.2">
      <c r="A1785">
        <f>ROW(LineærRegression_Valg[[#This Row],[Tabel ID]])-ROW(LineærRegression_Valg[[#Headers],[Tabel ID]])</f>
        <v>1775</v>
      </c>
      <c r="B1785" s="45">
        <f>ROUNDDOWN((LineærRegression_Valg[[#This Row],[Tabel ID]]-1)/$B$5,0)+1</f>
        <v>444</v>
      </c>
      <c r="C1785" s="45">
        <f t="shared" si="27"/>
        <v>3</v>
      </c>
      <c r="D1785" s="45" t="b">
        <f>LineærRegression_Valg[[#This Row],[Afhængig variabel ID]]&lt;&gt;LineærRegression_Valg[[#This Row],[Uafhængig variabel ID]]</f>
        <v>1</v>
      </c>
      <c r="E1785" s="45" t="b">
        <f>LineærRegression_Valg[[#This Row],[Afhængig variabel ID]]&lt;=$B$5</f>
        <v>0</v>
      </c>
      <c r="F1785" t="str" cm="1">
        <f t="array" ref="F1785">IF(LineærRegression_Valg[[#This Row],[Indenfor range]],INDEX(DataTitel_liste,LineærRegression_Valg[[#This Row],[Afhængig variabel ID]]),INDEX(DataTitel_liste,1))</f>
        <v>Eksempel 1 (interval)</v>
      </c>
      <c r="G1785" s="45" t="str" cm="1">
        <f t="array" ref="G1785">IF(LineærRegression_Valg[[#This Row],[Indenfor range]],IF(LineærRegression_Valg[[#This Row],[Intet overlap]],INDEX(DataTitel_liste,LineærRegression_Valg[[#This Row],[Uafhængig variabel ID]]),INDEX(DataTitel_liste,IF(LineærRegression_Valg[[#This Row],[Afhængig variabel ID]]=1,2,1))),$B$7)</f>
        <v>Eksempel 2 (interval)</v>
      </c>
      <c r="H1785" s="45">
        <f>_xlfn.AGGREGATE(2,5,LineærRegression_Valg[[#This Row],[Tabel ID]])</f>
        <v>1</v>
      </c>
    </row>
    <row r="1786" spans="1:8" x14ac:dyDescent="0.2">
      <c r="A1786">
        <f>ROW(LineærRegression_Valg[[#This Row],[Tabel ID]])-ROW(LineærRegression_Valg[[#Headers],[Tabel ID]])</f>
        <v>1776</v>
      </c>
      <c r="B1786" s="45">
        <f>ROUNDDOWN((LineærRegression_Valg[[#This Row],[Tabel ID]]-1)/$B$5,0)+1</f>
        <v>444</v>
      </c>
      <c r="C1786" s="45">
        <f t="shared" si="27"/>
        <v>4</v>
      </c>
      <c r="D1786" s="45" t="b">
        <f>LineærRegression_Valg[[#This Row],[Afhængig variabel ID]]&lt;&gt;LineærRegression_Valg[[#This Row],[Uafhængig variabel ID]]</f>
        <v>1</v>
      </c>
      <c r="E1786" s="45" t="b">
        <f>LineærRegression_Valg[[#This Row],[Afhængig variabel ID]]&lt;=$B$5</f>
        <v>0</v>
      </c>
      <c r="F1786" t="str" cm="1">
        <f t="array" ref="F1786">IF(LineærRegression_Valg[[#This Row],[Indenfor range]],INDEX(DataTitel_liste,LineærRegression_Valg[[#This Row],[Afhængig variabel ID]]),INDEX(DataTitel_liste,1))</f>
        <v>Eksempel 1 (interval)</v>
      </c>
      <c r="G1786" s="45" t="str" cm="1">
        <f t="array" ref="G1786">IF(LineærRegression_Valg[[#This Row],[Indenfor range]],IF(LineærRegression_Valg[[#This Row],[Intet overlap]],INDEX(DataTitel_liste,LineærRegression_Valg[[#This Row],[Uafhængig variabel ID]]),INDEX(DataTitel_liste,IF(LineærRegression_Valg[[#This Row],[Afhængig variabel ID]]=1,2,1))),$B$7)</f>
        <v>Eksempel 2 (interval)</v>
      </c>
      <c r="H1786" s="45">
        <f>_xlfn.AGGREGATE(2,5,LineærRegression_Valg[[#This Row],[Tabel ID]])</f>
        <v>1</v>
      </c>
    </row>
    <row r="1787" spans="1:8" x14ac:dyDescent="0.2">
      <c r="A1787">
        <f>ROW(LineærRegression_Valg[[#This Row],[Tabel ID]])-ROW(LineærRegression_Valg[[#Headers],[Tabel ID]])</f>
        <v>1777</v>
      </c>
      <c r="B1787" s="45">
        <f>ROUNDDOWN((LineærRegression_Valg[[#This Row],[Tabel ID]]-1)/$B$5,0)+1</f>
        <v>445</v>
      </c>
      <c r="C1787" s="45">
        <f t="shared" si="27"/>
        <v>1</v>
      </c>
      <c r="D1787" s="45" t="b">
        <f>LineærRegression_Valg[[#This Row],[Afhængig variabel ID]]&lt;&gt;LineærRegression_Valg[[#This Row],[Uafhængig variabel ID]]</f>
        <v>1</v>
      </c>
      <c r="E1787" s="45" t="b">
        <f>LineærRegression_Valg[[#This Row],[Afhængig variabel ID]]&lt;=$B$5</f>
        <v>0</v>
      </c>
      <c r="F1787" t="str" cm="1">
        <f t="array" ref="F1787">IF(LineærRegression_Valg[[#This Row],[Indenfor range]],INDEX(DataTitel_liste,LineærRegression_Valg[[#This Row],[Afhængig variabel ID]]),INDEX(DataTitel_liste,1))</f>
        <v>Eksempel 1 (interval)</v>
      </c>
      <c r="G1787" s="45" t="str" cm="1">
        <f t="array" ref="G1787">IF(LineærRegression_Valg[[#This Row],[Indenfor range]],IF(LineærRegression_Valg[[#This Row],[Intet overlap]],INDEX(DataTitel_liste,LineærRegression_Valg[[#This Row],[Uafhængig variabel ID]]),INDEX(DataTitel_liste,IF(LineærRegression_Valg[[#This Row],[Afhængig variabel ID]]=1,2,1))),$B$7)</f>
        <v>Eksempel 2 (interval)</v>
      </c>
      <c r="H1787" s="45">
        <f>_xlfn.AGGREGATE(2,5,LineærRegression_Valg[[#This Row],[Tabel ID]])</f>
        <v>1</v>
      </c>
    </row>
    <row r="1788" spans="1:8" x14ac:dyDescent="0.2">
      <c r="A1788">
        <f>ROW(LineærRegression_Valg[[#This Row],[Tabel ID]])-ROW(LineærRegression_Valg[[#Headers],[Tabel ID]])</f>
        <v>1778</v>
      </c>
      <c r="B1788" s="45">
        <f>ROUNDDOWN((LineærRegression_Valg[[#This Row],[Tabel ID]]-1)/$B$5,0)+1</f>
        <v>445</v>
      </c>
      <c r="C1788" s="45">
        <f t="shared" si="27"/>
        <v>2</v>
      </c>
      <c r="D1788" s="45" t="b">
        <f>LineærRegression_Valg[[#This Row],[Afhængig variabel ID]]&lt;&gt;LineærRegression_Valg[[#This Row],[Uafhængig variabel ID]]</f>
        <v>1</v>
      </c>
      <c r="E1788" s="45" t="b">
        <f>LineærRegression_Valg[[#This Row],[Afhængig variabel ID]]&lt;=$B$5</f>
        <v>0</v>
      </c>
      <c r="F1788" t="str" cm="1">
        <f t="array" ref="F1788">IF(LineærRegression_Valg[[#This Row],[Indenfor range]],INDEX(DataTitel_liste,LineærRegression_Valg[[#This Row],[Afhængig variabel ID]]),INDEX(DataTitel_liste,1))</f>
        <v>Eksempel 1 (interval)</v>
      </c>
      <c r="G1788" s="45" t="str" cm="1">
        <f t="array" ref="G1788">IF(LineærRegression_Valg[[#This Row],[Indenfor range]],IF(LineærRegression_Valg[[#This Row],[Intet overlap]],INDEX(DataTitel_liste,LineærRegression_Valg[[#This Row],[Uafhængig variabel ID]]),INDEX(DataTitel_liste,IF(LineærRegression_Valg[[#This Row],[Afhængig variabel ID]]=1,2,1))),$B$7)</f>
        <v>Eksempel 2 (interval)</v>
      </c>
      <c r="H1788" s="45">
        <f>_xlfn.AGGREGATE(2,5,LineærRegression_Valg[[#This Row],[Tabel ID]])</f>
        <v>1</v>
      </c>
    </row>
    <row r="1789" spans="1:8" x14ac:dyDescent="0.2">
      <c r="A1789">
        <f>ROW(LineærRegression_Valg[[#This Row],[Tabel ID]])-ROW(LineærRegression_Valg[[#Headers],[Tabel ID]])</f>
        <v>1779</v>
      </c>
      <c r="B1789" s="45">
        <f>ROUNDDOWN((LineærRegression_Valg[[#This Row],[Tabel ID]]-1)/$B$5,0)+1</f>
        <v>445</v>
      </c>
      <c r="C1789" s="45">
        <f t="shared" si="27"/>
        <v>3</v>
      </c>
      <c r="D1789" s="45" t="b">
        <f>LineærRegression_Valg[[#This Row],[Afhængig variabel ID]]&lt;&gt;LineærRegression_Valg[[#This Row],[Uafhængig variabel ID]]</f>
        <v>1</v>
      </c>
      <c r="E1789" s="45" t="b">
        <f>LineærRegression_Valg[[#This Row],[Afhængig variabel ID]]&lt;=$B$5</f>
        <v>0</v>
      </c>
      <c r="F1789" t="str" cm="1">
        <f t="array" ref="F1789">IF(LineærRegression_Valg[[#This Row],[Indenfor range]],INDEX(DataTitel_liste,LineærRegression_Valg[[#This Row],[Afhængig variabel ID]]),INDEX(DataTitel_liste,1))</f>
        <v>Eksempel 1 (interval)</v>
      </c>
      <c r="G1789" s="45" t="str" cm="1">
        <f t="array" ref="G1789">IF(LineærRegression_Valg[[#This Row],[Indenfor range]],IF(LineærRegression_Valg[[#This Row],[Intet overlap]],INDEX(DataTitel_liste,LineærRegression_Valg[[#This Row],[Uafhængig variabel ID]]),INDEX(DataTitel_liste,IF(LineærRegression_Valg[[#This Row],[Afhængig variabel ID]]=1,2,1))),$B$7)</f>
        <v>Eksempel 2 (interval)</v>
      </c>
      <c r="H1789" s="45">
        <f>_xlfn.AGGREGATE(2,5,LineærRegression_Valg[[#This Row],[Tabel ID]])</f>
        <v>1</v>
      </c>
    </row>
    <row r="1790" spans="1:8" x14ac:dyDescent="0.2">
      <c r="A1790">
        <f>ROW(LineærRegression_Valg[[#This Row],[Tabel ID]])-ROW(LineærRegression_Valg[[#Headers],[Tabel ID]])</f>
        <v>1780</v>
      </c>
      <c r="B1790" s="45">
        <f>ROUNDDOWN((LineærRegression_Valg[[#This Row],[Tabel ID]]-1)/$B$5,0)+1</f>
        <v>445</v>
      </c>
      <c r="C1790" s="45">
        <f t="shared" si="27"/>
        <v>4</v>
      </c>
      <c r="D1790" s="45" t="b">
        <f>LineærRegression_Valg[[#This Row],[Afhængig variabel ID]]&lt;&gt;LineærRegression_Valg[[#This Row],[Uafhængig variabel ID]]</f>
        <v>1</v>
      </c>
      <c r="E1790" s="45" t="b">
        <f>LineærRegression_Valg[[#This Row],[Afhængig variabel ID]]&lt;=$B$5</f>
        <v>0</v>
      </c>
      <c r="F1790" t="str" cm="1">
        <f t="array" ref="F1790">IF(LineærRegression_Valg[[#This Row],[Indenfor range]],INDEX(DataTitel_liste,LineærRegression_Valg[[#This Row],[Afhængig variabel ID]]),INDEX(DataTitel_liste,1))</f>
        <v>Eksempel 1 (interval)</v>
      </c>
      <c r="G1790" s="45" t="str" cm="1">
        <f t="array" ref="G1790">IF(LineærRegression_Valg[[#This Row],[Indenfor range]],IF(LineærRegression_Valg[[#This Row],[Intet overlap]],INDEX(DataTitel_liste,LineærRegression_Valg[[#This Row],[Uafhængig variabel ID]]),INDEX(DataTitel_liste,IF(LineærRegression_Valg[[#This Row],[Afhængig variabel ID]]=1,2,1))),$B$7)</f>
        <v>Eksempel 2 (interval)</v>
      </c>
      <c r="H1790" s="45">
        <f>_xlfn.AGGREGATE(2,5,LineærRegression_Valg[[#This Row],[Tabel ID]])</f>
        <v>1</v>
      </c>
    </row>
    <row r="1791" spans="1:8" x14ac:dyDescent="0.2">
      <c r="A1791">
        <f>ROW(LineærRegression_Valg[[#This Row],[Tabel ID]])-ROW(LineærRegression_Valg[[#Headers],[Tabel ID]])</f>
        <v>1781</v>
      </c>
      <c r="B1791" s="45">
        <f>ROUNDDOWN((LineærRegression_Valg[[#This Row],[Tabel ID]]-1)/$B$5,0)+1</f>
        <v>446</v>
      </c>
      <c r="C1791" s="45">
        <f t="shared" si="27"/>
        <v>1</v>
      </c>
      <c r="D1791" s="45" t="b">
        <f>LineærRegression_Valg[[#This Row],[Afhængig variabel ID]]&lt;&gt;LineærRegression_Valg[[#This Row],[Uafhængig variabel ID]]</f>
        <v>1</v>
      </c>
      <c r="E1791" s="45" t="b">
        <f>LineærRegression_Valg[[#This Row],[Afhængig variabel ID]]&lt;=$B$5</f>
        <v>0</v>
      </c>
      <c r="F1791" t="str" cm="1">
        <f t="array" ref="F1791">IF(LineærRegression_Valg[[#This Row],[Indenfor range]],INDEX(DataTitel_liste,LineærRegression_Valg[[#This Row],[Afhængig variabel ID]]),INDEX(DataTitel_liste,1))</f>
        <v>Eksempel 1 (interval)</v>
      </c>
      <c r="G1791" s="45" t="str" cm="1">
        <f t="array" ref="G1791">IF(LineærRegression_Valg[[#This Row],[Indenfor range]],IF(LineærRegression_Valg[[#This Row],[Intet overlap]],INDEX(DataTitel_liste,LineærRegression_Valg[[#This Row],[Uafhængig variabel ID]]),INDEX(DataTitel_liste,IF(LineærRegression_Valg[[#This Row],[Afhængig variabel ID]]=1,2,1))),$B$7)</f>
        <v>Eksempel 2 (interval)</v>
      </c>
      <c r="H1791" s="45">
        <f>_xlfn.AGGREGATE(2,5,LineærRegression_Valg[[#This Row],[Tabel ID]])</f>
        <v>1</v>
      </c>
    </row>
    <row r="1792" spans="1:8" x14ac:dyDescent="0.2">
      <c r="A1792">
        <f>ROW(LineærRegression_Valg[[#This Row],[Tabel ID]])-ROW(LineærRegression_Valg[[#Headers],[Tabel ID]])</f>
        <v>1782</v>
      </c>
      <c r="B1792" s="45">
        <f>ROUNDDOWN((LineærRegression_Valg[[#This Row],[Tabel ID]]-1)/$B$5,0)+1</f>
        <v>446</v>
      </c>
      <c r="C1792" s="45">
        <f t="shared" si="27"/>
        <v>2</v>
      </c>
      <c r="D1792" s="45" t="b">
        <f>LineærRegression_Valg[[#This Row],[Afhængig variabel ID]]&lt;&gt;LineærRegression_Valg[[#This Row],[Uafhængig variabel ID]]</f>
        <v>1</v>
      </c>
      <c r="E1792" s="45" t="b">
        <f>LineærRegression_Valg[[#This Row],[Afhængig variabel ID]]&lt;=$B$5</f>
        <v>0</v>
      </c>
      <c r="F1792" t="str" cm="1">
        <f t="array" ref="F1792">IF(LineærRegression_Valg[[#This Row],[Indenfor range]],INDEX(DataTitel_liste,LineærRegression_Valg[[#This Row],[Afhængig variabel ID]]),INDEX(DataTitel_liste,1))</f>
        <v>Eksempel 1 (interval)</v>
      </c>
      <c r="G1792" s="45" t="str" cm="1">
        <f t="array" ref="G1792">IF(LineærRegression_Valg[[#This Row],[Indenfor range]],IF(LineærRegression_Valg[[#This Row],[Intet overlap]],INDEX(DataTitel_liste,LineærRegression_Valg[[#This Row],[Uafhængig variabel ID]]),INDEX(DataTitel_liste,IF(LineærRegression_Valg[[#This Row],[Afhængig variabel ID]]=1,2,1))),$B$7)</f>
        <v>Eksempel 2 (interval)</v>
      </c>
      <c r="H1792" s="45">
        <f>_xlfn.AGGREGATE(2,5,LineærRegression_Valg[[#This Row],[Tabel ID]])</f>
        <v>1</v>
      </c>
    </row>
    <row r="1793" spans="1:8" x14ac:dyDescent="0.2">
      <c r="A1793">
        <f>ROW(LineærRegression_Valg[[#This Row],[Tabel ID]])-ROW(LineærRegression_Valg[[#Headers],[Tabel ID]])</f>
        <v>1783</v>
      </c>
      <c r="B1793" s="45">
        <f>ROUNDDOWN((LineærRegression_Valg[[#This Row],[Tabel ID]]-1)/$B$5,0)+1</f>
        <v>446</v>
      </c>
      <c r="C1793" s="45">
        <f t="shared" si="27"/>
        <v>3</v>
      </c>
      <c r="D1793" s="45" t="b">
        <f>LineærRegression_Valg[[#This Row],[Afhængig variabel ID]]&lt;&gt;LineærRegression_Valg[[#This Row],[Uafhængig variabel ID]]</f>
        <v>1</v>
      </c>
      <c r="E1793" s="45" t="b">
        <f>LineærRegression_Valg[[#This Row],[Afhængig variabel ID]]&lt;=$B$5</f>
        <v>0</v>
      </c>
      <c r="F1793" t="str" cm="1">
        <f t="array" ref="F1793">IF(LineærRegression_Valg[[#This Row],[Indenfor range]],INDEX(DataTitel_liste,LineærRegression_Valg[[#This Row],[Afhængig variabel ID]]),INDEX(DataTitel_liste,1))</f>
        <v>Eksempel 1 (interval)</v>
      </c>
      <c r="G1793" s="45" t="str" cm="1">
        <f t="array" ref="G1793">IF(LineærRegression_Valg[[#This Row],[Indenfor range]],IF(LineærRegression_Valg[[#This Row],[Intet overlap]],INDEX(DataTitel_liste,LineærRegression_Valg[[#This Row],[Uafhængig variabel ID]]),INDEX(DataTitel_liste,IF(LineærRegression_Valg[[#This Row],[Afhængig variabel ID]]=1,2,1))),$B$7)</f>
        <v>Eksempel 2 (interval)</v>
      </c>
      <c r="H1793" s="45">
        <f>_xlfn.AGGREGATE(2,5,LineærRegression_Valg[[#This Row],[Tabel ID]])</f>
        <v>1</v>
      </c>
    </row>
    <row r="1794" spans="1:8" x14ac:dyDescent="0.2">
      <c r="A1794">
        <f>ROW(LineærRegression_Valg[[#This Row],[Tabel ID]])-ROW(LineærRegression_Valg[[#Headers],[Tabel ID]])</f>
        <v>1784</v>
      </c>
      <c r="B1794" s="45">
        <f>ROUNDDOWN((LineærRegression_Valg[[#This Row],[Tabel ID]]-1)/$B$5,0)+1</f>
        <v>446</v>
      </c>
      <c r="C1794" s="45">
        <f t="shared" si="27"/>
        <v>4</v>
      </c>
      <c r="D1794" s="45" t="b">
        <f>LineærRegression_Valg[[#This Row],[Afhængig variabel ID]]&lt;&gt;LineærRegression_Valg[[#This Row],[Uafhængig variabel ID]]</f>
        <v>1</v>
      </c>
      <c r="E1794" s="45" t="b">
        <f>LineærRegression_Valg[[#This Row],[Afhængig variabel ID]]&lt;=$B$5</f>
        <v>0</v>
      </c>
      <c r="F1794" t="str" cm="1">
        <f t="array" ref="F1794">IF(LineærRegression_Valg[[#This Row],[Indenfor range]],INDEX(DataTitel_liste,LineærRegression_Valg[[#This Row],[Afhængig variabel ID]]),INDEX(DataTitel_liste,1))</f>
        <v>Eksempel 1 (interval)</v>
      </c>
      <c r="G1794" s="45" t="str" cm="1">
        <f t="array" ref="G1794">IF(LineærRegression_Valg[[#This Row],[Indenfor range]],IF(LineærRegression_Valg[[#This Row],[Intet overlap]],INDEX(DataTitel_liste,LineærRegression_Valg[[#This Row],[Uafhængig variabel ID]]),INDEX(DataTitel_liste,IF(LineærRegression_Valg[[#This Row],[Afhængig variabel ID]]=1,2,1))),$B$7)</f>
        <v>Eksempel 2 (interval)</v>
      </c>
      <c r="H1794" s="45">
        <f>_xlfn.AGGREGATE(2,5,LineærRegression_Valg[[#This Row],[Tabel ID]])</f>
        <v>1</v>
      </c>
    </row>
    <row r="1795" spans="1:8" x14ac:dyDescent="0.2">
      <c r="A1795">
        <f>ROW(LineærRegression_Valg[[#This Row],[Tabel ID]])-ROW(LineærRegression_Valg[[#Headers],[Tabel ID]])</f>
        <v>1785</v>
      </c>
      <c r="B1795" s="45">
        <f>ROUNDDOWN((LineærRegression_Valg[[#This Row],[Tabel ID]]-1)/$B$5,0)+1</f>
        <v>447</v>
      </c>
      <c r="C1795" s="45">
        <f t="shared" si="27"/>
        <v>1</v>
      </c>
      <c r="D1795" s="45" t="b">
        <f>LineærRegression_Valg[[#This Row],[Afhængig variabel ID]]&lt;&gt;LineærRegression_Valg[[#This Row],[Uafhængig variabel ID]]</f>
        <v>1</v>
      </c>
      <c r="E1795" s="45" t="b">
        <f>LineærRegression_Valg[[#This Row],[Afhængig variabel ID]]&lt;=$B$5</f>
        <v>0</v>
      </c>
      <c r="F1795" t="str" cm="1">
        <f t="array" ref="F1795">IF(LineærRegression_Valg[[#This Row],[Indenfor range]],INDEX(DataTitel_liste,LineærRegression_Valg[[#This Row],[Afhængig variabel ID]]),INDEX(DataTitel_liste,1))</f>
        <v>Eksempel 1 (interval)</v>
      </c>
      <c r="G1795" s="45" t="str" cm="1">
        <f t="array" ref="G1795">IF(LineærRegression_Valg[[#This Row],[Indenfor range]],IF(LineærRegression_Valg[[#This Row],[Intet overlap]],INDEX(DataTitel_liste,LineærRegression_Valg[[#This Row],[Uafhængig variabel ID]]),INDEX(DataTitel_liste,IF(LineærRegression_Valg[[#This Row],[Afhængig variabel ID]]=1,2,1))),$B$7)</f>
        <v>Eksempel 2 (interval)</v>
      </c>
      <c r="H1795" s="45">
        <f>_xlfn.AGGREGATE(2,5,LineærRegression_Valg[[#This Row],[Tabel ID]])</f>
        <v>1</v>
      </c>
    </row>
    <row r="1796" spans="1:8" x14ac:dyDescent="0.2">
      <c r="A1796">
        <f>ROW(LineærRegression_Valg[[#This Row],[Tabel ID]])-ROW(LineærRegression_Valg[[#Headers],[Tabel ID]])</f>
        <v>1786</v>
      </c>
      <c r="B1796" s="45">
        <f>ROUNDDOWN((LineærRegression_Valg[[#This Row],[Tabel ID]]-1)/$B$5,0)+1</f>
        <v>447</v>
      </c>
      <c r="C1796" s="45">
        <f t="shared" si="27"/>
        <v>2</v>
      </c>
      <c r="D1796" s="45" t="b">
        <f>LineærRegression_Valg[[#This Row],[Afhængig variabel ID]]&lt;&gt;LineærRegression_Valg[[#This Row],[Uafhængig variabel ID]]</f>
        <v>1</v>
      </c>
      <c r="E1796" s="45" t="b">
        <f>LineærRegression_Valg[[#This Row],[Afhængig variabel ID]]&lt;=$B$5</f>
        <v>0</v>
      </c>
      <c r="F1796" t="str" cm="1">
        <f t="array" ref="F1796">IF(LineærRegression_Valg[[#This Row],[Indenfor range]],INDEX(DataTitel_liste,LineærRegression_Valg[[#This Row],[Afhængig variabel ID]]),INDEX(DataTitel_liste,1))</f>
        <v>Eksempel 1 (interval)</v>
      </c>
      <c r="G1796" s="45" t="str" cm="1">
        <f t="array" ref="G1796">IF(LineærRegression_Valg[[#This Row],[Indenfor range]],IF(LineærRegression_Valg[[#This Row],[Intet overlap]],INDEX(DataTitel_liste,LineærRegression_Valg[[#This Row],[Uafhængig variabel ID]]),INDEX(DataTitel_liste,IF(LineærRegression_Valg[[#This Row],[Afhængig variabel ID]]=1,2,1))),$B$7)</f>
        <v>Eksempel 2 (interval)</v>
      </c>
      <c r="H1796" s="45">
        <f>_xlfn.AGGREGATE(2,5,LineærRegression_Valg[[#This Row],[Tabel ID]])</f>
        <v>1</v>
      </c>
    </row>
    <row r="1797" spans="1:8" x14ac:dyDescent="0.2">
      <c r="A1797">
        <f>ROW(LineærRegression_Valg[[#This Row],[Tabel ID]])-ROW(LineærRegression_Valg[[#Headers],[Tabel ID]])</f>
        <v>1787</v>
      </c>
      <c r="B1797" s="45">
        <f>ROUNDDOWN((LineærRegression_Valg[[#This Row],[Tabel ID]]-1)/$B$5,0)+1</f>
        <v>447</v>
      </c>
      <c r="C1797" s="45">
        <f t="shared" si="27"/>
        <v>3</v>
      </c>
      <c r="D1797" s="45" t="b">
        <f>LineærRegression_Valg[[#This Row],[Afhængig variabel ID]]&lt;&gt;LineærRegression_Valg[[#This Row],[Uafhængig variabel ID]]</f>
        <v>1</v>
      </c>
      <c r="E1797" s="45" t="b">
        <f>LineærRegression_Valg[[#This Row],[Afhængig variabel ID]]&lt;=$B$5</f>
        <v>0</v>
      </c>
      <c r="F1797" t="str" cm="1">
        <f t="array" ref="F1797">IF(LineærRegression_Valg[[#This Row],[Indenfor range]],INDEX(DataTitel_liste,LineærRegression_Valg[[#This Row],[Afhængig variabel ID]]),INDEX(DataTitel_liste,1))</f>
        <v>Eksempel 1 (interval)</v>
      </c>
      <c r="G1797" s="45" t="str" cm="1">
        <f t="array" ref="G1797">IF(LineærRegression_Valg[[#This Row],[Indenfor range]],IF(LineærRegression_Valg[[#This Row],[Intet overlap]],INDEX(DataTitel_liste,LineærRegression_Valg[[#This Row],[Uafhængig variabel ID]]),INDEX(DataTitel_liste,IF(LineærRegression_Valg[[#This Row],[Afhængig variabel ID]]=1,2,1))),$B$7)</f>
        <v>Eksempel 2 (interval)</v>
      </c>
      <c r="H1797" s="45">
        <f>_xlfn.AGGREGATE(2,5,LineærRegression_Valg[[#This Row],[Tabel ID]])</f>
        <v>1</v>
      </c>
    </row>
    <row r="1798" spans="1:8" x14ac:dyDescent="0.2">
      <c r="A1798">
        <f>ROW(LineærRegression_Valg[[#This Row],[Tabel ID]])-ROW(LineærRegression_Valg[[#Headers],[Tabel ID]])</f>
        <v>1788</v>
      </c>
      <c r="B1798" s="45">
        <f>ROUNDDOWN((LineærRegression_Valg[[#This Row],[Tabel ID]]-1)/$B$5,0)+1</f>
        <v>447</v>
      </c>
      <c r="C1798" s="45">
        <f t="shared" si="27"/>
        <v>4</v>
      </c>
      <c r="D1798" s="45" t="b">
        <f>LineærRegression_Valg[[#This Row],[Afhængig variabel ID]]&lt;&gt;LineærRegression_Valg[[#This Row],[Uafhængig variabel ID]]</f>
        <v>1</v>
      </c>
      <c r="E1798" s="45" t="b">
        <f>LineærRegression_Valg[[#This Row],[Afhængig variabel ID]]&lt;=$B$5</f>
        <v>0</v>
      </c>
      <c r="F1798" t="str" cm="1">
        <f t="array" ref="F1798">IF(LineærRegression_Valg[[#This Row],[Indenfor range]],INDEX(DataTitel_liste,LineærRegression_Valg[[#This Row],[Afhængig variabel ID]]),INDEX(DataTitel_liste,1))</f>
        <v>Eksempel 1 (interval)</v>
      </c>
      <c r="G1798" s="45" t="str" cm="1">
        <f t="array" ref="G1798">IF(LineærRegression_Valg[[#This Row],[Indenfor range]],IF(LineærRegression_Valg[[#This Row],[Intet overlap]],INDEX(DataTitel_liste,LineærRegression_Valg[[#This Row],[Uafhængig variabel ID]]),INDEX(DataTitel_liste,IF(LineærRegression_Valg[[#This Row],[Afhængig variabel ID]]=1,2,1))),$B$7)</f>
        <v>Eksempel 2 (interval)</v>
      </c>
      <c r="H1798" s="45">
        <f>_xlfn.AGGREGATE(2,5,LineærRegression_Valg[[#This Row],[Tabel ID]])</f>
        <v>1</v>
      </c>
    </row>
    <row r="1799" spans="1:8" x14ac:dyDescent="0.2">
      <c r="A1799">
        <f>ROW(LineærRegression_Valg[[#This Row],[Tabel ID]])-ROW(LineærRegression_Valg[[#Headers],[Tabel ID]])</f>
        <v>1789</v>
      </c>
      <c r="B1799" s="45">
        <f>ROUNDDOWN((LineærRegression_Valg[[#This Row],[Tabel ID]]-1)/$B$5,0)+1</f>
        <v>448</v>
      </c>
      <c r="C1799" s="45">
        <f t="shared" si="27"/>
        <v>1</v>
      </c>
      <c r="D1799" s="45" t="b">
        <f>LineærRegression_Valg[[#This Row],[Afhængig variabel ID]]&lt;&gt;LineærRegression_Valg[[#This Row],[Uafhængig variabel ID]]</f>
        <v>1</v>
      </c>
      <c r="E1799" s="45" t="b">
        <f>LineærRegression_Valg[[#This Row],[Afhængig variabel ID]]&lt;=$B$5</f>
        <v>0</v>
      </c>
      <c r="F1799" t="str" cm="1">
        <f t="array" ref="F1799">IF(LineærRegression_Valg[[#This Row],[Indenfor range]],INDEX(DataTitel_liste,LineærRegression_Valg[[#This Row],[Afhængig variabel ID]]),INDEX(DataTitel_liste,1))</f>
        <v>Eksempel 1 (interval)</v>
      </c>
      <c r="G1799" s="45" t="str" cm="1">
        <f t="array" ref="G1799">IF(LineærRegression_Valg[[#This Row],[Indenfor range]],IF(LineærRegression_Valg[[#This Row],[Intet overlap]],INDEX(DataTitel_liste,LineærRegression_Valg[[#This Row],[Uafhængig variabel ID]]),INDEX(DataTitel_liste,IF(LineærRegression_Valg[[#This Row],[Afhængig variabel ID]]=1,2,1))),$B$7)</f>
        <v>Eksempel 2 (interval)</v>
      </c>
      <c r="H1799" s="45">
        <f>_xlfn.AGGREGATE(2,5,LineærRegression_Valg[[#This Row],[Tabel ID]])</f>
        <v>1</v>
      </c>
    </row>
    <row r="1800" spans="1:8" x14ac:dyDescent="0.2">
      <c r="A1800">
        <f>ROW(LineærRegression_Valg[[#This Row],[Tabel ID]])-ROW(LineærRegression_Valg[[#Headers],[Tabel ID]])</f>
        <v>1790</v>
      </c>
      <c r="B1800" s="45">
        <f>ROUNDDOWN((LineærRegression_Valg[[#This Row],[Tabel ID]]-1)/$B$5,0)+1</f>
        <v>448</v>
      </c>
      <c r="C1800" s="45">
        <f t="shared" si="27"/>
        <v>2</v>
      </c>
      <c r="D1800" s="45" t="b">
        <f>LineærRegression_Valg[[#This Row],[Afhængig variabel ID]]&lt;&gt;LineærRegression_Valg[[#This Row],[Uafhængig variabel ID]]</f>
        <v>1</v>
      </c>
      <c r="E1800" s="45" t="b">
        <f>LineærRegression_Valg[[#This Row],[Afhængig variabel ID]]&lt;=$B$5</f>
        <v>0</v>
      </c>
      <c r="F1800" t="str" cm="1">
        <f t="array" ref="F1800">IF(LineærRegression_Valg[[#This Row],[Indenfor range]],INDEX(DataTitel_liste,LineærRegression_Valg[[#This Row],[Afhængig variabel ID]]),INDEX(DataTitel_liste,1))</f>
        <v>Eksempel 1 (interval)</v>
      </c>
      <c r="G1800" s="45" t="str" cm="1">
        <f t="array" ref="G1800">IF(LineærRegression_Valg[[#This Row],[Indenfor range]],IF(LineærRegression_Valg[[#This Row],[Intet overlap]],INDEX(DataTitel_liste,LineærRegression_Valg[[#This Row],[Uafhængig variabel ID]]),INDEX(DataTitel_liste,IF(LineærRegression_Valg[[#This Row],[Afhængig variabel ID]]=1,2,1))),$B$7)</f>
        <v>Eksempel 2 (interval)</v>
      </c>
      <c r="H1800" s="45">
        <f>_xlfn.AGGREGATE(2,5,LineærRegression_Valg[[#This Row],[Tabel ID]])</f>
        <v>1</v>
      </c>
    </row>
    <row r="1801" spans="1:8" x14ac:dyDescent="0.2">
      <c r="A1801">
        <f>ROW(LineærRegression_Valg[[#This Row],[Tabel ID]])-ROW(LineærRegression_Valg[[#Headers],[Tabel ID]])</f>
        <v>1791</v>
      </c>
      <c r="B1801" s="45">
        <f>ROUNDDOWN((LineærRegression_Valg[[#This Row],[Tabel ID]]-1)/$B$5,0)+1</f>
        <v>448</v>
      </c>
      <c r="C1801" s="45">
        <f t="shared" si="27"/>
        <v>3</v>
      </c>
      <c r="D1801" s="45" t="b">
        <f>LineærRegression_Valg[[#This Row],[Afhængig variabel ID]]&lt;&gt;LineærRegression_Valg[[#This Row],[Uafhængig variabel ID]]</f>
        <v>1</v>
      </c>
      <c r="E1801" s="45" t="b">
        <f>LineærRegression_Valg[[#This Row],[Afhængig variabel ID]]&lt;=$B$5</f>
        <v>0</v>
      </c>
      <c r="F1801" t="str" cm="1">
        <f t="array" ref="F1801">IF(LineærRegression_Valg[[#This Row],[Indenfor range]],INDEX(DataTitel_liste,LineærRegression_Valg[[#This Row],[Afhængig variabel ID]]),INDEX(DataTitel_liste,1))</f>
        <v>Eksempel 1 (interval)</v>
      </c>
      <c r="G1801" s="45" t="str" cm="1">
        <f t="array" ref="G1801">IF(LineærRegression_Valg[[#This Row],[Indenfor range]],IF(LineærRegression_Valg[[#This Row],[Intet overlap]],INDEX(DataTitel_liste,LineærRegression_Valg[[#This Row],[Uafhængig variabel ID]]),INDEX(DataTitel_liste,IF(LineærRegression_Valg[[#This Row],[Afhængig variabel ID]]=1,2,1))),$B$7)</f>
        <v>Eksempel 2 (interval)</v>
      </c>
      <c r="H1801" s="45">
        <f>_xlfn.AGGREGATE(2,5,LineærRegression_Valg[[#This Row],[Tabel ID]])</f>
        <v>1</v>
      </c>
    </row>
    <row r="1802" spans="1:8" x14ac:dyDescent="0.2">
      <c r="A1802">
        <f>ROW(LineærRegression_Valg[[#This Row],[Tabel ID]])-ROW(LineærRegression_Valg[[#Headers],[Tabel ID]])</f>
        <v>1792</v>
      </c>
      <c r="B1802" s="45">
        <f>ROUNDDOWN((LineærRegression_Valg[[#This Row],[Tabel ID]]-1)/$B$5,0)+1</f>
        <v>448</v>
      </c>
      <c r="C1802" s="45">
        <f t="shared" si="27"/>
        <v>4</v>
      </c>
      <c r="D1802" s="45" t="b">
        <f>LineærRegression_Valg[[#This Row],[Afhængig variabel ID]]&lt;&gt;LineærRegression_Valg[[#This Row],[Uafhængig variabel ID]]</f>
        <v>1</v>
      </c>
      <c r="E1802" s="45" t="b">
        <f>LineærRegression_Valg[[#This Row],[Afhængig variabel ID]]&lt;=$B$5</f>
        <v>0</v>
      </c>
      <c r="F1802" t="str" cm="1">
        <f t="array" ref="F1802">IF(LineærRegression_Valg[[#This Row],[Indenfor range]],INDEX(DataTitel_liste,LineærRegression_Valg[[#This Row],[Afhængig variabel ID]]),INDEX(DataTitel_liste,1))</f>
        <v>Eksempel 1 (interval)</v>
      </c>
      <c r="G1802" s="45" t="str" cm="1">
        <f t="array" ref="G1802">IF(LineærRegression_Valg[[#This Row],[Indenfor range]],IF(LineærRegression_Valg[[#This Row],[Intet overlap]],INDEX(DataTitel_liste,LineærRegression_Valg[[#This Row],[Uafhængig variabel ID]]),INDEX(DataTitel_liste,IF(LineærRegression_Valg[[#This Row],[Afhængig variabel ID]]=1,2,1))),$B$7)</f>
        <v>Eksempel 2 (interval)</v>
      </c>
      <c r="H1802" s="45">
        <f>_xlfn.AGGREGATE(2,5,LineærRegression_Valg[[#This Row],[Tabel ID]])</f>
        <v>1</v>
      </c>
    </row>
    <row r="1803" spans="1:8" x14ac:dyDescent="0.2">
      <c r="A1803">
        <f>ROW(LineærRegression_Valg[[#This Row],[Tabel ID]])-ROW(LineærRegression_Valg[[#Headers],[Tabel ID]])</f>
        <v>1793</v>
      </c>
      <c r="B1803" s="45">
        <f>ROUNDDOWN((LineærRegression_Valg[[#This Row],[Tabel ID]]-1)/$B$5,0)+1</f>
        <v>449</v>
      </c>
      <c r="C1803" s="45">
        <f t="shared" ref="C1803:C1866" si="28">MOD(A1803-1,$B$5)+1</f>
        <v>1</v>
      </c>
      <c r="D1803" s="45" t="b">
        <f>LineærRegression_Valg[[#This Row],[Afhængig variabel ID]]&lt;&gt;LineærRegression_Valg[[#This Row],[Uafhængig variabel ID]]</f>
        <v>1</v>
      </c>
      <c r="E1803" s="45" t="b">
        <f>LineærRegression_Valg[[#This Row],[Afhængig variabel ID]]&lt;=$B$5</f>
        <v>0</v>
      </c>
      <c r="F1803" t="str" cm="1">
        <f t="array" ref="F1803">IF(LineærRegression_Valg[[#This Row],[Indenfor range]],INDEX(DataTitel_liste,LineærRegression_Valg[[#This Row],[Afhængig variabel ID]]),INDEX(DataTitel_liste,1))</f>
        <v>Eksempel 1 (interval)</v>
      </c>
      <c r="G1803" s="45" t="str" cm="1">
        <f t="array" ref="G1803">IF(LineærRegression_Valg[[#This Row],[Indenfor range]],IF(LineærRegression_Valg[[#This Row],[Intet overlap]],INDEX(DataTitel_liste,LineærRegression_Valg[[#This Row],[Uafhængig variabel ID]]),INDEX(DataTitel_liste,IF(LineærRegression_Valg[[#This Row],[Afhængig variabel ID]]=1,2,1))),$B$7)</f>
        <v>Eksempel 2 (interval)</v>
      </c>
      <c r="H1803" s="45">
        <f>_xlfn.AGGREGATE(2,5,LineærRegression_Valg[[#This Row],[Tabel ID]])</f>
        <v>1</v>
      </c>
    </row>
    <row r="1804" spans="1:8" x14ac:dyDescent="0.2">
      <c r="A1804">
        <f>ROW(LineærRegression_Valg[[#This Row],[Tabel ID]])-ROW(LineærRegression_Valg[[#Headers],[Tabel ID]])</f>
        <v>1794</v>
      </c>
      <c r="B1804" s="45">
        <f>ROUNDDOWN((LineærRegression_Valg[[#This Row],[Tabel ID]]-1)/$B$5,0)+1</f>
        <v>449</v>
      </c>
      <c r="C1804" s="45">
        <f t="shared" si="28"/>
        <v>2</v>
      </c>
      <c r="D1804" s="45" t="b">
        <f>LineærRegression_Valg[[#This Row],[Afhængig variabel ID]]&lt;&gt;LineærRegression_Valg[[#This Row],[Uafhængig variabel ID]]</f>
        <v>1</v>
      </c>
      <c r="E1804" s="45" t="b">
        <f>LineærRegression_Valg[[#This Row],[Afhængig variabel ID]]&lt;=$B$5</f>
        <v>0</v>
      </c>
      <c r="F1804" t="str" cm="1">
        <f t="array" ref="F1804">IF(LineærRegression_Valg[[#This Row],[Indenfor range]],INDEX(DataTitel_liste,LineærRegression_Valg[[#This Row],[Afhængig variabel ID]]),INDEX(DataTitel_liste,1))</f>
        <v>Eksempel 1 (interval)</v>
      </c>
      <c r="G1804" s="45" t="str" cm="1">
        <f t="array" ref="G1804">IF(LineærRegression_Valg[[#This Row],[Indenfor range]],IF(LineærRegression_Valg[[#This Row],[Intet overlap]],INDEX(DataTitel_liste,LineærRegression_Valg[[#This Row],[Uafhængig variabel ID]]),INDEX(DataTitel_liste,IF(LineærRegression_Valg[[#This Row],[Afhængig variabel ID]]=1,2,1))),$B$7)</f>
        <v>Eksempel 2 (interval)</v>
      </c>
      <c r="H1804" s="45">
        <f>_xlfn.AGGREGATE(2,5,LineærRegression_Valg[[#This Row],[Tabel ID]])</f>
        <v>1</v>
      </c>
    </row>
    <row r="1805" spans="1:8" x14ac:dyDescent="0.2">
      <c r="A1805">
        <f>ROW(LineærRegression_Valg[[#This Row],[Tabel ID]])-ROW(LineærRegression_Valg[[#Headers],[Tabel ID]])</f>
        <v>1795</v>
      </c>
      <c r="B1805" s="45">
        <f>ROUNDDOWN((LineærRegression_Valg[[#This Row],[Tabel ID]]-1)/$B$5,0)+1</f>
        <v>449</v>
      </c>
      <c r="C1805" s="45">
        <f t="shared" si="28"/>
        <v>3</v>
      </c>
      <c r="D1805" s="45" t="b">
        <f>LineærRegression_Valg[[#This Row],[Afhængig variabel ID]]&lt;&gt;LineærRegression_Valg[[#This Row],[Uafhængig variabel ID]]</f>
        <v>1</v>
      </c>
      <c r="E1805" s="45" t="b">
        <f>LineærRegression_Valg[[#This Row],[Afhængig variabel ID]]&lt;=$B$5</f>
        <v>0</v>
      </c>
      <c r="F1805" t="str" cm="1">
        <f t="array" ref="F1805">IF(LineærRegression_Valg[[#This Row],[Indenfor range]],INDEX(DataTitel_liste,LineærRegression_Valg[[#This Row],[Afhængig variabel ID]]),INDEX(DataTitel_liste,1))</f>
        <v>Eksempel 1 (interval)</v>
      </c>
      <c r="G1805" s="45" t="str" cm="1">
        <f t="array" ref="G1805">IF(LineærRegression_Valg[[#This Row],[Indenfor range]],IF(LineærRegression_Valg[[#This Row],[Intet overlap]],INDEX(DataTitel_liste,LineærRegression_Valg[[#This Row],[Uafhængig variabel ID]]),INDEX(DataTitel_liste,IF(LineærRegression_Valg[[#This Row],[Afhængig variabel ID]]=1,2,1))),$B$7)</f>
        <v>Eksempel 2 (interval)</v>
      </c>
      <c r="H1805" s="45">
        <f>_xlfn.AGGREGATE(2,5,LineærRegression_Valg[[#This Row],[Tabel ID]])</f>
        <v>1</v>
      </c>
    </row>
    <row r="1806" spans="1:8" x14ac:dyDescent="0.2">
      <c r="A1806">
        <f>ROW(LineærRegression_Valg[[#This Row],[Tabel ID]])-ROW(LineærRegression_Valg[[#Headers],[Tabel ID]])</f>
        <v>1796</v>
      </c>
      <c r="B1806" s="45">
        <f>ROUNDDOWN((LineærRegression_Valg[[#This Row],[Tabel ID]]-1)/$B$5,0)+1</f>
        <v>449</v>
      </c>
      <c r="C1806" s="45">
        <f t="shared" si="28"/>
        <v>4</v>
      </c>
      <c r="D1806" s="45" t="b">
        <f>LineærRegression_Valg[[#This Row],[Afhængig variabel ID]]&lt;&gt;LineærRegression_Valg[[#This Row],[Uafhængig variabel ID]]</f>
        <v>1</v>
      </c>
      <c r="E1806" s="45" t="b">
        <f>LineærRegression_Valg[[#This Row],[Afhængig variabel ID]]&lt;=$B$5</f>
        <v>0</v>
      </c>
      <c r="F1806" t="str" cm="1">
        <f t="array" ref="F1806">IF(LineærRegression_Valg[[#This Row],[Indenfor range]],INDEX(DataTitel_liste,LineærRegression_Valg[[#This Row],[Afhængig variabel ID]]),INDEX(DataTitel_liste,1))</f>
        <v>Eksempel 1 (interval)</v>
      </c>
      <c r="G1806" s="45" t="str" cm="1">
        <f t="array" ref="G1806">IF(LineærRegression_Valg[[#This Row],[Indenfor range]],IF(LineærRegression_Valg[[#This Row],[Intet overlap]],INDEX(DataTitel_liste,LineærRegression_Valg[[#This Row],[Uafhængig variabel ID]]),INDEX(DataTitel_liste,IF(LineærRegression_Valg[[#This Row],[Afhængig variabel ID]]=1,2,1))),$B$7)</f>
        <v>Eksempel 2 (interval)</v>
      </c>
      <c r="H1806" s="45">
        <f>_xlfn.AGGREGATE(2,5,LineærRegression_Valg[[#This Row],[Tabel ID]])</f>
        <v>1</v>
      </c>
    </row>
    <row r="1807" spans="1:8" x14ac:dyDescent="0.2">
      <c r="A1807">
        <f>ROW(LineærRegression_Valg[[#This Row],[Tabel ID]])-ROW(LineærRegression_Valg[[#Headers],[Tabel ID]])</f>
        <v>1797</v>
      </c>
      <c r="B1807" s="45">
        <f>ROUNDDOWN((LineærRegression_Valg[[#This Row],[Tabel ID]]-1)/$B$5,0)+1</f>
        <v>450</v>
      </c>
      <c r="C1807" s="45">
        <f t="shared" si="28"/>
        <v>1</v>
      </c>
      <c r="D1807" s="45" t="b">
        <f>LineærRegression_Valg[[#This Row],[Afhængig variabel ID]]&lt;&gt;LineærRegression_Valg[[#This Row],[Uafhængig variabel ID]]</f>
        <v>1</v>
      </c>
      <c r="E1807" s="45" t="b">
        <f>LineærRegression_Valg[[#This Row],[Afhængig variabel ID]]&lt;=$B$5</f>
        <v>0</v>
      </c>
      <c r="F1807" t="str" cm="1">
        <f t="array" ref="F1807">IF(LineærRegression_Valg[[#This Row],[Indenfor range]],INDEX(DataTitel_liste,LineærRegression_Valg[[#This Row],[Afhængig variabel ID]]),INDEX(DataTitel_liste,1))</f>
        <v>Eksempel 1 (interval)</v>
      </c>
      <c r="G1807" s="45" t="str" cm="1">
        <f t="array" ref="G1807">IF(LineærRegression_Valg[[#This Row],[Indenfor range]],IF(LineærRegression_Valg[[#This Row],[Intet overlap]],INDEX(DataTitel_liste,LineærRegression_Valg[[#This Row],[Uafhængig variabel ID]]),INDEX(DataTitel_liste,IF(LineærRegression_Valg[[#This Row],[Afhængig variabel ID]]=1,2,1))),$B$7)</f>
        <v>Eksempel 2 (interval)</v>
      </c>
      <c r="H1807" s="45">
        <f>_xlfn.AGGREGATE(2,5,LineærRegression_Valg[[#This Row],[Tabel ID]])</f>
        <v>1</v>
      </c>
    </row>
    <row r="1808" spans="1:8" x14ac:dyDescent="0.2">
      <c r="A1808">
        <f>ROW(LineærRegression_Valg[[#This Row],[Tabel ID]])-ROW(LineærRegression_Valg[[#Headers],[Tabel ID]])</f>
        <v>1798</v>
      </c>
      <c r="B1808" s="45">
        <f>ROUNDDOWN((LineærRegression_Valg[[#This Row],[Tabel ID]]-1)/$B$5,0)+1</f>
        <v>450</v>
      </c>
      <c r="C1808" s="45">
        <f t="shared" si="28"/>
        <v>2</v>
      </c>
      <c r="D1808" s="45" t="b">
        <f>LineærRegression_Valg[[#This Row],[Afhængig variabel ID]]&lt;&gt;LineærRegression_Valg[[#This Row],[Uafhængig variabel ID]]</f>
        <v>1</v>
      </c>
      <c r="E1808" s="45" t="b">
        <f>LineærRegression_Valg[[#This Row],[Afhængig variabel ID]]&lt;=$B$5</f>
        <v>0</v>
      </c>
      <c r="F1808" t="str" cm="1">
        <f t="array" ref="F1808">IF(LineærRegression_Valg[[#This Row],[Indenfor range]],INDEX(DataTitel_liste,LineærRegression_Valg[[#This Row],[Afhængig variabel ID]]),INDEX(DataTitel_liste,1))</f>
        <v>Eksempel 1 (interval)</v>
      </c>
      <c r="G1808" s="45" t="str" cm="1">
        <f t="array" ref="G1808">IF(LineærRegression_Valg[[#This Row],[Indenfor range]],IF(LineærRegression_Valg[[#This Row],[Intet overlap]],INDEX(DataTitel_liste,LineærRegression_Valg[[#This Row],[Uafhængig variabel ID]]),INDEX(DataTitel_liste,IF(LineærRegression_Valg[[#This Row],[Afhængig variabel ID]]=1,2,1))),$B$7)</f>
        <v>Eksempel 2 (interval)</v>
      </c>
      <c r="H1808" s="45">
        <f>_xlfn.AGGREGATE(2,5,LineærRegression_Valg[[#This Row],[Tabel ID]])</f>
        <v>1</v>
      </c>
    </row>
    <row r="1809" spans="1:8" x14ac:dyDescent="0.2">
      <c r="A1809">
        <f>ROW(LineærRegression_Valg[[#This Row],[Tabel ID]])-ROW(LineærRegression_Valg[[#Headers],[Tabel ID]])</f>
        <v>1799</v>
      </c>
      <c r="B1809" s="45">
        <f>ROUNDDOWN((LineærRegression_Valg[[#This Row],[Tabel ID]]-1)/$B$5,0)+1</f>
        <v>450</v>
      </c>
      <c r="C1809" s="45">
        <f t="shared" si="28"/>
        <v>3</v>
      </c>
      <c r="D1809" s="45" t="b">
        <f>LineærRegression_Valg[[#This Row],[Afhængig variabel ID]]&lt;&gt;LineærRegression_Valg[[#This Row],[Uafhængig variabel ID]]</f>
        <v>1</v>
      </c>
      <c r="E1809" s="45" t="b">
        <f>LineærRegression_Valg[[#This Row],[Afhængig variabel ID]]&lt;=$B$5</f>
        <v>0</v>
      </c>
      <c r="F1809" t="str" cm="1">
        <f t="array" ref="F1809">IF(LineærRegression_Valg[[#This Row],[Indenfor range]],INDEX(DataTitel_liste,LineærRegression_Valg[[#This Row],[Afhængig variabel ID]]),INDEX(DataTitel_liste,1))</f>
        <v>Eksempel 1 (interval)</v>
      </c>
      <c r="G1809" s="45" t="str" cm="1">
        <f t="array" ref="G1809">IF(LineærRegression_Valg[[#This Row],[Indenfor range]],IF(LineærRegression_Valg[[#This Row],[Intet overlap]],INDEX(DataTitel_liste,LineærRegression_Valg[[#This Row],[Uafhængig variabel ID]]),INDEX(DataTitel_liste,IF(LineærRegression_Valg[[#This Row],[Afhængig variabel ID]]=1,2,1))),$B$7)</f>
        <v>Eksempel 2 (interval)</v>
      </c>
      <c r="H1809" s="45">
        <f>_xlfn.AGGREGATE(2,5,LineærRegression_Valg[[#This Row],[Tabel ID]])</f>
        <v>1</v>
      </c>
    </row>
    <row r="1810" spans="1:8" x14ac:dyDescent="0.2">
      <c r="A1810">
        <f>ROW(LineærRegression_Valg[[#This Row],[Tabel ID]])-ROW(LineærRegression_Valg[[#Headers],[Tabel ID]])</f>
        <v>1800</v>
      </c>
      <c r="B1810" s="45">
        <f>ROUNDDOWN((LineærRegression_Valg[[#This Row],[Tabel ID]]-1)/$B$5,0)+1</f>
        <v>450</v>
      </c>
      <c r="C1810" s="45">
        <f t="shared" si="28"/>
        <v>4</v>
      </c>
      <c r="D1810" s="45" t="b">
        <f>LineærRegression_Valg[[#This Row],[Afhængig variabel ID]]&lt;&gt;LineærRegression_Valg[[#This Row],[Uafhængig variabel ID]]</f>
        <v>1</v>
      </c>
      <c r="E1810" s="45" t="b">
        <f>LineærRegression_Valg[[#This Row],[Afhængig variabel ID]]&lt;=$B$5</f>
        <v>0</v>
      </c>
      <c r="F1810" t="str" cm="1">
        <f t="array" ref="F1810">IF(LineærRegression_Valg[[#This Row],[Indenfor range]],INDEX(DataTitel_liste,LineærRegression_Valg[[#This Row],[Afhængig variabel ID]]),INDEX(DataTitel_liste,1))</f>
        <v>Eksempel 1 (interval)</v>
      </c>
      <c r="G1810" s="45" t="str" cm="1">
        <f t="array" ref="G1810">IF(LineærRegression_Valg[[#This Row],[Indenfor range]],IF(LineærRegression_Valg[[#This Row],[Intet overlap]],INDEX(DataTitel_liste,LineærRegression_Valg[[#This Row],[Uafhængig variabel ID]]),INDEX(DataTitel_liste,IF(LineærRegression_Valg[[#This Row],[Afhængig variabel ID]]=1,2,1))),$B$7)</f>
        <v>Eksempel 2 (interval)</v>
      </c>
      <c r="H1810" s="45">
        <f>_xlfn.AGGREGATE(2,5,LineærRegression_Valg[[#This Row],[Tabel ID]])</f>
        <v>1</v>
      </c>
    </row>
    <row r="1811" spans="1:8" x14ac:dyDescent="0.2">
      <c r="A1811">
        <f>ROW(LineærRegression_Valg[[#This Row],[Tabel ID]])-ROW(LineærRegression_Valg[[#Headers],[Tabel ID]])</f>
        <v>1801</v>
      </c>
      <c r="B1811" s="45">
        <f>ROUNDDOWN((LineærRegression_Valg[[#This Row],[Tabel ID]]-1)/$B$5,0)+1</f>
        <v>451</v>
      </c>
      <c r="C1811" s="45">
        <f t="shared" si="28"/>
        <v>1</v>
      </c>
      <c r="D1811" s="45" t="b">
        <f>LineærRegression_Valg[[#This Row],[Afhængig variabel ID]]&lt;&gt;LineærRegression_Valg[[#This Row],[Uafhængig variabel ID]]</f>
        <v>1</v>
      </c>
      <c r="E1811" s="45" t="b">
        <f>LineærRegression_Valg[[#This Row],[Afhængig variabel ID]]&lt;=$B$5</f>
        <v>0</v>
      </c>
      <c r="F1811" t="str" cm="1">
        <f t="array" ref="F1811">IF(LineærRegression_Valg[[#This Row],[Indenfor range]],INDEX(DataTitel_liste,LineærRegression_Valg[[#This Row],[Afhængig variabel ID]]),INDEX(DataTitel_liste,1))</f>
        <v>Eksempel 1 (interval)</v>
      </c>
      <c r="G1811" s="45" t="str" cm="1">
        <f t="array" ref="G1811">IF(LineærRegression_Valg[[#This Row],[Indenfor range]],IF(LineærRegression_Valg[[#This Row],[Intet overlap]],INDEX(DataTitel_liste,LineærRegression_Valg[[#This Row],[Uafhængig variabel ID]]),INDEX(DataTitel_liste,IF(LineærRegression_Valg[[#This Row],[Afhængig variabel ID]]=1,2,1))),$B$7)</f>
        <v>Eksempel 2 (interval)</v>
      </c>
      <c r="H1811" s="45">
        <f>_xlfn.AGGREGATE(2,5,LineærRegression_Valg[[#This Row],[Tabel ID]])</f>
        <v>1</v>
      </c>
    </row>
    <row r="1812" spans="1:8" x14ac:dyDescent="0.2">
      <c r="A1812">
        <f>ROW(LineærRegression_Valg[[#This Row],[Tabel ID]])-ROW(LineærRegression_Valg[[#Headers],[Tabel ID]])</f>
        <v>1802</v>
      </c>
      <c r="B1812" s="45">
        <f>ROUNDDOWN((LineærRegression_Valg[[#This Row],[Tabel ID]]-1)/$B$5,0)+1</f>
        <v>451</v>
      </c>
      <c r="C1812" s="45">
        <f t="shared" si="28"/>
        <v>2</v>
      </c>
      <c r="D1812" s="45" t="b">
        <f>LineærRegression_Valg[[#This Row],[Afhængig variabel ID]]&lt;&gt;LineærRegression_Valg[[#This Row],[Uafhængig variabel ID]]</f>
        <v>1</v>
      </c>
      <c r="E1812" s="45" t="b">
        <f>LineærRegression_Valg[[#This Row],[Afhængig variabel ID]]&lt;=$B$5</f>
        <v>0</v>
      </c>
      <c r="F1812" t="str" cm="1">
        <f t="array" ref="F1812">IF(LineærRegression_Valg[[#This Row],[Indenfor range]],INDEX(DataTitel_liste,LineærRegression_Valg[[#This Row],[Afhængig variabel ID]]),INDEX(DataTitel_liste,1))</f>
        <v>Eksempel 1 (interval)</v>
      </c>
      <c r="G1812" s="45" t="str" cm="1">
        <f t="array" ref="G1812">IF(LineærRegression_Valg[[#This Row],[Indenfor range]],IF(LineærRegression_Valg[[#This Row],[Intet overlap]],INDEX(DataTitel_liste,LineærRegression_Valg[[#This Row],[Uafhængig variabel ID]]),INDEX(DataTitel_liste,IF(LineærRegression_Valg[[#This Row],[Afhængig variabel ID]]=1,2,1))),$B$7)</f>
        <v>Eksempel 2 (interval)</v>
      </c>
      <c r="H1812" s="45">
        <f>_xlfn.AGGREGATE(2,5,LineærRegression_Valg[[#This Row],[Tabel ID]])</f>
        <v>1</v>
      </c>
    </row>
    <row r="1813" spans="1:8" x14ac:dyDescent="0.2">
      <c r="A1813">
        <f>ROW(LineærRegression_Valg[[#This Row],[Tabel ID]])-ROW(LineærRegression_Valg[[#Headers],[Tabel ID]])</f>
        <v>1803</v>
      </c>
      <c r="B1813" s="45">
        <f>ROUNDDOWN((LineærRegression_Valg[[#This Row],[Tabel ID]]-1)/$B$5,0)+1</f>
        <v>451</v>
      </c>
      <c r="C1813" s="45">
        <f t="shared" si="28"/>
        <v>3</v>
      </c>
      <c r="D1813" s="45" t="b">
        <f>LineærRegression_Valg[[#This Row],[Afhængig variabel ID]]&lt;&gt;LineærRegression_Valg[[#This Row],[Uafhængig variabel ID]]</f>
        <v>1</v>
      </c>
      <c r="E1813" s="45" t="b">
        <f>LineærRegression_Valg[[#This Row],[Afhængig variabel ID]]&lt;=$B$5</f>
        <v>0</v>
      </c>
      <c r="F1813" t="str" cm="1">
        <f t="array" ref="F1813">IF(LineærRegression_Valg[[#This Row],[Indenfor range]],INDEX(DataTitel_liste,LineærRegression_Valg[[#This Row],[Afhængig variabel ID]]),INDEX(DataTitel_liste,1))</f>
        <v>Eksempel 1 (interval)</v>
      </c>
      <c r="G1813" s="45" t="str" cm="1">
        <f t="array" ref="G1813">IF(LineærRegression_Valg[[#This Row],[Indenfor range]],IF(LineærRegression_Valg[[#This Row],[Intet overlap]],INDEX(DataTitel_liste,LineærRegression_Valg[[#This Row],[Uafhængig variabel ID]]),INDEX(DataTitel_liste,IF(LineærRegression_Valg[[#This Row],[Afhængig variabel ID]]=1,2,1))),$B$7)</f>
        <v>Eksempel 2 (interval)</v>
      </c>
      <c r="H1813" s="45">
        <f>_xlfn.AGGREGATE(2,5,LineærRegression_Valg[[#This Row],[Tabel ID]])</f>
        <v>1</v>
      </c>
    </row>
    <row r="1814" spans="1:8" x14ac:dyDescent="0.2">
      <c r="A1814">
        <f>ROW(LineærRegression_Valg[[#This Row],[Tabel ID]])-ROW(LineærRegression_Valg[[#Headers],[Tabel ID]])</f>
        <v>1804</v>
      </c>
      <c r="B1814" s="45">
        <f>ROUNDDOWN((LineærRegression_Valg[[#This Row],[Tabel ID]]-1)/$B$5,0)+1</f>
        <v>451</v>
      </c>
      <c r="C1814" s="45">
        <f t="shared" si="28"/>
        <v>4</v>
      </c>
      <c r="D1814" s="45" t="b">
        <f>LineærRegression_Valg[[#This Row],[Afhængig variabel ID]]&lt;&gt;LineærRegression_Valg[[#This Row],[Uafhængig variabel ID]]</f>
        <v>1</v>
      </c>
      <c r="E1814" s="45" t="b">
        <f>LineærRegression_Valg[[#This Row],[Afhængig variabel ID]]&lt;=$B$5</f>
        <v>0</v>
      </c>
      <c r="F1814" t="str" cm="1">
        <f t="array" ref="F1814">IF(LineærRegression_Valg[[#This Row],[Indenfor range]],INDEX(DataTitel_liste,LineærRegression_Valg[[#This Row],[Afhængig variabel ID]]),INDEX(DataTitel_liste,1))</f>
        <v>Eksempel 1 (interval)</v>
      </c>
      <c r="G1814" s="45" t="str" cm="1">
        <f t="array" ref="G1814">IF(LineærRegression_Valg[[#This Row],[Indenfor range]],IF(LineærRegression_Valg[[#This Row],[Intet overlap]],INDEX(DataTitel_liste,LineærRegression_Valg[[#This Row],[Uafhængig variabel ID]]),INDEX(DataTitel_liste,IF(LineærRegression_Valg[[#This Row],[Afhængig variabel ID]]=1,2,1))),$B$7)</f>
        <v>Eksempel 2 (interval)</v>
      </c>
      <c r="H1814" s="45">
        <f>_xlfn.AGGREGATE(2,5,LineærRegression_Valg[[#This Row],[Tabel ID]])</f>
        <v>1</v>
      </c>
    </row>
    <row r="1815" spans="1:8" x14ac:dyDescent="0.2">
      <c r="A1815">
        <f>ROW(LineærRegression_Valg[[#This Row],[Tabel ID]])-ROW(LineærRegression_Valg[[#Headers],[Tabel ID]])</f>
        <v>1805</v>
      </c>
      <c r="B1815" s="45">
        <f>ROUNDDOWN((LineærRegression_Valg[[#This Row],[Tabel ID]]-1)/$B$5,0)+1</f>
        <v>452</v>
      </c>
      <c r="C1815" s="45">
        <f t="shared" si="28"/>
        <v>1</v>
      </c>
      <c r="D1815" s="45" t="b">
        <f>LineærRegression_Valg[[#This Row],[Afhængig variabel ID]]&lt;&gt;LineærRegression_Valg[[#This Row],[Uafhængig variabel ID]]</f>
        <v>1</v>
      </c>
      <c r="E1815" s="45" t="b">
        <f>LineærRegression_Valg[[#This Row],[Afhængig variabel ID]]&lt;=$B$5</f>
        <v>0</v>
      </c>
      <c r="F1815" t="str" cm="1">
        <f t="array" ref="F1815">IF(LineærRegression_Valg[[#This Row],[Indenfor range]],INDEX(DataTitel_liste,LineærRegression_Valg[[#This Row],[Afhængig variabel ID]]),INDEX(DataTitel_liste,1))</f>
        <v>Eksempel 1 (interval)</v>
      </c>
      <c r="G1815" s="45" t="str" cm="1">
        <f t="array" ref="G1815">IF(LineærRegression_Valg[[#This Row],[Indenfor range]],IF(LineærRegression_Valg[[#This Row],[Intet overlap]],INDEX(DataTitel_liste,LineærRegression_Valg[[#This Row],[Uafhængig variabel ID]]),INDEX(DataTitel_liste,IF(LineærRegression_Valg[[#This Row],[Afhængig variabel ID]]=1,2,1))),$B$7)</f>
        <v>Eksempel 2 (interval)</v>
      </c>
      <c r="H1815" s="45">
        <f>_xlfn.AGGREGATE(2,5,LineærRegression_Valg[[#This Row],[Tabel ID]])</f>
        <v>1</v>
      </c>
    </row>
    <row r="1816" spans="1:8" x14ac:dyDescent="0.2">
      <c r="A1816">
        <f>ROW(LineærRegression_Valg[[#This Row],[Tabel ID]])-ROW(LineærRegression_Valg[[#Headers],[Tabel ID]])</f>
        <v>1806</v>
      </c>
      <c r="B1816" s="45">
        <f>ROUNDDOWN((LineærRegression_Valg[[#This Row],[Tabel ID]]-1)/$B$5,0)+1</f>
        <v>452</v>
      </c>
      <c r="C1816" s="45">
        <f t="shared" si="28"/>
        <v>2</v>
      </c>
      <c r="D1816" s="45" t="b">
        <f>LineærRegression_Valg[[#This Row],[Afhængig variabel ID]]&lt;&gt;LineærRegression_Valg[[#This Row],[Uafhængig variabel ID]]</f>
        <v>1</v>
      </c>
      <c r="E1816" s="45" t="b">
        <f>LineærRegression_Valg[[#This Row],[Afhængig variabel ID]]&lt;=$B$5</f>
        <v>0</v>
      </c>
      <c r="F1816" t="str" cm="1">
        <f t="array" ref="F1816">IF(LineærRegression_Valg[[#This Row],[Indenfor range]],INDEX(DataTitel_liste,LineærRegression_Valg[[#This Row],[Afhængig variabel ID]]),INDEX(DataTitel_liste,1))</f>
        <v>Eksempel 1 (interval)</v>
      </c>
      <c r="G1816" s="45" t="str" cm="1">
        <f t="array" ref="G1816">IF(LineærRegression_Valg[[#This Row],[Indenfor range]],IF(LineærRegression_Valg[[#This Row],[Intet overlap]],INDEX(DataTitel_liste,LineærRegression_Valg[[#This Row],[Uafhængig variabel ID]]),INDEX(DataTitel_liste,IF(LineærRegression_Valg[[#This Row],[Afhængig variabel ID]]=1,2,1))),$B$7)</f>
        <v>Eksempel 2 (interval)</v>
      </c>
      <c r="H1816" s="45">
        <f>_xlfn.AGGREGATE(2,5,LineærRegression_Valg[[#This Row],[Tabel ID]])</f>
        <v>1</v>
      </c>
    </row>
    <row r="1817" spans="1:8" x14ac:dyDescent="0.2">
      <c r="A1817">
        <f>ROW(LineærRegression_Valg[[#This Row],[Tabel ID]])-ROW(LineærRegression_Valg[[#Headers],[Tabel ID]])</f>
        <v>1807</v>
      </c>
      <c r="B1817" s="45">
        <f>ROUNDDOWN((LineærRegression_Valg[[#This Row],[Tabel ID]]-1)/$B$5,0)+1</f>
        <v>452</v>
      </c>
      <c r="C1817" s="45">
        <f t="shared" si="28"/>
        <v>3</v>
      </c>
      <c r="D1817" s="45" t="b">
        <f>LineærRegression_Valg[[#This Row],[Afhængig variabel ID]]&lt;&gt;LineærRegression_Valg[[#This Row],[Uafhængig variabel ID]]</f>
        <v>1</v>
      </c>
      <c r="E1817" s="45" t="b">
        <f>LineærRegression_Valg[[#This Row],[Afhængig variabel ID]]&lt;=$B$5</f>
        <v>0</v>
      </c>
      <c r="F1817" t="str" cm="1">
        <f t="array" ref="F1817">IF(LineærRegression_Valg[[#This Row],[Indenfor range]],INDEX(DataTitel_liste,LineærRegression_Valg[[#This Row],[Afhængig variabel ID]]),INDEX(DataTitel_liste,1))</f>
        <v>Eksempel 1 (interval)</v>
      </c>
      <c r="G1817" s="45" t="str" cm="1">
        <f t="array" ref="G1817">IF(LineærRegression_Valg[[#This Row],[Indenfor range]],IF(LineærRegression_Valg[[#This Row],[Intet overlap]],INDEX(DataTitel_liste,LineærRegression_Valg[[#This Row],[Uafhængig variabel ID]]),INDEX(DataTitel_liste,IF(LineærRegression_Valg[[#This Row],[Afhængig variabel ID]]=1,2,1))),$B$7)</f>
        <v>Eksempel 2 (interval)</v>
      </c>
      <c r="H1817" s="45">
        <f>_xlfn.AGGREGATE(2,5,LineærRegression_Valg[[#This Row],[Tabel ID]])</f>
        <v>1</v>
      </c>
    </row>
    <row r="1818" spans="1:8" x14ac:dyDescent="0.2">
      <c r="A1818">
        <f>ROW(LineærRegression_Valg[[#This Row],[Tabel ID]])-ROW(LineærRegression_Valg[[#Headers],[Tabel ID]])</f>
        <v>1808</v>
      </c>
      <c r="B1818" s="45">
        <f>ROUNDDOWN((LineærRegression_Valg[[#This Row],[Tabel ID]]-1)/$B$5,0)+1</f>
        <v>452</v>
      </c>
      <c r="C1818" s="45">
        <f t="shared" si="28"/>
        <v>4</v>
      </c>
      <c r="D1818" s="45" t="b">
        <f>LineærRegression_Valg[[#This Row],[Afhængig variabel ID]]&lt;&gt;LineærRegression_Valg[[#This Row],[Uafhængig variabel ID]]</f>
        <v>1</v>
      </c>
      <c r="E1818" s="45" t="b">
        <f>LineærRegression_Valg[[#This Row],[Afhængig variabel ID]]&lt;=$B$5</f>
        <v>0</v>
      </c>
      <c r="F1818" t="str" cm="1">
        <f t="array" ref="F1818">IF(LineærRegression_Valg[[#This Row],[Indenfor range]],INDEX(DataTitel_liste,LineærRegression_Valg[[#This Row],[Afhængig variabel ID]]),INDEX(DataTitel_liste,1))</f>
        <v>Eksempel 1 (interval)</v>
      </c>
      <c r="G1818" s="45" t="str" cm="1">
        <f t="array" ref="G1818">IF(LineærRegression_Valg[[#This Row],[Indenfor range]],IF(LineærRegression_Valg[[#This Row],[Intet overlap]],INDEX(DataTitel_liste,LineærRegression_Valg[[#This Row],[Uafhængig variabel ID]]),INDEX(DataTitel_liste,IF(LineærRegression_Valg[[#This Row],[Afhængig variabel ID]]=1,2,1))),$B$7)</f>
        <v>Eksempel 2 (interval)</v>
      </c>
      <c r="H1818" s="45">
        <f>_xlfn.AGGREGATE(2,5,LineærRegression_Valg[[#This Row],[Tabel ID]])</f>
        <v>1</v>
      </c>
    </row>
    <row r="1819" spans="1:8" x14ac:dyDescent="0.2">
      <c r="A1819">
        <f>ROW(LineærRegression_Valg[[#This Row],[Tabel ID]])-ROW(LineærRegression_Valg[[#Headers],[Tabel ID]])</f>
        <v>1809</v>
      </c>
      <c r="B1819" s="45">
        <f>ROUNDDOWN((LineærRegression_Valg[[#This Row],[Tabel ID]]-1)/$B$5,0)+1</f>
        <v>453</v>
      </c>
      <c r="C1819" s="45">
        <f t="shared" si="28"/>
        <v>1</v>
      </c>
      <c r="D1819" s="45" t="b">
        <f>LineærRegression_Valg[[#This Row],[Afhængig variabel ID]]&lt;&gt;LineærRegression_Valg[[#This Row],[Uafhængig variabel ID]]</f>
        <v>1</v>
      </c>
      <c r="E1819" s="45" t="b">
        <f>LineærRegression_Valg[[#This Row],[Afhængig variabel ID]]&lt;=$B$5</f>
        <v>0</v>
      </c>
      <c r="F1819" t="str" cm="1">
        <f t="array" ref="F1819">IF(LineærRegression_Valg[[#This Row],[Indenfor range]],INDEX(DataTitel_liste,LineærRegression_Valg[[#This Row],[Afhængig variabel ID]]),INDEX(DataTitel_liste,1))</f>
        <v>Eksempel 1 (interval)</v>
      </c>
      <c r="G1819" s="45" t="str" cm="1">
        <f t="array" ref="G1819">IF(LineærRegression_Valg[[#This Row],[Indenfor range]],IF(LineærRegression_Valg[[#This Row],[Intet overlap]],INDEX(DataTitel_liste,LineærRegression_Valg[[#This Row],[Uafhængig variabel ID]]),INDEX(DataTitel_liste,IF(LineærRegression_Valg[[#This Row],[Afhængig variabel ID]]=1,2,1))),$B$7)</f>
        <v>Eksempel 2 (interval)</v>
      </c>
      <c r="H1819" s="45">
        <f>_xlfn.AGGREGATE(2,5,LineærRegression_Valg[[#This Row],[Tabel ID]])</f>
        <v>1</v>
      </c>
    </row>
    <row r="1820" spans="1:8" x14ac:dyDescent="0.2">
      <c r="A1820">
        <f>ROW(LineærRegression_Valg[[#This Row],[Tabel ID]])-ROW(LineærRegression_Valg[[#Headers],[Tabel ID]])</f>
        <v>1810</v>
      </c>
      <c r="B1820" s="45">
        <f>ROUNDDOWN((LineærRegression_Valg[[#This Row],[Tabel ID]]-1)/$B$5,0)+1</f>
        <v>453</v>
      </c>
      <c r="C1820" s="45">
        <f t="shared" si="28"/>
        <v>2</v>
      </c>
      <c r="D1820" s="45" t="b">
        <f>LineærRegression_Valg[[#This Row],[Afhængig variabel ID]]&lt;&gt;LineærRegression_Valg[[#This Row],[Uafhængig variabel ID]]</f>
        <v>1</v>
      </c>
      <c r="E1820" s="45" t="b">
        <f>LineærRegression_Valg[[#This Row],[Afhængig variabel ID]]&lt;=$B$5</f>
        <v>0</v>
      </c>
      <c r="F1820" t="str" cm="1">
        <f t="array" ref="F1820">IF(LineærRegression_Valg[[#This Row],[Indenfor range]],INDEX(DataTitel_liste,LineærRegression_Valg[[#This Row],[Afhængig variabel ID]]),INDEX(DataTitel_liste,1))</f>
        <v>Eksempel 1 (interval)</v>
      </c>
      <c r="G1820" s="45" t="str" cm="1">
        <f t="array" ref="G1820">IF(LineærRegression_Valg[[#This Row],[Indenfor range]],IF(LineærRegression_Valg[[#This Row],[Intet overlap]],INDEX(DataTitel_liste,LineærRegression_Valg[[#This Row],[Uafhængig variabel ID]]),INDEX(DataTitel_liste,IF(LineærRegression_Valg[[#This Row],[Afhængig variabel ID]]=1,2,1))),$B$7)</f>
        <v>Eksempel 2 (interval)</v>
      </c>
      <c r="H1820" s="45">
        <f>_xlfn.AGGREGATE(2,5,LineærRegression_Valg[[#This Row],[Tabel ID]])</f>
        <v>1</v>
      </c>
    </row>
    <row r="1821" spans="1:8" x14ac:dyDescent="0.2">
      <c r="A1821">
        <f>ROW(LineærRegression_Valg[[#This Row],[Tabel ID]])-ROW(LineærRegression_Valg[[#Headers],[Tabel ID]])</f>
        <v>1811</v>
      </c>
      <c r="B1821" s="45">
        <f>ROUNDDOWN((LineærRegression_Valg[[#This Row],[Tabel ID]]-1)/$B$5,0)+1</f>
        <v>453</v>
      </c>
      <c r="C1821" s="45">
        <f t="shared" si="28"/>
        <v>3</v>
      </c>
      <c r="D1821" s="45" t="b">
        <f>LineærRegression_Valg[[#This Row],[Afhængig variabel ID]]&lt;&gt;LineærRegression_Valg[[#This Row],[Uafhængig variabel ID]]</f>
        <v>1</v>
      </c>
      <c r="E1821" s="45" t="b">
        <f>LineærRegression_Valg[[#This Row],[Afhængig variabel ID]]&lt;=$B$5</f>
        <v>0</v>
      </c>
      <c r="F1821" t="str" cm="1">
        <f t="array" ref="F1821">IF(LineærRegression_Valg[[#This Row],[Indenfor range]],INDEX(DataTitel_liste,LineærRegression_Valg[[#This Row],[Afhængig variabel ID]]),INDEX(DataTitel_liste,1))</f>
        <v>Eksempel 1 (interval)</v>
      </c>
      <c r="G1821" s="45" t="str" cm="1">
        <f t="array" ref="G1821">IF(LineærRegression_Valg[[#This Row],[Indenfor range]],IF(LineærRegression_Valg[[#This Row],[Intet overlap]],INDEX(DataTitel_liste,LineærRegression_Valg[[#This Row],[Uafhængig variabel ID]]),INDEX(DataTitel_liste,IF(LineærRegression_Valg[[#This Row],[Afhængig variabel ID]]=1,2,1))),$B$7)</f>
        <v>Eksempel 2 (interval)</v>
      </c>
      <c r="H1821" s="45">
        <f>_xlfn.AGGREGATE(2,5,LineærRegression_Valg[[#This Row],[Tabel ID]])</f>
        <v>1</v>
      </c>
    </row>
    <row r="1822" spans="1:8" x14ac:dyDescent="0.2">
      <c r="A1822">
        <f>ROW(LineærRegression_Valg[[#This Row],[Tabel ID]])-ROW(LineærRegression_Valg[[#Headers],[Tabel ID]])</f>
        <v>1812</v>
      </c>
      <c r="B1822" s="45">
        <f>ROUNDDOWN((LineærRegression_Valg[[#This Row],[Tabel ID]]-1)/$B$5,0)+1</f>
        <v>453</v>
      </c>
      <c r="C1822" s="45">
        <f t="shared" si="28"/>
        <v>4</v>
      </c>
      <c r="D1822" s="45" t="b">
        <f>LineærRegression_Valg[[#This Row],[Afhængig variabel ID]]&lt;&gt;LineærRegression_Valg[[#This Row],[Uafhængig variabel ID]]</f>
        <v>1</v>
      </c>
      <c r="E1822" s="45" t="b">
        <f>LineærRegression_Valg[[#This Row],[Afhængig variabel ID]]&lt;=$B$5</f>
        <v>0</v>
      </c>
      <c r="F1822" t="str" cm="1">
        <f t="array" ref="F1822">IF(LineærRegression_Valg[[#This Row],[Indenfor range]],INDEX(DataTitel_liste,LineærRegression_Valg[[#This Row],[Afhængig variabel ID]]),INDEX(DataTitel_liste,1))</f>
        <v>Eksempel 1 (interval)</v>
      </c>
      <c r="G1822" s="45" t="str" cm="1">
        <f t="array" ref="G1822">IF(LineærRegression_Valg[[#This Row],[Indenfor range]],IF(LineærRegression_Valg[[#This Row],[Intet overlap]],INDEX(DataTitel_liste,LineærRegression_Valg[[#This Row],[Uafhængig variabel ID]]),INDEX(DataTitel_liste,IF(LineærRegression_Valg[[#This Row],[Afhængig variabel ID]]=1,2,1))),$B$7)</f>
        <v>Eksempel 2 (interval)</v>
      </c>
      <c r="H1822" s="45">
        <f>_xlfn.AGGREGATE(2,5,LineærRegression_Valg[[#This Row],[Tabel ID]])</f>
        <v>1</v>
      </c>
    </row>
    <row r="1823" spans="1:8" x14ac:dyDescent="0.2">
      <c r="A1823">
        <f>ROW(LineærRegression_Valg[[#This Row],[Tabel ID]])-ROW(LineærRegression_Valg[[#Headers],[Tabel ID]])</f>
        <v>1813</v>
      </c>
      <c r="B1823" s="45">
        <f>ROUNDDOWN((LineærRegression_Valg[[#This Row],[Tabel ID]]-1)/$B$5,0)+1</f>
        <v>454</v>
      </c>
      <c r="C1823" s="45">
        <f t="shared" si="28"/>
        <v>1</v>
      </c>
      <c r="D1823" s="45" t="b">
        <f>LineærRegression_Valg[[#This Row],[Afhængig variabel ID]]&lt;&gt;LineærRegression_Valg[[#This Row],[Uafhængig variabel ID]]</f>
        <v>1</v>
      </c>
      <c r="E1823" s="45" t="b">
        <f>LineærRegression_Valg[[#This Row],[Afhængig variabel ID]]&lt;=$B$5</f>
        <v>0</v>
      </c>
      <c r="F1823" t="str" cm="1">
        <f t="array" ref="F1823">IF(LineærRegression_Valg[[#This Row],[Indenfor range]],INDEX(DataTitel_liste,LineærRegression_Valg[[#This Row],[Afhængig variabel ID]]),INDEX(DataTitel_liste,1))</f>
        <v>Eksempel 1 (interval)</v>
      </c>
      <c r="G1823" s="45" t="str" cm="1">
        <f t="array" ref="G1823">IF(LineærRegression_Valg[[#This Row],[Indenfor range]],IF(LineærRegression_Valg[[#This Row],[Intet overlap]],INDEX(DataTitel_liste,LineærRegression_Valg[[#This Row],[Uafhængig variabel ID]]),INDEX(DataTitel_liste,IF(LineærRegression_Valg[[#This Row],[Afhængig variabel ID]]=1,2,1))),$B$7)</f>
        <v>Eksempel 2 (interval)</v>
      </c>
      <c r="H1823" s="45">
        <f>_xlfn.AGGREGATE(2,5,LineærRegression_Valg[[#This Row],[Tabel ID]])</f>
        <v>1</v>
      </c>
    </row>
    <row r="1824" spans="1:8" x14ac:dyDescent="0.2">
      <c r="A1824">
        <f>ROW(LineærRegression_Valg[[#This Row],[Tabel ID]])-ROW(LineærRegression_Valg[[#Headers],[Tabel ID]])</f>
        <v>1814</v>
      </c>
      <c r="B1824" s="45">
        <f>ROUNDDOWN((LineærRegression_Valg[[#This Row],[Tabel ID]]-1)/$B$5,0)+1</f>
        <v>454</v>
      </c>
      <c r="C1824" s="45">
        <f t="shared" si="28"/>
        <v>2</v>
      </c>
      <c r="D1824" s="45" t="b">
        <f>LineærRegression_Valg[[#This Row],[Afhængig variabel ID]]&lt;&gt;LineærRegression_Valg[[#This Row],[Uafhængig variabel ID]]</f>
        <v>1</v>
      </c>
      <c r="E1824" s="45" t="b">
        <f>LineærRegression_Valg[[#This Row],[Afhængig variabel ID]]&lt;=$B$5</f>
        <v>0</v>
      </c>
      <c r="F1824" t="str" cm="1">
        <f t="array" ref="F1824">IF(LineærRegression_Valg[[#This Row],[Indenfor range]],INDEX(DataTitel_liste,LineærRegression_Valg[[#This Row],[Afhængig variabel ID]]),INDEX(DataTitel_liste,1))</f>
        <v>Eksempel 1 (interval)</v>
      </c>
      <c r="G1824" s="45" t="str" cm="1">
        <f t="array" ref="G1824">IF(LineærRegression_Valg[[#This Row],[Indenfor range]],IF(LineærRegression_Valg[[#This Row],[Intet overlap]],INDEX(DataTitel_liste,LineærRegression_Valg[[#This Row],[Uafhængig variabel ID]]),INDEX(DataTitel_liste,IF(LineærRegression_Valg[[#This Row],[Afhængig variabel ID]]=1,2,1))),$B$7)</f>
        <v>Eksempel 2 (interval)</v>
      </c>
      <c r="H1824" s="45">
        <f>_xlfn.AGGREGATE(2,5,LineærRegression_Valg[[#This Row],[Tabel ID]])</f>
        <v>1</v>
      </c>
    </row>
    <row r="1825" spans="1:8" x14ac:dyDescent="0.2">
      <c r="A1825">
        <f>ROW(LineærRegression_Valg[[#This Row],[Tabel ID]])-ROW(LineærRegression_Valg[[#Headers],[Tabel ID]])</f>
        <v>1815</v>
      </c>
      <c r="B1825" s="45">
        <f>ROUNDDOWN((LineærRegression_Valg[[#This Row],[Tabel ID]]-1)/$B$5,0)+1</f>
        <v>454</v>
      </c>
      <c r="C1825" s="45">
        <f t="shared" si="28"/>
        <v>3</v>
      </c>
      <c r="D1825" s="45" t="b">
        <f>LineærRegression_Valg[[#This Row],[Afhængig variabel ID]]&lt;&gt;LineærRegression_Valg[[#This Row],[Uafhængig variabel ID]]</f>
        <v>1</v>
      </c>
      <c r="E1825" s="45" t="b">
        <f>LineærRegression_Valg[[#This Row],[Afhængig variabel ID]]&lt;=$B$5</f>
        <v>0</v>
      </c>
      <c r="F1825" t="str" cm="1">
        <f t="array" ref="F1825">IF(LineærRegression_Valg[[#This Row],[Indenfor range]],INDEX(DataTitel_liste,LineærRegression_Valg[[#This Row],[Afhængig variabel ID]]),INDEX(DataTitel_liste,1))</f>
        <v>Eksempel 1 (interval)</v>
      </c>
      <c r="G1825" s="45" t="str" cm="1">
        <f t="array" ref="G1825">IF(LineærRegression_Valg[[#This Row],[Indenfor range]],IF(LineærRegression_Valg[[#This Row],[Intet overlap]],INDEX(DataTitel_liste,LineærRegression_Valg[[#This Row],[Uafhængig variabel ID]]),INDEX(DataTitel_liste,IF(LineærRegression_Valg[[#This Row],[Afhængig variabel ID]]=1,2,1))),$B$7)</f>
        <v>Eksempel 2 (interval)</v>
      </c>
      <c r="H1825" s="45">
        <f>_xlfn.AGGREGATE(2,5,LineærRegression_Valg[[#This Row],[Tabel ID]])</f>
        <v>1</v>
      </c>
    </row>
    <row r="1826" spans="1:8" x14ac:dyDescent="0.2">
      <c r="A1826">
        <f>ROW(LineærRegression_Valg[[#This Row],[Tabel ID]])-ROW(LineærRegression_Valg[[#Headers],[Tabel ID]])</f>
        <v>1816</v>
      </c>
      <c r="B1826" s="45">
        <f>ROUNDDOWN((LineærRegression_Valg[[#This Row],[Tabel ID]]-1)/$B$5,0)+1</f>
        <v>454</v>
      </c>
      <c r="C1826" s="45">
        <f t="shared" si="28"/>
        <v>4</v>
      </c>
      <c r="D1826" s="45" t="b">
        <f>LineærRegression_Valg[[#This Row],[Afhængig variabel ID]]&lt;&gt;LineærRegression_Valg[[#This Row],[Uafhængig variabel ID]]</f>
        <v>1</v>
      </c>
      <c r="E1826" s="45" t="b">
        <f>LineærRegression_Valg[[#This Row],[Afhængig variabel ID]]&lt;=$B$5</f>
        <v>0</v>
      </c>
      <c r="F1826" t="str" cm="1">
        <f t="array" ref="F1826">IF(LineærRegression_Valg[[#This Row],[Indenfor range]],INDEX(DataTitel_liste,LineærRegression_Valg[[#This Row],[Afhængig variabel ID]]),INDEX(DataTitel_liste,1))</f>
        <v>Eksempel 1 (interval)</v>
      </c>
      <c r="G1826" s="45" t="str" cm="1">
        <f t="array" ref="G1826">IF(LineærRegression_Valg[[#This Row],[Indenfor range]],IF(LineærRegression_Valg[[#This Row],[Intet overlap]],INDEX(DataTitel_liste,LineærRegression_Valg[[#This Row],[Uafhængig variabel ID]]),INDEX(DataTitel_liste,IF(LineærRegression_Valg[[#This Row],[Afhængig variabel ID]]=1,2,1))),$B$7)</f>
        <v>Eksempel 2 (interval)</v>
      </c>
      <c r="H1826" s="45">
        <f>_xlfn.AGGREGATE(2,5,LineærRegression_Valg[[#This Row],[Tabel ID]])</f>
        <v>1</v>
      </c>
    </row>
    <row r="1827" spans="1:8" x14ac:dyDescent="0.2">
      <c r="A1827">
        <f>ROW(LineærRegression_Valg[[#This Row],[Tabel ID]])-ROW(LineærRegression_Valg[[#Headers],[Tabel ID]])</f>
        <v>1817</v>
      </c>
      <c r="B1827" s="45">
        <f>ROUNDDOWN((LineærRegression_Valg[[#This Row],[Tabel ID]]-1)/$B$5,0)+1</f>
        <v>455</v>
      </c>
      <c r="C1827" s="45">
        <f t="shared" si="28"/>
        <v>1</v>
      </c>
      <c r="D1827" s="45" t="b">
        <f>LineærRegression_Valg[[#This Row],[Afhængig variabel ID]]&lt;&gt;LineærRegression_Valg[[#This Row],[Uafhængig variabel ID]]</f>
        <v>1</v>
      </c>
      <c r="E1827" s="45" t="b">
        <f>LineærRegression_Valg[[#This Row],[Afhængig variabel ID]]&lt;=$B$5</f>
        <v>0</v>
      </c>
      <c r="F1827" t="str" cm="1">
        <f t="array" ref="F1827">IF(LineærRegression_Valg[[#This Row],[Indenfor range]],INDEX(DataTitel_liste,LineærRegression_Valg[[#This Row],[Afhængig variabel ID]]),INDEX(DataTitel_liste,1))</f>
        <v>Eksempel 1 (interval)</v>
      </c>
      <c r="G1827" s="45" t="str" cm="1">
        <f t="array" ref="G1827">IF(LineærRegression_Valg[[#This Row],[Indenfor range]],IF(LineærRegression_Valg[[#This Row],[Intet overlap]],INDEX(DataTitel_liste,LineærRegression_Valg[[#This Row],[Uafhængig variabel ID]]),INDEX(DataTitel_liste,IF(LineærRegression_Valg[[#This Row],[Afhængig variabel ID]]=1,2,1))),$B$7)</f>
        <v>Eksempel 2 (interval)</v>
      </c>
      <c r="H1827" s="45">
        <f>_xlfn.AGGREGATE(2,5,LineærRegression_Valg[[#This Row],[Tabel ID]])</f>
        <v>1</v>
      </c>
    </row>
    <row r="1828" spans="1:8" x14ac:dyDescent="0.2">
      <c r="A1828">
        <f>ROW(LineærRegression_Valg[[#This Row],[Tabel ID]])-ROW(LineærRegression_Valg[[#Headers],[Tabel ID]])</f>
        <v>1818</v>
      </c>
      <c r="B1828" s="45">
        <f>ROUNDDOWN((LineærRegression_Valg[[#This Row],[Tabel ID]]-1)/$B$5,0)+1</f>
        <v>455</v>
      </c>
      <c r="C1828" s="45">
        <f t="shared" si="28"/>
        <v>2</v>
      </c>
      <c r="D1828" s="45" t="b">
        <f>LineærRegression_Valg[[#This Row],[Afhængig variabel ID]]&lt;&gt;LineærRegression_Valg[[#This Row],[Uafhængig variabel ID]]</f>
        <v>1</v>
      </c>
      <c r="E1828" s="45" t="b">
        <f>LineærRegression_Valg[[#This Row],[Afhængig variabel ID]]&lt;=$B$5</f>
        <v>0</v>
      </c>
      <c r="F1828" t="str" cm="1">
        <f t="array" ref="F1828">IF(LineærRegression_Valg[[#This Row],[Indenfor range]],INDEX(DataTitel_liste,LineærRegression_Valg[[#This Row],[Afhængig variabel ID]]),INDEX(DataTitel_liste,1))</f>
        <v>Eksempel 1 (interval)</v>
      </c>
      <c r="G1828" s="45" t="str" cm="1">
        <f t="array" ref="G1828">IF(LineærRegression_Valg[[#This Row],[Indenfor range]],IF(LineærRegression_Valg[[#This Row],[Intet overlap]],INDEX(DataTitel_liste,LineærRegression_Valg[[#This Row],[Uafhængig variabel ID]]),INDEX(DataTitel_liste,IF(LineærRegression_Valg[[#This Row],[Afhængig variabel ID]]=1,2,1))),$B$7)</f>
        <v>Eksempel 2 (interval)</v>
      </c>
      <c r="H1828" s="45">
        <f>_xlfn.AGGREGATE(2,5,LineærRegression_Valg[[#This Row],[Tabel ID]])</f>
        <v>1</v>
      </c>
    </row>
    <row r="1829" spans="1:8" x14ac:dyDescent="0.2">
      <c r="A1829">
        <f>ROW(LineærRegression_Valg[[#This Row],[Tabel ID]])-ROW(LineærRegression_Valg[[#Headers],[Tabel ID]])</f>
        <v>1819</v>
      </c>
      <c r="B1829" s="45">
        <f>ROUNDDOWN((LineærRegression_Valg[[#This Row],[Tabel ID]]-1)/$B$5,0)+1</f>
        <v>455</v>
      </c>
      <c r="C1829" s="45">
        <f t="shared" si="28"/>
        <v>3</v>
      </c>
      <c r="D1829" s="45" t="b">
        <f>LineærRegression_Valg[[#This Row],[Afhængig variabel ID]]&lt;&gt;LineærRegression_Valg[[#This Row],[Uafhængig variabel ID]]</f>
        <v>1</v>
      </c>
      <c r="E1829" s="45" t="b">
        <f>LineærRegression_Valg[[#This Row],[Afhængig variabel ID]]&lt;=$B$5</f>
        <v>0</v>
      </c>
      <c r="F1829" t="str" cm="1">
        <f t="array" ref="F1829">IF(LineærRegression_Valg[[#This Row],[Indenfor range]],INDEX(DataTitel_liste,LineærRegression_Valg[[#This Row],[Afhængig variabel ID]]),INDEX(DataTitel_liste,1))</f>
        <v>Eksempel 1 (interval)</v>
      </c>
      <c r="G1829" s="45" t="str" cm="1">
        <f t="array" ref="G1829">IF(LineærRegression_Valg[[#This Row],[Indenfor range]],IF(LineærRegression_Valg[[#This Row],[Intet overlap]],INDEX(DataTitel_liste,LineærRegression_Valg[[#This Row],[Uafhængig variabel ID]]),INDEX(DataTitel_liste,IF(LineærRegression_Valg[[#This Row],[Afhængig variabel ID]]=1,2,1))),$B$7)</f>
        <v>Eksempel 2 (interval)</v>
      </c>
      <c r="H1829" s="45">
        <f>_xlfn.AGGREGATE(2,5,LineærRegression_Valg[[#This Row],[Tabel ID]])</f>
        <v>1</v>
      </c>
    </row>
    <row r="1830" spans="1:8" x14ac:dyDescent="0.2">
      <c r="A1830">
        <f>ROW(LineærRegression_Valg[[#This Row],[Tabel ID]])-ROW(LineærRegression_Valg[[#Headers],[Tabel ID]])</f>
        <v>1820</v>
      </c>
      <c r="B1830" s="45">
        <f>ROUNDDOWN((LineærRegression_Valg[[#This Row],[Tabel ID]]-1)/$B$5,0)+1</f>
        <v>455</v>
      </c>
      <c r="C1830" s="45">
        <f t="shared" si="28"/>
        <v>4</v>
      </c>
      <c r="D1830" s="45" t="b">
        <f>LineærRegression_Valg[[#This Row],[Afhængig variabel ID]]&lt;&gt;LineærRegression_Valg[[#This Row],[Uafhængig variabel ID]]</f>
        <v>1</v>
      </c>
      <c r="E1830" s="45" t="b">
        <f>LineærRegression_Valg[[#This Row],[Afhængig variabel ID]]&lt;=$B$5</f>
        <v>0</v>
      </c>
      <c r="F1830" t="str" cm="1">
        <f t="array" ref="F1830">IF(LineærRegression_Valg[[#This Row],[Indenfor range]],INDEX(DataTitel_liste,LineærRegression_Valg[[#This Row],[Afhængig variabel ID]]),INDEX(DataTitel_liste,1))</f>
        <v>Eksempel 1 (interval)</v>
      </c>
      <c r="G1830" s="45" t="str" cm="1">
        <f t="array" ref="G1830">IF(LineærRegression_Valg[[#This Row],[Indenfor range]],IF(LineærRegression_Valg[[#This Row],[Intet overlap]],INDEX(DataTitel_liste,LineærRegression_Valg[[#This Row],[Uafhængig variabel ID]]),INDEX(DataTitel_liste,IF(LineærRegression_Valg[[#This Row],[Afhængig variabel ID]]=1,2,1))),$B$7)</f>
        <v>Eksempel 2 (interval)</v>
      </c>
      <c r="H1830" s="45">
        <f>_xlfn.AGGREGATE(2,5,LineærRegression_Valg[[#This Row],[Tabel ID]])</f>
        <v>1</v>
      </c>
    </row>
    <row r="1831" spans="1:8" x14ac:dyDescent="0.2">
      <c r="A1831">
        <f>ROW(LineærRegression_Valg[[#This Row],[Tabel ID]])-ROW(LineærRegression_Valg[[#Headers],[Tabel ID]])</f>
        <v>1821</v>
      </c>
      <c r="B1831" s="45">
        <f>ROUNDDOWN((LineærRegression_Valg[[#This Row],[Tabel ID]]-1)/$B$5,0)+1</f>
        <v>456</v>
      </c>
      <c r="C1831" s="45">
        <f t="shared" si="28"/>
        <v>1</v>
      </c>
      <c r="D1831" s="45" t="b">
        <f>LineærRegression_Valg[[#This Row],[Afhængig variabel ID]]&lt;&gt;LineærRegression_Valg[[#This Row],[Uafhængig variabel ID]]</f>
        <v>1</v>
      </c>
      <c r="E1831" s="45" t="b">
        <f>LineærRegression_Valg[[#This Row],[Afhængig variabel ID]]&lt;=$B$5</f>
        <v>0</v>
      </c>
      <c r="F1831" t="str" cm="1">
        <f t="array" ref="F1831">IF(LineærRegression_Valg[[#This Row],[Indenfor range]],INDEX(DataTitel_liste,LineærRegression_Valg[[#This Row],[Afhængig variabel ID]]),INDEX(DataTitel_liste,1))</f>
        <v>Eksempel 1 (interval)</v>
      </c>
      <c r="G1831" s="45" t="str" cm="1">
        <f t="array" ref="G1831">IF(LineærRegression_Valg[[#This Row],[Indenfor range]],IF(LineærRegression_Valg[[#This Row],[Intet overlap]],INDEX(DataTitel_liste,LineærRegression_Valg[[#This Row],[Uafhængig variabel ID]]),INDEX(DataTitel_liste,IF(LineærRegression_Valg[[#This Row],[Afhængig variabel ID]]=1,2,1))),$B$7)</f>
        <v>Eksempel 2 (interval)</v>
      </c>
      <c r="H1831" s="45">
        <f>_xlfn.AGGREGATE(2,5,LineærRegression_Valg[[#This Row],[Tabel ID]])</f>
        <v>1</v>
      </c>
    </row>
    <row r="1832" spans="1:8" x14ac:dyDescent="0.2">
      <c r="A1832">
        <f>ROW(LineærRegression_Valg[[#This Row],[Tabel ID]])-ROW(LineærRegression_Valg[[#Headers],[Tabel ID]])</f>
        <v>1822</v>
      </c>
      <c r="B1832" s="45">
        <f>ROUNDDOWN((LineærRegression_Valg[[#This Row],[Tabel ID]]-1)/$B$5,0)+1</f>
        <v>456</v>
      </c>
      <c r="C1832" s="45">
        <f t="shared" si="28"/>
        <v>2</v>
      </c>
      <c r="D1832" s="45" t="b">
        <f>LineærRegression_Valg[[#This Row],[Afhængig variabel ID]]&lt;&gt;LineærRegression_Valg[[#This Row],[Uafhængig variabel ID]]</f>
        <v>1</v>
      </c>
      <c r="E1832" s="45" t="b">
        <f>LineærRegression_Valg[[#This Row],[Afhængig variabel ID]]&lt;=$B$5</f>
        <v>0</v>
      </c>
      <c r="F1832" t="str" cm="1">
        <f t="array" ref="F1832">IF(LineærRegression_Valg[[#This Row],[Indenfor range]],INDEX(DataTitel_liste,LineærRegression_Valg[[#This Row],[Afhængig variabel ID]]),INDEX(DataTitel_liste,1))</f>
        <v>Eksempel 1 (interval)</v>
      </c>
      <c r="G1832" s="45" t="str" cm="1">
        <f t="array" ref="G1832">IF(LineærRegression_Valg[[#This Row],[Indenfor range]],IF(LineærRegression_Valg[[#This Row],[Intet overlap]],INDEX(DataTitel_liste,LineærRegression_Valg[[#This Row],[Uafhængig variabel ID]]),INDEX(DataTitel_liste,IF(LineærRegression_Valg[[#This Row],[Afhængig variabel ID]]=1,2,1))),$B$7)</f>
        <v>Eksempel 2 (interval)</v>
      </c>
      <c r="H1832" s="45">
        <f>_xlfn.AGGREGATE(2,5,LineærRegression_Valg[[#This Row],[Tabel ID]])</f>
        <v>1</v>
      </c>
    </row>
    <row r="1833" spans="1:8" x14ac:dyDescent="0.2">
      <c r="A1833">
        <f>ROW(LineærRegression_Valg[[#This Row],[Tabel ID]])-ROW(LineærRegression_Valg[[#Headers],[Tabel ID]])</f>
        <v>1823</v>
      </c>
      <c r="B1833" s="45">
        <f>ROUNDDOWN((LineærRegression_Valg[[#This Row],[Tabel ID]]-1)/$B$5,0)+1</f>
        <v>456</v>
      </c>
      <c r="C1833" s="45">
        <f t="shared" si="28"/>
        <v>3</v>
      </c>
      <c r="D1833" s="45" t="b">
        <f>LineærRegression_Valg[[#This Row],[Afhængig variabel ID]]&lt;&gt;LineærRegression_Valg[[#This Row],[Uafhængig variabel ID]]</f>
        <v>1</v>
      </c>
      <c r="E1833" s="45" t="b">
        <f>LineærRegression_Valg[[#This Row],[Afhængig variabel ID]]&lt;=$B$5</f>
        <v>0</v>
      </c>
      <c r="F1833" t="str" cm="1">
        <f t="array" ref="F1833">IF(LineærRegression_Valg[[#This Row],[Indenfor range]],INDEX(DataTitel_liste,LineærRegression_Valg[[#This Row],[Afhængig variabel ID]]),INDEX(DataTitel_liste,1))</f>
        <v>Eksempel 1 (interval)</v>
      </c>
      <c r="G1833" s="45" t="str" cm="1">
        <f t="array" ref="G1833">IF(LineærRegression_Valg[[#This Row],[Indenfor range]],IF(LineærRegression_Valg[[#This Row],[Intet overlap]],INDEX(DataTitel_liste,LineærRegression_Valg[[#This Row],[Uafhængig variabel ID]]),INDEX(DataTitel_liste,IF(LineærRegression_Valg[[#This Row],[Afhængig variabel ID]]=1,2,1))),$B$7)</f>
        <v>Eksempel 2 (interval)</v>
      </c>
      <c r="H1833" s="45">
        <f>_xlfn.AGGREGATE(2,5,LineærRegression_Valg[[#This Row],[Tabel ID]])</f>
        <v>1</v>
      </c>
    </row>
    <row r="1834" spans="1:8" x14ac:dyDescent="0.2">
      <c r="A1834">
        <f>ROW(LineærRegression_Valg[[#This Row],[Tabel ID]])-ROW(LineærRegression_Valg[[#Headers],[Tabel ID]])</f>
        <v>1824</v>
      </c>
      <c r="B1834" s="45">
        <f>ROUNDDOWN((LineærRegression_Valg[[#This Row],[Tabel ID]]-1)/$B$5,0)+1</f>
        <v>456</v>
      </c>
      <c r="C1834" s="45">
        <f t="shared" si="28"/>
        <v>4</v>
      </c>
      <c r="D1834" s="45" t="b">
        <f>LineærRegression_Valg[[#This Row],[Afhængig variabel ID]]&lt;&gt;LineærRegression_Valg[[#This Row],[Uafhængig variabel ID]]</f>
        <v>1</v>
      </c>
      <c r="E1834" s="45" t="b">
        <f>LineærRegression_Valg[[#This Row],[Afhængig variabel ID]]&lt;=$B$5</f>
        <v>0</v>
      </c>
      <c r="F1834" t="str" cm="1">
        <f t="array" ref="F1834">IF(LineærRegression_Valg[[#This Row],[Indenfor range]],INDEX(DataTitel_liste,LineærRegression_Valg[[#This Row],[Afhængig variabel ID]]),INDEX(DataTitel_liste,1))</f>
        <v>Eksempel 1 (interval)</v>
      </c>
      <c r="G1834" s="45" t="str" cm="1">
        <f t="array" ref="G1834">IF(LineærRegression_Valg[[#This Row],[Indenfor range]],IF(LineærRegression_Valg[[#This Row],[Intet overlap]],INDEX(DataTitel_liste,LineærRegression_Valg[[#This Row],[Uafhængig variabel ID]]),INDEX(DataTitel_liste,IF(LineærRegression_Valg[[#This Row],[Afhængig variabel ID]]=1,2,1))),$B$7)</f>
        <v>Eksempel 2 (interval)</v>
      </c>
      <c r="H1834" s="45">
        <f>_xlfn.AGGREGATE(2,5,LineærRegression_Valg[[#This Row],[Tabel ID]])</f>
        <v>1</v>
      </c>
    </row>
    <row r="1835" spans="1:8" x14ac:dyDescent="0.2">
      <c r="A1835">
        <f>ROW(LineærRegression_Valg[[#This Row],[Tabel ID]])-ROW(LineærRegression_Valg[[#Headers],[Tabel ID]])</f>
        <v>1825</v>
      </c>
      <c r="B1835" s="45">
        <f>ROUNDDOWN((LineærRegression_Valg[[#This Row],[Tabel ID]]-1)/$B$5,0)+1</f>
        <v>457</v>
      </c>
      <c r="C1835" s="45">
        <f t="shared" si="28"/>
        <v>1</v>
      </c>
      <c r="D1835" s="45" t="b">
        <f>LineærRegression_Valg[[#This Row],[Afhængig variabel ID]]&lt;&gt;LineærRegression_Valg[[#This Row],[Uafhængig variabel ID]]</f>
        <v>1</v>
      </c>
      <c r="E1835" s="45" t="b">
        <f>LineærRegression_Valg[[#This Row],[Afhængig variabel ID]]&lt;=$B$5</f>
        <v>0</v>
      </c>
      <c r="F1835" t="str" cm="1">
        <f t="array" ref="F1835">IF(LineærRegression_Valg[[#This Row],[Indenfor range]],INDEX(DataTitel_liste,LineærRegression_Valg[[#This Row],[Afhængig variabel ID]]),INDEX(DataTitel_liste,1))</f>
        <v>Eksempel 1 (interval)</v>
      </c>
      <c r="G1835" s="45" t="str" cm="1">
        <f t="array" ref="G1835">IF(LineærRegression_Valg[[#This Row],[Indenfor range]],IF(LineærRegression_Valg[[#This Row],[Intet overlap]],INDEX(DataTitel_liste,LineærRegression_Valg[[#This Row],[Uafhængig variabel ID]]),INDEX(DataTitel_liste,IF(LineærRegression_Valg[[#This Row],[Afhængig variabel ID]]=1,2,1))),$B$7)</f>
        <v>Eksempel 2 (interval)</v>
      </c>
      <c r="H1835" s="45">
        <f>_xlfn.AGGREGATE(2,5,LineærRegression_Valg[[#This Row],[Tabel ID]])</f>
        <v>1</v>
      </c>
    </row>
    <row r="1836" spans="1:8" x14ac:dyDescent="0.2">
      <c r="A1836">
        <f>ROW(LineærRegression_Valg[[#This Row],[Tabel ID]])-ROW(LineærRegression_Valg[[#Headers],[Tabel ID]])</f>
        <v>1826</v>
      </c>
      <c r="B1836" s="45">
        <f>ROUNDDOWN((LineærRegression_Valg[[#This Row],[Tabel ID]]-1)/$B$5,0)+1</f>
        <v>457</v>
      </c>
      <c r="C1836" s="45">
        <f t="shared" si="28"/>
        <v>2</v>
      </c>
      <c r="D1836" s="45" t="b">
        <f>LineærRegression_Valg[[#This Row],[Afhængig variabel ID]]&lt;&gt;LineærRegression_Valg[[#This Row],[Uafhængig variabel ID]]</f>
        <v>1</v>
      </c>
      <c r="E1836" s="45" t="b">
        <f>LineærRegression_Valg[[#This Row],[Afhængig variabel ID]]&lt;=$B$5</f>
        <v>0</v>
      </c>
      <c r="F1836" t="str" cm="1">
        <f t="array" ref="F1836">IF(LineærRegression_Valg[[#This Row],[Indenfor range]],INDEX(DataTitel_liste,LineærRegression_Valg[[#This Row],[Afhængig variabel ID]]),INDEX(DataTitel_liste,1))</f>
        <v>Eksempel 1 (interval)</v>
      </c>
      <c r="G1836" s="45" t="str" cm="1">
        <f t="array" ref="G1836">IF(LineærRegression_Valg[[#This Row],[Indenfor range]],IF(LineærRegression_Valg[[#This Row],[Intet overlap]],INDEX(DataTitel_liste,LineærRegression_Valg[[#This Row],[Uafhængig variabel ID]]),INDEX(DataTitel_liste,IF(LineærRegression_Valg[[#This Row],[Afhængig variabel ID]]=1,2,1))),$B$7)</f>
        <v>Eksempel 2 (interval)</v>
      </c>
      <c r="H1836" s="45">
        <f>_xlfn.AGGREGATE(2,5,LineærRegression_Valg[[#This Row],[Tabel ID]])</f>
        <v>1</v>
      </c>
    </row>
    <row r="1837" spans="1:8" x14ac:dyDescent="0.2">
      <c r="A1837">
        <f>ROW(LineærRegression_Valg[[#This Row],[Tabel ID]])-ROW(LineærRegression_Valg[[#Headers],[Tabel ID]])</f>
        <v>1827</v>
      </c>
      <c r="B1837" s="45">
        <f>ROUNDDOWN((LineærRegression_Valg[[#This Row],[Tabel ID]]-1)/$B$5,0)+1</f>
        <v>457</v>
      </c>
      <c r="C1837" s="45">
        <f t="shared" si="28"/>
        <v>3</v>
      </c>
      <c r="D1837" s="45" t="b">
        <f>LineærRegression_Valg[[#This Row],[Afhængig variabel ID]]&lt;&gt;LineærRegression_Valg[[#This Row],[Uafhængig variabel ID]]</f>
        <v>1</v>
      </c>
      <c r="E1837" s="45" t="b">
        <f>LineærRegression_Valg[[#This Row],[Afhængig variabel ID]]&lt;=$B$5</f>
        <v>0</v>
      </c>
      <c r="F1837" t="str" cm="1">
        <f t="array" ref="F1837">IF(LineærRegression_Valg[[#This Row],[Indenfor range]],INDEX(DataTitel_liste,LineærRegression_Valg[[#This Row],[Afhængig variabel ID]]),INDEX(DataTitel_liste,1))</f>
        <v>Eksempel 1 (interval)</v>
      </c>
      <c r="G1837" s="45" t="str" cm="1">
        <f t="array" ref="G1837">IF(LineærRegression_Valg[[#This Row],[Indenfor range]],IF(LineærRegression_Valg[[#This Row],[Intet overlap]],INDEX(DataTitel_liste,LineærRegression_Valg[[#This Row],[Uafhængig variabel ID]]),INDEX(DataTitel_liste,IF(LineærRegression_Valg[[#This Row],[Afhængig variabel ID]]=1,2,1))),$B$7)</f>
        <v>Eksempel 2 (interval)</v>
      </c>
      <c r="H1837" s="45">
        <f>_xlfn.AGGREGATE(2,5,LineærRegression_Valg[[#This Row],[Tabel ID]])</f>
        <v>1</v>
      </c>
    </row>
    <row r="1838" spans="1:8" x14ac:dyDescent="0.2">
      <c r="A1838">
        <f>ROW(LineærRegression_Valg[[#This Row],[Tabel ID]])-ROW(LineærRegression_Valg[[#Headers],[Tabel ID]])</f>
        <v>1828</v>
      </c>
      <c r="B1838" s="45">
        <f>ROUNDDOWN((LineærRegression_Valg[[#This Row],[Tabel ID]]-1)/$B$5,0)+1</f>
        <v>457</v>
      </c>
      <c r="C1838" s="45">
        <f t="shared" si="28"/>
        <v>4</v>
      </c>
      <c r="D1838" s="45" t="b">
        <f>LineærRegression_Valg[[#This Row],[Afhængig variabel ID]]&lt;&gt;LineærRegression_Valg[[#This Row],[Uafhængig variabel ID]]</f>
        <v>1</v>
      </c>
      <c r="E1838" s="45" t="b">
        <f>LineærRegression_Valg[[#This Row],[Afhængig variabel ID]]&lt;=$B$5</f>
        <v>0</v>
      </c>
      <c r="F1838" t="str" cm="1">
        <f t="array" ref="F1838">IF(LineærRegression_Valg[[#This Row],[Indenfor range]],INDEX(DataTitel_liste,LineærRegression_Valg[[#This Row],[Afhængig variabel ID]]),INDEX(DataTitel_liste,1))</f>
        <v>Eksempel 1 (interval)</v>
      </c>
      <c r="G1838" s="45" t="str" cm="1">
        <f t="array" ref="G1838">IF(LineærRegression_Valg[[#This Row],[Indenfor range]],IF(LineærRegression_Valg[[#This Row],[Intet overlap]],INDEX(DataTitel_liste,LineærRegression_Valg[[#This Row],[Uafhængig variabel ID]]),INDEX(DataTitel_liste,IF(LineærRegression_Valg[[#This Row],[Afhængig variabel ID]]=1,2,1))),$B$7)</f>
        <v>Eksempel 2 (interval)</v>
      </c>
      <c r="H1838" s="45">
        <f>_xlfn.AGGREGATE(2,5,LineærRegression_Valg[[#This Row],[Tabel ID]])</f>
        <v>1</v>
      </c>
    </row>
    <row r="1839" spans="1:8" x14ac:dyDescent="0.2">
      <c r="A1839">
        <f>ROW(LineærRegression_Valg[[#This Row],[Tabel ID]])-ROW(LineærRegression_Valg[[#Headers],[Tabel ID]])</f>
        <v>1829</v>
      </c>
      <c r="B1839" s="45">
        <f>ROUNDDOWN((LineærRegression_Valg[[#This Row],[Tabel ID]]-1)/$B$5,0)+1</f>
        <v>458</v>
      </c>
      <c r="C1839" s="45">
        <f t="shared" si="28"/>
        <v>1</v>
      </c>
      <c r="D1839" s="45" t="b">
        <f>LineærRegression_Valg[[#This Row],[Afhængig variabel ID]]&lt;&gt;LineærRegression_Valg[[#This Row],[Uafhængig variabel ID]]</f>
        <v>1</v>
      </c>
      <c r="E1839" s="45" t="b">
        <f>LineærRegression_Valg[[#This Row],[Afhængig variabel ID]]&lt;=$B$5</f>
        <v>0</v>
      </c>
      <c r="F1839" t="str" cm="1">
        <f t="array" ref="F1839">IF(LineærRegression_Valg[[#This Row],[Indenfor range]],INDEX(DataTitel_liste,LineærRegression_Valg[[#This Row],[Afhængig variabel ID]]),INDEX(DataTitel_liste,1))</f>
        <v>Eksempel 1 (interval)</v>
      </c>
      <c r="G1839" s="45" t="str" cm="1">
        <f t="array" ref="G1839">IF(LineærRegression_Valg[[#This Row],[Indenfor range]],IF(LineærRegression_Valg[[#This Row],[Intet overlap]],INDEX(DataTitel_liste,LineærRegression_Valg[[#This Row],[Uafhængig variabel ID]]),INDEX(DataTitel_liste,IF(LineærRegression_Valg[[#This Row],[Afhængig variabel ID]]=1,2,1))),$B$7)</f>
        <v>Eksempel 2 (interval)</v>
      </c>
      <c r="H1839" s="45">
        <f>_xlfn.AGGREGATE(2,5,LineærRegression_Valg[[#This Row],[Tabel ID]])</f>
        <v>1</v>
      </c>
    </row>
    <row r="1840" spans="1:8" x14ac:dyDescent="0.2">
      <c r="A1840">
        <f>ROW(LineærRegression_Valg[[#This Row],[Tabel ID]])-ROW(LineærRegression_Valg[[#Headers],[Tabel ID]])</f>
        <v>1830</v>
      </c>
      <c r="B1840" s="45">
        <f>ROUNDDOWN((LineærRegression_Valg[[#This Row],[Tabel ID]]-1)/$B$5,0)+1</f>
        <v>458</v>
      </c>
      <c r="C1840" s="45">
        <f t="shared" si="28"/>
        <v>2</v>
      </c>
      <c r="D1840" s="45" t="b">
        <f>LineærRegression_Valg[[#This Row],[Afhængig variabel ID]]&lt;&gt;LineærRegression_Valg[[#This Row],[Uafhængig variabel ID]]</f>
        <v>1</v>
      </c>
      <c r="E1840" s="45" t="b">
        <f>LineærRegression_Valg[[#This Row],[Afhængig variabel ID]]&lt;=$B$5</f>
        <v>0</v>
      </c>
      <c r="F1840" t="str" cm="1">
        <f t="array" ref="F1840">IF(LineærRegression_Valg[[#This Row],[Indenfor range]],INDEX(DataTitel_liste,LineærRegression_Valg[[#This Row],[Afhængig variabel ID]]),INDEX(DataTitel_liste,1))</f>
        <v>Eksempel 1 (interval)</v>
      </c>
      <c r="G1840" s="45" t="str" cm="1">
        <f t="array" ref="G1840">IF(LineærRegression_Valg[[#This Row],[Indenfor range]],IF(LineærRegression_Valg[[#This Row],[Intet overlap]],INDEX(DataTitel_liste,LineærRegression_Valg[[#This Row],[Uafhængig variabel ID]]),INDEX(DataTitel_liste,IF(LineærRegression_Valg[[#This Row],[Afhængig variabel ID]]=1,2,1))),$B$7)</f>
        <v>Eksempel 2 (interval)</v>
      </c>
      <c r="H1840" s="45">
        <f>_xlfn.AGGREGATE(2,5,LineærRegression_Valg[[#This Row],[Tabel ID]])</f>
        <v>1</v>
      </c>
    </row>
    <row r="1841" spans="1:8" x14ac:dyDescent="0.2">
      <c r="A1841">
        <f>ROW(LineærRegression_Valg[[#This Row],[Tabel ID]])-ROW(LineærRegression_Valg[[#Headers],[Tabel ID]])</f>
        <v>1831</v>
      </c>
      <c r="B1841" s="45">
        <f>ROUNDDOWN((LineærRegression_Valg[[#This Row],[Tabel ID]]-1)/$B$5,0)+1</f>
        <v>458</v>
      </c>
      <c r="C1841" s="45">
        <f t="shared" si="28"/>
        <v>3</v>
      </c>
      <c r="D1841" s="45" t="b">
        <f>LineærRegression_Valg[[#This Row],[Afhængig variabel ID]]&lt;&gt;LineærRegression_Valg[[#This Row],[Uafhængig variabel ID]]</f>
        <v>1</v>
      </c>
      <c r="E1841" s="45" t="b">
        <f>LineærRegression_Valg[[#This Row],[Afhængig variabel ID]]&lt;=$B$5</f>
        <v>0</v>
      </c>
      <c r="F1841" t="str" cm="1">
        <f t="array" ref="F1841">IF(LineærRegression_Valg[[#This Row],[Indenfor range]],INDEX(DataTitel_liste,LineærRegression_Valg[[#This Row],[Afhængig variabel ID]]),INDEX(DataTitel_liste,1))</f>
        <v>Eksempel 1 (interval)</v>
      </c>
      <c r="G1841" s="45" t="str" cm="1">
        <f t="array" ref="G1841">IF(LineærRegression_Valg[[#This Row],[Indenfor range]],IF(LineærRegression_Valg[[#This Row],[Intet overlap]],INDEX(DataTitel_liste,LineærRegression_Valg[[#This Row],[Uafhængig variabel ID]]),INDEX(DataTitel_liste,IF(LineærRegression_Valg[[#This Row],[Afhængig variabel ID]]=1,2,1))),$B$7)</f>
        <v>Eksempel 2 (interval)</v>
      </c>
      <c r="H1841" s="45">
        <f>_xlfn.AGGREGATE(2,5,LineærRegression_Valg[[#This Row],[Tabel ID]])</f>
        <v>1</v>
      </c>
    </row>
    <row r="1842" spans="1:8" x14ac:dyDescent="0.2">
      <c r="A1842">
        <f>ROW(LineærRegression_Valg[[#This Row],[Tabel ID]])-ROW(LineærRegression_Valg[[#Headers],[Tabel ID]])</f>
        <v>1832</v>
      </c>
      <c r="B1842" s="45">
        <f>ROUNDDOWN((LineærRegression_Valg[[#This Row],[Tabel ID]]-1)/$B$5,0)+1</f>
        <v>458</v>
      </c>
      <c r="C1842" s="45">
        <f t="shared" si="28"/>
        <v>4</v>
      </c>
      <c r="D1842" s="45" t="b">
        <f>LineærRegression_Valg[[#This Row],[Afhængig variabel ID]]&lt;&gt;LineærRegression_Valg[[#This Row],[Uafhængig variabel ID]]</f>
        <v>1</v>
      </c>
      <c r="E1842" s="45" t="b">
        <f>LineærRegression_Valg[[#This Row],[Afhængig variabel ID]]&lt;=$B$5</f>
        <v>0</v>
      </c>
      <c r="F1842" t="str" cm="1">
        <f t="array" ref="F1842">IF(LineærRegression_Valg[[#This Row],[Indenfor range]],INDEX(DataTitel_liste,LineærRegression_Valg[[#This Row],[Afhængig variabel ID]]),INDEX(DataTitel_liste,1))</f>
        <v>Eksempel 1 (interval)</v>
      </c>
      <c r="G1842" s="45" t="str" cm="1">
        <f t="array" ref="G1842">IF(LineærRegression_Valg[[#This Row],[Indenfor range]],IF(LineærRegression_Valg[[#This Row],[Intet overlap]],INDEX(DataTitel_liste,LineærRegression_Valg[[#This Row],[Uafhængig variabel ID]]),INDEX(DataTitel_liste,IF(LineærRegression_Valg[[#This Row],[Afhængig variabel ID]]=1,2,1))),$B$7)</f>
        <v>Eksempel 2 (interval)</v>
      </c>
      <c r="H1842" s="45">
        <f>_xlfn.AGGREGATE(2,5,LineærRegression_Valg[[#This Row],[Tabel ID]])</f>
        <v>1</v>
      </c>
    </row>
    <row r="1843" spans="1:8" x14ac:dyDescent="0.2">
      <c r="A1843">
        <f>ROW(LineærRegression_Valg[[#This Row],[Tabel ID]])-ROW(LineærRegression_Valg[[#Headers],[Tabel ID]])</f>
        <v>1833</v>
      </c>
      <c r="B1843" s="45">
        <f>ROUNDDOWN((LineærRegression_Valg[[#This Row],[Tabel ID]]-1)/$B$5,0)+1</f>
        <v>459</v>
      </c>
      <c r="C1843" s="45">
        <f t="shared" si="28"/>
        <v>1</v>
      </c>
      <c r="D1843" s="45" t="b">
        <f>LineærRegression_Valg[[#This Row],[Afhængig variabel ID]]&lt;&gt;LineærRegression_Valg[[#This Row],[Uafhængig variabel ID]]</f>
        <v>1</v>
      </c>
      <c r="E1843" s="45" t="b">
        <f>LineærRegression_Valg[[#This Row],[Afhængig variabel ID]]&lt;=$B$5</f>
        <v>0</v>
      </c>
      <c r="F1843" t="str" cm="1">
        <f t="array" ref="F1843">IF(LineærRegression_Valg[[#This Row],[Indenfor range]],INDEX(DataTitel_liste,LineærRegression_Valg[[#This Row],[Afhængig variabel ID]]),INDEX(DataTitel_liste,1))</f>
        <v>Eksempel 1 (interval)</v>
      </c>
      <c r="G1843" s="45" t="str" cm="1">
        <f t="array" ref="G1843">IF(LineærRegression_Valg[[#This Row],[Indenfor range]],IF(LineærRegression_Valg[[#This Row],[Intet overlap]],INDEX(DataTitel_liste,LineærRegression_Valg[[#This Row],[Uafhængig variabel ID]]),INDEX(DataTitel_liste,IF(LineærRegression_Valg[[#This Row],[Afhængig variabel ID]]=1,2,1))),$B$7)</f>
        <v>Eksempel 2 (interval)</v>
      </c>
      <c r="H1843" s="45">
        <f>_xlfn.AGGREGATE(2,5,LineærRegression_Valg[[#This Row],[Tabel ID]])</f>
        <v>1</v>
      </c>
    </row>
    <row r="1844" spans="1:8" x14ac:dyDescent="0.2">
      <c r="A1844">
        <f>ROW(LineærRegression_Valg[[#This Row],[Tabel ID]])-ROW(LineærRegression_Valg[[#Headers],[Tabel ID]])</f>
        <v>1834</v>
      </c>
      <c r="B1844" s="45">
        <f>ROUNDDOWN((LineærRegression_Valg[[#This Row],[Tabel ID]]-1)/$B$5,0)+1</f>
        <v>459</v>
      </c>
      <c r="C1844" s="45">
        <f t="shared" si="28"/>
        <v>2</v>
      </c>
      <c r="D1844" s="45" t="b">
        <f>LineærRegression_Valg[[#This Row],[Afhængig variabel ID]]&lt;&gt;LineærRegression_Valg[[#This Row],[Uafhængig variabel ID]]</f>
        <v>1</v>
      </c>
      <c r="E1844" s="45" t="b">
        <f>LineærRegression_Valg[[#This Row],[Afhængig variabel ID]]&lt;=$B$5</f>
        <v>0</v>
      </c>
      <c r="F1844" t="str" cm="1">
        <f t="array" ref="F1844">IF(LineærRegression_Valg[[#This Row],[Indenfor range]],INDEX(DataTitel_liste,LineærRegression_Valg[[#This Row],[Afhængig variabel ID]]),INDEX(DataTitel_liste,1))</f>
        <v>Eksempel 1 (interval)</v>
      </c>
      <c r="G1844" s="45" t="str" cm="1">
        <f t="array" ref="G1844">IF(LineærRegression_Valg[[#This Row],[Indenfor range]],IF(LineærRegression_Valg[[#This Row],[Intet overlap]],INDEX(DataTitel_liste,LineærRegression_Valg[[#This Row],[Uafhængig variabel ID]]),INDEX(DataTitel_liste,IF(LineærRegression_Valg[[#This Row],[Afhængig variabel ID]]=1,2,1))),$B$7)</f>
        <v>Eksempel 2 (interval)</v>
      </c>
      <c r="H1844" s="45">
        <f>_xlfn.AGGREGATE(2,5,LineærRegression_Valg[[#This Row],[Tabel ID]])</f>
        <v>1</v>
      </c>
    </row>
    <row r="1845" spans="1:8" x14ac:dyDescent="0.2">
      <c r="A1845">
        <f>ROW(LineærRegression_Valg[[#This Row],[Tabel ID]])-ROW(LineærRegression_Valg[[#Headers],[Tabel ID]])</f>
        <v>1835</v>
      </c>
      <c r="B1845" s="45">
        <f>ROUNDDOWN((LineærRegression_Valg[[#This Row],[Tabel ID]]-1)/$B$5,0)+1</f>
        <v>459</v>
      </c>
      <c r="C1845" s="45">
        <f t="shared" si="28"/>
        <v>3</v>
      </c>
      <c r="D1845" s="45" t="b">
        <f>LineærRegression_Valg[[#This Row],[Afhængig variabel ID]]&lt;&gt;LineærRegression_Valg[[#This Row],[Uafhængig variabel ID]]</f>
        <v>1</v>
      </c>
      <c r="E1845" s="45" t="b">
        <f>LineærRegression_Valg[[#This Row],[Afhængig variabel ID]]&lt;=$B$5</f>
        <v>0</v>
      </c>
      <c r="F1845" t="str" cm="1">
        <f t="array" ref="F1845">IF(LineærRegression_Valg[[#This Row],[Indenfor range]],INDEX(DataTitel_liste,LineærRegression_Valg[[#This Row],[Afhængig variabel ID]]),INDEX(DataTitel_liste,1))</f>
        <v>Eksempel 1 (interval)</v>
      </c>
      <c r="G1845" s="45" t="str" cm="1">
        <f t="array" ref="G1845">IF(LineærRegression_Valg[[#This Row],[Indenfor range]],IF(LineærRegression_Valg[[#This Row],[Intet overlap]],INDEX(DataTitel_liste,LineærRegression_Valg[[#This Row],[Uafhængig variabel ID]]),INDEX(DataTitel_liste,IF(LineærRegression_Valg[[#This Row],[Afhængig variabel ID]]=1,2,1))),$B$7)</f>
        <v>Eksempel 2 (interval)</v>
      </c>
      <c r="H1845" s="45">
        <f>_xlfn.AGGREGATE(2,5,LineærRegression_Valg[[#This Row],[Tabel ID]])</f>
        <v>1</v>
      </c>
    </row>
    <row r="1846" spans="1:8" x14ac:dyDescent="0.2">
      <c r="A1846">
        <f>ROW(LineærRegression_Valg[[#This Row],[Tabel ID]])-ROW(LineærRegression_Valg[[#Headers],[Tabel ID]])</f>
        <v>1836</v>
      </c>
      <c r="B1846" s="45">
        <f>ROUNDDOWN((LineærRegression_Valg[[#This Row],[Tabel ID]]-1)/$B$5,0)+1</f>
        <v>459</v>
      </c>
      <c r="C1846" s="45">
        <f t="shared" si="28"/>
        <v>4</v>
      </c>
      <c r="D1846" s="45" t="b">
        <f>LineærRegression_Valg[[#This Row],[Afhængig variabel ID]]&lt;&gt;LineærRegression_Valg[[#This Row],[Uafhængig variabel ID]]</f>
        <v>1</v>
      </c>
      <c r="E1846" s="45" t="b">
        <f>LineærRegression_Valg[[#This Row],[Afhængig variabel ID]]&lt;=$B$5</f>
        <v>0</v>
      </c>
      <c r="F1846" t="str" cm="1">
        <f t="array" ref="F1846">IF(LineærRegression_Valg[[#This Row],[Indenfor range]],INDEX(DataTitel_liste,LineærRegression_Valg[[#This Row],[Afhængig variabel ID]]),INDEX(DataTitel_liste,1))</f>
        <v>Eksempel 1 (interval)</v>
      </c>
      <c r="G1846" s="45" t="str" cm="1">
        <f t="array" ref="G1846">IF(LineærRegression_Valg[[#This Row],[Indenfor range]],IF(LineærRegression_Valg[[#This Row],[Intet overlap]],INDEX(DataTitel_liste,LineærRegression_Valg[[#This Row],[Uafhængig variabel ID]]),INDEX(DataTitel_liste,IF(LineærRegression_Valg[[#This Row],[Afhængig variabel ID]]=1,2,1))),$B$7)</f>
        <v>Eksempel 2 (interval)</v>
      </c>
      <c r="H1846" s="45">
        <f>_xlfn.AGGREGATE(2,5,LineærRegression_Valg[[#This Row],[Tabel ID]])</f>
        <v>1</v>
      </c>
    </row>
    <row r="1847" spans="1:8" x14ac:dyDescent="0.2">
      <c r="A1847">
        <f>ROW(LineærRegression_Valg[[#This Row],[Tabel ID]])-ROW(LineærRegression_Valg[[#Headers],[Tabel ID]])</f>
        <v>1837</v>
      </c>
      <c r="B1847" s="45">
        <f>ROUNDDOWN((LineærRegression_Valg[[#This Row],[Tabel ID]]-1)/$B$5,0)+1</f>
        <v>460</v>
      </c>
      <c r="C1847" s="45">
        <f t="shared" si="28"/>
        <v>1</v>
      </c>
      <c r="D1847" s="45" t="b">
        <f>LineærRegression_Valg[[#This Row],[Afhængig variabel ID]]&lt;&gt;LineærRegression_Valg[[#This Row],[Uafhængig variabel ID]]</f>
        <v>1</v>
      </c>
      <c r="E1847" s="45" t="b">
        <f>LineærRegression_Valg[[#This Row],[Afhængig variabel ID]]&lt;=$B$5</f>
        <v>0</v>
      </c>
      <c r="F1847" t="str" cm="1">
        <f t="array" ref="F1847">IF(LineærRegression_Valg[[#This Row],[Indenfor range]],INDEX(DataTitel_liste,LineærRegression_Valg[[#This Row],[Afhængig variabel ID]]),INDEX(DataTitel_liste,1))</f>
        <v>Eksempel 1 (interval)</v>
      </c>
      <c r="G1847" s="45" t="str" cm="1">
        <f t="array" ref="G1847">IF(LineærRegression_Valg[[#This Row],[Indenfor range]],IF(LineærRegression_Valg[[#This Row],[Intet overlap]],INDEX(DataTitel_liste,LineærRegression_Valg[[#This Row],[Uafhængig variabel ID]]),INDEX(DataTitel_liste,IF(LineærRegression_Valg[[#This Row],[Afhængig variabel ID]]=1,2,1))),$B$7)</f>
        <v>Eksempel 2 (interval)</v>
      </c>
      <c r="H1847" s="45">
        <f>_xlfn.AGGREGATE(2,5,LineærRegression_Valg[[#This Row],[Tabel ID]])</f>
        <v>1</v>
      </c>
    </row>
    <row r="1848" spans="1:8" x14ac:dyDescent="0.2">
      <c r="A1848">
        <f>ROW(LineærRegression_Valg[[#This Row],[Tabel ID]])-ROW(LineærRegression_Valg[[#Headers],[Tabel ID]])</f>
        <v>1838</v>
      </c>
      <c r="B1848" s="45">
        <f>ROUNDDOWN((LineærRegression_Valg[[#This Row],[Tabel ID]]-1)/$B$5,0)+1</f>
        <v>460</v>
      </c>
      <c r="C1848" s="45">
        <f t="shared" si="28"/>
        <v>2</v>
      </c>
      <c r="D1848" s="45" t="b">
        <f>LineærRegression_Valg[[#This Row],[Afhængig variabel ID]]&lt;&gt;LineærRegression_Valg[[#This Row],[Uafhængig variabel ID]]</f>
        <v>1</v>
      </c>
      <c r="E1848" s="45" t="b">
        <f>LineærRegression_Valg[[#This Row],[Afhængig variabel ID]]&lt;=$B$5</f>
        <v>0</v>
      </c>
      <c r="F1848" t="str" cm="1">
        <f t="array" ref="F1848">IF(LineærRegression_Valg[[#This Row],[Indenfor range]],INDEX(DataTitel_liste,LineærRegression_Valg[[#This Row],[Afhængig variabel ID]]),INDEX(DataTitel_liste,1))</f>
        <v>Eksempel 1 (interval)</v>
      </c>
      <c r="G1848" s="45" t="str" cm="1">
        <f t="array" ref="G1848">IF(LineærRegression_Valg[[#This Row],[Indenfor range]],IF(LineærRegression_Valg[[#This Row],[Intet overlap]],INDEX(DataTitel_liste,LineærRegression_Valg[[#This Row],[Uafhængig variabel ID]]),INDEX(DataTitel_liste,IF(LineærRegression_Valg[[#This Row],[Afhængig variabel ID]]=1,2,1))),$B$7)</f>
        <v>Eksempel 2 (interval)</v>
      </c>
      <c r="H1848" s="45">
        <f>_xlfn.AGGREGATE(2,5,LineærRegression_Valg[[#This Row],[Tabel ID]])</f>
        <v>1</v>
      </c>
    </row>
    <row r="1849" spans="1:8" x14ac:dyDescent="0.2">
      <c r="A1849">
        <f>ROW(LineærRegression_Valg[[#This Row],[Tabel ID]])-ROW(LineærRegression_Valg[[#Headers],[Tabel ID]])</f>
        <v>1839</v>
      </c>
      <c r="B1849" s="45">
        <f>ROUNDDOWN((LineærRegression_Valg[[#This Row],[Tabel ID]]-1)/$B$5,0)+1</f>
        <v>460</v>
      </c>
      <c r="C1849" s="45">
        <f t="shared" si="28"/>
        <v>3</v>
      </c>
      <c r="D1849" s="45" t="b">
        <f>LineærRegression_Valg[[#This Row],[Afhængig variabel ID]]&lt;&gt;LineærRegression_Valg[[#This Row],[Uafhængig variabel ID]]</f>
        <v>1</v>
      </c>
      <c r="E1849" s="45" t="b">
        <f>LineærRegression_Valg[[#This Row],[Afhængig variabel ID]]&lt;=$B$5</f>
        <v>0</v>
      </c>
      <c r="F1849" t="str" cm="1">
        <f t="array" ref="F1849">IF(LineærRegression_Valg[[#This Row],[Indenfor range]],INDEX(DataTitel_liste,LineærRegression_Valg[[#This Row],[Afhængig variabel ID]]),INDEX(DataTitel_liste,1))</f>
        <v>Eksempel 1 (interval)</v>
      </c>
      <c r="G1849" s="45" t="str" cm="1">
        <f t="array" ref="G1849">IF(LineærRegression_Valg[[#This Row],[Indenfor range]],IF(LineærRegression_Valg[[#This Row],[Intet overlap]],INDEX(DataTitel_liste,LineærRegression_Valg[[#This Row],[Uafhængig variabel ID]]),INDEX(DataTitel_liste,IF(LineærRegression_Valg[[#This Row],[Afhængig variabel ID]]=1,2,1))),$B$7)</f>
        <v>Eksempel 2 (interval)</v>
      </c>
      <c r="H1849" s="45">
        <f>_xlfn.AGGREGATE(2,5,LineærRegression_Valg[[#This Row],[Tabel ID]])</f>
        <v>1</v>
      </c>
    </row>
    <row r="1850" spans="1:8" x14ac:dyDescent="0.2">
      <c r="A1850">
        <f>ROW(LineærRegression_Valg[[#This Row],[Tabel ID]])-ROW(LineærRegression_Valg[[#Headers],[Tabel ID]])</f>
        <v>1840</v>
      </c>
      <c r="B1850" s="45">
        <f>ROUNDDOWN((LineærRegression_Valg[[#This Row],[Tabel ID]]-1)/$B$5,0)+1</f>
        <v>460</v>
      </c>
      <c r="C1850" s="45">
        <f t="shared" si="28"/>
        <v>4</v>
      </c>
      <c r="D1850" s="45" t="b">
        <f>LineærRegression_Valg[[#This Row],[Afhængig variabel ID]]&lt;&gt;LineærRegression_Valg[[#This Row],[Uafhængig variabel ID]]</f>
        <v>1</v>
      </c>
      <c r="E1850" s="45" t="b">
        <f>LineærRegression_Valg[[#This Row],[Afhængig variabel ID]]&lt;=$B$5</f>
        <v>0</v>
      </c>
      <c r="F1850" t="str" cm="1">
        <f t="array" ref="F1850">IF(LineærRegression_Valg[[#This Row],[Indenfor range]],INDEX(DataTitel_liste,LineærRegression_Valg[[#This Row],[Afhængig variabel ID]]),INDEX(DataTitel_liste,1))</f>
        <v>Eksempel 1 (interval)</v>
      </c>
      <c r="G1850" s="45" t="str" cm="1">
        <f t="array" ref="G1850">IF(LineærRegression_Valg[[#This Row],[Indenfor range]],IF(LineærRegression_Valg[[#This Row],[Intet overlap]],INDEX(DataTitel_liste,LineærRegression_Valg[[#This Row],[Uafhængig variabel ID]]),INDEX(DataTitel_liste,IF(LineærRegression_Valg[[#This Row],[Afhængig variabel ID]]=1,2,1))),$B$7)</f>
        <v>Eksempel 2 (interval)</v>
      </c>
      <c r="H1850" s="45">
        <f>_xlfn.AGGREGATE(2,5,LineærRegression_Valg[[#This Row],[Tabel ID]])</f>
        <v>1</v>
      </c>
    </row>
    <row r="1851" spans="1:8" x14ac:dyDescent="0.2">
      <c r="A1851">
        <f>ROW(LineærRegression_Valg[[#This Row],[Tabel ID]])-ROW(LineærRegression_Valg[[#Headers],[Tabel ID]])</f>
        <v>1841</v>
      </c>
      <c r="B1851" s="45">
        <f>ROUNDDOWN((LineærRegression_Valg[[#This Row],[Tabel ID]]-1)/$B$5,0)+1</f>
        <v>461</v>
      </c>
      <c r="C1851" s="45">
        <f t="shared" si="28"/>
        <v>1</v>
      </c>
      <c r="D1851" s="45" t="b">
        <f>LineærRegression_Valg[[#This Row],[Afhængig variabel ID]]&lt;&gt;LineærRegression_Valg[[#This Row],[Uafhængig variabel ID]]</f>
        <v>1</v>
      </c>
      <c r="E1851" s="45" t="b">
        <f>LineærRegression_Valg[[#This Row],[Afhængig variabel ID]]&lt;=$B$5</f>
        <v>0</v>
      </c>
      <c r="F1851" t="str" cm="1">
        <f t="array" ref="F1851">IF(LineærRegression_Valg[[#This Row],[Indenfor range]],INDEX(DataTitel_liste,LineærRegression_Valg[[#This Row],[Afhængig variabel ID]]),INDEX(DataTitel_liste,1))</f>
        <v>Eksempel 1 (interval)</v>
      </c>
      <c r="G1851" s="45" t="str" cm="1">
        <f t="array" ref="G1851">IF(LineærRegression_Valg[[#This Row],[Indenfor range]],IF(LineærRegression_Valg[[#This Row],[Intet overlap]],INDEX(DataTitel_liste,LineærRegression_Valg[[#This Row],[Uafhængig variabel ID]]),INDEX(DataTitel_liste,IF(LineærRegression_Valg[[#This Row],[Afhængig variabel ID]]=1,2,1))),$B$7)</f>
        <v>Eksempel 2 (interval)</v>
      </c>
      <c r="H1851" s="45">
        <f>_xlfn.AGGREGATE(2,5,LineærRegression_Valg[[#This Row],[Tabel ID]])</f>
        <v>1</v>
      </c>
    </row>
    <row r="1852" spans="1:8" x14ac:dyDescent="0.2">
      <c r="A1852">
        <f>ROW(LineærRegression_Valg[[#This Row],[Tabel ID]])-ROW(LineærRegression_Valg[[#Headers],[Tabel ID]])</f>
        <v>1842</v>
      </c>
      <c r="B1852" s="45">
        <f>ROUNDDOWN((LineærRegression_Valg[[#This Row],[Tabel ID]]-1)/$B$5,0)+1</f>
        <v>461</v>
      </c>
      <c r="C1852" s="45">
        <f t="shared" si="28"/>
        <v>2</v>
      </c>
      <c r="D1852" s="45" t="b">
        <f>LineærRegression_Valg[[#This Row],[Afhængig variabel ID]]&lt;&gt;LineærRegression_Valg[[#This Row],[Uafhængig variabel ID]]</f>
        <v>1</v>
      </c>
      <c r="E1852" s="45" t="b">
        <f>LineærRegression_Valg[[#This Row],[Afhængig variabel ID]]&lt;=$B$5</f>
        <v>0</v>
      </c>
      <c r="F1852" t="str" cm="1">
        <f t="array" ref="F1852">IF(LineærRegression_Valg[[#This Row],[Indenfor range]],INDEX(DataTitel_liste,LineærRegression_Valg[[#This Row],[Afhængig variabel ID]]),INDEX(DataTitel_liste,1))</f>
        <v>Eksempel 1 (interval)</v>
      </c>
      <c r="G1852" s="45" t="str" cm="1">
        <f t="array" ref="G1852">IF(LineærRegression_Valg[[#This Row],[Indenfor range]],IF(LineærRegression_Valg[[#This Row],[Intet overlap]],INDEX(DataTitel_liste,LineærRegression_Valg[[#This Row],[Uafhængig variabel ID]]),INDEX(DataTitel_liste,IF(LineærRegression_Valg[[#This Row],[Afhængig variabel ID]]=1,2,1))),$B$7)</f>
        <v>Eksempel 2 (interval)</v>
      </c>
      <c r="H1852" s="45">
        <f>_xlfn.AGGREGATE(2,5,LineærRegression_Valg[[#This Row],[Tabel ID]])</f>
        <v>1</v>
      </c>
    </row>
    <row r="1853" spans="1:8" x14ac:dyDescent="0.2">
      <c r="A1853">
        <f>ROW(LineærRegression_Valg[[#This Row],[Tabel ID]])-ROW(LineærRegression_Valg[[#Headers],[Tabel ID]])</f>
        <v>1843</v>
      </c>
      <c r="B1853" s="45">
        <f>ROUNDDOWN((LineærRegression_Valg[[#This Row],[Tabel ID]]-1)/$B$5,0)+1</f>
        <v>461</v>
      </c>
      <c r="C1853" s="45">
        <f t="shared" si="28"/>
        <v>3</v>
      </c>
      <c r="D1853" s="45" t="b">
        <f>LineærRegression_Valg[[#This Row],[Afhængig variabel ID]]&lt;&gt;LineærRegression_Valg[[#This Row],[Uafhængig variabel ID]]</f>
        <v>1</v>
      </c>
      <c r="E1853" s="45" t="b">
        <f>LineærRegression_Valg[[#This Row],[Afhængig variabel ID]]&lt;=$B$5</f>
        <v>0</v>
      </c>
      <c r="F1853" t="str" cm="1">
        <f t="array" ref="F1853">IF(LineærRegression_Valg[[#This Row],[Indenfor range]],INDEX(DataTitel_liste,LineærRegression_Valg[[#This Row],[Afhængig variabel ID]]),INDEX(DataTitel_liste,1))</f>
        <v>Eksempel 1 (interval)</v>
      </c>
      <c r="G1853" s="45" t="str" cm="1">
        <f t="array" ref="G1853">IF(LineærRegression_Valg[[#This Row],[Indenfor range]],IF(LineærRegression_Valg[[#This Row],[Intet overlap]],INDEX(DataTitel_liste,LineærRegression_Valg[[#This Row],[Uafhængig variabel ID]]),INDEX(DataTitel_liste,IF(LineærRegression_Valg[[#This Row],[Afhængig variabel ID]]=1,2,1))),$B$7)</f>
        <v>Eksempel 2 (interval)</v>
      </c>
      <c r="H1853" s="45">
        <f>_xlfn.AGGREGATE(2,5,LineærRegression_Valg[[#This Row],[Tabel ID]])</f>
        <v>1</v>
      </c>
    </row>
    <row r="1854" spans="1:8" x14ac:dyDescent="0.2">
      <c r="A1854">
        <f>ROW(LineærRegression_Valg[[#This Row],[Tabel ID]])-ROW(LineærRegression_Valg[[#Headers],[Tabel ID]])</f>
        <v>1844</v>
      </c>
      <c r="B1854" s="45">
        <f>ROUNDDOWN((LineærRegression_Valg[[#This Row],[Tabel ID]]-1)/$B$5,0)+1</f>
        <v>461</v>
      </c>
      <c r="C1854" s="45">
        <f t="shared" si="28"/>
        <v>4</v>
      </c>
      <c r="D1854" s="45" t="b">
        <f>LineærRegression_Valg[[#This Row],[Afhængig variabel ID]]&lt;&gt;LineærRegression_Valg[[#This Row],[Uafhængig variabel ID]]</f>
        <v>1</v>
      </c>
      <c r="E1854" s="45" t="b">
        <f>LineærRegression_Valg[[#This Row],[Afhængig variabel ID]]&lt;=$B$5</f>
        <v>0</v>
      </c>
      <c r="F1854" t="str" cm="1">
        <f t="array" ref="F1854">IF(LineærRegression_Valg[[#This Row],[Indenfor range]],INDEX(DataTitel_liste,LineærRegression_Valg[[#This Row],[Afhængig variabel ID]]),INDEX(DataTitel_liste,1))</f>
        <v>Eksempel 1 (interval)</v>
      </c>
      <c r="G1854" s="45" t="str" cm="1">
        <f t="array" ref="G1854">IF(LineærRegression_Valg[[#This Row],[Indenfor range]],IF(LineærRegression_Valg[[#This Row],[Intet overlap]],INDEX(DataTitel_liste,LineærRegression_Valg[[#This Row],[Uafhængig variabel ID]]),INDEX(DataTitel_liste,IF(LineærRegression_Valg[[#This Row],[Afhængig variabel ID]]=1,2,1))),$B$7)</f>
        <v>Eksempel 2 (interval)</v>
      </c>
      <c r="H1854" s="45">
        <f>_xlfn.AGGREGATE(2,5,LineærRegression_Valg[[#This Row],[Tabel ID]])</f>
        <v>1</v>
      </c>
    </row>
    <row r="1855" spans="1:8" x14ac:dyDescent="0.2">
      <c r="A1855">
        <f>ROW(LineærRegression_Valg[[#This Row],[Tabel ID]])-ROW(LineærRegression_Valg[[#Headers],[Tabel ID]])</f>
        <v>1845</v>
      </c>
      <c r="B1855" s="45">
        <f>ROUNDDOWN((LineærRegression_Valg[[#This Row],[Tabel ID]]-1)/$B$5,0)+1</f>
        <v>462</v>
      </c>
      <c r="C1855" s="45">
        <f t="shared" si="28"/>
        <v>1</v>
      </c>
      <c r="D1855" s="45" t="b">
        <f>LineærRegression_Valg[[#This Row],[Afhængig variabel ID]]&lt;&gt;LineærRegression_Valg[[#This Row],[Uafhængig variabel ID]]</f>
        <v>1</v>
      </c>
      <c r="E1855" s="45" t="b">
        <f>LineærRegression_Valg[[#This Row],[Afhængig variabel ID]]&lt;=$B$5</f>
        <v>0</v>
      </c>
      <c r="F1855" t="str" cm="1">
        <f t="array" ref="F1855">IF(LineærRegression_Valg[[#This Row],[Indenfor range]],INDEX(DataTitel_liste,LineærRegression_Valg[[#This Row],[Afhængig variabel ID]]),INDEX(DataTitel_liste,1))</f>
        <v>Eksempel 1 (interval)</v>
      </c>
      <c r="G1855" s="45" t="str" cm="1">
        <f t="array" ref="G1855">IF(LineærRegression_Valg[[#This Row],[Indenfor range]],IF(LineærRegression_Valg[[#This Row],[Intet overlap]],INDEX(DataTitel_liste,LineærRegression_Valg[[#This Row],[Uafhængig variabel ID]]),INDEX(DataTitel_liste,IF(LineærRegression_Valg[[#This Row],[Afhængig variabel ID]]=1,2,1))),$B$7)</f>
        <v>Eksempel 2 (interval)</v>
      </c>
      <c r="H1855" s="45">
        <f>_xlfn.AGGREGATE(2,5,LineærRegression_Valg[[#This Row],[Tabel ID]])</f>
        <v>1</v>
      </c>
    </row>
    <row r="1856" spans="1:8" x14ac:dyDescent="0.2">
      <c r="A1856">
        <f>ROW(LineærRegression_Valg[[#This Row],[Tabel ID]])-ROW(LineærRegression_Valg[[#Headers],[Tabel ID]])</f>
        <v>1846</v>
      </c>
      <c r="B1856" s="45">
        <f>ROUNDDOWN((LineærRegression_Valg[[#This Row],[Tabel ID]]-1)/$B$5,0)+1</f>
        <v>462</v>
      </c>
      <c r="C1856" s="45">
        <f t="shared" si="28"/>
        <v>2</v>
      </c>
      <c r="D1856" s="45" t="b">
        <f>LineærRegression_Valg[[#This Row],[Afhængig variabel ID]]&lt;&gt;LineærRegression_Valg[[#This Row],[Uafhængig variabel ID]]</f>
        <v>1</v>
      </c>
      <c r="E1856" s="45" t="b">
        <f>LineærRegression_Valg[[#This Row],[Afhængig variabel ID]]&lt;=$B$5</f>
        <v>0</v>
      </c>
      <c r="F1856" t="str" cm="1">
        <f t="array" ref="F1856">IF(LineærRegression_Valg[[#This Row],[Indenfor range]],INDEX(DataTitel_liste,LineærRegression_Valg[[#This Row],[Afhængig variabel ID]]),INDEX(DataTitel_liste,1))</f>
        <v>Eksempel 1 (interval)</v>
      </c>
      <c r="G1856" s="45" t="str" cm="1">
        <f t="array" ref="G1856">IF(LineærRegression_Valg[[#This Row],[Indenfor range]],IF(LineærRegression_Valg[[#This Row],[Intet overlap]],INDEX(DataTitel_liste,LineærRegression_Valg[[#This Row],[Uafhængig variabel ID]]),INDEX(DataTitel_liste,IF(LineærRegression_Valg[[#This Row],[Afhængig variabel ID]]=1,2,1))),$B$7)</f>
        <v>Eksempel 2 (interval)</v>
      </c>
      <c r="H1856" s="45">
        <f>_xlfn.AGGREGATE(2,5,LineærRegression_Valg[[#This Row],[Tabel ID]])</f>
        <v>1</v>
      </c>
    </row>
    <row r="1857" spans="1:8" x14ac:dyDescent="0.2">
      <c r="A1857">
        <f>ROW(LineærRegression_Valg[[#This Row],[Tabel ID]])-ROW(LineærRegression_Valg[[#Headers],[Tabel ID]])</f>
        <v>1847</v>
      </c>
      <c r="B1857" s="45">
        <f>ROUNDDOWN((LineærRegression_Valg[[#This Row],[Tabel ID]]-1)/$B$5,0)+1</f>
        <v>462</v>
      </c>
      <c r="C1857" s="45">
        <f t="shared" si="28"/>
        <v>3</v>
      </c>
      <c r="D1857" s="45" t="b">
        <f>LineærRegression_Valg[[#This Row],[Afhængig variabel ID]]&lt;&gt;LineærRegression_Valg[[#This Row],[Uafhængig variabel ID]]</f>
        <v>1</v>
      </c>
      <c r="E1857" s="45" t="b">
        <f>LineærRegression_Valg[[#This Row],[Afhængig variabel ID]]&lt;=$B$5</f>
        <v>0</v>
      </c>
      <c r="F1857" t="str" cm="1">
        <f t="array" ref="F1857">IF(LineærRegression_Valg[[#This Row],[Indenfor range]],INDEX(DataTitel_liste,LineærRegression_Valg[[#This Row],[Afhængig variabel ID]]),INDEX(DataTitel_liste,1))</f>
        <v>Eksempel 1 (interval)</v>
      </c>
      <c r="G1857" s="45" t="str" cm="1">
        <f t="array" ref="G1857">IF(LineærRegression_Valg[[#This Row],[Indenfor range]],IF(LineærRegression_Valg[[#This Row],[Intet overlap]],INDEX(DataTitel_liste,LineærRegression_Valg[[#This Row],[Uafhængig variabel ID]]),INDEX(DataTitel_liste,IF(LineærRegression_Valg[[#This Row],[Afhængig variabel ID]]=1,2,1))),$B$7)</f>
        <v>Eksempel 2 (interval)</v>
      </c>
      <c r="H1857" s="45">
        <f>_xlfn.AGGREGATE(2,5,LineærRegression_Valg[[#This Row],[Tabel ID]])</f>
        <v>1</v>
      </c>
    </row>
    <row r="1858" spans="1:8" x14ac:dyDescent="0.2">
      <c r="A1858">
        <f>ROW(LineærRegression_Valg[[#This Row],[Tabel ID]])-ROW(LineærRegression_Valg[[#Headers],[Tabel ID]])</f>
        <v>1848</v>
      </c>
      <c r="B1858" s="45">
        <f>ROUNDDOWN((LineærRegression_Valg[[#This Row],[Tabel ID]]-1)/$B$5,0)+1</f>
        <v>462</v>
      </c>
      <c r="C1858" s="45">
        <f t="shared" si="28"/>
        <v>4</v>
      </c>
      <c r="D1858" s="45" t="b">
        <f>LineærRegression_Valg[[#This Row],[Afhængig variabel ID]]&lt;&gt;LineærRegression_Valg[[#This Row],[Uafhængig variabel ID]]</f>
        <v>1</v>
      </c>
      <c r="E1858" s="45" t="b">
        <f>LineærRegression_Valg[[#This Row],[Afhængig variabel ID]]&lt;=$B$5</f>
        <v>0</v>
      </c>
      <c r="F1858" t="str" cm="1">
        <f t="array" ref="F1858">IF(LineærRegression_Valg[[#This Row],[Indenfor range]],INDEX(DataTitel_liste,LineærRegression_Valg[[#This Row],[Afhængig variabel ID]]),INDEX(DataTitel_liste,1))</f>
        <v>Eksempel 1 (interval)</v>
      </c>
      <c r="G1858" s="45" t="str" cm="1">
        <f t="array" ref="G1858">IF(LineærRegression_Valg[[#This Row],[Indenfor range]],IF(LineærRegression_Valg[[#This Row],[Intet overlap]],INDEX(DataTitel_liste,LineærRegression_Valg[[#This Row],[Uafhængig variabel ID]]),INDEX(DataTitel_liste,IF(LineærRegression_Valg[[#This Row],[Afhængig variabel ID]]=1,2,1))),$B$7)</f>
        <v>Eksempel 2 (interval)</v>
      </c>
      <c r="H1858" s="45">
        <f>_xlfn.AGGREGATE(2,5,LineærRegression_Valg[[#This Row],[Tabel ID]])</f>
        <v>1</v>
      </c>
    </row>
    <row r="1859" spans="1:8" x14ac:dyDescent="0.2">
      <c r="A1859">
        <f>ROW(LineærRegression_Valg[[#This Row],[Tabel ID]])-ROW(LineærRegression_Valg[[#Headers],[Tabel ID]])</f>
        <v>1849</v>
      </c>
      <c r="B1859" s="45">
        <f>ROUNDDOWN((LineærRegression_Valg[[#This Row],[Tabel ID]]-1)/$B$5,0)+1</f>
        <v>463</v>
      </c>
      <c r="C1859" s="45">
        <f t="shared" si="28"/>
        <v>1</v>
      </c>
      <c r="D1859" s="45" t="b">
        <f>LineærRegression_Valg[[#This Row],[Afhængig variabel ID]]&lt;&gt;LineærRegression_Valg[[#This Row],[Uafhængig variabel ID]]</f>
        <v>1</v>
      </c>
      <c r="E1859" s="45" t="b">
        <f>LineærRegression_Valg[[#This Row],[Afhængig variabel ID]]&lt;=$B$5</f>
        <v>0</v>
      </c>
      <c r="F1859" t="str" cm="1">
        <f t="array" ref="F1859">IF(LineærRegression_Valg[[#This Row],[Indenfor range]],INDEX(DataTitel_liste,LineærRegression_Valg[[#This Row],[Afhængig variabel ID]]),INDEX(DataTitel_liste,1))</f>
        <v>Eksempel 1 (interval)</v>
      </c>
      <c r="G1859" s="45" t="str" cm="1">
        <f t="array" ref="G1859">IF(LineærRegression_Valg[[#This Row],[Indenfor range]],IF(LineærRegression_Valg[[#This Row],[Intet overlap]],INDEX(DataTitel_liste,LineærRegression_Valg[[#This Row],[Uafhængig variabel ID]]),INDEX(DataTitel_liste,IF(LineærRegression_Valg[[#This Row],[Afhængig variabel ID]]=1,2,1))),$B$7)</f>
        <v>Eksempel 2 (interval)</v>
      </c>
      <c r="H1859" s="45">
        <f>_xlfn.AGGREGATE(2,5,LineærRegression_Valg[[#This Row],[Tabel ID]])</f>
        <v>1</v>
      </c>
    </row>
    <row r="1860" spans="1:8" x14ac:dyDescent="0.2">
      <c r="A1860">
        <f>ROW(LineærRegression_Valg[[#This Row],[Tabel ID]])-ROW(LineærRegression_Valg[[#Headers],[Tabel ID]])</f>
        <v>1850</v>
      </c>
      <c r="B1860" s="45">
        <f>ROUNDDOWN((LineærRegression_Valg[[#This Row],[Tabel ID]]-1)/$B$5,0)+1</f>
        <v>463</v>
      </c>
      <c r="C1860" s="45">
        <f t="shared" si="28"/>
        <v>2</v>
      </c>
      <c r="D1860" s="45" t="b">
        <f>LineærRegression_Valg[[#This Row],[Afhængig variabel ID]]&lt;&gt;LineærRegression_Valg[[#This Row],[Uafhængig variabel ID]]</f>
        <v>1</v>
      </c>
      <c r="E1860" s="45" t="b">
        <f>LineærRegression_Valg[[#This Row],[Afhængig variabel ID]]&lt;=$B$5</f>
        <v>0</v>
      </c>
      <c r="F1860" t="str" cm="1">
        <f t="array" ref="F1860">IF(LineærRegression_Valg[[#This Row],[Indenfor range]],INDEX(DataTitel_liste,LineærRegression_Valg[[#This Row],[Afhængig variabel ID]]),INDEX(DataTitel_liste,1))</f>
        <v>Eksempel 1 (interval)</v>
      </c>
      <c r="G1860" s="45" t="str" cm="1">
        <f t="array" ref="G1860">IF(LineærRegression_Valg[[#This Row],[Indenfor range]],IF(LineærRegression_Valg[[#This Row],[Intet overlap]],INDEX(DataTitel_liste,LineærRegression_Valg[[#This Row],[Uafhængig variabel ID]]),INDEX(DataTitel_liste,IF(LineærRegression_Valg[[#This Row],[Afhængig variabel ID]]=1,2,1))),$B$7)</f>
        <v>Eksempel 2 (interval)</v>
      </c>
      <c r="H1860" s="45">
        <f>_xlfn.AGGREGATE(2,5,LineærRegression_Valg[[#This Row],[Tabel ID]])</f>
        <v>1</v>
      </c>
    </row>
    <row r="1861" spans="1:8" x14ac:dyDescent="0.2">
      <c r="A1861">
        <f>ROW(LineærRegression_Valg[[#This Row],[Tabel ID]])-ROW(LineærRegression_Valg[[#Headers],[Tabel ID]])</f>
        <v>1851</v>
      </c>
      <c r="B1861" s="45">
        <f>ROUNDDOWN((LineærRegression_Valg[[#This Row],[Tabel ID]]-1)/$B$5,0)+1</f>
        <v>463</v>
      </c>
      <c r="C1861" s="45">
        <f t="shared" si="28"/>
        <v>3</v>
      </c>
      <c r="D1861" s="45" t="b">
        <f>LineærRegression_Valg[[#This Row],[Afhængig variabel ID]]&lt;&gt;LineærRegression_Valg[[#This Row],[Uafhængig variabel ID]]</f>
        <v>1</v>
      </c>
      <c r="E1861" s="45" t="b">
        <f>LineærRegression_Valg[[#This Row],[Afhængig variabel ID]]&lt;=$B$5</f>
        <v>0</v>
      </c>
      <c r="F1861" t="str" cm="1">
        <f t="array" ref="F1861">IF(LineærRegression_Valg[[#This Row],[Indenfor range]],INDEX(DataTitel_liste,LineærRegression_Valg[[#This Row],[Afhængig variabel ID]]),INDEX(DataTitel_liste,1))</f>
        <v>Eksempel 1 (interval)</v>
      </c>
      <c r="G1861" s="45" t="str" cm="1">
        <f t="array" ref="G1861">IF(LineærRegression_Valg[[#This Row],[Indenfor range]],IF(LineærRegression_Valg[[#This Row],[Intet overlap]],INDEX(DataTitel_liste,LineærRegression_Valg[[#This Row],[Uafhængig variabel ID]]),INDEX(DataTitel_liste,IF(LineærRegression_Valg[[#This Row],[Afhængig variabel ID]]=1,2,1))),$B$7)</f>
        <v>Eksempel 2 (interval)</v>
      </c>
      <c r="H1861" s="45">
        <f>_xlfn.AGGREGATE(2,5,LineærRegression_Valg[[#This Row],[Tabel ID]])</f>
        <v>1</v>
      </c>
    </row>
    <row r="1862" spans="1:8" x14ac:dyDescent="0.2">
      <c r="A1862">
        <f>ROW(LineærRegression_Valg[[#This Row],[Tabel ID]])-ROW(LineærRegression_Valg[[#Headers],[Tabel ID]])</f>
        <v>1852</v>
      </c>
      <c r="B1862" s="45">
        <f>ROUNDDOWN((LineærRegression_Valg[[#This Row],[Tabel ID]]-1)/$B$5,0)+1</f>
        <v>463</v>
      </c>
      <c r="C1862" s="45">
        <f t="shared" si="28"/>
        <v>4</v>
      </c>
      <c r="D1862" s="45" t="b">
        <f>LineærRegression_Valg[[#This Row],[Afhængig variabel ID]]&lt;&gt;LineærRegression_Valg[[#This Row],[Uafhængig variabel ID]]</f>
        <v>1</v>
      </c>
      <c r="E1862" s="45" t="b">
        <f>LineærRegression_Valg[[#This Row],[Afhængig variabel ID]]&lt;=$B$5</f>
        <v>0</v>
      </c>
      <c r="F1862" t="str" cm="1">
        <f t="array" ref="F1862">IF(LineærRegression_Valg[[#This Row],[Indenfor range]],INDEX(DataTitel_liste,LineærRegression_Valg[[#This Row],[Afhængig variabel ID]]),INDEX(DataTitel_liste,1))</f>
        <v>Eksempel 1 (interval)</v>
      </c>
      <c r="G1862" s="45" t="str" cm="1">
        <f t="array" ref="G1862">IF(LineærRegression_Valg[[#This Row],[Indenfor range]],IF(LineærRegression_Valg[[#This Row],[Intet overlap]],INDEX(DataTitel_liste,LineærRegression_Valg[[#This Row],[Uafhængig variabel ID]]),INDEX(DataTitel_liste,IF(LineærRegression_Valg[[#This Row],[Afhængig variabel ID]]=1,2,1))),$B$7)</f>
        <v>Eksempel 2 (interval)</v>
      </c>
      <c r="H1862" s="45">
        <f>_xlfn.AGGREGATE(2,5,LineærRegression_Valg[[#This Row],[Tabel ID]])</f>
        <v>1</v>
      </c>
    </row>
    <row r="1863" spans="1:8" x14ac:dyDescent="0.2">
      <c r="A1863">
        <f>ROW(LineærRegression_Valg[[#This Row],[Tabel ID]])-ROW(LineærRegression_Valg[[#Headers],[Tabel ID]])</f>
        <v>1853</v>
      </c>
      <c r="B1863" s="45">
        <f>ROUNDDOWN((LineærRegression_Valg[[#This Row],[Tabel ID]]-1)/$B$5,0)+1</f>
        <v>464</v>
      </c>
      <c r="C1863" s="45">
        <f t="shared" si="28"/>
        <v>1</v>
      </c>
      <c r="D1863" s="45" t="b">
        <f>LineærRegression_Valg[[#This Row],[Afhængig variabel ID]]&lt;&gt;LineærRegression_Valg[[#This Row],[Uafhængig variabel ID]]</f>
        <v>1</v>
      </c>
      <c r="E1863" s="45" t="b">
        <f>LineærRegression_Valg[[#This Row],[Afhængig variabel ID]]&lt;=$B$5</f>
        <v>0</v>
      </c>
      <c r="F1863" t="str" cm="1">
        <f t="array" ref="F1863">IF(LineærRegression_Valg[[#This Row],[Indenfor range]],INDEX(DataTitel_liste,LineærRegression_Valg[[#This Row],[Afhængig variabel ID]]),INDEX(DataTitel_liste,1))</f>
        <v>Eksempel 1 (interval)</v>
      </c>
      <c r="G1863" s="45" t="str" cm="1">
        <f t="array" ref="G1863">IF(LineærRegression_Valg[[#This Row],[Indenfor range]],IF(LineærRegression_Valg[[#This Row],[Intet overlap]],INDEX(DataTitel_liste,LineærRegression_Valg[[#This Row],[Uafhængig variabel ID]]),INDEX(DataTitel_liste,IF(LineærRegression_Valg[[#This Row],[Afhængig variabel ID]]=1,2,1))),$B$7)</f>
        <v>Eksempel 2 (interval)</v>
      </c>
      <c r="H1863" s="45">
        <f>_xlfn.AGGREGATE(2,5,LineærRegression_Valg[[#This Row],[Tabel ID]])</f>
        <v>1</v>
      </c>
    </row>
    <row r="1864" spans="1:8" x14ac:dyDescent="0.2">
      <c r="A1864">
        <f>ROW(LineærRegression_Valg[[#This Row],[Tabel ID]])-ROW(LineærRegression_Valg[[#Headers],[Tabel ID]])</f>
        <v>1854</v>
      </c>
      <c r="B1864" s="45">
        <f>ROUNDDOWN((LineærRegression_Valg[[#This Row],[Tabel ID]]-1)/$B$5,0)+1</f>
        <v>464</v>
      </c>
      <c r="C1864" s="45">
        <f t="shared" si="28"/>
        <v>2</v>
      </c>
      <c r="D1864" s="45" t="b">
        <f>LineærRegression_Valg[[#This Row],[Afhængig variabel ID]]&lt;&gt;LineærRegression_Valg[[#This Row],[Uafhængig variabel ID]]</f>
        <v>1</v>
      </c>
      <c r="E1864" s="45" t="b">
        <f>LineærRegression_Valg[[#This Row],[Afhængig variabel ID]]&lt;=$B$5</f>
        <v>0</v>
      </c>
      <c r="F1864" t="str" cm="1">
        <f t="array" ref="F1864">IF(LineærRegression_Valg[[#This Row],[Indenfor range]],INDEX(DataTitel_liste,LineærRegression_Valg[[#This Row],[Afhængig variabel ID]]),INDEX(DataTitel_liste,1))</f>
        <v>Eksempel 1 (interval)</v>
      </c>
      <c r="G1864" s="45" t="str" cm="1">
        <f t="array" ref="G1864">IF(LineærRegression_Valg[[#This Row],[Indenfor range]],IF(LineærRegression_Valg[[#This Row],[Intet overlap]],INDEX(DataTitel_liste,LineærRegression_Valg[[#This Row],[Uafhængig variabel ID]]),INDEX(DataTitel_liste,IF(LineærRegression_Valg[[#This Row],[Afhængig variabel ID]]=1,2,1))),$B$7)</f>
        <v>Eksempel 2 (interval)</v>
      </c>
      <c r="H1864" s="45">
        <f>_xlfn.AGGREGATE(2,5,LineærRegression_Valg[[#This Row],[Tabel ID]])</f>
        <v>1</v>
      </c>
    </row>
    <row r="1865" spans="1:8" x14ac:dyDescent="0.2">
      <c r="A1865">
        <f>ROW(LineærRegression_Valg[[#This Row],[Tabel ID]])-ROW(LineærRegression_Valg[[#Headers],[Tabel ID]])</f>
        <v>1855</v>
      </c>
      <c r="B1865" s="45">
        <f>ROUNDDOWN((LineærRegression_Valg[[#This Row],[Tabel ID]]-1)/$B$5,0)+1</f>
        <v>464</v>
      </c>
      <c r="C1865" s="45">
        <f t="shared" si="28"/>
        <v>3</v>
      </c>
      <c r="D1865" s="45" t="b">
        <f>LineærRegression_Valg[[#This Row],[Afhængig variabel ID]]&lt;&gt;LineærRegression_Valg[[#This Row],[Uafhængig variabel ID]]</f>
        <v>1</v>
      </c>
      <c r="E1865" s="45" t="b">
        <f>LineærRegression_Valg[[#This Row],[Afhængig variabel ID]]&lt;=$B$5</f>
        <v>0</v>
      </c>
      <c r="F1865" t="str" cm="1">
        <f t="array" ref="F1865">IF(LineærRegression_Valg[[#This Row],[Indenfor range]],INDEX(DataTitel_liste,LineærRegression_Valg[[#This Row],[Afhængig variabel ID]]),INDEX(DataTitel_liste,1))</f>
        <v>Eksempel 1 (interval)</v>
      </c>
      <c r="G1865" s="45" t="str" cm="1">
        <f t="array" ref="G1865">IF(LineærRegression_Valg[[#This Row],[Indenfor range]],IF(LineærRegression_Valg[[#This Row],[Intet overlap]],INDEX(DataTitel_liste,LineærRegression_Valg[[#This Row],[Uafhængig variabel ID]]),INDEX(DataTitel_liste,IF(LineærRegression_Valg[[#This Row],[Afhængig variabel ID]]=1,2,1))),$B$7)</f>
        <v>Eksempel 2 (interval)</v>
      </c>
      <c r="H1865" s="45">
        <f>_xlfn.AGGREGATE(2,5,LineærRegression_Valg[[#This Row],[Tabel ID]])</f>
        <v>1</v>
      </c>
    </row>
    <row r="1866" spans="1:8" x14ac:dyDescent="0.2">
      <c r="A1866">
        <f>ROW(LineærRegression_Valg[[#This Row],[Tabel ID]])-ROW(LineærRegression_Valg[[#Headers],[Tabel ID]])</f>
        <v>1856</v>
      </c>
      <c r="B1866" s="45">
        <f>ROUNDDOWN((LineærRegression_Valg[[#This Row],[Tabel ID]]-1)/$B$5,0)+1</f>
        <v>464</v>
      </c>
      <c r="C1866" s="45">
        <f t="shared" si="28"/>
        <v>4</v>
      </c>
      <c r="D1866" s="45" t="b">
        <f>LineærRegression_Valg[[#This Row],[Afhængig variabel ID]]&lt;&gt;LineærRegression_Valg[[#This Row],[Uafhængig variabel ID]]</f>
        <v>1</v>
      </c>
      <c r="E1866" s="45" t="b">
        <f>LineærRegression_Valg[[#This Row],[Afhængig variabel ID]]&lt;=$B$5</f>
        <v>0</v>
      </c>
      <c r="F1866" t="str" cm="1">
        <f t="array" ref="F1866">IF(LineærRegression_Valg[[#This Row],[Indenfor range]],INDEX(DataTitel_liste,LineærRegression_Valg[[#This Row],[Afhængig variabel ID]]),INDEX(DataTitel_liste,1))</f>
        <v>Eksempel 1 (interval)</v>
      </c>
      <c r="G1866" s="45" t="str" cm="1">
        <f t="array" ref="G1866">IF(LineærRegression_Valg[[#This Row],[Indenfor range]],IF(LineærRegression_Valg[[#This Row],[Intet overlap]],INDEX(DataTitel_liste,LineærRegression_Valg[[#This Row],[Uafhængig variabel ID]]),INDEX(DataTitel_liste,IF(LineærRegression_Valg[[#This Row],[Afhængig variabel ID]]=1,2,1))),$B$7)</f>
        <v>Eksempel 2 (interval)</v>
      </c>
      <c r="H1866" s="45">
        <f>_xlfn.AGGREGATE(2,5,LineærRegression_Valg[[#This Row],[Tabel ID]])</f>
        <v>1</v>
      </c>
    </row>
    <row r="1867" spans="1:8" x14ac:dyDescent="0.2">
      <c r="A1867">
        <f>ROW(LineærRegression_Valg[[#This Row],[Tabel ID]])-ROW(LineærRegression_Valg[[#Headers],[Tabel ID]])</f>
        <v>1857</v>
      </c>
      <c r="B1867" s="45">
        <f>ROUNDDOWN((LineærRegression_Valg[[#This Row],[Tabel ID]]-1)/$B$5,0)+1</f>
        <v>465</v>
      </c>
      <c r="C1867" s="45">
        <f t="shared" ref="C1867:C1930" si="29">MOD(A1867-1,$B$5)+1</f>
        <v>1</v>
      </c>
      <c r="D1867" s="45" t="b">
        <f>LineærRegression_Valg[[#This Row],[Afhængig variabel ID]]&lt;&gt;LineærRegression_Valg[[#This Row],[Uafhængig variabel ID]]</f>
        <v>1</v>
      </c>
      <c r="E1867" s="45" t="b">
        <f>LineærRegression_Valg[[#This Row],[Afhængig variabel ID]]&lt;=$B$5</f>
        <v>0</v>
      </c>
      <c r="F1867" t="str" cm="1">
        <f t="array" ref="F1867">IF(LineærRegression_Valg[[#This Row],[Indenfor range]],INDEX(DataTitel_liste,LineærRegression_Valg[[#This Row],[Afhængig variabel ID]]),INDEX(DataTitel_liste,1))</f>
        <v>Eksempel 1 (interval)</v>
      </c>
      <c r="G1867" s="45" t="str" cm="1">
        <f t="array" ref="G1867">IF(LineærRegression_Valg[[#This Row],[Indenfor range]],IF(LineærRegression_Valg[[#This Row],[Intet overlap]],INDEX(DataTitel_liste,LineærRegression_Valg[[#This Row],[Uafhængig variabel ID]]),INDEX(DataTitel_liste,IF(LineærRegression_Valg[[#This Row],[Afhængig variabel ID]]=1,2,1))),$B$7)</f>
        <v>Eksempel 2 (interval)</v>
      </c>
      <c r="H1867" s="45">
        <f>_xlfn.AGGREGATE(2,5,LineærRegression_Valg[[#This Row],[Tabel ID]])</f>
        <v>1</v>
      </c>
    </row>
    <row r="1868" spans="1:8" x14ac:dyDescent="0.2">
      <c r="A1868">
        <f>ROW(LineærRegression_Valg[[#This Row],[Tabel ID]])-ROW(LineærRegression_Valg[[#Headers],[Tabel ID]])</f>
        <v>1858</v>
      </c>
      <c r="B1868" s="45">
        <f>ROUNDDOWN((LineærRegression_Valg[[#This Row],[Tabel ID]]-1)/$B$5,0)+1</f>
        <v>465</v>
      </c>
      <c r="C1868" s="45">
        <f t="shared" si="29"/>
        <v>2</v>
      </c>
      <c r="D1868" s="45" t="b">
        <f>LineærRegression_Valg[[#This Row],[Afhængig variabel ID]]&lt;&gt;LineærRegression_Valg[[#This Row],[Uafhængig variabel ID]]</f>
        <v>1</v>
      </c>
      <c r="E1868" s="45" t="b">
        <f>LineærRegression_Valg[[#This Row],[Afhængig variabel ID]]&lt;=$B$5</f>
        <v>0</v>
      </c>
      <c r="F1868" t="str" cm="1">
        <f t="array" ref="F1868">IF(LineærRegression_Valg[[#This Row],[Indenfor range]],INDEX(DataTitel_liste,LineærRegression_Valg[[#This Row],[Afhængig variabel ID]]),INDEX(DataTitel_liste,1))</f>
        <v>Eksempel 1 (interval)</v>
      </c>
      <c r="G1868" s="45" t="str" cm="1">
        <f t="array" ref="G1868">IF(LineærRegression_Valg[[#This Row],[Indenfor range]],IF(LineærRegression_Valg[[#This Row],[Intet overlap]],INDEX(DataTitel_liste,LineærRegression_Valg[[#This Row],[Uafhængig variabel ID]]),INDEX(DataTitel_liste,IF(LineærRegression_Valg[[#This Row],[Afhængig variabel ID]]=1,2,1))),$B$7)</f>
        <v>Eksempel 2 (interval)</v>
      </c>
      <c r="H1868" s="45">
        <f>_xlfn.AGGREGATE(2,5,LineærRegression_Valg[[#This Row],[Tabel ID]])</f>
        <v>1</v>
      </c>
    </row>
    <row r="1869" spans="1:8" x14ac:dyDescent="0.2">
      <c r="A1869">
        <f>ROW(LineærRegression_Valg[[#This Row],[Tabel ID]])-ROW(LineærRegression_Valg[[#Headers],[Tabel ID]])</f>
        <v>1859</v>
      </c>
      <c r="B1869" s="45">
        <f>ROUNDDOWN((LineærRegression_Valg[[#This Row],[Tabel ID]]-1)/$B$5,0)+1</f>
        <v>465</v>
      </c>
      <c r="C1869" s="45">
        <f t="shared" si="29"/>
        <v>3</v>
      </c>
      <c r="D1869" s="45" t="b">
        <f>LineærRegression_Valg[[#This Row],[Afhængig variabel ID]]&lt;&gt;LineærRegression_Valg[[#This Row],[Uafhængig variabel ID]]</f>
        <v>1</v>
      </c>
      <c r="E1869" s="45" t="b">
        <f>LineærRegression_Valg[[#This Row],[Afhængig variabel ID]]&lt;=$B$5</f>
        <v>0</v>
      </c>
      <c r="F1869" t="str" cm="1">
        <f t="array" ref="F1869">IF(LineærRegression_Valg[[#This Row],[Indenfor range]],INDEX(DataTitel_liste,LineærRegression_Valg[[#This Row],[Afhængig variabel ID]]),INDEX(DataTitel_liste,1))</f>
        <v>Eksempel 1 (interval)</v>
      </c>
      <c r="G1869" s="45" t="str" cm="1">
        <f t="array" ref="G1869">IF(LineærRegression_Valg[[#This Row],[Indenfor range]],IF(LineærRegression_Valg[[#This Row],[Intet overlap]],INDEX(DataTitel_liste,LineærRegression_Valg[[#This Row],[Uafhængig variabel ID]]),INDEX(DataTitel_liste,IF(LineærRegression_Valg[[#This Row],[Afhængig variabel ID]]=1,2,1))),$B$7)</f>
        <v>Eksempel 2 (interval)</v>
      </c>
      <c r="H1869" s="45">
        <f>_xlfn.AGGREGATE(2,5,LineærRegression_Valg[[#This Row],[Tabel ID]])</f>
        <v>1</v>
      </c>
    </row>
    <row r="1870" spans="1:8" x14ac:dyDescent="0.2">
      <c r="A1870">
        <f>ROW(LineærRegression_Valg[[#This Row],[Tabel ID]])-ROW(LineærRegression_Valg[[#Headers],[Tabel ID]])</f>
        <v>1860</v>
      </c>
      <c r="B1870" s="45">
        <f>ROUNDDOWN((LineærRegression_Valg[[#This Row],[Tabel ID]]-1)/$B$5,0)+1</f>
        <v>465</v>
      </c>
      <c r="C1870" s="45">
        <f t="shared" si="29"/>
        <v>4</v>
      </c>
      <c r="D1870" s="45" t="b">
        <f>LineærRegression_Valg[[#This Row],[Afhængig variabel ID]]&lt;&gt;LineærRegression_Valg[[#This Row],[Uafhængig variabel ID]]</f>
        <v>1</v>
      </c>
      <c r="E1870" s="45" t="b">
        <f>LineærRegression_Valg[[#This Row],[Afhængig variabel ID]]&lt;=$B$5</f>
        <v>0</v>
      </c>
      <c r="F1870" t="str" cm="1">
        <f t="array" ref="F1870">IF(LineærRegression_Valg[[#This Row],[Indenfor range]],INDEX(DataTitel_liste,LineærRegression_Valg[[#This Row],[Afhængig variabel ID]]),INDEX(DataTitel_liste,1))</f>
        <v>Eksempel 1 (interval)</v>
      </c>
      <c r="G1870" s="45" t="str" cm="1">
        <f t="array" ref="G1870">IF(LineærRegression_Valg[[#This Row],[Indenfor range]],IF(LineærRegression_Valg[[#This Row],[Intet overlap]],INDEX(DataTitel_liste,LineærRegression_Valg[[#This Row],[Uafhængig variabel ID]]),INDEX(DataTitel_liste,IF(LineærRegression_Valg[[#This Row],[Afhængig variabel ID]]=1,2,1))),$B$7)</f>
        <v>Eksempel 2 (interval)</v>
      </c>
      <c r="H1870" s="45">
        <f>_xlfn.AGGREGATE(2,5,LineærRegression_Valg[[#This Row],[Tabel ID]])</f>
        <v>1</v>
      </c>
    </row>
    <row r="1871" spans="1:8" x14ac:dyDescent="0.2">
      <c r="A1871">
        <f>ROW(LineærRegression_Valg[[#This Row],[Tabel ID]])-ROW(LineærRegression_Valg[[#Headers],[Tabel ID]])</f>
        <v>1861</v>
      </c>
      <c r="B1871" s="45">
        <f>ROUNDDOWN((LineærRegression_Valg[[#This Row],[Tabel ID]]-1)/$B$5,0)+1</f>
        <v>466</v>
      </c>
      <c r="C1871" s="45">
        <f t="shared" si="29"/>
        <v>1</v>
      </c>
      <c r="D1871" s="45" t="b">
        <f>LineærRegression_Valg[[#This Row],[Afhængig variabel ID]]&lt;&gt;LineærRegression_Valg[[#This Row],[Uafhængig variabel ID]]</f>
        <v>1</v>
      </c>
      <c r="E1871" s="45" t="b">
        <f>LineærRegression_Valg[[#This Row],[Afhængig variabel ID]]&lt;=$B$5</f>
        <v>0</v>
      </c>
      <c r="F1871" t="str" cm="1">
        <f t="array" ref="F1871">IF(LineærRegression_Valg[[#This Row],[Indenfor range]],INDEX(DataTitel_liste,LineærRegression_Valg[[#This Row],[Afhængig variabel ID]]),INDEX(DataTitel_liste,1))</f>
        <v>Eksempel 1 (interval)</v>
      </c>
      <c r="G1871" s="45" t="str" cm="1">
        <f t="array" ref="G1871">IF(LineærRegression_Valg[[#This Row],[Indenfor range]],IF(LineærRegression_Valg[[#This Row],[Intet overlap]],INDEX(DataTitel_liste,LineærRegression_Valg[[#This Row],[Uafhængig variabel ID]]),INDEX(DataTitel_liste,IF(LineærRegression_Valg[[#This Row],[Afhængig variabel ID]]=1,2,1))),$B$7)</f>
        <v>Eksempel 2 (interval)</v>
      </c>
      <c r="H1871" s="45">
        <f>_xlfn.AGGREGATE(2,5,LineærRegression_Valg[[#This Row],[Tabel ID]])</f>
        <v>1</v>
      </c>
    </row>
    <row r="1872" spans="1:8" x14ac:dyDescent="0.2">
      <c r="A1872">
        <f>ROW(LineærRegression_Valg[[#This Row],[Tabel ID]])-ROW(LineærRegression_Valg[[#Headers],[Tabel ID]])</f>
        <v>1862</v>
      </c>
      <c r="B1872" s="45">
        <f>ROUNDDOWN((LineærRegression_Valg[[#This Row],[Tabel ID]]-1)/$B$5,0)+1</f>
        <v>466</v>
      </c>
      <c r="C1872" s="45">
        <f t="shared" si="29"/>
        <v>2</v>
      </c>
      <c r="D1872" s="45" t="b">
        <f>LineærRegression_Valg[[#This Row],[Afhængig variabel ID]]&lt;&gt;LineærRegression_Valg[[#This Row],[Uafhængig variabel ID]]</f>
        <v>1</v>
      </c>
      <c r="E1872" s="45" t="b">
        <f>LineærRegression_Valg[[#This Row],[Afhængig variabel ID]]&lt;=$B$5</f>
        <v>0</v>
      </c>
      <c r="F1872" t="str" cm="1">
        <f t="array" ref="F1872">IF(LineærRegression_Valg[[#This Row],[Indenfor range]],INDEX(DataTitel_liste,LineærRegression_Valg[[#This Row],[Afhængig variabel ID]]),INDEX(DataTitel_liste,1))</f>
        <v>Eksempel 1 (interval)</v>
      </c>
      <c r="G1872" s="45" t="str" cm="1">
        <f t="array" ref="G1872">IF(LineærRegression_Valg[[#This Row],[Indenfor range]],IF(LineærRegression_Valg[[#This Row],[Intet overlap]],INDEX(DataTitel_liste,LineærRegression_Valg[[#This Row],[Uafhængig variabel ID]]),INDEX(DataTitel_liste,IF(LineærRegression_Valg[[#This Row],[Afhængig variabel ID]]=1,2,1))),$B$7)</f>
        <v>Eksempel 2 (interval)</v>
      </c>
      <c r="H1872" s="45">
        <f>_xlfn.AGGREGATE(2,5,LineærRegression_Valg[[#This Row],[Tabel ID]])</f>
        <v>1</v>
      </c>
    </row>
    <row r="1873" spans="1:8" x14ac:dyDescent="0.2">
      <c r="A1873">
        <f>ROW(LineærRegression_Valg[[#This Row],[Tabel ID]])-ROW(LineærRegression_Valg[[#Headers],[Tabel ID]])</f>
        <v>1863</v>
      </c>
      <c r="B1873" s="45">
        <f>ROUNDDOWN((LineærRegression_Valg[[#This Row],[Tabel ID]]-1)/$B$5,0)+1</f>
        <v>466</v>
      </c>
      <c r="C1873" s="45">
        <f t="shared" si="29"/>
        <v>3</v>
      </c>
      <c r="D1873" s="45" t="b">
        <f>LineærRegression_Valg[[#This Row],[Afhængig variabel ID]]&lt;&gt;LineærRegression_Valg[[#This Row],[Uafhængig variabel ID]]</f>
        <v>1</v>
      </c>
      <c r="E1873" s="45" t="b">
        <f>LineærRegression_Valg[[#This Row],[Afhængig variabel ID]]&lt;=$B$5</f>
        <v>0</v>
      </c>
      <c r="F1873" t="str" cm="1">
        <f t="array" ref="F1873">IF(LineærRegression_Valg[[#This Row],[Indenfor range]],INDEX(DataTitel_liste,LineærRegression_Valg[[#This Row],[Afhængig variabel ID]]),INDEX(DataTitel_liste,1))</f>
        <v>Eksempel 1 (interval)</v>
      </c>
      <c r="G1873" s="45" t="str" cm="1">
        <f t="array" ref="G1873">IF(LineærRegression_Valg[[#This Row],[Indenfor range]],IF(LineærRegression_Valg[[#This Row],[Intet overlap]],INDEX(DataTitel_liste,LineærRegression_Valg[[#This Row],[Uafhængig variabel ID]]),INDEX(DataTitel_liste,IF(LineærRegression_Valg[[#This Row],[Afhængig variabel ID]]=1,2,1))),$B$7)</f>
        <v>Eksempel 2 (interval)</v>
      </c>
      <c r="H1873" s="45">
        <f>_xlfn.AGGREGATE(2,5,LineærRegression_Valg[[#This Row],[Tabel ID]])</f>
        <v>1</v>
      </c>
    </row>
    <row r="1874" spans="1:8" x14ac:dyDescent="0.2">
      <c r="A1874">
        <f>ROW(LineærRegression_Valg[[#This Row],[Tabel ID]])-ROW(LineærRegression_Valg[[#Headers],[Tabel ID]])</f>
        <v>1864</v>
      </c>
      <c r="B1874" s="45">
        <f>ROUNDDOWN((LineærRegression_Valg[[#This Row],[Tabel ID]]-1)/$B$5,0)+1</f>
        <v>466</v>
      </c>
      <c r="C1874" s="45">
        <f t="shared" si="29"/>
        <v>4</v>
      </c>
      <c r="D1874" s="45" t="b">
        <f>LineærRegression_Valg[[#This Row],[Afhængig variabel ID]]&lt;&gt;LineærRegression_Valg[[#This Row],[Uafhængig variabel ID]]</f>
        <v>1</v>
      </c>
      <c r="E1874" s="45" t="b">
        <f>LineærRegression_Valg[[#This Row],[Afhængig variabel ID]]&lt;=$B$5</f>
        <v>0</v>
      </c>
      <c r="F1874" t="str" cm="1">
        <f t="array" ref="F1874">IF(LineærRegression_Valg[[#This Row],[Indenfor range]],INDEX(DataTitel_liste,LineærRegression_Valg[[#This Row],[Afhængig variabel ID]]),INDEX(DataTitel_liste,1))</f>
        <v>Eksempel 1 (interval)</v>
      </c>
      <c r="G1874" s="45" t="str" cm="1">
        <f t="array" ref="G1874">IF(LineærRegression_Valg[[#This Row],[Indenfor range]],IF(LineærRegression_Valg[[#This Row],[Intet overlap]],INDEX(DataTitel_liste,LineærRegression_Valg[[#This Row],[Uafhængig variabel ID]]),INDEX(DataTitel_liste,IF(LineærRegression_Valg[[#This Row],[Afhængig variabel ID]]=1,2,1))),$B$7)</f>
        <v>Eksempel 2 (interval)</v>
      </c>
      <c r="H1874" s="45">
        <f>_xlfn.AGGREGATE(2,5,LineærRegression_Valg[[#This Row],[Tabel ID]])</f>
        <v>1</v>
      </c>
    </row>
    <row r="1875" spans="1:8" x14ac:dyDescent="0.2">
      <c r="A1875">
        <f>ROW(LineærRegression_Valg[[#This Row],[Tabel ID]])-ROW(LineærRegression_Valg[[#Headers],[Tabel ID]])</f>
        <v>1865</v>
      </c>
      <c r="B1875" s="45">
        <f>ROUNDDOWN((LineærRegression_Valg[[#This Row],[Tabel ID]]-1)/$B$5,0)+1</f>
        <v>467</v>
      </c>
      <c r="C1875" s="45">
        <f t="shared" si="29"/>
        <v>1</v>
      </c>
      <c r="D1875" s="45" t="b">
        <f>LineærRegression_Valg[[#This Row],[Afhængig variabel ID]]&lt;&gt;LineærRegression_Valg[[#This Row],[Uafhængig variabel ID]]</f>
        <v>1</v>
      </c>
      <c r="E1875" s="45" t="b">
        <f>LineærRegression_Valg[[#This Row],[Afhængig variabel ID]]&lt;=$B$5</f>
        <v>0</v>
      </c>
      <c r="F1875" t="str" cm="1">
        <f t="array" ref="F1875">IF(LineærRegression_Valg[[#This Row],[Indenfor range]],INDEX(DataTitel_liste,LineærRegression_Valg[[#This Row],[Afhængig variabel ID]]),INDEX(DataTitel_liste,1))</f>
        <v>Eksempel 1 (interval)</v>
      </c>
      <c r="G1875" s="45" t="str" cm="1">
        <f t="array" ref="G1875">IF(LineærRegression_Valg[[#This Row],[Indenfor range]],IF(LineærRegression_Valg[[#This Row],[Intet overlap]],INDEX(DataTitel_liste,LineærRegression_Valg[[#This Row],[Uafhængig variabel ID]]),INDEX(DataTitel_liste,IF(LineærRegression_Valg[[#This Row],[Afhængig variabel ID]]=1,2,1))),$B$7)</f>
        <v>Eksempel 2 (interval)</v>
      </c>
      <c r="H1875" s="45">
        <f>_xlfn.AGGREGATE(2,5,LineærRegression_Valg[[#This Row],[Tabel ID]])</f>
        <v>1</v>
      </c>
    </row>
    <row r="1876" spans="1:8" x14ac:dyDescent="0.2">
      <c r="A1876">
        <f>ROW(LineærRegression_Valg[[#This Row],[Tabel ID]])-ROW(LineærRegression_Valg[[#Headers],[Tabel ID]])</f>
        <v>1866</v>
      </c>
      <c r="B1876" s="45">
        <f>ROUNDDOWN((LineærRegression_Valg[[#This Row],[Tabel ID]]-1)/$B$5,0)+1</f>
        <v>467</v>
      </c>
      <c r="C1876" s="45">
        <f t="shared" si="29"/>
        <v>2</v>
      </c>
      <c r="D1876" s="45" t="b">
        <f>LineærRegression_Valg[[#This Row],[Afhængig variabel ID]]&lt;&gt;LineærRegression_Valg[[#This Row],[Uafhængig variabel ID]]</f>
        <v>1</v>
      </c>
      <c r="E1876" s="45" t="b">
        <f>LineærRegression_Valg[[#This Row],[Afhængig variabel ID]]&lt;=$B$5</f>
        <v>0</v>
      </c>
      <c r="F1876" t="str" cm="1">
        <f t="array" ref="F1876">IF(LineærRegression_Valg[[#This Row],[Indenfor range]],INDEX(DataTitel_liste,LineærRegression_Valg[[#This Row],[Afhængig variabel ID]]),INDEX(DataTitel_liste,1))</f>
        <v>Eksempel 1 (interval)</v>
      </c>
      <c r="G1876" s="45" t="str" cm="1">
        <f t="array" ref="G1876">IF(LineærRegression_Valg[[#This Row],[Indenfor range]],IF(LineærRegression_Valg[[#This Row],[Intet overlap]],INDEX(DataTitel_liste,LineærRegression_Valg[[#This Row],[Uafhængig variabel ID]]),INDEX(DataTitel_liste,IF(LineærRegression_Valg[[#This Row],[Afhængig variabel ID]]=1,2,1))),$B$7)</f>
        <v>Eksempel 2 (interval)</v>
      </c>
      <c r="H1876" s="45">
        <f>_xlfn.AGGREGATE(2,5,LineærRegression_Valg[[#This Row],[Tabel ID]])</f>
        <v>1</v>
      </c>
    </row>
    <row r="1877" spans="1:8" x14ac:dyDescent="0.2">
      <c r="A1877">
        <f>ROW(LineærRegression_Valg[[#This Row],[Tabel ID]])-ROW(LineærRegression_Valg[[#Headers],[Tabel ID]])</f>
        <v>1867</v>
      </c>
      <c r="B1877" s="45">
        <f>ROUNDDOWN((LineærRegression_Valg[[#This Row],[Tabel ID]]-1)/$B$5,0)+1</f>
        <v>467</v>
      </c>
      <c r="C1877" s="45">
        <f t="shared" si="29"/>
        <v>3</v>
      </c>
      <c r="D1877" s="45" t="b">
        <f>LineærRegression_Valg[[#This Row],[Afhængig variabel ID]]&lt;&gt;LineærRegression_Valg[[#This Row],[Uafhængig variabel ID]]</f>
        <v>1</v>
      </c>
      <c r="E1877" s="45" t="b">
        <f>LineærRegression_Valg[[#This Row],[Afhængig variabel ID]]&lt;=$B$5</f>
        <v>0</v>
      </c>
      <c r="F1877" t="str" cm="1">
        <f t="array" ref="F1877">IF(LineærRegression_Valg[[#This Row],[Indenfor range]],INDEX(DataTitel_liste,LineærRegression_Valg[[#This Row],[Afhængig variabel ID]]),INDEX(DataTitel_liste,1))</f>
        <v>Eksempel 1 (interval)</v>
      </c>
      <c r="G1877" s="45" t="str" cm="1">
        <f t="array" ref="G1877">IF(LineærRegression_Valg[[#This Row],[Indenfor range]],IF(LineærRegression_Valg[[#This Row],[Intet overlap]],INDEX(DataTitel_liste,LineærRegression_Valg[[#This Row],[Uafhængig variabel ID]]),INDEX(DataTitel_liste,IF(LineærRegression_Valg[[#This Row],[Afhængig variabel ID]]=1,2,1))),$B$7)</f>
        <v>Eksempel 2 (interval)</v>
      </c>
      <c r="H1877" s="45">
        <f>_xlfn.AGGREGATE(2,5,LineærRegression_Valg[[#This Row],[Tabel ID]])</f>
        <v>1</v>
      </c>
    </row>
    <row r="1878" spans="1:8" x14ac:dyDescent="0.2">
      <c r="A1878">
        <f>ROW(LineærRegression_Valg[[#This Row],[Tabel ID]])-ROW(LineærRegression_Valg[[#Headers],[Tabel ID]])</f>
        <v>1868</v>
      </c>
      <c r="B1878" s="45">
        <f>ROUNDDOWN((LineærRegression_Valg[[#This Row],[Tabel ID]]-1)/$B$5,0)+1</f>
        <v>467</v>
      </c>
      <c r="C1878" s="45">
        <f t="shared" si="29"/>
        <v>4</v>
      </c>
      <c r="D1878" s="45" t="b">
        <f>LineærRegression_Valg[[#This Row],[Afhængig variabel ID]]&lt;&gt;LineærRegression_Valg[[#This Row],[Uafhængig variabel ID]]</f>
        <v>1</v>
      </c>
      <c r="E1878" s="45" t="b">
        <f>LineærRegression_Valg[[#This Row],[Afhængig variabel ID]]&lt;=$B$5</f>
        <v>0</v>
      </c>
      <c r="F1878" t="str" cm="1">
        <f t="array" ref="F1878">IF(LineærRegression_Valg[[#This Row],[Indenfor range]],INDEX(DataTitel_liste,LineærRegression_Valg[[#This Row],[Afhængig variabel ID]]),INDEX(DataTitel_liste,1))</f>
        <v>Eksempel 1 (interval)</v>
      </c>
      <c r="G1878" s="45" t="str" cm="1">
        <f t="array" ref="G1878">IF(LineærRegression_Valg[[#This Row],[Indenfor range]],IF(LineærRegression_Valg[[#This Row],[Intet overlap]],INDEX(DataTitel_liste,LineærRegression_Valg[[#This Row],[Uafhængig variabel ID]]),INDEX(DataTitel_liste,IF(LineærRegression_Valg[[#This Row],[Afhængig variabel ID]]=1,2,1))),$B$7)</f>
        <v>Eksempel 2 (interval)</v>
      </c>
      <c r="H1878" s="45">
        <f>_xlfn.AGGREGATE(2,5,LineærRegression_Valg[[#This Row],[Tabel ID]])</f>
        <v>1</v>
      </c>
    </row>
    <row r="1879" spans="1:8" x14ac:dyDescent="0.2">
      <c r="A1879">
        <f>ROW(LineærRegression_Valg[[#This Row],[Tabel ID]])-ROW(LineærRegression_Valg[[#Headers],[Tabel ID]])</f>
        <v>1869</v>
      </c>
      <c r="B1879" s="45">
        <f>ROUNDDOWN((LineærRegression_Valg[[#This Row],[Tabel ID]]-1)/$B$5,0)+1</f>
        <v>468</v>
      </c>
      <c r="C1879" s="45">
        <f t="shared" si="29"/>
        <v>1</v>
      </c>
      <c r="D1879" s="45" t="b">
        <f>LineærRegression_Valg[[#This Row],[Afhængig variabel ID]]&lt;&gt;LineærRegression_Valg[[#This Row],[Uafhængig variabel ID]]</f>
        <v>1</v>
      </c>
      <c r="E1879" s="45" t="b">
        <f>LineærRegression_Valg[[#This Row],[Afhængig variabel ID]]&lt;=$B$5</f>
        <v>0</v>
      </c>
      <c r="F1879" t="str" cm="1">
        <f t="array" ref="F1879">IF(LineærRegression_Valg[[#This Row],[Indenfor range]],INDEX(DataTitel_liste,LineærRegression_Valg[[#This Row],[Afhængig variabel ID]]),INDEX(DataTitel_liste,1))</f>
        <v>Eksempel 1 (interval)</v>
      </c>
      <c r="G1879" s="45" t="str" cm="1">
        <f t="array" ref="G1879">IF(LineærRegression_Valg[[#This Row],[Indenfor range]],IF(LineærRegression_Valg[[#This Row],[Intet overlap]],INDEX(DataTitel_liste,LineærRegression_Valg[[#This Row],[Uafhængig variabel ID]]),INDEX(DataTitel_liste,IF(LineærRegression_Valg[[#This Row],[Afhængig variabel ID]]=1,2,1))),$B$7)</f>
        <v>Eksempel 2 (interval)</v>
      </c>
      <c r="H1879" s="45">
        <f>_xlfn.AGGREGATE(2,5,LineærRegression_Valg[[#This Row],[Tabel ID]])</f>
        <v>1</v>
      </c>
    </row>
    <row r="1880" spans="1:8" x14ac:dyDescent="0.2">
      <c r="A1880">
        <f>ROW(LineærRegression_Valg[[#This Row],[Tabel ID]])-ROW(LineærRegression_Valg[[#Headers],[Tabel ID]])</f>
        <v>1870</v>
      </c>
      <c r="B1880" s="45">
        <f>ROUNDDOWN((LineærRegression_Valg[[#This Row],[Tabel ID]]-1)/$B$5,0)+1</f>
        <v>468</v>
      </c>
      <c r="C1880" s="45">
        <f t="shared" si="29"/>
        <v>2</v>
      </c>
      <c r="D1880" s="45" t="b">
        <f>LineærRegression_Valg[[#This Row],[Afhængig variabel ID]]&lt;&gt;LineærRegression_Valg[[#This Row],[Uafhængig variabel ID]]</f>
        <v>1</v>
      </c>
      <c r="E1880" s="45" t="b">
        <f>LineærRegression_Valg[[#This Row],[Afhængig variabel ID]]&lt;=$B$5</f>
        <v>0</v>
      </c>
      <c r="F1880" t="str" cm="1">
        <f t="array" ref="F1880">IF(LineærRegression_Valg[[#This Row],[Indenfor range]],INDEX(DataTitel_liste,LineærRegression_Valg[[#This Row],[Afhængig variabel ID]]),INDEX(DataTitel_liste,1))</f>
        <v>Eksempel 1 (interval)</v>
      </c>
      <c r="G1880" s="45" t="str" cm="1">
        <f t="array" ref="G1880">IF(LineærRegression_Valg[[#This Row],[Indenfor range]],IF(LineærRegression_Valg[[#This Row],[Intet overlap]],INDEX(DataTitel_liste,LineærRegression_Valg[[#This Row],[Uafhængig variabel ID]]),INDEX(DataTitel_liste,IF(LineærRegression_Valg[[#This Row],[Afhængig variabel ID]]=1,2,1))),$B$7)</f>
        <v>Eksempel 2 (interval)</v>
      </c>
      <c r="H1880" s="45">
        <f>_xlfn.AGGREGATE(2,5,LineærRegression_Valg[[#This Row],[Tabel ID]])</f>
        <v>1</v>
      </c>
    </row>
    <row r="1881" spans="1:8" x14ac:dyDescent="0.2">
      <c r="A1881">
        <f>ROW(LineærRegression_Valg[[#This Row],[Tabel ID]])-ROW(LineærRegression_Valg[[#Headers],[Tabel ID]])</f>
        <v>1871</v>
      </c>
      <c r="B1881" s="45">
        <f>ROUNDDOWN((LineærRegression_Valg[[#This Row],[Tabel ID]]-1)/$B$5,0)+1</f>
        <v>468</v>
      </c>
      <c r="C1881" s="45">
        <f t="shared" si="29"/>
        <v>3</v>
      </c>
      <c r="D1881" s="45" t="b">
        <f>LineærRegression_Valg[[#This Row],[Afhængig variabel ID]]&lt;&gt;LineærRegression_Valg[[#This Row],[Uafhængig variabel ID]]</f>
        <v>1</v>
      </c>
      <c r="E1881" s="45" t="b">
        <f>LineærRegression_Valg[[#This Row],[Afhængig variabel ID]]&lt;=$B$5</f>
        <v>0</v>
      </c>
      <c r="F1881" t="str" cm="1">
        <f t="array" ref="F1881">IF(LineærRegression_Valg[[#This Row],[Indenfor range]],INDEX(DataTitel_liste,LineærRegression_Valg[[#This Row],[Afhængig variabel ID]]),INDEX(DataTitel_liste,1))</f>
        <v>Eksempel 1 (interval)</v>
      </c>
      <c r="G1881" s="45" t="str" cm="1">
        <f t="array" ref="G1881">IF(LineærRegression_Valg[[#This Row],[Indenfor range]],IF(LineærRegression_Valg[[#This Row],[Intet overlap]],INDEX(DataTitel_liste,LineærRegression_Valg[[#This Row],[Uafhængig variabel ID]]),INDEX(DataTitel_liste,IF(LineærRegression_Valg[[#This Row],[Afhængig variabel ID]]=1,2,1))),$B$7)</f>
        <v>Eksempel 2 (interval)</v>
      </c>
      <c r="H1881" s="45">
        <f>_xlfn.AGGREGATE(2,5,LineærRegression_Valg[[#This Row],[Tabel ID]])</f>
        <v>1</v>
      </c>
    </row>
    <row r="1882" spans="1:8" x14ac:dyDescent="0.2">
      <c r="A1882">
        <f>ROW(LineærRegression_Valg[[#This Row],[Tabel ID]])-ROW(LineærRegression_Valg[[#Headers],[Tabel ID]])</f>
        <v>1872</v>
      </c>
      <c r="B1882" s="45">
        <f>ROUNDDOWN((LineærRegression_Valg[[#This Row],[Tabel ID]]-1)/$B$5,0)+1</f>
        <v>468</v>
      </c>
      <c r="C1882" s="45">
        <f t="shared" si="29"/>
        <v>4</v>
      </c>
      <c r="D1882" s="45" t="b">
        <f>LineærRegression_Valg[[#This Row],[Afhængig variabel ID]]&lt;&gt;LineærRegression_Valg[[#This Row],[Uafhængig variabel ID]]</f>
        <v>1</v>
      </c>
      <c r="E1882" s="45" t="b">
        <f>LineærRegression_Valg[[#This Row],[Afhængig variabel ID]]&lt;=$B$5</f>
        <v>0</v>
      </c>
      <c r="F1882" t="str" cm="1">
        <f t="array" ref="F1882">IF(LineærRegression_Valg[[#This Row],[Indenfor range]],INDEX(DataTitel_liste,LineærRegression_Valg[[#This Row],[Afhængig variabel ID]]),INDEX(DataTitel_liste,1))</f>
        <v>Eksempel 1 (interval)</v>
      </c>
      <c r="G1882" s="45" t="str" cm="1">
        <f t="array" ref="G1882">IF(LineærRegression_Valg[[#This Row],[Indenfor range]],IF(LineærRegression_Valg[[#This Row],[Intet overlap]],INDEX(DataTitel_liste,LineærRegression_Valg[[#This Row],[Uafhængig variabel ID]]),INDEX(DataTitel_liste,IF(LineærRegression_Valg[[#This Row],[Afhængig variabel ID]]=1,2,1))),$B$7)</f>
        <v>Eksempel 2 (interval)</v>
      </c>
      <c r="H1882" s="45">
        <f>_xlfn.AGGREGATE(2,5,LineærRegression_Valg[[#This Row],[Tabel ID]])</f>
        <v>1</v>
      </c>
    </row>
    <row r="1883" spans="1:8" x14ac:dyDescent="0.2">
      <c r="A1883">
        <f>ROW(LineærRegression_Valg[[#This Row],[Tabel ID]])-ROW(LineærRegression_Valg[[#Headers],[Tabel ID]])</f>
        <v>1873</v>
      </c>
      <c r="B1883" s="45">
        <f>ROUNDDOWN((LineærRegression_Valg[[#This Row],[Tabel ID]]-1)/$B$5,0)+1</f>
        <v>469</v>
      </c>
      <c r="C1883" s="45">
        <f t="shared" si="29"/>
        <v>1</v>
      </c>
      <c r="D1883" s="45" t="b">
        <f>LineærRegression_Valg[[#This Row],[Afhængig variabel ID]]&lt;&gt;LineærRegression_Valg[[#This Row],[Uafhængig variabel ID]]</f>
        <v>1</v>
      </c>
      <c r="E1883" s="45" t="b">
        <f>LineærRegression_Valg[[#This Row],[Afhængig variabel ID]]&lt;=$B$5</f>
        <v>0</v>
      </c>
      <c r="F1883" t="str" cm="1">
        <f t="array" ref="F1883">IF(LineærRegression_Valg[[#This Row],[Indenfor range]],INDEX(DataTitel_liste,LineærRegression_Valg[[#This Row],[Afhængig variabel ID]]),INDEX(DataTitel_liste,1))</f>
        <v>Eksempel 1 (interval)</v>
      </c>
      <c r="G1883" s="45" t="str" cm="1">
        <f t="array" ref="G1883">IF(LineærRegression_Valg[[#This Row],[Indenfor range]],IF(LineærRegression_Valg[[#This Row],[Intet overlap]],INDEX(DataTitel_liste,LineærRegression_Valg[[#This Row],[Uafhængig variabel ID]]),INDEX(DataTitel_liste,IF(LineærRegression_Valg[[#This Row],[Afhængig variabel ID]]=1,2,1))),$B$7)</f>
        <v>Eksempel 2 (interval)</v>
      </c>
      <c r="H1883" s="45">
        <f>_xlfn.AGGREGATE(2,5,LineærRegression_Valg[[#This Row],[Tabel ID]])</f>
        <v>1</v>
      </c>
    </row>
    <row r="1884" spans="1:8" x14ac:dyDescent="0.2">
      <c r="A1884">
        <f>ROW(LineærRegression_Valg[[#This Row],[Tabel ID]])-ROW(LineærRegression_Valg[[#Headers],[Tabel ID]])</f>
        <v>1874</v>
      </c>
      <c r="B1884" s="45">
        <f>ROUNDDOWN((LineærRegression_Valg[[#This Row],[Tabel ID]]-1)/$B$5,0)+1</f>
        <v>469</v>
      </c>
      <c r="C1884" s="45">
        <f t="shared" si="29"/>
        <v>2</v>
      </c>
      <c r="D1884" s="45" t="b">
        <f>LineærRegression_Valg[[#This Row],[Afhængig variabel ID]]&lt;&gt;LineærRegression_Valg[[#This Row],[Uafhængig variabel ID]]</f>
        <v>1</v>
      </c>
      <c r="E1884" s="45" t="b">
        <f>LineærRegression_Valg[[#This Row],[Afhængig variabel ID]]&lt;=$B$5</f>
        <v>0</v>
      </c>
      <c r="F1884" t="str" cm="1">
        <f t="array" ref="F1884">IF(LineærRegression_Valg[[#This Row],[Indenfor range]],INDEX(DataTitel_liste,LineærRegression_Valg[[#This Row],[Afhængig variabel ID]]),INDEX(DataTitel_liste,1))</f>
        <v>Eksempel 1 (interval)</v>
      </c>
      <c r="G1884" s="45" t="str" cm="1">
        <f t="array" ref="G1884">IF(LineærRegression_Valg[[#This Row],[Indenfor range]],IF(LineærRegression_Valg[[#This Row],[Intet overlap]],INDEX(DataTitel_liste,LineærRegression_Valg[[#This Row],[Uafhængig variabel ID]]),INDEX(DataTitel_liste,IF(LineærRegression_Valg[[#This Row],[Afhængig variabel ID]]=1,2,1))),$B$7)</f>
        <v>Eksempel 2 (interval)</v>
      </c>
      <c r="H1884" s="45">
        <f>_xlfn.AGGREGATE(2,5,LineærRegression_Valg[[#This Row],[Tabel ID]])</f>
        <v>1</v>
      </c>
    </row>
    <row r="1885" spans="1:8" x14ac:dyDescent="0.2">
      <c r="A1885">
        <f>ROW(LineærRegression_Valg[[#This Row],[Tabel ID]])-ROW(LineærRegression_Valg[[#Headers],[Tabel ID]])</f>
        <v>1875</v>
      </c>
      <c r="B1885" s="45">
        <f>ROUNDDOWN((LineærRegression_Valg[[#This Row],[Tabel ID]]-1)/$B$5,0)+1</f>
        <v>469</v>
      </c>
      <c r="C1885" s="45">
        <f t="shared" si="29"/>
        <v>3</v>
      </c>
      <c r="D1885" s="45" t="b">
        <f>LineærRegression_Valg[[#This Row],[Afhængig variabel ID]]&lt;&gt;LineærRegression_Valg[[#This Row],[Uafhængig variabel ID]]</f>
        <v>1</v>
      </c>
      <c r="E1885" s="45" t="b">
        <f>LineærRegression_Valg[[#This Row],[Afhængig variabel ID]]&lt;=$B$5</f>
        <v>0</v>
      </c>
      <c r="F1885" t="str" cm="1">
        <f t="array" ref="F1885">IF(LineærRegression_Valg[[#This Row],[Indenfor range]],INDEX(DataTitel_liste,LineærRegression_Valg[[#This Row],[Afhængig variabel ID]]),INDEX(DataTitel_liste,1))</f>
        <v>Eksempel 1 (interval)</v>
      </c>
      <c r="G1885" s="45" t="str" cm="1">
        <f t="array" ref="G1885">IF(LineærRegression_Valg[[#This Row],[Indenfor range]],IF(LineærRegression_Valg[[#This Row],[Intet overlap]],INDEX(DataTitel_liste,LineærRegression_Valg[[#This Row],[Uafhængig variabel ID]]),INDEX(DataTitel_liste,IF(LineærRegression_Valg[[#This Row],[Afhængig variabel ID]]=1,2,1))),$B$7)</f>
        <v>Eksempel 2 (interval)</v>
      </c>
      <c r="H1885" s="45">
        <f>_xlfn.AGGREGATE(2,5,LineærRegression_Valg[[#This Row],[Tabel ID]])</f>
        <v>1</v>
      </c>
    </row>
    <row r="1886" spans="1:8" x14ac:dyDescent="0.2">
      <c r="A1886">
        <f>ROW(LineærRegression_Valg[[#This Row],[Tabel ID]])-ROW(LineærRegression_Valg[[#Headers],[Tabel ID]])</f>
        <v>1876</v>
      </c>
      <c r="B1886" s="45">
        <f>ROUNDDOWN((LineærRegression_Valg[[#This Row],[Tabel ID]]-1)/$B$5,0)+1</f>
        <v>469</v>
      </c>
      <c r="C1886" s="45">
        <f t="shared" si="29"/>
        <v>4</v>
      </c>
      <c r="D1886" s="45" t="b">
        <f>LineærRegression_Valg[[#This Row],[Afhængig variabel ID]]&lt;&gt;LineærRegression_Valg[[#This Row],[Uafhængig variabel ID]]</f>
        <v>1</v>
      </c>
      <c r="E1886" s="45" t="b">
        <f>LineærRegression_Valg[[#This Row],[Afhængig variabel ID]]&lt;=$B$5</f>
        <v>0</v>
      </c>
      <c r="F1886" t="str" cm="1">
        <f t="array" ref="F1886">IF(LineærRegression_Valg[[#This Row],[Indenfor range]],INDEX(DataTitel_liste,LineærRegression_Valg[[#This Row],[Afhængig variabel ID]]),INDEX(DataTitel_liste,1))</f>
        <v>Eksempel 1 (interval)</v>
      </c>
      <c r="G1886" s="45" t="str" cm="1">
        <f t="array" ref="G1886">IF(LineærRegression_Valg[[#This Row],[Indenfor range]],IF(LineærRegression_Valg[[#This Row],[Intet overlap]],INDEX(DataTitel_liste,LineærRegression_Valg[[#This Row],[Uafhængig variabel ID]]),INDEX(DataTitel_liste,IF(LineærRegression_Valg[[#This Row],[Afhængig variabel ID]]=1,2,1))),$B$7)</f>
        <v>Eksempel 2 (interval)</v>
      </c>
      <c r="H1886" s="45">
        <f>_xlfn.AGGREGATE(2,5,LineærRegression_Valg[[#This Row],[Tabel ID]])</f>
        <v>1</v>
      </c>
    </row>
    <row r="1887" spans="1:8" x14ac:dyDescent="0.2">
      <c r="A1887">
        <f>ROW(LineærRegression_Valg[[#This Row],[Tabel ID]])-ROW(LineærRegression_Valg[[#Headers],[Tabel ID]])</f>
        <v>1877</v>
      </c>
      <c r="B1887" s="45">
        <f>ROUNDDOWN((LineærRegression_Valg[[#This Row],[Tabel ID]]-1)/$B$5,0)+1</f>
        <v>470</v>
      </c>
      <c r="C1887" s="45">
        <f t="shared" si="29"/>
        <v>1</v>
      </c>
      <c r="D1887" s="45" t="b">
        <f>LineærRegression_Valg[[#This Row],[Afhængig variabel ID]]&lt;&gt;LineærRegression_Valg[[#This Row],[Uafhængig variabel ID]]</f>
        <v>1</v>
      </c>
      <c r="E1887" s="45" t="b">
        <f>LineærRegression_Valg[[#This Row],[Afhængig variabel ID]]&lt;=$B$5</f>
        <v>0</v>
      </c>
      <c r="F1887" t="str" cm="1">
        <f t="array" ref="F1887">IF(LineærRegression_Valg[[#This Row],[Indenfor range]],INDEX(DataTitel_liste,LineærRegression_Valg[[#This Row],[Afhængig variabel ID]]),INDEX(DataTitel_liste,1))</f>
        <v>Eksempel 1 (interval)</v>
      </c>
      <c r="G1887" s="45" t="str" cm="1">
        <f t="array" ref="G1887">IF(LineærRegression_Valg[[#This Row],[Indenfor range]],IF(LineærRegression_Valg[[#This Row],[Intet overlap]],INDEX(DataTitel_liste,LineærRegression_Valg[[#This Row],[Uafhængig variabel ID]]),INDEX(DataTitel_liste,IF(LineærRegression_Valg[[#This Row],[Afhængig variabel ID]]=1,2,1))),$B$7)</f>
        <v>Eksempel 2 (interval)</v>
      </c>
      <c r="H1887" s="45">
        <f>_xlfn.AGGREGATE(2,5,LineærRegression_Valg[[#This Row],[Tabel ID]])</f>
        <v>1</v>
      </c>
    </row>
    <row r="1888" spans="1:8" x14ac:dyDescent="0.2">
      <c r="A1888">
        <f>ROW(LineærRegression_Valg[[#This Row],[Tabel ID]])-ROW(LineærRegression_Valg[[#Headers],[Tabel ID]])</f>
        <v>1878</v>
      </c>
      <c r="B1888" s="45">
        <f>ROUNDDOWN((LineærRegression_Valg[[#This Row],[Tabel ID]]-1)/$B$5,0)+1</f>
        <v>470</v>
      </c>
      <c r="C1888" s="45">
        <f t="shared" si="29"/>
        <v>2</v>
      </c>
      <c r="D1888" s="45" t="b">
        <f>LineærRegression_Valg[[#This Row],[Afhængig variabel ID]]&lt;&gt;LineærRegression_Valg[[#This Row],[Uafhængig variabel ID]]</f>
        <v>1</v>
      </c>
      <c r="E1888" s="45" t="b">
        <f>LineærRegression_Valg[[#This Row],[Afhængig variabel ID]]&lt;=$B$5</f>
        <v>0</v>
      </c>
      <c r="F1888" t="str" cm="1">
        <f t="array" ref="F1888">IF(LineærRegression_Valg[[#This Row],[Indenfor range]],INDEX(DataTitel_liste,LineærRegression_Valg[[#This Row],[Afhængig variabel ID]]),INDEX(DataTitel_liste,1))</f>
        <v>Eksempel 1 (interval)</v>
      </c>
      <c r="G1888" s="45" t="str" cm="1">
        <f t="array" ref="G1888">IF(LineærRegression_Valg[[#This Row],[Indenfor range]],IF(LineærRegression_Valg[[#This Row],[Intet overlap]],INDEX(DataTitel_liste,LineærRegression_Valg[[#This Row],[Uafhængig variabel ID]]),INDEX(DataTitel_liste,IF(LineærRegression_Valg[[#This Row],[Afhængig variabel ID]]=1,2,1))),$B$7)</f>
        <v>Eksempel 2 (interval)</v>
      </c>
      <c r="H1888" s="45">
        <f>_xlfn.AGGREGATE(2,5,LineærRegression_Valg[[#This Row],[Tabel ID]])</f>
        <v>1</v>
      </c>
    </row>
    <row r="1889" spans="1:8" x14ac:dyDescent="0.2">
      <c r="A1889">
        <f>ROW(LineærRegression_Valg[[#This Row],[Tabel ID]])-ROW(LineærRegression_Valg[[#Headers],[Tabel ID]])</f>
        <v>1879</v>
      </c>
      <c r="B1889" s="45">
        <f>ROUNDDOWN((LineærRegression_Valg[[#This Row],[Tabel ID]]-1)/$B$5,0)+1</f>
        <v>470</v>
      </c>
      <c r="C1889" s="45">
        <f t="shared" si="29"/>
        <v>3</v>
      </c>
      <c r="D1889" s="45" t="b">
        <f>LineærRegression_Valg[[#This Row],[Afhængig variabel ID]]&lt;&gt;LineærRegression_Valg[[#This Row],[Uafhængig variabel ID]]</f>
        <v>1</v>
      </c>
      <c r="E1889" s="45" t="b">
        <f>LineærRegression_Valg[[#This Row],[Afhængig variabel ID]]&lt;=$B$5</f>
        <v>0</v>
      </c>
      <c r="F1889" t="str" cm="1">
        <f t="array" ref="F1889">IF(LineærRegression_Valg[[#This Row],[Indenfor range]],INDEX(DataTitel_liste,LineærRegression_Valg[[#This Row],[Afhængig variabel ID]]),INDEX(DataTitel_liste,1))</f>
        <v>Eksempel 1 (interval)</v>
      </c>
      <c r="G1889" s="45" t="str" cm="1">
        <f t="array" ref="G1889">IF(LineærRegression_Valg[[#This Row],[Indenfor range]],IF(LineærRegression_Valg[[#This Row],[Intet overlap]],INDEX(DataTitel_liste,LineærRegression_Valg[[#This Row],[Uafhængig variabel ID]]),INDEX(DataTitel_liste,IF(LineærRegression_Valg[[#This Row],[Afhængig variabel ID]]=1,2,1))),$B$7)</f>
        <v>Eksempel 2 (interval)</v>
      </c>
      <c r="H1889" s="45">
        <f>_xlfn.AGGREGATE(2,5,LineærRegression_Valg[[#This Row],[Tabel ID]])</f>
        <v>1</v>
      </c>
    </row>
    <row r="1890" spans="1:8" x14ac:dyDescent="0.2">
      <c r="A1890">
        <f>ROW(LineærRegression_Valg[[#This Row],[Tabel ID]])-ROW(LineærRegression_Valg[[#Headers],[Tabel ID]])</f>
        <v>1880</v>
      </c>
      <c r="B1890" s="45">
        <f>ROUNDDOWN((LineærRegression_Valg[[#This Row],[Tabel ID]]-1)/$B$5,0)+1</f>
        <v>470</v>
      </c>
      <c r="C1890" s="45">
        <f t="shared" si="29"/>
        <v>4</v>
      </c>
      <c r="D1890" s="45" t="b">
        <f>LineærRegression_Valg[[#This Row],[Afhængig variabel ID]]&lt;&gt;LineærRegression_Valg[[#This Row],[Uafhængig variabel ID]]</f>
        <v>1</v>
      </c>
      <c r="E1890" s="45" t="b">
        <f>LineærRegression_Valg[[#This Row],[Afhængig variabel ID]]&lt;=$B$5</f>
        <v>0</v>
      </c>
      <c r="F1890" t="str" cm="1">
        <f t="array" ref="F1890">IF(LineærRegression_Valg[[#This Row],[Indenfor range]],INDEX(DataTitel_liste,LineærRegression_Valg[[#This Row],[Afhængig variabel ID]]),INDEX(DataTitel_liste,1))</f>
        <v>Eksempel 1 (interval)</v>
      </c>
      <c r="G1890" s="45" t="str" cm="1">
        <f t="array" ref="G1890">IF(LineærRegression_Valg[[#This Row],[Indenfor range]],IF(LineærRegression_Valg[[#This Row],[Intet overlap]],INDEX(DataTitel_liste,LineærRegression_Valg[[#This Row],[Uafhængig variabel ID]]),INDEX(DataTitel_liste,IF(LineærRegression_Valg[[#This Row],[Afhængig variabel ID]]=1,2,1))),$B$7)</f>
        <v>Eksempel 2 (interval)</v>
      </c>
      <c r="H1890" s="45">
        <f>_xlfn.AGGREGATE(2,5,LineærRegression_Valg[[#This Row],[Tabel ID]])</f>
        <v>1</v>
      </c>
    </row>
    <row r="1891" spans="1:8" x14ac:dyDescent="0.2">
      <c r="A1891">
        <f>ROW(LineærRegression_Valg[[#This Row],[Tabel ID]])-ROW(LineærRegression_Valg[[#Headers],[Tabel ID]])</f>
        <v>1881</v>
      </c>
      <c r="B1891" s="45">
        <f>ROUNDDOWN((LineærRegression_Valg[[#This Row],[Tabel ID]]-1)/$B$5,0)+1</f>
        <v>471</v>
      </c>
      <c r="C1891" s="45">
        <f t="shared" si="29"/>
        <v>1</v>
      </c>
      <c r="D1891" s="45" t="b">
        <f>LineærRegression_Valg[[#This Row],[Afhængig variabel ID]]&lt;&gt;LineærRegression_Valg[[#This Row],[Uafhængig variabel ID]]</f>
        <v>1</v>
      </c>
      <c r="E1891" s="45" t="b">
        <f>LineærRegression_Valg[[#This Row],[Afhængig variabel ID]]&lt;=$B$5</f>
        <v>0</v>
      </c>
      <c r="F1891" t="str" cm="1">
        <f t="array" ref="F1891">IF(LineærRegression_Valg[[#This Row],[Indenfor range]],INDEX(DataTitel_liste,LineærRegression_Valg[[#This Row],[Afhængig variabel ID]]),INDEX(DataTitel_liste,1))</f>
        <v>Eksempel 1 (interval)</v>
      </c>
      <c r="G1891" s="45" t="str" cm="1">
        <f t="array" ref="G1891">IF(LineærRegression_Valg[[#This Row],[Indenfor range]],IF(LineærRegression_Valg[[#This Row],[Intet overlap]],INDEX(DataTitel_liste,LineærRegression_Valg[[#This Row],[Uafhængig variabel ID]]),INDEX(DataTitel_liste,IF(LineærRegression_Valg[[#This Row],[Afhængig variabel ID]]=1,2,1))),$B$7)</f>
        <v>Eksempel 2 (interval)</v>
      </c>
      <c r="H1891" s="45">
        <f>_xlfn.AGGREGATE(2,5,LineærRegression_Valg[[#This Row],[Tabel ID]])</f>
        <v>1</v>
      </c>
    </row>
    <row r="1892" spans="1:8" x14ac:dyDescent="0.2">
      <c r="A1892">
        <f>ROW(LineærRegression_Valg[[#This Row],[Tabel ID]])-ROW(LineærRegression_Valg[[#Headers],[Tabel ID]])</f>
        <v>1882</v>
      </c>
      <c r="B1892" s="45">
        <f>ROUNDDOWN((LineærRegression_Valg[[#This Row],[Tabel ID]]-1)/$B$5,0)+1</f>
        <v>471</v>
      </c>
      <c r="C1892" s="45">
        <f t="shared" si="29"/>
        <v>2</v>
      </c>
      <c r="D1892" s="45" t="b">
        <f>LineærRegression_Valg[[#This Row],[Afhængig variabel ID]]&lt;&gt;LineærRegression_Valg[[#This Row],[Uafhængig variabel ID]]</f>
        <v>1</v>
      </c>
      <c r="E1892" s="45" t="b">
        <f>LineærRegression_Valg[[#This Row],[Afhængig variabel ID]]&lt;=$B$5</f>
        <v>0</v>
      </c>
      <c r="F1892" t="str" cm="1">
        <f t="array" ref="F1892">IF(LineærRegression_Valg[[#This Row],[Indenfor range]],INDEX(DataTitel_liste,LineærRegression_Valg[[#This Row],[Afhængig variabel ID]]),INDEX(DataTitel_liste,1))</f>
        <v>Eksempel 1 (interval)</v>
      </c>
      <c r="G1892" s="45" t="str" cm="1">
        <f t="array" ref="G1892">IF(LineærRegression_Valg[[#This Row],[Indenfor range]],IF(LineærRegression_Valg[[#This Row],[Intet overlap]],INDEX(DataTitel_liste,LineærRegression_Valg[[#This Row],[Uafhængig variabel ID]]),INDEX(DataTitel_liste,IF(LineærRegression_Valg[[#This Row],[Afhængig variabel ID]]=1,2,1))),$B$7)</f>
        <v>Eksempel 2 (interval)</v>
      </c>
      <c r="H1892" s="45">
        <f>_xlfn.AGGREGATE(2,5,LineærRegression_Valg[[#This Row],[Tabel ID]])</f>
        <v>1</v>
      </c>
    </row>
    <row r="1893" spans="1:8" x14ac:dyDescent="0.2">
      <c r="A1893">
        <f>ROW(LineærRegression_Valg[[#This Row],[Tabel ID]])-ROW(LineærRegression_Valg[[#Headers],[Tabel ID]])</f>
        <v>1883</v>
      </c>
      <c r="B1893" s="45">
        <f>ROUNDDOWN((LineærRegression_Valg[[#This Row],[Tabel ID]]-1)/$B$5,0)+1</f>
        <v>471</v>
      </c>
      <c r="C1893" s="45">
        <f t="shared" si="29"/>
        <v>3</v>
      </c>
      <c r="D1893" s="45" t="b">
        <f>LineærRegression_Valg[[#This Row],[Afhængig variabel ID]]&lt;&gt;LineærRegression_Valg[[#This Row],[Uafhængig variabel ID]]</f>
        <v>1</v>
      </c>
      <c r="E1893" s="45" t="b">
        <f>LineærRegression_Valg[[#This Row],[Afhængig variabel ID]]&lt;=$B$5</f>
        <v>0</v>
      </c>
      <c r="F1893" t="str" cm="1">
        <f t="array" ref="F1893">IF(LineærRegression_Valg[[#This Row],[Indenfor range]],INDEX(DataTitel_liste,LineærRegression_Valg[[#This Row],[Afhængig variabel ID]]),INDEX(DataTitel_liste,1))</f>
        <v>Eksempel 1 (interval)</v>
      </c>
      <c r="G1893" s="45" t="str" cm="1">
        <f t="array" ref="G1893">IF(LineærRegression_Valg[[#This Row],[Indenfor range]],IF(LineærRegression_Valg[[#This Row],[Intet overlap]],INDEX(DataTitel_liste,LineærRegression_Valg[[#This Row],[Uafhængig variabel ID]]),INDEX(DataTitel_liste,IF(LineærRegression_Valg[[#This Row],[Afhængig variabel ID]]=1,2,1))),$B$7)</f>
        <v>Eksempel 2 (interval)</v>
      </c>
      <c r="H1893" s="45">
        <f>_xlfn.AGGREGATE(2,5,LineærRegression_Valg[[#This Row],[Tabel ID]])</f>
        <v>1</v>
      </c>
    </row>
    <row r="1894" spans="1:8" x14ac:dyDescent="0.2">
      <c r="A1894">
        <f>ROW(LineærRegression_Valg[[#This Row],[Tabel ID]])-ROW(LineærRegression_Valg[[#Headers],[Tabel ID]])</f>
        <v>1884</v>
      </c>
      <c r="B1894" s="45">
        <f>ROUNDDOWN((LineærRegression_Valg[[#This Row],[Tabel ID]]-1)/$B$5,0)+1</f>
        <v>471</v>
      </c>
      <c r="C1894" s="45">
        <f t="shared" si="29"/>
        <v>4</v>
      </c>
      <c r="D1894" s="45" t="b">
        <f>LineærRegression_Valg[[#This Row],[Afhængig variabel ID]]&lt;&gt;LineærRegression_Valg[[#This Row],[Uafhængig variabel ID]]</f>
        <v>1</v>
      </c>
      <c r="E1894" s="45" t="b">
        <f>LineærRegression_Valg[[#This Row],[Afhængig variabel ID]]&lt;=$B$5</f>
        <v>0</v>
      </c>
      <c r="F1894" t="str" cm="1">
        <f t="array" ref="F1894">IF(LineærRegression_Valg[[#This Row],[Indenfor range]],INDEX(DataTitel_liste,LineærRegression_Valg[[#This Row],[Afhængig variabel ID]]),INDEX(DataTitel_liste,1))</f>
        <v>Eksempel 1 (interval)</v>
      </c>
      <c r="G1894" s="45" t="str" cm="1">
        <f t="array" ref="G1894">IF(LineærRegression_Valg[[#This Row],[Indenfor range]],IF(LineærRegression_Valg[[#This Row],[Intet overlap]],INDEX(DataTitel_liste,LineærRegression_Valg[[#This Row],[Uafhængig variabel ID]]),INDEX(DataTitel_liste,IF(LineærRegression_Valg[[#This Row],[Afhængig variabel ID]]=1,2,1))),$B$7)</f>
        <v>Eksempel 2 (interval)</v>
      </c>
      <c r="H1894" s="45">
        <f>_xlfn.AGGREGATE(2,5,LineærRegression_Valg[[#This Row],[Tabel ID]])</f>
        <v>1</v>
      </c>
    </row>
    <row r="1895" spans="1:8" x14ac:dyDescent="0.2">
      <c r="A1895">
        <f>ROW(LineærRegression_Valg[[#This Row],[Tabel ID]])-ROW(LineærRegression_Valg[[#Headers],[Tabel ID]])</f>
        <v>1885</v>
      </c>
      <c r="B1895" s="45">
        <f>ROUNDDOWN((LineærRegression_Valg[[#This Row],[Tabel ID]]-1)/$B$5,0)+1</f>
        <v>472</v>
      </c>
      <c r="C1895" s="45">
        <f t="shared" si="29"/>
        <v>1</v>
      </c>
      <c r="D1895" s="45" t="b">
        <f>LineærRegression_Valg[[#This Row],[Afhængig variabel ID]]&lt;&gt;LineærRegression_Valg[[#This Row],[Uafhængig variabel ID]]</f>
        <v>1</v>
      </c>
      <c r="E1895" s="45" t="b">
        <f>LineærRegression_Valg[[#This Row],[Afhængig variabel ID]]&lt;=$B$5</f>
        <v>0</v>
      </c>
      <c r="F1895" t="str" cm="1">
        <f t="array" ref="F1895">IF(LineærRegression_Valg[[#This Row],[Indenfor range]],INDEX(DataTitel_liste,LineærRegression_Valg[[#This Row],[Afhængig variabel ID]]),INDEX(DataTitel_liste,1))</f>
        <v>Eksempel 1 (interval)</v>
      </c>
      <c r="G1895" s="45" t="str" cm="1">
        <f t="array" ref="G1895">IF(LineærRegression_Valg[[#This Row],[Indenfor range]],IF(LineærRegression_Valg[[#This Row],[Intet overlap]],INDEX(DataTitel_liste,LineærRegression_Valg[[#This Row],[Uafhængig variabel ID]]),INDEX(DataTitel_liste,IF(LineærRegression_Valg[[#This Row],[Afhængig variabel ID]]=1,2,1))),$B$7)</f>
        <v>Eksempel 2 (interval)</v>
      </c>
      <c r="H1895" s="45">
        <f>_xlfn.AGGREGATE(2,5,LineærRegression_Valg[[#This Row],[Tabel ID]])</f>
        <v>1</v>
      </c>
    </row>
    <row r="1896" spans="1:8" x14ac:dyDescent="0.2">
      <c r="A1896">
        <f>ROW(LineærRegression_Valg[[#This Row],[Tabel ID]])-ROW(LineærRegression_Valg[[#Headers],[Tabel ID]])</f>
        <v>1886</v>
      </c>
      <c r="B1896" s="45">
        <f>ROUNDDOWN((LineærRegression_Valg[[#This Row],[Tabel ID]]-1)/$B$5,0)+1</f>
        <v>472</v>
      </c>
      <c r="C1896" s="45">
        <f t="shared" si="29"/>
        <v>2</v>
      </c>
      <c r="D1896" s="45" t="b">
        <f>LineærRegression_Valg[[#This Row],[Afhængig variabel ID]]&lt;&gt;LineærRegression_Valg[[#This Row],[Uafhængig variabel ID]]</f>
        <v>1</v>
      </c>
      <c r="E1896" s="45" t="b">
        <f>LineærRegression_Valg[[#This Row],[Afhængig variabel ID]]&lt;=$B$5</f>
        <v>0</v>
      </c>
      <c r="F1896" t="str" cm="1">
        <f t="array" ref="F1896">IF(LineærRegression_Valg[[#This Row],[Indenfor range]],INDEX(DataTitel_liste,LineærRegression_Valg[[#This Row],[Afhængig variabel ID]]),INDEX(DataTitel_liste,1))</f>
        <v>Eksempel 1 (interval)</v>
      </c>
      <c r="G1896" s="45" t="str" cm="1">
        <f t="array" ref="G1896">IF(LineærRegression_Valg[[#This Row],[Indenfor range]],IF(LineærRegression_Valg[[#This Row],[Intet overlap]],INDEX(DataTitel_liste,LineærRegression_Valg[[#This Row],[Uafhængig variabel ID]]),INDEX(DataTitel_liste,IF(LineærRegression_Valg[[#This Row],[Afhængig variabel ID]]=1,2,1))),$B$7)</f>
        <v>Eksempel 2 (interval)</v>
      </c>
      <c r="H1896" s="45">
        <f>_xlfn.AGGREGATE(2,5,LineærRegression_Valg[[#This Row],[Tabel ID]])</f>
        <v>1</v>
      </c>
    </row>
    <row r="1897" spans="1:8" x14ac:dyDescent="0.2">
      <c r="A1897">
        <f>ROW(LineærRegression_Valg[[#This Row],[Tabel ID]])-ROW(LineærRegression_Valg[[#Headers],[Tabel ID]])</f>
        <v>1887</v>
      </c>
      <c r="B1897" s="45">
        <f>ROUNDDOWN((LineærRegression_Valg[[#This Row],[Tabel ID]]-1)/$B$5,0)+1</f>
        <v>472</v>
      </c>
      <c r="C1897" s="45">
        <f t="shared" si="29"/>
        <v>3</v>
      </c>
      <c r="D1897" s="45" t="b">
        <f>LineærRegression_Valg[[#This Row],[Afhængig variabel ID]]&lt;&gt;LineærRegression_Valg[[#This Row],[Uafhængig variabel ID]]</f>
        <v>1</v>
      </c>
      <c r="E1897" s="45" t="b">
        <f>LineærRegression_Valg[[#This Row],[Afhængig variabel ID]]&lt;=$B$5</f>
        <v>0</v>
      </c>
      <c r="F1897" t="str" cm="1">
        <f t="array" ref="F1897">IF(LineærRegression_Valg[[#This Row],[Indenfor range]],INDEX(DataTitel_liste,LineærRegression_Valg[[#This Row],[Afhængig variabel ID]]),INDEX(DataTitel_liste,1))</f>
        <v>Eksempel 1 (interval)</v>
      </c>
      <c r="G1897" s="45" t="str" cm="1">
        <f t="array" ref="G1897">IF(LineærRegression_Valg[[#This Row],[Indenfor range]],IF(LineærRegression_Valg[[#This Row],[Intet overlap]],INDEX(DataTitel_liste,LineærRegression_Valg[[#This Row],[Uafhængig variabel ID]]),INDEX(DataTitel_liste,IF(LineærRegression_Valg[[#This Row],[Afhængig variabel ID]]=1,2,1))),$B$7)</f>
        <v>Eksempel 2 (interval)</v>
      </c>
      <c r="H1897" s="45">
        <f>_xlfn.AGGREGATE(2,5,LineærRegression_Valg[[#This Row],[Tabel ID]])</f>
        <v>1</v>
      </c>
    </row>
    <row r="1898" spans="1:8" x14ac:dyDescent="0.2">
      <c r="A1898">
        <f>ROW(LineærRegression_Valg[[#This Row],[Tabel ID]])-ROW(LineærRegression_Valg[[#Headers],[Tabel ID]])</f>
        <v>1888</v>
      </c>
      <c r="B1898" s="45">
        <f>ROUNDDOWN((LineærRegression_Valg[[#This Row],[Tabel ID]]-1)/$B$5,0)+1</f>
        <v>472</v>
      </c>
      <c r="C1898" s="45">
        <f t="shared" si="29"/>
        <v>4</v>
      </c>
      <c r="D1898" s="45" t="b">
        <f>LineærRegression_Valg[[#This Row],[Afhængig variabel ID]]&lt;&gt;LineærRegression_Valg[[#This Row],[Uafhængig variabel ID]]</f>
        <v>1</v>
      </c>
      <c r="E1898" s="45" t="b">
        <f>LineærRegression_Valg[[#This Row],[Afhængig variabel ID]]&lt;=$B$5</f>
        <v>0</v>
      </c>
      <c r="F1898" t="str" cm="1">
        <f t="array" ref="F1898">IF(LineærRegression_Valg[[#This Row],[Indenfor range]],INDEX(DataTitel_liste,LineærRegression_Valg[[#This Row],[Afhængig variabel ID]]),INDEX(DataTitel_liste,1))</f>
        <v>Eksempel 1 (interval)</v>
      </c>
      <c r="G1898" s="45" t="str" cm="1">
        <f t="array" ref="G1898">IF(LineærRegression_Valg[[#This Row],[Indenfor range]],IF(LineærRegression_Valg[[#This Row],[Intet overlap]],INDEX(DataTitel_liste,LineærRegression_Valg[[#This Row],[Uafhængig variabel ID]]),INDEX(DataTitel_liste,IF(LineærRegression_Valg[[#This Row],[Afhængig variabel ID]]=1,2,1))),$B$7)</f>
        <v>Eksempel 2 (interval)</v>
      </c>
      <c r="H1898" s="45">
        <f>_xlfn.AGGREGATE(2,5,LineærRegression_Valg[[#This Row],[Tabel ID]])</f>
        <v>1</v>
      </c>
    </row>
    <row r="1899" spans="1:8" x14ac:dyDescent="0.2">
      <c r="A1899">
        <f>ROW(LineærRegression_Valg[[#This Row],[Tabel ID]])-ROW(LineærRegression_Valg[[#Headers],[Tabel ID]])</f>
        <v>1889</v>
      </c>
      <c r="B1899" s="45">
        <f>ROUNDDOWN((LineærRegression_Valg[[#This Row],[Tabel ID]]-1)/$B$5,0)+1</f>
        <v>473</v>
      </c>
      <c r="C1899" s="45">
        <f t="shared" si="29"/>
        <v>1</v>
      </c>
      <c r="D1899" s="45" t="b">
        <f>LineærRegression_Valg[[#This Row],[Afhængig variabel ID]]&lt;&gt;LineærRegression_Valg[[#This Row],[Uafhængig variabel ID]]</f>
        <v>1</v>
      </c>
      <c r="E1899" s="45" t="b">
        <f>LineærRegression_Valg[[#This Row],[Afhængig variabel ID]]&lt;=$B$5</f>
        <v>0</v>
      </c>
      <c r="F1899" t="str" cm="1">
        <f t="array" ref="F1899">IF(LineærRegression_Valg[[#This Row],[Indenfor range]],INDEX(DataTitel_liste,LineærRegression_Valg[[#This Row],[Afhængig variabel ID]]),INDEX(DataTitel_liste,1))</f>
        <v>Eksempel 1 (interval)</v>
      </c>
      <c r="G1899" s="45" t="str" cm="1">
        <f t="array" ref="G1899">IF(LineærRegression_Valg[[#This Row],[Indenfor range]],IF(LineærRegression_Valg[[#This Row],[Intet overlap]],INDEX(DataTitel_liste,LineærRegression_Valg[[#This Row],[Uafhængig variabel ID]]),INDEX(DataTitel_liste,IF(LineærRegression_Valg[[#This Row],[Afhængig variabel ID]]=1,2,1))),$B$7)</f>
        <v>Eksempel 2 (interval)</v>
      </c>
      <c r="H1899" s="45">
        <f>_xlfn.AGGREGATE(2,5,LineærRegression_Valg[[#This Row],[Tabel ID]])</f>
        <v>1</v>
      </c>
    </row>
    <row r="1900" spans="1:8" x14ac:dyDescent="0.2">
      <c r="A1900">
        <f>ROW(LineærRegression_Valg[[#This Row],[Tabel ID]])-ROW(LineærRegression_Valg[[#Headers],[Tabel ID]])</f>
        <v>1890</v>
      </c>
      <c r="B1900" s="45">
        <f>ROUNDDOWN((LineærRegression_Valg[[#This Row],[Tabel ID]]-1)/$B$5,0)+1</f>
        <v>473</v>
      </c>
      <c r="C1900" s="45">
        <f t="shared" si="29"/>
        <v>2</v>
      </c>
      <c r="D1900" s="45" t="b">
        <f>LineærRegression_Valg[[#This Row],[Afhængig variabel ID]]&lt;&gt;LineærRegression_Valg[[#This Row],[Uafhængig variabel ID]]</f>
        <v>1</v>
      </c>
      <c r="E1900" s="45" t="b">
        <f>LineærRegression_Valg[[#This Row],[Afhængig variabel ID]]&lt;=$B$5</f>
        <v>0</v>
      </c>
      <c r="F1900" t="str" cm="1">
        <f t="array" ref="F1900">IF(LineærRegression_Valg[[#This Row],[Indenfor range]],INDEX(DataTitel_liste,LineærRegression_Valg[[#This Row],[Afhængig variabel ID]]),INDEX(DataTitel_liste,1))</f>
        <v>Eksempel 1 (interval)</v>
      </c>
      <c r="G1900" s="45" t="str" cm="1">
        <f t="array" ref="G1900">IF(LineærRegression_Valg[[#This Row],[Indenfor range]],IF(LineærRegression_Valg[[#This Row],[Intet overlap]],INDEX(DataTitel_liste,LineærRegression_Valg[[#This Row],[Uafhængig variabel ID]]),INDEX(DataTitel_liste,IF(LineærRegression_Valg[[#This Row],[Afhængig variabel ID]]=1,2,1))),$B$7)</f>
        <v>Eksempel 2 (interval)</v>
      </c>
      <c r="H1900" s="45">
        <f>_xlfn.AGGREGATE(2,5,LineærRegression_Valg[[#This Row],[Tabel ID]])</f>
        <v>1</v>
      </c>
    </row>
    <row r="1901" spans="1:8" x14ac:dyDescent="0.2">
      <c r="A1901">
        <f>ROW(LineærRegression_Valg[[#This Row],[Tabel ID]])-ROW(LineærRegression_Valg[[#Headers],[Tabel ID]])</f>
        <v>1891</v>
      </c>
      <c r="B1901" s="45">
        <f>ROUNDDOWN((LineærRegression_Valg[[#This Row],[Tabel ID]]-1)/$B$5,0)+1</f>
        <v>473</v>
      </c>
      <c r="C1901" s="45">
        <f t="shared" si="29"/>
        <v>3</v>
      </c>
      <c r="D1901" s="45" t="b">
        <f>LineærRegression_Valg[[#This Row],[Afhængig variabel ID]]&lt;&gt;LineærRegression_Valg[[#This Row],[Uafhængig variabel ID]]</f>
        <v>1</v>
      </c>
      <c r="E1901" s="45" t="b">
        <f>LineærRegression_Valg[[#This Row],[Afhængig variabel ID]]&lt;=$B$5</f>
        <v>0</v>
      </c>
      <c r="F1901" t="str" cm="1">
        <f t="array" ref="F1901">IF(LineærRegression_Valg[[#This Row],[Indenfor range]],INDEX(DataTitel_liste,LineærRegression_Valg[[#This Row],[Afhængig variabel ID]]),INDEX(DataTitel_liste,1))</f>
        <v>Eksempel 1 (interval)</v>
      </c>
      <c r="G1901" s="45" t="str" cm="1">
        <f t="array" ref="G1901">IF(LineærRegression_Valg[[#This Row],[Indenfor range]],IF(LineærRegression_Valg[[#This Row],[Intet overlap]],INDEX(DataTitel_liste,LineærRegression_Valg[[#This Row],[Uafhængig variabel ID]]),INDEX(DataTitel_liste,IF(LineærRegression_Valg[[#This Row],[Afhængig variabel ID]]=1,2,1))),$B$7)</f>
        <v>Eksempel 2 (interval)</v>
      </c>
      <c r="H1901" s="45">
        <f>_xlfn.AGGREGATE(2,5,LineærRegression_Valg[[#This Row],[Tabel ID]])</f>
        <v>1</v>
      </c>
    </row>
    <row r="1902" spans="1:8" x14ac:dyDescent="0.2">
      <c r="A1902">
        <f>ROW(LineærRegression_Valg[[#This Row],[Tabel ID]])-ROW(LineærRegression_Valg[[#Headers],[Tabel ID]])</f>
        <v>1892</v>
      </c>
      <c r="B1902" s="45">
        <f>ROUNDDOWN((LineærRegression_Valg[[#This Row],[Tabel ID]]-1)/$B$5,0)+1</f>
        <v>473</v>
      </c>
      <c r="C1902" s="45">
        <f t="shared" si="29"/>
        <v>4</v>
      </c>
      <c r="D1902" s="45" t="b">
        <f>LineærRegression_Valg[[#This Row],[Afhængig variabel ID]]&lt;&gt;LineærRegression_Valg[[#This Row],[Uafhængig variabel ID]]</f>
        <v>1</v>
      </c>
      <c r="E1902" s="45" t="b">
        <f>LineærRegression_Valg[[#This Row],[Afhængig variabel ID]]&lt;=$B$5</f>
        <v>0</v>
      </c>
      <c r="F1902" t="str" cm="1">
        <f t="array" ref="F1902">IF(LineærRegression_Valg[[#This Row],[Indenfor range]],INDEX(DataTitel_liste,LineærRegression_Valg[[#This Row],[Afhængig variabel ID]]),INDEX(DataTitel_liste,1))</f>
        <v>Eksempel 1 (interval)</v>
      </c>
      <c r="G1902" s="45" t="str" cm="1">
        <f t="array" ref="G1902">IF(LineærRegression_Valg[[#This Row],[Indenfor range]],IF(LineærRegression_Valg[[#This Row],[Intet overlap]],INDEX(DataTitel_liste,LineærRegression_Valg[[#This Row],[Uafhængig variabel ID]]),INDEX(DataTitel_liste,IF(LineærRegression_Valg[[#This Row],[Afhængig variabel ID]]=1,2,1))),$B$7)</f>
        <v>Eksempel 2 (interval)</v>
      </c>
      <c r="H1902" s="45">
        <f>_xlfn.AGGREGATE(2,5,LineærRegression_Valg[[#This Row],[Tabel ID]])</f>
        <v>1</v>
      </c>
    </row>
    <row r="1903" spans="1:8" x14ac:dyDescent="0.2">
      <c r="A1903">
        <f>ROW(LineærRegression_Valg[[#This Row],[Tabel ID]])-ROW(LineærRegression_Valg[[#Headers],[Tabel ID]])</f>
        <v>1893</v>
      </c>
      <c r="B1903" s="45">
        <f>ROUNDDOWN((LineærRegression_Valg[[#This Row],[Tabel ID]]-1)/$B$5,0)+1</f>
        <v>474</v>
      </c>
      <c r="C1903" s="45">
        <f t="shared" si="29"/>
        <v>1</v>
      </c>
      <c r="D1903" s="45" t="b">
        <f>LineærRegression_Valg[[#This Row],[Afhængig variabel ID]]&lt;&gt;LineærRegression_Valg[[#This Row],[Uafhængig variabel ID]]</f>
        <v>1</v>
      </c>
      <c r="E1903" s="45" t="b">
        <f>LineærRegression_Valg[[#This Row],[Afhængig variabel ID]]&lt;=$B$5</f>
        <v>0</v>
      </c>
      <c r="F1903" t="str" cm="1">
        <f t="array" ref="F1903">IF(LineærRegression_Valg[[#This Row],[Indenfor range]],INDEX(DataTitel_liste,LineærRegression_Valg[[#This Row],[Afhængig variabel ID]]),INDEX(DataTitel_liste,1))</f>
        <v>Eksempel 1 (interval)</v>
      </c>
      <c r="G1903" s="45" t="str" cm="1">
        <f t="array" ref="G1903">IF(LineærRegression_Valg[[#This Row],[Indenfor range]],IF(LineærRegression_Valg[[#This Row],[Intet overlap]],INDEX(DataTitel_liste,LineærRegression_Valg[[#This Row],[Uafhængig variabel ID]]),INDEX(DataTitel_liste,IF(LineærRegression_Valg[[#This Row],[Afhængig variabel ID]]=1,2,1))),$B$7)</f>
        <v>Eksempel 2 (interval)</v>
      </c>
      <c r="H1903" s="45">
        <f>_xlfn.AGGREGATE(2,5,LineærRegression_Valg[[#This Row],[Tabel ID]])</f>
        <v>1</v>
      </c>
    </row>
    <row r="1904" spans="1:8" x14ac:dyDescent="0.2">
      <c r="A1904">
        <f>ROW(LineærRegression_Valg[[#This Row],[Tabel ID]])-ROW(LineærRegression_Valg[[#Headers],[Tabel ID]])</f>
        <v>1894</v>
      </c>
      <c r="B1904" s="45">
        <f>ROUNDDOWN((LineærRegression_Valg[[#This Row],[Tabel ID]]-1)/$B$5,0)+1</f>
        <v>474</v>
      </c>
      <c r="C1904" s="45">
        <f t="shared" si="29"/>
        <v>2</v>
      </c>
      <c r="D1904" s="45" t="b">
        <f>LineærRegression_Valg[[#This Row],[Afhængig variabel ID]]&lt;&gt;LineærRegression_Valg[[#This Row],[Uafhængig variabel ID]]</f>
        <v>1</v>
      </c>
      <c r="E1904" s="45" t="b">
        <f>LineærRegression_Valg[[#This Row],[Afhængig variabel ID]]&lt;=$B$5</f>
        <v>0</v>
      </c>
      <c r="F1904" t="str" cm="1">
        <f t="array" ref="F1904">IF(LineærRegression_Valg[[#This Row],[Indenfor range]],INDEX(DataTitel_liste,LineærRegression_Valg[[#This Row],[Afhængig variabel ID]]),INDEX(DataTitel_liste,1))</f>
        <v>Eksempel 1 (interval)</v>
      </c>
      <c r="G1904" s="45" t="str" cm="1">
        <f t="array" ref="G1904">IF(LineærRegression_Valg[[#This Row],[Indenfor range]],IF(LineærRegression_Valg[[#This Row],[Intet overlap]],INDEX(DataTitel_liste,LineærRegression_Valg[[#This Row],[Uafhængig variabel ID]]),INDEX(DataTitel_liste,IF(LineærRegression_Valg[[#This Row],[Afhængig variabel ID]]=1,2,1))),$B$7)</f>
        <v>Eksempel 2 (interval)</v>
      </c>
      <c r="H1904" s="45">
        <f>_xlfn.AGGREGATE(2,5,LineærRegression_Valg[[#This Row],[Tabel ID]])</f>
        <v>1</v>
      </c>
    </row>
    <row r="1905" spans="1:8" x14ac:dyDescent="0.2">
      <c r="A1905">
        <f>ROW(LineærRegression_Valg[[#This Row],[Tabel ID]])-ROW(LineærRegression_Valg[[#Headers],[Tabel ID]])</f>
        <v>1895</v>
      </c>
      <c r="B1905" s="45">
        <f>ROUNDDOWN((LineærRegression_Valg[[#This Row],[Tabel ID]]-1)/$B$5,0)+1</f>
        <v>474</v>
      </c>
      <c r="C1905" s="45">
        <f t="shared" si="29"/>
        <v>3</v>
      </c>
      <c r="D1905" s="45" t="b">
        <f>LineærRegression_Valg[[#This Row],[Afhængig variabel ID]]&lt;&gt;LineærRegression_Valg[[#This Row],[Uafhængig variabel ID]]</f>
        <v>1</v>
      </c>
      <c r="E1905" s="45" t="b">
        <f>LineærRegression_Valg[[#This Row],[Afhængig variabel ID]]&lt;=$B$5</f>
        <v>0</v>
      </c>
      <c r="F1905" t="str" cm="1">
        <f t="array" ref="F1905">IF(LineærRegression_Valg[[#This Row],[Indenfor range]],INDEX(DataTitel_liste,LineærRegression_Valg[[#This Row],[Afhængig variabel ID]]),INDEX(DataTitel_liste,1))</f>
        <v>Eksempel 1 (interval)</v>
      </c>
      <c r="G1905" s="45" t="str" cm="1">
        <f t="array" ref="G1905">IF(LineærRegression_Valg[[#This Row],[Indenfor range]],IF(LineærRegression_Valg[[#This Row],[Intet overlap]],INDEX(DataTitel_liste,LineærRegression_Valg[[#This Row],[Uafhængig variabel ID]]),INDEX(DataTitel_liste,IF(LineærRegression_Valg[[#This Row],[Afhængig variabel ID]]=1,2,1))),$B$7)</f>
        <v>Eksempel 2 (interval)</v>
      </c>
      <c r="H1905" s="45">
        <f>_xlfn.AGGREGATE(2,5,LineærRegression_Valg[[#This Row],[Tabel ID]])</f>
        <v>1</v>
      </c>
    </row>
    <row r="1906" spans="1:8" x14ac:dyDescent="0.2">
      <c r="A1906">
        <f>ROW(LineærRegression_Valg[[#This Row],[Tabel ID]])-ROW(LineærRegression_Valg[[#Headers],[Tabel ID]])</f>
        <v>1896</v>
      </c>
      <c r="B1906" s="45">
        <f>ROUNDDOWN((LineærRegression_Valg[[#This Row],[Tabel ID]]-1)/$B$5,0)+1</f>
        <v>474</v>
      </c>
      <c r="C1906" s="45">
        <f t="shared" si="29"/>
        <v>4</v>
      </c>
      <c r="D1906" s="45" t="b">
        <f>LineærRegression_Valg[[#This Row],[Afhængig variabel ID]]&lt;&gt;LineærRegression_Valg[[#This Row],[Uafhængig variabel ID]]</f>
        <v>1</v>
      </c>
      <c r="E1906" s="45" t="b">
        <f>LineærRegression_Valg[[#This Row],[Afhængig variabel ID]]&lt;=$B$5</f>
        <v>0</v>
      </c>
      <c r="F1906" t="str" cm="1">
        <f t="array" ref="F1906">IF(LineærRegression_Valg[[#This Row],[Indenfor range]],INDEX(DataTitel_liste,LineærRegression_Valg[[#This Row],[Afhængig variabel ID]]),INDEX(DataTitel_liste,1))</f>
        <v>Eksempel 1 (interval)</v>
      </c>
      <c r="G1906" s="45" t="str" cm="1">
        <f t="array" ref="G1906">IF(LineærRegression_Valg[[#This Row],[Indenfor range]],IF(LineærRegression_Valg[[#This Row],[Intet overlap]],INDEX(DataTitel_liste,LineærRegression_Valg[[#This Row],[Uafhængig variabel ID]]),INDEX(DataTitel_liste,IF(LineærRegression_Valg[[#This Row],[Afhængig variabel ID]]=1,2,1))),$B$7)</f>
        <v>Eksempel 2 (interval)</v>
      </c>
      <c r="H1906" s="45">
        <f>_xlfn.AGGREGATE(2,5,LineærRegression_Valg[[#This Row],[Tabel ID]])</f>
        <v>1</v>
      </c>
    </row>
    <row r="1907" spans="1:8" x14ac:dyDescent="0.2">
      <c r="A1907">
        <f>ROW(LineærRegression_Valg[[#This Row],[Tabel ID]])-ROW(LineærRegression_Valg[[#Headers],[Tabel ID]])</f>
        <v>1897</v>
      </c>
      <c r="B1907" s="45">
        <f>ROUNDDOWN((LineærRegression_Valg[[#This Row],[Tabel ID]]-1)/$B$5,0)+1</f>
        <v>475</v>
      </c>
      <c r="C1907" s="45">
        <f t="shared" si="29"/>
        <v>1</v>
      </c>
      <c r="D1907" s="45" t="b">
        <f>LineærRegression_Valg[[#This Row],[Afhængig variabel ID]]&lt;&gt;LineærRegression_Valg[[#This Row],[Uafhængig variabel ID]]</f>
        <v>1</v>
      </c>
      <c r="E1907" s="45" t="b">
        <f>LineærRegression_Valg[[#This Row],[Afhængig variabel ID]]&lt;=$B$5</f>
        <v>0</v>
      </c>
      <c r="F1907" t="str" cm="1">
        <f t="array" ref="F1907">IF(LineærRegression_Valg[[#This Row],[Indenfor range]],INDEX(DataTitel_liste,LineærRegression_Valg[[#This Row],[Afhængig variabel ID]]),INDEX(DataTitel_liste,1))</f>
        <v>Eksempel 1 (interval)</v>
      </c>
      <c r="G1907" s="45" t="str" cm="1">
        <f t="array" ref="G1907">IF(LineærRegression_Valg[[#This Row],[Indenfor range]],IF(LineærRegression_Valg[[#This Row],[Intet overlap]],INDEX(DataTitel_liste,LineærRegression_Valg[[#This Row],[Uafhængig variabel ID]]),INDEX(DataTitel_liste,IF(LineærRegression_Valg[[#This Row],[Afhængig variabel ID]]=1,2,1))),$B$7)</f>
        <v>Eksempel 2 (interval)</v>
      </c>
      <c r="H1907" s="45">
        <f>_xlfn.AGGREGATE(2,5,LineærRegression_Valg[[#This Row],[Tabel ID]])</f>
        <v>1</v>
      </c>
    </row>
    <row r="1908" spans="1:8" x14ac:dyDescent="0.2">
      <c r="A1908">
        <f>ROW(LineærRegression_Valg[[#This Row],[Tabel ID]])-ROW(LineærRegression_Valg[[#Headers],[Tabel ID]])</f>
        <v>1898</v>
      </c>
      <c r="B1908" s="45">
        <f>ROUNDDOWN((LineærRegression_Valg[[#This Row],[Tabel ID]]-1)/$B$5,0)+1</f>
        <v>475</v>
      </c>
      <c r="C1908" s="45">
        <f t="shared" si="29"/>
        <v>2</v>
      </c>
      <c r="D1908" s="45" t="b">
        <f>LineærRegression_Valg[[#This Row],[Afhængig variabel ID]]&lt;&gt;LineærRegression_Valg[[#This Row],[Uafhængig variabel ID]]</f>
        <v>1</v>
      </c>
      <c r="E1908" s="45" t="b">
        <f>LineærRegression_Valg[[#This Row],[Afhængig variabel ID]]&lt;=$B$5</f>
        <v>0</v>
      </c>
      <c r="F1908" t="str" cm="1">
        <f t="array" ref="F1908">IF(LineærRegression_Valg[[#This Row],[Indenfor range]],INDEX(DataTitel_liste,LineærRegression_Valg[[#This Row],[Afhængig variabel ID]]),INDEX(DataTitel_liste,1))</f>
        <v>Eksempel 1 (interval)</v>
      </c>
      <c r="G1908" s="45" t="str" cm="1">
        <f t="array" ref="G1908">IF(LineærRegression_Valg[[#This Row],[Indenfor range]],IF(LineærRegression_Valg[[#This Row],[Intet overlap]],INDEX(DataTitel_liste,LineærRegression_Valg[[#This Row],[Uafhængig variabel ID]]),INDEX(DataTitel_liste,IF(LineærRegression_Valg[[#This Row],[Afhængig variabel ID]]=1,2,1))),$B$7)</f>
        <v>Eksempel 2 (interval)</v>
      </c>
      <c r="H1908" s="45">
        <f>_xlfn.AGGREGATE(2,5,LineærRegression_Valg[[#This Row],[Tabel ID]])</f>
        <v>1</v>
      </c>
    </row>
    <row r="1909" spans="1:8" x14ac:dyDescent="0.2">
      <c r="A1909">
        <f>ROW(LineærRegression_Valg[[#This Row],[Tabel ID]])-ROW(LineærRegression_Valg[[#Headers],[Tabel ID]])</f>
        <v>1899</v>
      </c>
      <c r="B1909" s="45">
        <f>ROUNDDOWN((LineærRegression_Valg[[#This Row],[Tabel ID]]-1)/$B$5,0)+1</f>
        <v>475</v>
      </c>
      <c r="C1909" s="45">
        <f t="shared" si="29"/>
        <v>3</v>
      </c>
      <c r="D1909" s="45" t="b">
        <f>LineærRegression_Valg[[#This Row],[Afhængig variabel ID]]&lt;&gt;LineærRegression_Valg[[#This Row],[Uafhængig variabel ID]]</f>
        <v>1</v>
      </c>
      <c r="E1909" s="45" t="b">
        <f>LineærRegression_Valg[[#This Row],[Afhængig variabel ID]]&lt;=$B$5</f>
        <v>0</v>
      </c>
      <c r="F1909" t="str" cm="1">
        <f t="array" ref="F1909">IF(LineærRegression_Valg[[#This Row],[Indenfor range]],INDEX(DataTitel_liste,LineærRegression_Valg[[#This Row],[Afhængig variabel ID]]),INDEX(DataTitel_liste,1))</f>
        <v>Eksempel 1 (interval)</v>
      </c>
      <c r="G1909" s="45" t="str" cm="1">
        <f t="array" ref="G1909">IF(LineærRegression_Valg[[#This Row],[Indenfor range]],IF(LineærRegression_Valg[[#This Row],[Intet overlap]],INDEX(DataTitel_liste,LineærRegression_Valg[[#This Row],[Uafhængig variabel ID]]),INDEX(DataTitel_liste,IF(LineærRegression_Valg[[#This Row],[Afhængig variabel ID]]=1,2,1))),$B$7)</f>
        <v>Eksempel 2 (interval)</v>
      </c>
      <c r="H1909" s="45">
        <f>_xlfn.AGGREGATE(2,5,LineærRegression_Valg[[#This Row],[Tabel ID]])</f>
        <v>1</v>
      </c>
    </row>
    <row r="1910" spans="1:8" x14ac:dyDescent="0.2">
      <c r="A1910">
        <f>ROW(LineærRegression_Valg[[#This Row],[Tabel ID]])-ROW(LineærRegression_Valg[[#Headers],[Tabel ID]])</f>
        <v>1900</v>
      </c>
      <c r="B1910" s="45">
        <f>ROUNDDOWN((LineærRegression_Valg[[#This Row],[Tabel ID]]-1)/$B$5,0)+1</f>
        <v>475</v>
      </c>
      <c r="C1910" s="45">
        <f t="shared" si="29"/>
        <v>4</v>
      </c>
      <c r="D1910" s="45" t="b">
        <f>LineærRegression_Valg[[#This Row],[Afhængig variabel ID]]&lt;&gt;LineærRegression_Valg[[#This Row],[Uafhængig variabel ID]]</f>
        <v>1</v>
      </c>
      <c r="E1910" s="45" t="b">
        <f>LineærRegression_Valg[[#This Row],[Afhængig variabel ID]]&lt;=$B$5</f>
        <v>0</v>
      </c>
      <c r="F1910" t="str" cm="1">
        <f t="array" ref="F1910">IF(LineærRegression_Valg[[#This Row],[Indenfor range]],INDEX(DataTitel_liste,LineærRegression_Valg[[#This Row],[Afhængig variabel ID]]),INDEX(DataTitel_liste,1))</f>
        <v>Eksempel 1 (interval)</v>
      </c>
      <c r="G1910" s="45" t="str" cm="1">
        <f t="array" ref="G1910">IF(LineærRegression_Valg[[#This Row],[Indenfor range]],IF(LineærRegression_Valg[[#This Row],[Intet overlap]],INDEX(DataTitel_liste,LineærRegression_Valg[[#This Row],[Uafhængig variabel ID]]),INDEX(DataTitel_liste,IF(LineærRegression_Valg[[#This Row],[Afhængig variabel ID]]=1,2,1))),$B$7)</f>
        <v>Eksempel 2 (interval)</v>
      </c>
      <c r="H1910" s="45">
        <f>_xlfn.AGGREGATE(2,5,LineærRegression_Valg[[#This Row],[Tabel ID]])</f>
        <v>1</v>
      </c>
    </row>
    <row r="1911" spans="1:8" x14ac:dyDescent="0.2">
      <c r="A1911">
        <f>ROW(LineærRegression_Valg[[#This Row],[Tabel ID]])-ROW(LineærRegression_Valg[[#Headers],[Tabel ID]])</f>
        <v>1901</v>
      </c>
      <c r="B1911" s="45">
        <f>ROUNDDOWN((LineærRegression_Valg[[#This Row],[Tabel ID]]-1)/$B$5,0)+1</f>
        <v>476</v>
      </c>
      <c r="C1911" s="45">
        <f t="shared" si="29"/>
        <v>1</v>
      </c>
      <c r="D1911" s="45" t="b">
        <f>LineærRegression_Valg[[#This Row],[Afhængig variabel ID]]&lt;&gt;LineærRegression_Valg[[#This Row],[Uafhængig variabel ID]]</f>
        <v>1</v>
      </c>
      <c r="E1911" s="45" t="b">
        <f>LineærRegression_Valg[[#This Row],[Afhængig variabel ID]]&lt;=$B$5</f>
        <v>0</v>
      </c>
      <c r="F1911" t="str" cm="1">
        <f t="array" ref="F1911">IF(LineærRegression_Valg[[#This Row],[Indenfor range]],INDEX(DataTitel_liste,LineærRegression_Valg[[#This Row],[Afhængig variabel ID]]),INDEX(DataTitel_liste,1))</f>
        <v>Eksempel 1 (interval)</v>
      </c>
      <c r="G1911" s="45" t="str" cm="1">
        <f t="array" ref="G1911">IF(LineærRegression_Valg[[#This Row],[Indenfor range]],IF(LineærRegression_Valg[[#This Row],[Intet overlap]],INDEX(DataTitel_liste,LineærRegression_Valg[[#This Row],[Uafhængig variabel ID]]),INDEX(DataTitel_liste,IF(LineærRegression_Valg[[#This Row],[Afhængig variabel ID]]=1,2,1))),$B$7)</f>
        <v>Eksempel 2 (interval)</v>
      </c>
      <c r="H1911" s="45">
        <f>_xlfn.AGGREGATE(2,5,LineærRegression_Valg[[#This Row],[Tabel ID]])</f>
        <v>1</v>
      </c>
    </row>
    <row r="1912" spans="1:8" x14ac:dyDescent="0.2">
      <c r="A1912">
        <f>ROW(LineærRegression_Valg[[#This Row],[Tabel ID]])-ROW(LineærRegression_Valg[[#Headers],[Tabel ID]])</f>
        <v>1902</v>
      </c>
      <c r="B1912" s="45">
        <f>ROUNDDOWN((LineærRegression_Valg[[#This Row],[Tabel ID]]-1)/$B$5,0)+1</f>
        <v>476</v>
      </c>
      <c r="C1912" s="45">
        <f t="shared" si="29"/>
        <v>2</v>
      </c>
      <c r="D1912" s="45" t="b">
        <f>LineærRegression_Valg[[#This Row],[Afhængig variabel ID]]&lt;&gt;LineærRegression_Valg[[#This Row],[Uafhængig variabel ID]]</f>
        <v>1</v>
      </c>
      <c r="E1912" s="45" t="b">
        <f>LineærRegression_Valg[[#This Row],[Afhængig variabel ID]]&lt;=$B$5</f>
        <v>0</v>
      </c>
      <c r="F1912" t="str" cm="1">
        <f t="array" ref="F1912">IF(LineærRegression_Valg[[#This Row],[Indenfor range]],INDEX(DataTitel_liste,LineærRegression_Valg[[#This Row],[Afhængig variabel ID]]),INDEX(DataTitel_liste,1))</f>
        <v>Eksempel 1 (interval)</v>
      </c>
      <c r="G1912" s="45" t="str" cm="1">
        <f t="array" ref="G1912">IF(LineærRegression_Valg[[#This Row],[Indenfor range]],IF(LineærRegression_Valg[[#This Row],[Intet overlap]],INDEX(DataTitel_liste,LineærRegression_Valg[[#This Row],[Uafhængig variabel ID]]),INDEX(DataTitel_liste,IF(LineærRegression_Valg[[#This Row],[Afhængig variabel ID]]=1,2,1))),$B$7)</f>
        <v>Eksempel 2 (interval)</v>
      </c>
      <c r="H1912" s="45">
        <f>_xlfn.AGGREGATE(2,5,LineærRegression_Valg[[#This Row],[Tabel ID]])</f>
        <v>1</v>
      </c>
    </row>
    <row r="1913" spans="1:8" x14ac:dyDescent="0.2">
      <c r="A1913">
        <f>ROW(LineærRegression_Valg[[#This Row],[Tabel ID]])-ROW(LineærRegression_Valg[[#Headers],[Tabel ID]])</f>
        <v>1903</v>
      </c>
      <c r="B1913" s="45">
        <f>ROUNDDOWN((LineærRegression_Valg[[#This Row],[Tabel ID]]-1)/$B$5,0)+1</f>
        <v>476</v>
      </c>
      <c r="C1913" s="45">
        <f t="shared" si="29"/>
        <v>3</v>
      </c>
      <c r="D1913" s="45" t="b">
        <f>LineærRegression_Valg[[#This Row],[Afhængig variabel ID]]&lt;&gt;LineærRegression_Valg[[#This Row],[Uafhængig variabel ID]]</f>
        <v>1</v>
      </c>
      <c r="E1913" s="45" t="b">
        <f>LineærRegression_Valg[[#This Row],[Afhængig variabel ID]]&lt;=$B$5</f>
        <v>0</v>
      </c>
      <c r="F1913" t="str" cm="1">
        <f t="array" ref="F1913">IF(LineærRegression_Valg[[#This Row],[Indenfor range]],INDEX(DataTitel_liste,LineærRegression_Valg[[#This Row],[Afhængig variabel ID]]),INDEX(DataTitel_liste,1))</f>
        <v>Eksempel 1 (interval)</v>
      </c>
      <c r="G1913" s="45" t="str" cm="1">
        <f t="array" ref="G1913">IF(LineærRegression_Valg[[#This Row],[Indenfor range]],IF(LineærRegression_Valg[[#This Row],[Intet overlap]],INDEX(DataTitel_liste,LineærRegression_Valg[[#This Row],[Uafhængig variabel ID]]),INDEX(DataTitel_liste,IF(LineærRegression_Valg[[#This Row],[Afhængig variabel ID]]=1,2,1))),$B$7)</f>
        <v>Eksempel 2 (interval)</v>
      </c>
      <c r="H1913" s="45">
        <f>_xlfn.AGGREGATE(2,5,LineærRegression_Valg[[#This Row],[Tabel ID]])</f>
        <v>1</v>
      </c>
    </row>
    <row r="1914" spans="1:8" x14ac:dyDescent="0.2">
      <c r="A1914">
        <f>ROW(LineærRegression_Valg[[#This Row],[Tabel ID]])-ROW(LineærRegression_Valg[[#Headers],[Tabel ID]])</f>
        <v>1904</v>
      </c>
      <c r="B1914" s="45">
        <f>ROUNDDOWN((LineærRegression_Valg[[#This Row],[Tabel ID]]-1)/$B$5,0)+1</f>
        <v>476</v>
      </c>
      <c r="C1914" s="45">
        <f t="shared" si="29"/>
        <v>4</v>
      </c>
      <c r="D1914" s="45" t="b">
        <f>LineærRegression_Valg[[#This Row],[Afhængig variabel ID]]&lt;&gt;LineærRegression_Valg[[#This Row],[Uafhængig variabel ID]]</f>
        <v>1</v>
      </c>
      <c r="E1914" s="45" t="b">
        <f>LineærRegression_Valg[[#This Row],[Afhængig variabel ID]]&lt;=$B$5</f>
        <v>0</v>
      </c>
      <c r="F1914" t="str" cm="1">
        <f t="array" ref="F1914">IF(LineærRegression_Valg[[#This Row],[Indenfor range]],INDEX(DataTitel_liste,LineærRegression_Valg[[#This Row],[Afhængig variabel ID]]),INDEX(DataTitel_liste,1))</f>
        <v>Eksempel 1 (interval)</v>
      </c>
      <c r="G1914" s="45" t="str" cm="1">
        <f t="array" ref="G1914">IF(LineærRegression_Valg[[#This Row],[Indenfor range]],IF(LineærRegression_Valg[[#This Row],[Intet overlap]],INDEX(DataTitel_liste,LineærRegression_Valg[[#This Row],[Uafhængig variabel ID]]),INDEX(DataTitel_liste,IF(LineærRegression_Valg[[#This Row],[Afhængig variabel ID]]=1,2,1))),$B$7)</f>
        <v>Eksempel 2 (interval)</v>
      </c>
      <c r="H1914" s="45">
        <f>_xlfn.AGGREGATE(2,5,LineærRegression_Valg[[#This Row],[Tabel ID]])</f>
        <v>1</v>
      </c>
    </row>
    <row r="1915" spans="1:8" x14ac:dyDescent="0.2">
      <c r="A1915">
        <f>ROW(LineærRegression_Valg[[#This Row],[Tabel ID]])-ROW(LineærRegression_Valg[[#Headers],[Tabel ID]])</f>
        <v>1905</v>
      </c>
      <c r="B1915" s="45">
        <f>ROUNDDOWN((LineærRegression_Valg[[#This Row],[Tabel ID]]-1)/$B$5,0)+1</f>
        <v>477</v>
      </c>
      <c r="C1915" s="45">
        <f t="shared" si="29"/>
        <v>1</v>
      </c>
      <c r="D1915" s="45" t="b">
        <f>LineærRegression_Valg[[#This Row],[Afhængig variabel ID]]&lt;&gt;LineærRegression_Valg[[#This Row],[Uafhængig variabel ID]]</f>
        <v>1</v>
      </c>
      <c r="E1915" s="45" t="b">
        <f>LineærRegression_Valg[[#This Row],[Afhængig variabel ID]]&lt;=$B$5</f>
        <v>0</v>
      </c>
      <c r="F1915" t="str" cm="1">
        <f t="array" ref="F1915">IF(LineærRegression_Valg[[#This Row],[Indenfor range]],INDEX(DataTitel_liste,LineærRegression_Valg[[#This Row],[Afhængig variabel ID]]),INDEX(DataTitel_liste,1))</f>
        <v>Eksempel 1 (interval)</v>
      </c>
      <c r="G1915" s="45" t="str" cm="1">
        <f t="array" ref="G1915">IF(LineærRegression_Valg[[#This Row],[Indenfor range]],IF(LineærRegression_Valg[[#This Row],[Intet overlap]],INDEX(DataTitel_liste,LineærRegression_Valg[[#This Row],[Uafhængig variabel ID]]),INDEX(DataTitel_liste,IF(LineærRegression_Valg[[#This Row],[Afhængig variabel ID]]=1,2,1))),$B$7)</f>
        <v>Eksempel 2 (interval)</v>
      </c>
      <c r="H1915" s="45">
        <f>_xlfn.AGGREGATE(2,5,LineærRegression_Valg[[#This Row],[Tabel ID]])</f>
        <v>1</v>
      </c>
    </row>
    <row r="1916" spans="1:8" x14ac:dyDescent="0.2">
      <c r="A1916">
        <f>ROW(LineærRegression_Valg[[#This Row],[Tabel ID]])-ROW(LineærRegression_Valg[[#Headers],[Tabel ID]])</f>
        <v>1906</v>
      </c>
      <c r="B1916" s="45">
        <f>ROUNDDOWN((LineærRegression_Valg[[#This Row],[Tabel ID]]-1)/$B$5,0)+1</f>
        <v>477</v>
      </c>
      <c r="C1916" s="45">
        <f t="shared" si="29"/>
        <v>2</v>
      </c>
      <c r="D1916" s="45" t="b">
        <f>LineærRegression_Valg[[#This Row],[Afhængig variabel ID]]&lt;&gt;LineærRegression_Valg[[#This Row],[Uafhængig variabel ID]]</f>
        <v>1</v>
      </c>
      <c r="E1916" s="45" t="b">
        <f>LineærRegression_Valg[[#This Row],[Afhængig variabel ID]]&lt;=$B$5</f>
        <v>0</v>
      </c>
      <c r="F1916" t="str" cm="1">
        <f t="array" ref="F1916">IF(LineærRegression_Valg[[#This Row],[Indenfor range]],INDEX(DataTitel_liste,LineærRegression_Valg[[#This Row],[Afhængig variabel ID]]),INDEX(DataTitel_liste,1))</f>
        <v>Eksempel 1 (interval)</v>
      </c>
      <c r="G1916" s="45" t="str" cm="1">
        <f t="array" ref="G1916">IF(LineærRegression_Valg[[#This Row],[Indenfor range]],IF(LineærRegression_Valg[[#This Row],[Intet overlap]],INDEX(DataTitel_liste,LineærRegression_Valg[[#This Row],[Uafhængig variabel ID]]),INDEX(DataTitel_liste,IF(LineærRegression_Valg[[#This Row],[Afhængig variabel ID]]=1,2,1))),$B$7)</f>
        <v>Eksempel 2 (interval)</v>
      </c>
      <c r="H1916" s="45">
        <f>_xlfn.AGGREGATE(2,5,LineærRegression_Valg[[#This Row],[Tabel ID]])</f>
        <v>1</v>
      </c>
    </row>
    <row r="1917" spans="1:8" x14ac:dyDescent="0.2">
      <c r="A1917">
        <f>ROW(LineærRegression_Valg[[#This Row],[Tabel ID]])-ROW(LineærRegression_Valg[[#Headers],[Tabel ID]])</f>
        <v>1907</v>
      </c>
      <c r="B1917" s="45">
        <f>ROUNDDOWN((LineærRegression_Valg[[#This Row],[Tabel ID]]-1)/$B$5,0)+1</f>
        <v>477</v>
      </c>
      <c r="C1917" s="45">
        <f t="shared" si="29"/>
        <v>3</v>
      </c>
      <c r="D1917" s="45" t="b">
        <f>LineærRegression_Valg[[#This Row],[Afhængig variabel ID]]&lt;&gt;LineærRegression_Valg[[#This Row],[Uafhængig variabel ID]]</f>
        <v>1</v>
      </c>
      <c r="E1917" s="45" t="b">
        <f>LineærRegression_Valg[[#This Row],[Afhængig variabel ID]]&lt;=$B$5</f>
        <v>0</v>
      </c>
      <c r="F1917" t="str" cm="1">
        <f t="array" ref="F1917">IF(LineærRegression_Valg[[#This Row],[Indenfor range]],INDEX(DataTitel_liste,LineærRegression_Valg[[#This Row],[Afhængig variabel ID]]),INDEX(DataTitel_liste,1))</f>
        <v>Eksempel 1 (interval)</v>
      </c>
      <c r="G1917" s="45" t="str" cm="1">
        <f t="array" ref="G1917">IF(LineærRegression_Valg[[#This Row],[Indenfor range]],IF(LineærRegression_Valg[[#This Row],[Intet overlap]],INDEX(DataTitel_liste,LineærRegression_Valg[[#This Row],[Uafhængig variabel ID]]),INDEX(DataTitel_liste,IF(LineærRegression_Valg[[#This Row],[Afhængig variabel ID]]=1,2,1))),$B$7)</f>
        <v>Eksempel 2 (interval)</v>
      </c>
      <c r="H1917" s="45">
        <f>_xlfn.AGGREGATE(2,5,LineærRegression_Valg[[#This Row],[Tabel ID]])</f>
        <v>1</v>
      </c>
    </row>
    <row r="1918" spans="1:8" x14ac:dyDescent="0.2">
      <c r="A1918">
        <f>ROW(LineærRegression_Valg[[#This Row],[Tabel ID]])-ROW(LineærRegression_Valg[[#Headers],[Tabel ID]])</f>
        <v>1908</v>
      </c>
      <c r="B1918" s="45">
        <f>ROUNDDOWN((LineærRegression_Valg[[#This Row],[Tabel ID]]-1)/$B$5,0)+1</f>
        <v>477</v>
      </c>
      <c r="C1918" s="45">
        <f t="shared" si="29"/>
        <v>4</v>
      </c>
      <c r="D1918" s="45" t="b">
        <f>LineærRegression_Valg[[#This Row],[Afhængig variabel ID]]&lt;&gt;LineærRegression_Valg[[#This Row],[Uafhængig variabel ID]]</f>
        <v>1</v>
      </c>
      <c r="E1918" s="45" t="b">
        <f>LineærRegression_Valg[[#This Row],[Afhængig variabel ID]]&lt;=$B$5</f>
        <v>0</v>
      </c>
      <c r="F1918" t="str" cm="1">
        <f t="array" ref="F1918">IF(LineærRegression_Valg[[#This Row],[Indenfor range]],INDEX(DataTitel_liste,LineærRegression_Valg[[#This Row],[Afhængig variabel ID]]),INDEX(DataTitel_liste,1))</f>
        <v>Eksempel 1 (interval)</v>
      </c>
      <c r="G1918" s="45" t="str" cm="1">
        <f t="array" ref="G1918">IF(LineærRegression_Valg[[#This Row],[Indenfor range]],IF(LineærRegression_Valg[[#This Row],[Intet overlap]],INDEX(DataTitel_liste,LineærRegression_Valg[[#This Row],[Uafhængig variabel ID]]),INDEX(DataTitel_liste,IF(LineærRegression_Valg[[#This Row],[Afhængig variabel ID]]=1,2,1))),$B$7)</f>
        <v>Eksempel 2 (interval)</v>
      </c>
      <c r="H1918" s="45">
        <f>_xlfn.AGGREGATE(2,5,LineærRegression_Valg[[#This Row],[Tabel ID]])</f>
        <v>1</v>
      </c>
    </row>
    <row r="1919" spans="1:8" x14ac:dyDescent="0.2">
      <c r="A1919">
        <f>ROW(LineærRegression_Valg[[#This Row],[Tabel ID]])-ROW(LineærRegression_Valg[[#Headers],[Tabel ID]])</f>
        <v>1909</v>
      </c>
      <c r="B1919" s="45">
        <f>ROUNDDOWN((LineærRegression_Valg[[#This Row],[Tabel ID]]-1)/$B$5,0)+1</f>
        <v>478</v>
      </c>
      <c r="C1919" s="45">
        <f t="shared" si="29"/>
        <v>1</v>
      </c>
      <c r="D1919" s="45" t="b">
        <f>LineærRegression_Valg[[#This Row],[Afhængig variabel ID]]&lt;&gt;LineærRegression_Valg[[#This Row],[Uafhængig variabel ID]]</f>
        <v>1</v>
      </c>
      <c r="E1919" s="45" t="b">
        <f>LineærRegression_Valg[[#This Row],[Afhængig variabel ID]]&lt;=$B$5</f>
        <v>0</v>
      </c>
      <c r="F1919" t="str" cm="1">
        <f t="array" ref="F1919">IF(LineærRegression_Valg[[#This Row],[Indenfor range]],INDEX(DataTitel_liste,LineærRegression_Valg[[#This Row],[Afhængig variabel ID]]),INDEX(DataTitel_liste,1))</f>
        <v>Eksempel 1 (interval)</v>
      </c>
      <c r="G1919" s="45" t="str" cm="1">
        <f t="array" ref="G1919">IF(LineærRegression_Valg[[#This Row],[Indenfor range]],IF(LineærRegression_Valg[[#This Row],[Intet overlap]],INDEX(DataTitel_liste,LineærRegression_Valg[[#This Row],[Uafhængig variabel ID]]),INDEX(DataTitel_liste,IF(LineærRegression_Valg[[#This Row],[Afhængig variabel ID]]=1,2,1))),$B$7)</f>
        <v>Eksempel 2 (interval)</v>
      </c>
      <c r="H1919" s="45">
        <f>_xlfn.AGGREGATE(2,5,LineærRegression_Valg[[#This Row],[Tabel ID]])</f>
        <v>1</v>
      </c>
    </row>
    <row r="1920" spans="1:8" x14ac:dyDescent="0.2">
      <c r="A1920">
        <f>ROW(LineærRegression_Valg[[#This Row],[Tabel ID]])-ROW(LineærRegression_Valg[[#Headers],[Tabel ID]])</f>
        <v>1910</v>
      </c>
      <c r="B1920" s="45">
        <f>ROUNDDOWN((LineærRegression_Valg[[#This Row],[Tabel ID]]-1)/$B$5,0)+1</f>
        <v>478</v>
      </c>
      <c r="C1920" s="45">
        <f t="shared" si="29"/>
        <v>2</v>
      </c>
      <c r="D1920" s="45" t="b">
        <f>LineærRegression_Valg[[#This Row],[Afhængig variabel ID]]&lt;&gt;LineærRegression_Valg[[#This Row],[Uafhængig variabel ID]]</f>
        <v>1</v>
      </c>
      <c r="E1920" s="45" t="b">
        <f>LineærRegression_Valg[[#This Row],[Afhængig variabel ID]]&lt;=$B$5</f>
        <v>0</v>
      </c>
      <c r="F1920" t="str" cm="1">
        <f t="array" ref="F1920">IF(LineærRegression_Valg[[#This Row],[Indenfor range]],INDEX(DataTitel_liste,LineærRegression_Valg[[#This Row],[Afhængig variabel ID]]),INDEX(DataTitel_liste,1))</f>
        <v>Eksempel 1 (interval)</v>
      </c>
      <c r="G1920" s="45" t="str" cm="1">
        <f t="array" ref="G1920">IF(LineærRegression_Valg[[#This Row],[Indenfor range]],IF(LineærRegression_Valg[[#This Row],[Intet overlap]],INDEX(DataTitel_liste,LineærRegression_Valg[[#This Row],[Uafhængig variabel ID]]),INDEX(DataTitel_liste,IF(LineærRegression_Valg[[#This Row],[Afhængig variabel ID]]=1,2,1))),$B$7)</f>
        <v>Eksempel 2 (interval)</v>
      </c>
      <c r="H1920" s="45">
        <f>_xlfn.AGGREGATE(2,5,LineærRegression_Valg[[#This Row],[Tabel ID]])</f>
        <v>1</v>
      </c>
    </row>
    <row r="1921" spans="1:8" x14ac:dyDescent="0.2">
      <c r="A1921">
        <f>ROW(LineærRegression_Valg[[#This Row],[Tabel ID]])-ROW(LineærRegression_Valg[[#Headers],[Tabel ID]])</f>
        <v>1911</v>
      </c>
      <c r="B1921" s="45">
        <f>ROUNDDOWN((LineærRegression_Valg[[#This Row],[Tabel ID]]-1)/$B$5,0)+1</f>
        <v>478</v>
      </c>
      <c r="C1921" s="45">
        <f t="shared" si="29"/>
        <v>3</v>
      </c>
      <c r="D1921" s="45" t="b">
        <f>LineærRegression_Valg[[#This Row],[Afhængig variabel ID]]&lt;&gt;LineærRegression_Valg[[#This Row],[Uafhængig variabel ID]]</f>
        <v>1</v>
      </c>
      <c r="E1921" s="45" t="b">
        <f>LineærRegression_Valg[[#This Row],[Afhængig variabel ID]]&lt;=$B$5</f>
        <v>0</v>
      </c>
      <c r="F1921" t="str" cm="1">
        <f t="array" ref="F1921">IF(LineærRegression_Valg[[#This Row],[Indenfor range]],INDEX(DataTitel_liste,LineærRegression_Valg[[#This Row],[Afhængig variabel ID]]),INDEX(DataTitel_liste,1))</f>
        <v>Eksempel 1 (interval)</v>
      </c>
      <c r="G1921" s="45" t="str" cm="1">
        <f t="array" ref="G1921">IF(LineærRegression_Valg[[#This Row],[Indenfor range]],IF(LineærRegression_Valg[[#This Row],[Intet overlap]],INDEX(DataTitel_liste,LineærRegression_Valg[[#This Row],[Uafhængig variabel ID]]),INDEX(DataTitel_liste,IF(LineærRegression_Valg[[#This Row],[Afhængig variabel ID]]=1,2,1))),$B$7)</f>
        <v>Eksempel 2 (interval)</v>
      </c>
      <c r="H1921" s="45">
        <f>_xlfn.AGGREGATE(2,5,LineærRegression_Valg[[#This Row],[Tabel ID]])</f>
        <v>1</v>
      </c>
    </row>
    <row r="1922" spans="1:8" x14ac:dyDescent="0.2">
      <c r="A1922">
        <f>ROW(LineærRegression_Valg[[#This Row],[Tabel ID]])-ROW(LineærRegression_Valg[[#Headers],[Tabel ID]])</f>
        <v>1912</v>
      </c>
      <c r="B1922" s="45">
        <f>ROUNDDOWN((LineærRegression_Valg[[#This Row],[Tabel ID]]-1)/$B$5,0)+1</f>
        <v>478</v>
      </c>
      <c r="C1922" s="45">
        <f t="shared" si="29"/>
        <v>4</v>
      </c>
      <c r="D1922" s="45" t="b">
        <f>LineærRegression_Valg[[#This Row],[Afhængig variabel ID]]&lt;&gt;LineærRegression_Valg[[#This Row],[Uafhængig variabel ID]]</f>
        <v>1</v>
      </c>
      <c r="E1922" s="45" t="b">
        <f>LineærRegression_Valg[[#This Row],[Afhængig variabel ID]]&lt;=$B$5</f>
        <v>0</v>
      </c>
      <c r="F1922" t="str" cm="1">
        <f t="array" ref="F1922">IF(LineærRegression_Valg[[#This Row],[Indenfor range]],INDEX(DataTitel_liste,LineærRegression_Valg[[#This Row],[Afhængig variabel ID]]),INDEX(DataTitel_liste,1))</f>
        <v>Eksempel 1 (interval)</v>
      </c>
      <c r="G1922" s="45" t="str" cm="1">
        <f t="array" ref="G1922">IF(LineærRegression_Valg[[#This Row],[Indenfor range]],IF(LineærRegression_Valg[[#This Row],[Intet overlap]],INDEX(DataTitel_liste,LineærRegression_Valg[[#This Row],[Uafhængig variabel ID]]),INDEX(DataTitel_liste,IF(LineærRegression_Valg[[#This Row],[Afhængig variabel ID]]=1,2,1))),$B$7)</f>
        <v>Eksempel 2 (interval)</v>
      </c>
      <c r="H1922" s="45">
        <f>_xlfn.AGGREGATE(2,5,LineærRegression_Valg[[#This Row],[Tabel ID]])</f>
        <v>1</v>
      </c>
    </row>
    <row r="1923" spans="1:8" x14ac:dyDescent="0.2">
      <c r="A1923">
        <f>ROW(LineærRegression_Valg[[#This Row],[Tabel ID]])-ROW(LineærRegression_Valg[[#Headers],[Tabel ID]])</f>
        <v>1913</v>
      </c>
      <c r="B1923" s="45">
        <f>ROUNDDOWN((LineærRegression_Valg[[#This Row],[Tabel ID]]-1)/$B$5,0)+1</f>
        <v>479</v>
      </c>
      <c r="C1923" s="45">
        <f t="shared" si="29"/>
        <v>1</v>
      </c>
      <c r="D1923" s="45" t="b">
        <f>LineærRegression_Valg[[#This Row],[Afhængig variabel ID]]&lt;&gt;LineærRegression_Valg[[#This Row],[Uafhængig variabel ID]]</f>
        <v>1</v>
      </c>
      <c r="E1923" s="45" t="b">
        <f>LineærRegression_Valg[[#This Row],[Afhængig variabel ID]]&lt;=$B$5</f>
        <v>0</v>
      </c>
      <c r="F1923" t="str" cm="1">
        <f t="array" ref="F1923">IF(LineærRegression_Valg[[#This Row],[Indenfor range]],INDEX(DataTitel_liste,LineærRegression_Valg[[#This Row],[Afhængig variabel ID]]),INDEX(DataTitel_liste,1))</f>
        <v>Eksempel 1 (interval)</v>
      </c>
      <c r="G1923" s="45" t="str" cm="1">
        <f t="array" ref="G1923">IF(LineærRegression_Valg[[#This Row],[Indenfor range]],IF(LineærRegression_Valg[[#This Row],[Intet overlap]],INDEX(DataTitel_liste,LineærRegression_Valg[[#This Row],[Uafhængig variabel ID]]),INDEX(DataTitel_liste,IF(LineærRegression_Valg[[#This Row],[Afhængig variabel ID]]=1,2,1))),$B$7)</f>
        <v>Eksempel 2 (interval)</v>
      </c>
      <c r="H1923" s="45">
        <f>_xlfn.AGGREGATE(2,5,LineærRegression_Valg[[#This Row],[Tabel ID]])</f>
        <v>1</v>
      </c>
    </row>
    <row r="1924" spans="1:8" x14ac:dyDescent="0.2">
      <c r="A1924">
        <f>ROW(LineærRegression_Valg[[#This Row],[Tabel ID]])-ROW(LineærRegression_Valg[[#Headers],[Tabel ID]])</f>
        <v>1914</v>
      </c>
      <c r="B1924" s="45">
        <f>ROUNDDOWN((LineærRegression_Valg[[#This Row],[Tabel ID]]-1)/$B$5,0)+1</f>
        <v>479</v>
      </c>
      <c r="C1924" s="45">
        <f t="shared" si="29"/>
        <v>2</v>
      </c>
      <c r="D1924" s="45" t="b">
        <f>LineærRegression_Valg[[#This Row],[Afhængig variabel ID]]&lt;&gt;LineærRegression_Valg[[#This Row],[Uafhængig variabel ID]]</f>
        <v>1</v>
      </c>
      <c r="E1924" s="45" t="b">
        <f>LineærRegression_Valg[[#This Row],[Afhængig variabel ID]]&lt;=$B$5</f>
        <v>0</v>
      </c>
      <c r="F1924" t="str" cm="1">
        <f t="array" ref="F1924">IF(LineærRegression_Valg[[#This Row],[Indenfor range]],INDEX(DataTitel_liste,LineærRegression_Valg[[#This Row],[Afhængig variabel ID]]),INDEX(DataTitel_liste,1))</f>
        <v>Eksempel 1 (interval)</v>
      </c>
      <c r="G1924" s="45" t="str" cm="1">
        <f t="array" ref="G1924">IF(LineærRegression_Valg[[#This Row],[Indenfor range]],IF(LineærRegression_Valg[[#This Row],[Intet overlap]],INDEX(DataTitel_liste,LineærRegression_Valg[[#This Row],[Uafhængig variabel ID]]),INDEX(DataTitel_liste,IF(LineærRegression_Valg[[#This Row],[Afhængig variabel ID]]=1,2,1))),$B$7)</f>
        <v>Eksempel 2 (interval)</v>
      </c>
      <c r="H1924" s="45">
        <f>_xlfn.AGGREGATE(2,5,LineærRegression_Valg[[#This Row],[Tabel ID]])</f>
        <v>1</v>
      </c>
    </row>
    <row r="1925" spans="1:8" x14ac:dyDescent="0.2">
      <c r="A1925">
        <f>ROW(LineærRegression_Valg[[#This Row],[Tabel ID]])-ROW(LineærRegression_Valg[[#Headers],[Tabel ID]])</f>
        <v>1915</v>
      </c>
      <c r="B1925" s="45">
        <f>ROUNDDOWN((LineærRegression_Valg[[#This Row],[Tabel ID]]-1)/$B$5,0)+1</f>
        <v>479</v>
      </c>
      <c r="C1925" s="45">
        <f t="shared" si="29"/>
        <v>3</v>
      </c>
      <c r="D1925" s="45" t="b">
        <f>LineærRegression_Valg[[#This Row],[Afhængig variabel ID]]&lt;&gt;LineærRegression_Valg[[#This Row],[Uafhængig variabel ID]]</f>
        <v>1</v>
      </c>
      <c r="E1925" s="45" t="b">
        <f>LineærRegression_Valg[[#This Row],[Afhængig variabel ID]]&lt;=$B$5</f>
        <v>0</v>
      </c>
      <c r="F1925" t="str" cm="1">
        <f t="array" ref="F1925">IF(LineærRegression_Valg[[#This Row],[Indenfor range]],INDEX(DataTitel_liste,LineærRegression_Valg[[#This Row],[Afhængig variabel ID]]),INDEX(DataTitel_liste,1))</f>
        <v>Eksempel 1 (interval)</v>
      </c>
      <c r="G1925" s="45" t="str" cm="1">
        <f t="array" ref="G1925">IF(LineærRegression_Valg[[#This Row],[Indenfor range]],IF(LineærRegression_Valg[[#This Row],[Intet overlap]],INDEX(DataTitel_liste,LineærRegression_Valg[[#This Row],[Uafhængig variabel ID]]),INDEX(DataTitel_liste,IF(LineærRegression_Valg[[#This Row],[Afhængig variabel ID]]=1,2,1))),$B$7)</f>
        <v>Eksempel 2 (interval)</v>
      </c>
      <c r="H1925" s="45">
        <f>_xlfn.AGGREGATE(2,5,LineærRegression_Valg[[#This Row],[Tabel ID]])</f>
        <v>1</v>
      </c>
    </row>
    <row r="1926" spans="1:8" x14ac:dyDescent="0.2">
      <c r="A1926">
        <f>ROW(LineærRegression_Valg[[#This Row],[Tabel ID]])-ROW(LineærRegression_Valg[[#Headers],[Tabel ID]])</f>
        <v>1916</v>
      </c>
      <c r="B1926" s="45">
        <f>ROUNDDOWN((LineærRegression_Valg[[#This Row],[Tabel ID]]-1)/$B$5,0)+1</f>
        <v>479</v>
      </c>
      <c r="C1926" s="45">
        <f t="shared" si="29"/>
        <v>4</v>
      </c>
      <c r="D1926" s="45" t="b">
        <f>LineærRegression_Valg[[#This Row],[Afhængig variabel ID]]&lt;&gt;LineærRegression_Valg[[#This Row],[Uafhængig variabel ID]]</f>
        <v>1</v>
      </c>
      <c r="E1926" s="45" t="b">
        <f>LineærRegression_Valg[[#This Row],[Afhængig variabel ID]]&lt;=$B$5</f>
        <v>0</v>
      </c>
      <c r="F1926" t="str" cm="1">
        <f t="array" ref="F1926">IF(LineærRegression_Valg[[#This Row],[Indenfor range]],INDEX(DataTitel_liste,LineærRegression_Valg[[#This Row],[Afhængig variabel ID]]),INDEX(DataTitel_liste,1))</f>
        <v>Eksempel 1 (interval)</v>
      </c>
      <c r="G1926" s="45" t="str" cm="1">
        <f t="array" ref="G1926">IF(LineærRegression_Valg[[#This Row],[Indenfor range]],IF(LineærRegression_Valg[[#This Row],[Intet overlap]],INDEX(DataTitel_liste,LineærRegression_Valg[[#This Row],[Uafhængig variabel ID]]),INDEX(DataTitel_liste,IF(LineærRegression_Valg[[#This Row],[Afhængig variabel ID]]=1,2,1))),$B$7)</f>
        <v>Eksempel 2 (interval)</v>
      </c>
      <c r="H1926" s="45">
        <f>_xlfn.AGGREGATE(2,5,LineærRegression_Valg[[#This Row],[Tabel ID]])</f>
        <v>1</v>
      </c>
    </row>
    <row r="1927" spans="1:8" x14ac:dyDescent="0.2">
      <c r="A1927">
        <f>ROW(LineærRegression_Valg[[#This Row],[Tabel ID]])-ROW(LineærRegression_Valg[[#Headers],[Tabel ID]])</f>
        <v>1917</v>
      </c>
      <c r="B1927" s="45">
        <f>ROUNDDOWN((LineærRegression_Valg[[#This Row],[Tabel ID]]-1)/$B$5,0)+1</f>
        <v>480</v>
      </c>
      <c r="C1927" s="45">
        <f t="shared" si="29"/>
        <v>1</v>
      </c>
      <c r="D1927" s="45" t="b">
        <f>LineærRegression_Valg[[#This Row],[Afhængig variabel ID]]&lt;&gt;LineærRegression_Valg[[#This Row],[Uafhængig variabel ID]]</f>
        <v>1</v>
      </c>
      <c r="E1927" s="45" t="b">
        <f>LineærRegression_Valg[[#This Row],[Afhængig variabel ID]]&lt;=$B$5</f>
        <v>0</v>
      </c>
      <c r="F1927" t="str" cm="1">
        <f t="array" ref="F1927">IF(LineærRegression_Valg[[#This Row],[Indenfor range]],INDEX(DataTitel_liste,LineærRegression_Valg[[#This Row],[Afhængig variabel ID]]),INDEX(DataTitel_liste,1))</f>
        <v>Eksempel 1 (interval)</v>
      </c>
      <c r="G1927" s="45" t="str" cm="1">
        <f t="array" ref="G1927">IF(LineærRegression_Valg[[#This Row],[Indenfor range]],IF(LineærRegression_Valg[[#This Row],[Intet overlap]],INDEX(DataTitel_liste,LineærRegression_Valg[[#This Row],[Uafhængig variabel ID]]),INDEX(DataTitel_liste,IF(LineærRegression_Valg[[#This Row],[Afhængig variabel ID]]=1,2,1))),$B$7)</f>
        <v>Eksempel 2 (interval)</v>
      </c>
      <c r="H1927" s="45">
        <f>_xlfn.AGGREGATE(2,5,LineærRegression_Valg[[#This Row],[Tabel ID]])</f>
        <v>1</v>
      </c>
    </row>
    <row r="1928" spans="1:8" x14ac:dyDescent="0.2">
      <c r="A1928">
        <f>ROW(LineærRegression_Valg[[#This Row],[Tabel ID]])-ROW(LineærRegression_Valg[[#Headers],[Tabel ID]])</f>
        <v>1918</v>
      </c>
      <c r="B1928" s="45">
        <f>ROUNDDOWN((LineærRegression_Valg[[#This Row],[Tabel ID]]-1)/$B$5,0)+1</f>
        <v>480</v>
      </c>
      <c r="C1928" s="45">
        <f t="shared" si="29"/>
        <v>2</v>
      </c>
      <c r="D1928" s="45" t="b">
        <f>LineærRegression_Valg[[#This Row],[Afhængig variabel ID]]&lt;&gt;LineærRegression_Valg[[#This Row],[Uafhængig variabel ID]]</f>
        <v>1</v>
      </c>
      <c r="E1928" s="45" t="b">
        <f>LineærRegression_Valg[[#This Row],[Afhængig variabel ID]]&lt;=$B$5</f>
        <v>0</v>
      </c>
      <c r="F1928" t="str" cm="1">
        <f t="array" ref="F1928">IF(LineærRegression_Valg[[#This Row],[Indenfor range]],INDEX(DataTitel_liste,LineærRegression_Valg[[#This Row],[Afhængig variabel ID]]),INDEX(DataTitel_liste,1))</f>
        <v>Eksempel 1 (interval)</v>
      </c>
      <c r="G1928" s="45" t="str" cm="1">
        <f t="array" ref="G1928">IF(LineærRegression_Valg[[#This Row],[Indenfor range]],IF(LineærRegression_Valg[[#This Row],[Intet overlap]],INDEX(DataTitel_liste,LineærRegression_Valg[[#This Row],[Uafhængig variabel ID]]),INDEX(DataTitel_liste,IF(LineærRegression_Valg[[#This Row],[Afhængig variabel ID]]=1,2,1))),$B$7)</f>
        <v>Eksempel 2 (interval)</v>
      </c>
      <c r="H1928" s="45">
        <f>_xlfn.AGGREGATE(2,5,LineærRegression_Valg[[#This Row],[Tabel ID]])</f>
        <v>1</v>
      </c>
    </row>
    <row r="1929" spans="1:8" x14ac:dyDescent="0.2">
      <c r="A1929">
        <f>ROW(LineærRegression_Valg[[#This Row],[Tabel ID]])-ROW(LineærRegression_Valg[[#Headers],[Tabel ID]])</f>
        <v>1919</v>
      </c>
      <c r="B1929" s="45">
        <f>ROUNDDOWN((LineærRegression_Valg[[#This Row],[Tabel ID]]-1)/$B$5,0)+1</f>
        <v>480</v>
      </c>
      <c r="C1929" s="45">
        <f t="shared" si="29"/>
        <v>3</v>
      </c>
      <c r="D1929" s="45" t="b">
        <f>LineærRegression_Valg[[#This Row],[Afhængig variabel ID]]&lt;&gt;LineærRegression_Valg[[#This Row],[Uafhængig variabel ID]]</f>
        <v>1</v>
      </c>
      <c r="E1929" s="45" t="b">
        <f>LineærRegression_Valg[[#This Row],[Afhængig variabel ID]]&lt;=$B$5</f>
        <v>0</v>
      </c>
      <c r="F1929" t="str" cm="1">
        <f t="array" ref="F1929">IF(LineærRegression_Valg[[#This Row],[Indenfor range]],INDEX(DataTitel_liste,LineærRegression_Valg[[#This Row],[Afhængig variabel ID]]),INDEX(DataTitel_liste,1))</f>
        <v>Eksempel 1 (interval)</v>
      </c>
      <c r="G1929" s="45" t="str" cm="1">
        <f t="array" ref="G1929">IF(LineærRegression_Valg[[#This Row],[Indenfor range]],IF(LineærRegression_Valg[[#This Row],[Intet overlap]],INDEX(DataTitel_liste,LineærRegression_Valg[[#This Row],[Uafhængig variabel ID]]),INDEX(DataTitel_liste,IF(LineærRegression_Valg[[#This Row],[Afhængig variabel ID]]=1,2,1))),$B$7)</f>
        <v>Eksempel 2 (interval)</v>
      </c>
      <c r="H1929" s="45">
        <f>_xlfn.AGGREGATE(2,5,LineærRegression_Valg[[#This Row],[Tabel ID]])</f>
        <v>1</v>
      </c>
    </row>
    <row r="1930" spans="1:8" x14ac:dyDescent="0.2">
      <c r="A1930">
        <f>ROW(LineærRegression_Valg[[#This Row],[Tabel ID]])-ROW(LineærRegression_Valg[[#Headers],[Tabel ID]])</f>
        <v>1920</v>
      </c>
      <c r="B1930" s="45">
        <f>ROUNDDOWN((LineærRegression_Valg[[#This Row],[Tabel ID]]-1)/$B$5,0)+1</f>
        <v>480</v>
      </c>
      <c r="C1930" s="45">
        <f t="shared" si="29"/>
        <v>4</v>
      </c>
      <c r="D1930" s="45" t="b">
        <f>LineærRegression_Valg[[#This Row],[Afhængig variabel ID]]&lt;&gt;LineærRegression_Valg[[#This Row],[Uafhængig variabel ID]]</f>
        <v>1</v>
      </c>
      <c r="E1930" s="45" t="b">
        <f>LineærRegression_Valg[[#This Row],[Afhængig variabel ID]]&lt;=$B$5</f>
        <v>0</v>
      </c>
      <c r="F1930" t="str" cm="1">
        <f t="array" ref="F1930">IF(LineærRegression_Valg[[#This Row],[Indenfor range]],INDEX(DataTitel_liste,LineærRegression_Valg[[#This Row],[Afhængig variabel ID]]),INDEX(DataTitel_liste,1))</f>
        <v>Eksempel 1 (interval)</v>
      </c>
      <c r="G1930" s="45" t="str" cm="1">
        <f t="array" ref="G1930">IF(LineærRegression_Valg[[#This Row],[Indenfor range]],IF(LineærRegression_Valg[[#This Row],[Intet overlap]],INDEX(DataTitel_liste,LineærRegression_Valg[[#This Row],[Uafhængig variabel ID]]),INDEX(DataTitel_liste,IF(LineærRegression_Valg[[#This Row],[Afhængig variabel ID]]=1,2,1))),$B$7)</f>
        <v>Eksempel 2 (interval)</v>
      </c>
      <c r="H1930" s="45">
        <f>_xlfn.AGGREGATE(2,5,LineærRegression_Valg[[#This Row],[Tabel ID]])</f>
        <v>1</v>
      </c>
    </row>
    <row r="1931" spans="1:8" x14ac:dyDescent="0.2">
      <c r="A1931">
        <f>ROW(LineærRegression_Valg[[#This Row],[Tabel ID]])-ROW(LineærRegression_Valg[[#Headers],[Tabel ID]])</f>
        <v>1921</v>
      </c>
      <c r="B1931" s="45">
        <f>ROUNDDOWN((LineærRegression_Valg[[#This Row],[Tabel ID]]-1)/$B$5,0)+1</f>
        <v>481</v>
      </c>
      <c r="C1931" s="45">
        <f t="shared" ref="C1931:C1994" si="30">MOD(A1931-1,$B$5)+1</f>
        <v>1</v>
      </c>
      <c r="D1931" s="45" t="b">
        <f>LineærRegression_Valg[[#This Row],[Afhængig variabel ID]]&lt;&gt;LineærRegression_Valg[[#This Row],[Uafhængig variabel ID]]</f>
        <v>1</v>
      </c>
      <c r="E1931" s="45" t="b">
        <f>LineærRegression_Valg[[#This Row],[Afhængig variabel ID]]&lt;=$B$5</f>
        <v>0</v>
      </c>
      <c r="F1931" t="str" cm="1">
        <f t="array" ref="F1931">IF(LineærRegression_Valg[[#This Row],[Indenfor range]],INDEX(DataTitel_liste,LineærRegression_Valg[[#This Row],[Afhængig variabel ID]]),INDEX(DataTitel_liste,1))</f>
        <v>Eksempel 1 (interval)</v>
      </c>
      <c r="G1931" s="45" t="str" cm="1">
        <f t="array" ref="G1931">IF(LineærRegression_Valg[[#This Row],[Indenfor range]],IF(LineærRegression_Valg[[#This Row],[Intet overlap]],INDEX(DataTitel_liste,LineærRegression_Valg[[#This Row],[Uafhængig variabel ID]]),INDEX(DataTitel_liste,IF(LineærRegression_Valg[[#This Row],[Afhængig variabel ID]]=1,2,1))),$B$7)</f>
        <v>Eksempel 2 (interval)</v>
      </c>
      <c r="H1931" s="45">
        <f>_xlfn.AGGREGATE(2,5,LineærRegression_Valg[[#This Row],[Tabel ID]])</f>
        <v>1</v>
      </c>
    </row>
    <row r="1932" spans="1:8" x14ac:dyDescent="0.2">
      <c r="A1932">
        <f>ROW(LineærRegression_Valg[[#This Row],[Tabel ID]])-ROW(LineærRegression_Valg[[#Headers],[Tabel ID]])</f>
        <v>1922</v>
      </c>
      <c r="B1932" s="45">
        <f>ROUNDDOWN((LineærRegression_Valg[[#This Row],[Tabel ID]]-1)/$B$5,0)+1</f>
        <v>481</v>
      </c>
      <c r="C1932" s="45">
        <f t="shared" si="30"/>
        <v>2</v>
      </c>
      <c r="D1932" s="45" t="b">
        <f>LineærRegression_Valg[[#This Row],[Afhængig variabel ID]]&lt;&gt;LineærRegression_Valg[[#This Row],[Uafhængig variabel ID]]</f>
        <v>1</v>
      </c>
      <c r="E1932" s="45" t="b">
        <f>LineærRegression_Valg[[#This Row],[Afhængig variabel ID]]&lt;=$B$5</f>
        <v>0</v>
      </c>
      <c r="F1932" t="str" cm="1">
        <f t="array" ref="F1932">IF(LineærRegression_Valg[[#This Row],[Indenfor range]],INDEX(DataTitel_liste,LineærRegression_Valg[[#This Row],[Afhængig variabel ID]]),INDEX(DataTitel_liste,1))</f>
        <v>Eksempel 1 (interval)</v>
      </c>
      <c r="G1932" s="45" t="str" cm="1">
        <f t="array" ref="G1932">IF(LineærRegression_Valg[[#This Row],[Indenfor range]],IF(LineærRegression_Valg[[#This Row],[Intet overlap]],INDEX(DataTitel_liste,LineærRegression_Valg[[#This Row],[Uafhængig variabel ID]]),INDEX(DataTitel_liste,IF(LineærRegression_Valg[[#This Row],[Afhængig variabel ID]]=1,2,1))),$B$7)</f>
        <v>Eksempel 2 (interval)</v>
      </c>
      <c r="H1932" s="45">
        <f>_xlfn.AGGREGATE(2,5,LineærRegression_Valg[[#This Row],[Tabel ID]])</f>
        <v>1</v>
      </c>
    </row>
    <row r="1933" spans="1:8" x14ac:dyDescent="0.2">
      <c r="A1933">
        <f>ROW(LineærRegression_Valg[[#This Row],[Tabel ID]])-ROW(LineærRegression_Valg[[#Headers],[Tabel ID]])</f>
        <v>1923</v>
      </c>
      <c r="B1933" s="45">
        <f>ROUNDDOWN((LineærRegression_Valg[[#This Row],[Tabel ID]]-1)/$B$5,0)+1</f>
        <v>481</v>
      </c>
      <c r="C1933" s="45">
        <f t="shared" si="30"/>
        <v>3</v>
      </c>
      <c r="D1933" s="45" t="b">
        <f>LineærRegression_Valg[[#This Row],[Afhængig variabel ID]]&lt;&gt;LineærRegression_Valg[[#This Row],[Uafhængig variabel ID]]</f>
        <v>1</v>
      </c>
      <c r="E1933" s="45" t="b">
        <f>LineærRegression_Valg[[#This Row],[Afhængig variabel ID]]&lt;=$B$5</f>
        <v>0</v>
      </c>
      <c r="F1933" t="str" cm="1">
        <f t="array" ref="F1933">IF(LineærRegression_Valg[[#This Row],[Indenfor range]],INDEX(DataTitel_liste,LineærRegression_Valg[[#This Row],[Afhængig variabel ID]]),INDEX(DataTitel_liste,1))</f>
        <v>Eksempel 1 (interval)</v>
      </c>
      <c r="G1933" s="45" t="str" cm="1">
        <f t="array" ref="G1933">IF(LineærRegression_Valg[[#This Row],[Indenfor range]],IF(LineærRegression_Valg[[#This Row],[Intet overlap]],INDEX(DataTitel_liste,LineærRegression_Valg[[#This Row],[Uafhængig variabel ID]]),INDEX(DataTitel_liste,IF(LineærRegression_Valg[[#This Row],[Afhængig variabel ID]]=1,2,1))),$B$7)</f>
        <v>Eksempel 2 (interval)</v>
      </c>
      <c r="H1933" s="45">
        <f>_xlfn.AGGREGATE(2,5,LineærRegression_Valg[[#This Row],[Tabel ID]])</f>
        <v>1</v>
      </c>
    </row>
    <row r="1934" spans="1:8" x14ac:dyDescent="0.2">
      <c r="A1934">
        <f>ROW(LineærRegression_Valg[[#This Row],[Tabel ID]])-ROW(LineærRegression_Valg[[#Headers],[Tabel ID]])</f>
        <v>1924</v>
      </c>
      <c r="B1934" s="45">
        <f>ROUNDDOWN((LineærRegression_Valg[[#This Row],[Tabel ID]]-1)/$B$5,0)+1</f>
        <v>481</v>
      </c>
      <c r="C1934" s="45">
        <f t="shared" si="30"/>
        <v>4</v>
      </c>
      <c r="D1934" s="45" t="b">
        <f>LineærRegression_Valg[[#This Row],[Afhængig variabel ID]]&lt;&gt;LineærRegression_Valg[[#This Row],[Uafhængig variabel ID]]</f>
        <v>1</v>
      </c>
      <c r="E1934" s="45" t="b">
        <f>LineærRegression_Valg[[#This Row],[Afhængig variabel ID]]&lt;=$B$5</f>
        <v>0</v>
      </c>
      <c r="F1934" t="str" cm="1">
        <f t="array" ref="F1934">IF(LineærRegression_Valg[[#This Row],[Indenfor range]],INDEX(DataTitel_liste,LineærRegression_Valg[[#This Row],[Afhængig variabel ID]]),INDEX(DataTitel_liste,1))</f>
        <v>Eksempel 1 (interval)</v>
      </c>
      <c r="G1934" s="45" t="str" cm="1">
        <f t="array" ref="G1934">IF(LineærRegression_Valg[[#This Row],[Indenfor range]],IF(LineærRegression_Valg[[#This Row],[Intet overlap]],INDEX(DataTitel_liste,LineærRegression_Valg[[#This Row],[Uafhængig variabel ID]]),INDEX(DataTitel_liste,IF(LineærRegression_Valg[[#This Row],[Afhængig variabel ID]]=1,2,1))),$B$7)</f>
        <v>Eksempel 2 (interval)</v>
      </c>
      <c r="H1934" s="45">
        <f>_xlfn.AGGREGATE(2,5,LineærRegression_Valg[[#This Row],[Tabel ID]])</f>
        <v>1</v>
      </c>
    </row>
    <row r="1935" spans="1:8" x14ac:dyDescent="0.2">
      <c r="A1935">
        <f>ROW(LineærRegression_Valg[[#This Row],[Tabel ID]])-ROW(LineærRegression_Valg[[#Headers],[Tabel ID]])</f>
        <v>1925</v>
      </c>
      <c r="B1935" s="45">
        <f>ROUNDDOWN((LineærRegression_Valg[[#This Row],[Tabel ID]]-1)/$B$5,0)+1</f>
        <v>482</v>
      </c>
      <c r="C1935" s="45">
        <f t="shared" si="30"/>
        <v>1</v>
      </c>
      <c r="D1935" s="45" t="b">
        <f>LineærRegression_Valg[[#This Row],[Afhængig variabel ID]]&lt;&gt;LineærRegression_Valg[[#This Row],[Uafhængig variabel ID]]</f>
        <v>1</v>
      </c>
      <c r="E1935" s="45" t="b">
        <f>LineærRegression_Valg[[#This Row],[Afhængig variabel ID]]&lt;=$B$5</f>
        <v>0</v>
      </c>
      <c r="F1935" t="str" cm="1">
        <f t="array" ref="F1935">IF(LineærRegression_Valg[[#This Row],[Indenfor range]],INDEX(DataTitel_liste,LineærRegression_Valg[[#This Row],[Afhængig variabel ID]]),INDEX(DataTitel_liste,1))</f>
        <v>Eksempel 1 (interval)</v>
      </c>
      <c r="G1935" s="45" t="str" cm="1">
        <f t="array" ref="G1935">IF(LineærRegression_Valg[[#This Row],[Indenfor range]],IF(LineærRegression_Valg[[#This Row],[Intet overlap]],INDEX(DataTitel_liste,LineærRegression_Valg[[#This Row],[Uafhængig variabel ID]]),INDEX(DataTitel_liste,IF(LineærRegression_Valg[[#This Row],[Afhængig variabel ID]]=1,2,1))),$B$7)</f>
        <v>Eksempel 2 (interval)</v>
      </c>
      <c r="H1935" s="45">
        <f>_xlfn.AGGREGATE(2,5,LineærRegression_Valg[[#This Row],[Tabel ID]])</f>
        <v>1</v>
      </c>
    </row>
    <row r="1936" spans="1:8" x14ac:dyDescent="0.2">
      <c r="A1936">
        <f>ROW(LineærRegression_Valg[[#This Row],[Tabel ID]])-ROW(LineærRegression_Valg[[#Headers],[Tabel ID]])</f>
        <v>1926</v>
      </c>
      <c r="B1936" s="45">
        <f>ROUNDDOWN((LineærRegression_Valg[[#This Row],[Tabel ID]]-1)/$B$5,0)+1</f>
        <v>482</v>
      </c>
      <c r="C1936" s="45">
        <f t="shared" si="30"/>
        <v>2</v>
      </c>
      <c r="D1936" s="45" t="b">
        <f>LineærRegression_Valg[[#This Row],[Afhængig variabel ID]]&lt;&gt;LineærRegression_Valg[[#This Row],[Uafhængig variabel ID]]</f>
        <v>1</v>
      </c>
      <c r="E1936" s="45" t="b">
        <f>LineærRegression_Valg[[#This Row],[Afhængig variabel ID]]&lt;=$B$5</f>
        <v>0</v>
      </c>
      <c r="F1936" t="str" cm="1">
        <f t="array" ref="F1936">IF(LineærRegression_Valg[[#This Row],[Indenfor range]],INDEX(DataTitel_liste,LineærRegression_Valg[[#This Row],[Afhængig variabel ID]]),INDEX(DataTitel_liste,1))</f>
        <v>Eksempel 1 (interval)</v>
      </c>
      <c r="G1936" s="45" t="str" cm="1">
        <f t="array" ref="G1936">IF(LineærRegression_Valg[[#This Row],[Indenfor range]],IF(LineærRegression_Valg[[#This Row],[Intet overlap]],INDEX(DataTitel_liste,LineærRegression_Valg[[#This Row],[Uafhængig variabel ID]]),INDEX(DataTitel_liste,IF(LineærRegression_Valg[[#This Row],[Afhængig variabel ID]]=1,2,1))),$B$7)</f>
        <v>Eksempel 2 (interval)</v>
      </c>
      <c r="H1936" s="45">
        <f>_xlfn.AGGREGATE(2,5,LineærRegression_Valg[[#This Row],[Tabel ID]])</f>
        <v>1</v>
      </c>
    </row>
    <row r="1937" spans="1:8" x14ac:dyDescent="0.2">
      <c r="A1937">
        <f>ROW(LineærRegression_Valg[[#This Row],[Tabel ID]])-ROW(LineærRegression_Valg[[#Headers],[Tabel ID]])</f>
        <v>1927</v>
      </c>
      <c r="B1937" s="45">
        <f>ROUNDDOWN((LineærRegression_Valg[[#This Row],[Tabel ID]]-1)/$B$5,0)+1</f>
        <v>482</v>
      </c>
      <c r="C1937" s="45">
        <f t="shared" si="30"/>
        <v>3</v>
      </c>
      <c r="D1937" s="45" t="b">
        <f>LineærRegression_Valg[[#This Row],[Afhængig variabel ID]]&lt;&gt;LineærRegression_Valg[[#This Row],[Uafhængig variabel ID]]</f>
        <v>1</v>
      </c>
      <c r="E1937" s="45" t="b">
        <f>LineærRegression_Valg[[#This Row],[Afhængig variabel ID]]&lt;=$B$5</f>
        <v>0</v>
      </c>
      <c r="F1937" t="str" cm="1">
        <f t="array" ref="F1937">IF(LineærRegression_Valg[[#This Row],[Indenfor range]],INDEX(DataTitel_liste,LineærRegression_Valg[[#This Row],[Afhængig variabel ID]]),INDEX(DataTitel_liste,1))</f>
        <v>Eksempel 1 (interval)</v>
      </c>
      <c r="G1937" s="45" t="str" cm="1">
        <f t="array" ref="G1937">IF(LineærRegression_Valg[[#This Row],[Indenfor range]],IF(LineærRegression_Valg[[#This Row],[Intet overlap]],INDEX(DataTitel_liste,LineærRegression_Valg[[#This Row],[Uafhængig variabel ID]]),INDEX(DataTitel_liste,IF(LineærRegression_Valg[[#This Row],[Afhængig variabel ID]]=1,2,1))),$B$7)</f>
        <v>Eksempel 2 (interval)</v>
      </c>
      <c r="H1937" s="45">
        <f>_xlfn.AGGREGATE(2,5,LineærRegression_Valg[[#This Row],[Tabel ID]])</f>
        <v>1</v>
      </c>
    </row>
    <row r="1938" spans="1:8" x14ac:dyDescent="0.2">
      <c r="A1938">
        <f>ROW(LineærRegression_Valg[[#This Row],[Tabel ID]])-ROW(LineærRegression_Valg[[#Headers],[Tabel ID]])</f>
        <v>1928</v>
      </c>
      <c r="B1938" s="45">
        <f>ROUNDDOWN((LineærRegression_Valg[[#This Row],[Tabel ID]]-1)/$B$5,0)+1</f>
        <v>482</v>
      </c>
      <c r="C1938" s="45">
        <f t="shared" si="30"/>
        <v>4</v>
      </c>
      <c r="D1938" s="45" t="b">
        <f>LineærRegression_Valg[[#This Row],[Afhængig variabel ID]]&lt;&gt;LineærRegression_Valg[[#This Row],[Uafhængig variabel ID]]</f>
        <v>1</v>
      </c>
      <c r="E1938" s="45" t="b">
        <f>LineærRegression_Valg[[#This Row],[Afhængig variabel ID]]&lt;=$B$5</f>
        <v>0</v>
      </c>
      <c r="F1938" t="str" cm="1">
        <f t="array" ref="F1938">IF(LineærRegression_Valg[[#This Row],[Indenfor range]],INDEX(DataTitel_liste,LineærRegression_Valg[[#This Row],[Afhængig variabel ID]]),INDEX(DataTitel_liste,1))</f>
        <v>Eksempel 1 (interval)</v>
      </c>
      <c r="G1938" s="45" t="str" cm="1">
        <f t="array" ref="G1938">IF(LineærRegression_Valg[[#This Row],[Indenfor range]],IF(LineærRegression_Valg[[#This Row],[Intet overlap]],INDEX(DataTitel_liste,LineærRegression_Valg[[#This Row],[Uafhængig variabel ID]]),INDEX(DataTitel_liste,IF(LineærRegression_Valg[[#This Row],[Afhængig variabel ID]]=1,2,1))),$B$7)</f>
        <v>Eksempel 2 (interval)</v>
      </c>
      <c r="H1938" s="45">
        <f>_xlfn.AGGREGATE(2,5,LineærRegression_Valg[[#This Row],[Tabel ID]])</f>
        <v>1</v>
      </c>
    </row>
    <row r="1939" spans="1:8" x14ac:dyDescent="0.2">
      <c r="A1939">
        <f>ROW(LineærRegression_Valg[[#This Row],[Tabel ID]])-ROW(LineærRegression_Valg[[#Headers],[Tabel ID]])</f>
        <v>1929</v>
      </c>
      <c r="B1939" s="45">
        <f>ROUNDDOWN((LineærRegression_Valg[[#This Row],[Tabel ID]]-1)/$B$5,0)+1</f>
        <v>483</v>
      </c>
      <c r="C1939" s="45">
        <f t="shared" si="30"/>
        <v>1</v>
      </c>
      <c r="D1939" s="45" t="b">
        <f>LineærRegression_Valg[[#This Row],[Afhængig variabel ID]]&lt;&gt;LineærRegression_Valg[[#This Row],[Uafhængig variabel ID]]</f>
        <v>1</v>
      </c>
      <c r="E1939" s="45" t="b">
        <f>LineærRegression_Valg[[#This Row],[Afhængig variabel ID]]&lt;=$B$5</f>
        <v>0</v>
      </c>
      <c r="F1939" t="str" cm="1">
        <f t="array" ref="F1939">IF(LineærRegression_Valg[[#This Row],[Indenfor range]],INDEX(DataTitel_liste,LineærRegression_Valg[[#This Row],[Afhængig variabel ID]]),INDEX(DataTitel_liste,1))</f>
        <v>Eksempel 1 (interval)</v>
      </c>
      <c r="G1939" s="45" t="str" cm="1">
        <f t="array" ref="G1939">IF(LineærRegression_Valg[[#This Row],[Indenfor range]],IF(LineærRegression_Valg[[#This Row],[Intet overlap]],INDEX(DataTitel_liste,LineærRegression_Valg[[#This Row],[Uafhængig variabel ID]]),INDEX(DataTitel_liste,IF(LineærRegression_Valg[[#This Row],[Afhængig variabel ID]]=1,2,1))),$B$7)</f>
        <v>Eksempel 2 (interval)</v>
      </c>
      <c r="H1939" s="45">
        <f>_xlfn.AGGREGATE(2,5,LineærRegression_Valg[[#This Row],[Tabel ID]])</f>
        <v>1</v>
      </c>
    </row>
    <row r="1940" spans="1:8" x14ac:dyDescent="0.2">
      <c r="A1940">
        <f>ROW(LineærRegression_Valg[[#This Row],[Tabel ID]])-ROW(LineærRegression_Valg[[#Headers],[Tabel ID]])</f>
        <v>1930</v>
      </c>
      <c r="B1940" s="45">
        <f>ROUNDDOWN((LineærRegression_Valg[[#This Row],[Tabel ID]]-1)/$B$5,0)+1</f>
        <v>483</v>
      </c>
      <c r="C1940" s="45">
        <f t="shared" si="30"/>
        <v>2</v>
      </c>
      <c r="D1940" s="45" t="b">
        <f>LineærRegression_Valg[[#This Row],[Afhængig variabel ID]]&lt;&gt;LineærRegression_Valg[[#This Row],[Uafhængig variabel ID]]</f>
        <v>1</v>
      </c>
      <c r="E1940" s="45" t="b">
        <f>LineærRegression_Valg[[#This Row],[Afhængig variabel ID]]&lt;=$B$5</f>
        <v>0</v>
      </c>
      <c r="F1940" t="str" cm="1">
        <f t="array" ref="F1940">IF(LineærRegression_Valg[[#This Row],[Indenfor range]],INDEX(DataTitel_liste,LineærRegression_Valg[[#This Row],[Afhængig variabel ID]]),INDEX(DataTitel_liste,1))</f>
        <v>Eksempel 1 (interval)</v>
      </c>
      <c r="G1940" s="45" t="str" cm="1">
        <f t="array" ref="G1940">IF(LineærRegression_Valg[[#This Row],[Indenfor range]],IF(LineærRegression_Valg[[#This Row],[Intet overlap]],INDEX(DataTitel_liste,LineærRegression_Valg[[#This Row],[Uafhængig variabel ID]]),INDEX(DataTitel_liste,IF(LineærRegression_Valg[[#This Row],[Afhængig variabel ID]]=1,2,1))),$B$7)</f>
        <v>Eksempel 2 (interval)</v>
      </c>
      <c r="H1940" s="45">
        <f>_xlfn.AGGREGATE(2,5,LineærRegression_Valg[[#This Row],[Tabel ID]])</f>
        <v>1</v>
      </c>
    </row>
    <row r="1941" spans="1:8" x14ac:dyDescent="0.2">
      <c r="A1941">
        <f>ROW(LineærRegression_Valg[[#This Row],[Tabel ID]])-ROW(LineærRegression_Valg[[#Headers],[Tabel ID]])</f>
        <v>1931</v>
      </c>
      <c r="B1941" s="45">
        <f>ROUNDDOWN((LineærRegression_Valg[[#This Row],[Tabel ID]]-1)/$B$5,0)+1</f>
        <v>483</v>
      </c>
      <c r="C1941" s="45">
        <f t="shared" si="30"/>
        <v>3</v>
      </c>
      <c r="D1941" s="45" t="b">
        <f>LineærRegression_Valg[[#This Row],[Afhængig variabel ID]]&lt;&gt;LineærRegression_Valg[[#This Row],[Uafhængig variabel ID]]</f>
        <v>1</v>
      </c>
      <c r="E1941" s="45" t="b">
        <f>LineærRegression_Valg[[#This Row],[Afhængig variabel ID]]&lt;=$B$5</f>
        <v>0</v>
      </c>
      <c r="F1941" t="str" cm="1">
        <f t="array" ref="F1941">IF(LineærRegression_Valg[[#This Row],[Indenfor range]],INDEX(DataTitel_liste,LineærRegression_Valg[[#This Row],[Afhængig variabel ID]]),INDEX(DataTitel_liste,1))</f>
        <v>Eksempel 1 (interval)</v>
      </c>
      <c r="G1941" s="45" t="str" cm="1">
        <f t="array" ref="G1941">IF(LineærRegression_Valg[[#This Row],[Indenfor range]],IF(LineærRegression_Valg[[#This Row],[Intet overlap]],INDEX(DataTitel_liste,LineærRegression_Valg[[#This Row],[Uafhængig variabel ID]]),INDEX(DataTitel_liste,IF(LineærRegression_Valg[[#This Row],[Afhængig variabel ID]]=1,2,1))),$B$7)</f>
        <v>Eksempel 2 (interval)</v>
      </c>
      <c r="H1941" s="45">
        <f>_xlfn.AGGREGATE(2,5,LineærRegression_Valg[[#This Row],[Tabel ID]])</f>
        <v>1</v>
      </c>
    </row>
    <row r="1942" spans="1:8" x14ac:dyDescent="0.2">
      <c r="A1942">
        <f>ROW(LineærRegression_Valg[[#This Row],[Tabel ID]])-ROW(LineærRegression_Valg[[#Headers],[Tabel ID]])</f>
        <v>1932</v>
      </c>
      <c r="B1942" s="45">
        <f>ROUNDDOWN((LineærRegression_Valg[[#This Row],[Tabel ID]]-1)/$B$5,0)+1</f>
        <v>483</v>
      </c>
      <c r="C1942" s="45">
        <f t="shared" si="30"/>
        <v>4</v>
      </c>
      <c r="D1942" s="45" t="b">
        <f>LineærRegression_Valg[[#This Row],[Afhængig variabel ID]]&lt;&gt;LineærRegression_Valg[[#This Row],[Uafhængig variabel ID]]</f>
        <v>1</v>
      </c>
      <c r="E1942" s="45" t="b">
        <f>LineærRegression_Valg[[#This Row],[Afhængig variabel ID]]&lt;=$B$5</f>
        <v>0</v>
      </c>
      <c r="F1942" t="str" cm="1">
        <f t="array" ref="F1942">IF(LineærRegression_Valg[[#This Row],[Indenfor range]],INDEX(DataTitel_liste,LineærRegression_Valg[[#This Row],[Afhængig variabel ID]]),INDEX(DataTitel_liste,1))</f>
        <v>Eksempel 1 (interval)</v>
      </c>
      <c r="G1942" s="45" t="str" cm="1">
        <f t="array" ref="G1942">IF(LineærRegression_Valg[[#This Row],[Indenfor range]],IF(LineærRegression_Valg[[#This Row],[Intet overlap]],INDEX(DataTitel_liste,LineærRegression_Valg[[#This Row],[Uafhængig variabel ID]]),INDEX(DataTitel_liste,IF(LineærRegression_Valg[[#This Row],[Afhængig variabel ID]]=1,2,1))),$B$7)</f>
        <v>Eksempel 2 (interval)</v>
      </c>
      <c r="H1942" s="45">
        <f>_xlfn.AGGREGATE(2,5,LineærRegression_Valg[[#This Row],[Tabel ID]])</f>
        <v>1</v>
      </c>
    </row>
    <row r="1943" spans="1:8" x14ac:dyDescent="0.2">
      <c r="A1943">
        <f>ROW(LineærRegression_Valg[[#This Row],[Tabel ID]])-ROW(LineærRegression_Valg[[#Headers],[Tabel ID]])</f>
        <v>1933</v>
      </c>
      <c r="B1943" s="45">
        <f>ROUNDDOWN((LineærRegression_Valg[[#This Row],[Tabel ID]]-1)/$B$5,0)+1</f>
        <v>484</v>
      </c>
      <c r="C1943" s="45">
        <f t="shared" si="30"/>
        <v>1</v>
      </c>
      <c r="D1943" s="45" t="b">
        <f>LineærRegression_Valg[[#This Row],[Afhængig variabel ID]]&lt;&gt;LineærRegression_Valg[[#This Row],[Uafhængig variabel ID]]</f>
        <v>1</v>
      </c>
      <c r="E1943" s="45" t="b">
        <f>LineærRegression_Valg[[#This Row],[Afhængig variabel ID]]&lt;=$B$5</f>
        <v>0</v>
      </c>
      <c r="F1943" t="str" cm="1">
        <f t="array" ref="F1943">IF(LineærRegression_Valg[[#This Row],[Indenfor range]],INDEX(DataTitel_liste,LineærRegression_Valg[[#This Row],[Afhængig variabel ID]]),INDEX(DataTitel_liste,1))</f>
        <v>Eksempel 1 (interval)</v>
      </c>
      <c r="G1943" s="45" t="str" cm="1">
        <f t="array" ref="G1943">IF(LineærRegression_Valg[[#This Row],[Indenfor range]],IF(LineærRegression_Valg[[#This Row],[Intet overlap]],INDEX(DataTitel_liste,LineærRegression_Valg[[#This Row],[Uafhængig variabel ID]]),INDEX(DataTitel_liste,IF(LineærRegression_Valg[[#This Row],[Afhængig variabel ID]]=1,2,1))),$B$7)</f>
        <v>Eksempel 2 (interval)</v>
      </c>
      <c r="H1943" s="45">
        <f>_xlfn.AGGREGATE(2,5,LineærRegression_Valg[[#This Row],[Tabel ID]])</f>
        <v>1</v>
      </c>
    </row>
    <row r="1944" spans="1:8" x14ac:dyDescent="0.2">
      <c r="A1944">
        <f>ROW(LineærRegression_Valg[[#This Row],[Tabel ID]])-ROW(LineærRegression_Valg[[#Headers],[Tabel ID]])</f>
        <v>1934</v>
      </c>
      <c r="B1944" s="45">
        <f>ROUNDDOWN((LineærRegression_Valg[[#This Row],[Tabel ID]]-1)/$B$5,0)+1</f>
        <v>484</v>
      </c>
      <c r="C1944" s="45">
        <f t="shared" si="30"/>
        <v>2</v>
      </c>
      <c r="D1944" s="45" t="b">
        <f>LineærRegression_Valg[[#This Row],[Afhængig variabel ID]]&lt;&gt;LineærRegression_Valg[[#This Row],[Uafhængig variabel ID]]</f>
        <v>1</v>
      </c>
      <c r="E1944" s="45" t="b">
        <f>LineærRegression_Valg[[#This Row],[Afhængig variabel ID]]&lt;=$B$5</f>
        <v>0</v>
      </c>
      <c r="F1944" t="str" cm="1">
        <f t="array" ref="F1944">IF(LineærRegression_Valg[[#This Row],[Indenfor range]],INDEX(DataTitel_liste,LineærRegression_Valg[[#This Row],[Afhængig variabel ID]]),INDEX(DataTitel_liste,1))</f>
        <v>Eksempel 1 (interval)</v>
      </c>
      <c r="G1944" s="45" t="str" cm="1">
        <f t="array" ref="G1944">IF(LineærRegression_Valg[[#This Row],[Indenfor range]],IF(LineærRegression_Valg[[#This Row],[Intet overlap]],INDEX(DataTitel_liste,LineærRegression_Valg[[#This Row],[Uafhængig variabel ID]]),INDEX(DataTitel_liste,IF(LineærRegression_Valg[[#This Row],[Afhængig variabel ID]]=1,2,1))),$B$7)</f>
        <v>Eksempel 2 (interval)</v>
      </c>
      <c r="H1944" s="45">
        <f>_xlfn.AGGREGATE(2,5,LineærRegression_Valg[[#This Row],[Tabel ID]])</f>
        <v>1</v>
      </c>
    </row>
    <row r="1945" spans="1:8" x14ac:dyDescent="0.2">
      <c r="A1945">
        <f>ROW(LineærRegression_Valg[[#This Row],[Tabel ID]])-ROW(LineærRegression_Valg[[#Headers],[Tabel ID]])</f>
        <v>1935</v>
      </c>
      <c r="B1945" s="45">
        <f>ROUNDDOWN((LineærRegression_Valg[[#This Row],[Tabel ID]]-1)/$B$5,0)+1</f>
        <v>484</v>
      </c>
      <c r="C1945" s="45">
        <f t="shared" si="30"/>
        <v>3</v>
      </c>
      <c r="D1945" s="45" t="b">
        <f>LineærRegression_Valg[[#This Row],[Afhængig variabel ID]]&lt;&gt;LineærRegression_Valg[[#This Row],[Uafhængig variabel ID]]</f>
        <v>1</v>
      </c>
      <c r="E1945" s="45" t="b">
        <f>LineærRegression_Valg[[#This Row],[Afhængig variabel ID]]&lt;=$B$5</f>
        <v>0</v>
      </c>
      <c r="F1945" t="str" cm="1">
        <f t="array" ref="F1945">IF(LineærRegression_Valg[[#This Row],[Indenfor range]],INDEX(DataTitel_liste,LineærRegression_Valg[[#This Row],[Afhængig variabel ID]]),INDEX(DataTitel_liste,1))</f>
        <v>Eksempel 1 (interval)</v>
      </c>
      <c r="G1945" s="45" t="str" cm="1">
        <f t="array" ref="G1945">IF(LineærRegression_Valg[[#This Row],[Indenfor range]],IF(LineærRegression_Valg[[#This Row],[Intet overlap]],INDEX(DataTitel_liste,LineærRegression_Valg[[#This Row],[Uafhængig variabel ID]]),INDEX(DataTitel_liste,IF(LineærRegression_Valg[[#This Row],[Afhængig variabel ID]]=1,2,1))),$B$7)</f>
        <v>Eksempel 2 (interval)</v>
      </c>
      <c r="H1945" s="45">
        <f>_xlfn.AGGREGATE(2,5,LineærRegression_Valg[[#This Row],[Tabel ID]])</f>
        <v>1</v>
      </c>
    </row>
    <row r="1946" spans="1:8" x14ac:dyDescent="0.2">
      <c r="A1946">
        <f>ROW(LineærRegression_Valg[[#This Row],[Tabel ID]])-ROW(LineærRegression_Valg[[#Headers],[Tabel ID]])</f>
        <v>1936</v>
      </c>
      <c r="B1946" s="45">
        <f>ROUNDDOWN((LineærRegression_Valg[[#This Row],[Tabel ID]]-1)/$B$5,0)+1</f>
        <v>484</v>
      </c>
      <c r="C1946" s="45">
        <f t="shared" si="30"/>
        <v>4</v>
      </c>
      <c r="D1946" s="45" t="b">
        <f>LineærRegression_Valg[[#This Row],[Afhængig variabel ID]]&lt;&gt;LineærRegression_Valg[[#This Row],[Uafhængig variabel ID]]</f>
        <v>1</v>
      </c>
      <c r="E1946" s="45" t="b">
        <f>LineærRegression_Valg[[#This Row],[Afhængig variabel ID]]&lt;=$B$5</f>
        <v>0</v>
      </c>
      <c r="F1946" t="str" cm="1">
        <f t="array" ref="F1946">IF(LineærRegression_Valg[[#This Row],[Indenfor range]],INDEX(DataTitel_liste,LineærRegression_Valg[[#This Row],[Afhængig variabel ID]]),INDEX(DataTitel_liste,1))</f>
        <v>Eksempel 1 (interval)</v>
      </c>
      <c r="G1946" s="45" t="str" cm="1">
        <f t="array" ref="G1946">IF(LineærRegression_Valg[[#This Row],[Indenfor range]],IF(LineærRegression_Valg[[#This Row],[Intet overlap]],INDEX(DataTitel_liste,LineærRegression_Valg[[#This Row],[Uafhængig variabel ID]]),INDEX(DataTitel_liste,IF(LineærRegression_Valg[[#This Row],[Afhængig variabel ID]]=1,2,1))),$B$7)</f>
        <v>Eksempel 2 (interval)</v>
      </c>
      <c r="H1946" s="45">
        <f>_xlfn.AGGREGATE(2,5,LineærRegression_Valg[[#This Row],[Tabel ID]])</f>
        <v>1</v>
      </c>
    </row>
    <row r="1947" spans="1:8" x14ac:dyDescent="0.2">
      <c r="A1947">
        <f>ROW(LineærRegression_Valg[[#This Row],[Tabel ID]])-ROW(LineærRegression_Valg[[#Headers],[Tabel ID]])</f>
        <v>1937</v>
      </c>
      <c r="B1947" s="45">
        <f>ROUNDDOWN((LineærRegression_Valg[[#This Row],[Tabel ID]]-1)/$B$5,0)+1</f>
        <v>485</v>
      </c>
      <c r="C1947" s="45">
        <f t="shared" si="30"/>
        <v>1</v>
      </c>
      <c r="D1947" s="45" t="b">
        <f>LineærRegression_Valg[[#This Row],[Afhængig variabel ID]]&lt;&gt;LineærRegression_Valg[[#This Row],[Uafhængig variabel ID]]</f>
        <v>1</v>
      </c>
      <c r="E1947" s="45" t="b">
        <f>LineærRegression_Valg[[#This Row],[Afhængig variabel ID]]&lt;=$B$5</f>
        <v>0</v>
      </c>
      <c r="F1947" t="str" cm="1">
        <f t="array" ref="F1947">IF(LineærRegression_Valg[[#This Row],[Indenfor range]],INDEX(DataTitel_liste,LineærRegression_Valg[[#This Row],[Afhængig variabel ID]]),INDEX(DataTitel_liste,1))</f>
        <v>Eksempel 1 (interval)</v>
      </c>
      <c r="G1947" s="45" t="str" cm="1">
        <f t="array" ref="G1947">IF(LineærRegression_Valg[[#This Row],[Indenfor range]],IF(LineærRegression_Valg[[#This Row],[Intet overlap]],INDEX(DataTitel_liste,LineærRegression_Valg[[#This Row],[Uafhængig variabel ID]]),INDEX(DataTitel_liste,IF(LineærRegression_Valg[[#This Row],[Afhængig variabel ID]]=1,2,1))),$B$7)</f>
        <v>Eksempel 2 (interval)</v>
      </c>
      <c r="H1947" s="45">
        <f>_xlfn.AGGREGATE(2,5,LineærRegression_Valg[[#This Row],[Tabel ID]])</f>
        <v>1</v>
      </c>
    </row>
    <row r="1948" spans="1:8" x14ac:dyDescent="0.2">
      <c r="A1948">
        <f>ROW(LineærRegression_Valg[[#This Row],[Tabel ID]])-ROW(LineærRegression_Valg[[#Headers],[Tabel ID]])</f>
        <v>1938</v>
      </c>
      <c r="B1948" s="45">
        <f>ROUNDDOWN((LineærRegression_Valg[[#This Row],[Tabel ID]]-1)/$B$5,0)+1</f>
        <v>485</v>
      </c>
      <c r="C1948" s="45">
        <f t="shared" si="30"/>
        <v>2</v>
      </c>
      <c r="D1948" s="45" t="b">
        <f>LineærRegression_Valg[[#This Row],[Afhængig variabel ID]]&lt;&gt;LineærRegression_Valg[[#This Row],[Uafhængig variabel ID]]</f>
        <v>1</v>
      </c>
      <c r="E1948" s="45" t="b">
        <f>LineærRegression_Valg[[#This Row],[Afhængig variabel ID]]&lt;=$B$5</f>
        <v>0</v>
      </c>
      <c r="F1948" t="str" cm="1">
        <f t="array" ref="F1948">IF(LineærRegression_Valg[[#This Row],[Indenfor range]],INDEX(DataTitel_liste,LineærRegression_Valg[[#This Row],[Afhængig variabel ID]]),INDEX(DataTitel_liste,1))</f>
        <v>Eksempel 1 (interval)</v>
      </c>
      <c r="G1948" s="45" t="str" cm="1">
        <f t="array" ref="G1948">IF(LineærRegression_Valg[[#This Row],[Indenfor range]],IF(LineærRegression_Valg[[#This Row],[Intet overlap]],INDEX(DataTitel_liste,LineærRegression_Valg[[#This Row],[Uafhængig variabel ID]]),INDEX(DataTitel_liste,IF(LineærRegression_Valg[[#This Row],[Afhængig variabel ID]]=1,2,1))),$B$7)</f>
        <v>Eksempel 2 (interval)</v>
      </c>
      <c r="H1948" s="45">
        <f>_xlfn.AGGREGATE(2,5,LineærRegression_Valg[[#This Row],[Tabel ID]])</f>
        <v>1</v>
      </c>
    </row>
    <row r="1949" spans="1:8" x14ac:dyDescent="0.2">
      <c r="A1949">
        <f>ROW(LineærRegression_Valg[[#This Row],[Tabel ID]])-ROW(LineærRegression_Valg[[#Headers],[Tabel ID]])</f>
        <v>1939</v>
      </c>
      <c r="B1949" s="45">
        <f>ROUNDDOWN((LineærRegression_Valg[[#This Row],[Tabel ID]]-1)/$B$5,0)+1</f>
        <v>485</v>
      </c>
      <c r="C1949" s="45">
        <f t="shared" si="30"/>
        <v>3</v>
      </c>
      <c r="D1949" s="45" t="b">
        <f>LineærRegression_Valg[[#This Row],[Afhængig variabel ID]]&lt;&gt;LineærRegression_Valg[[#This Row],[Uafhængig variabel ID]]</f>
        <v>1</v>
      </c>
      <c r="E1949" s="45" t="b">
        <f>LineærRegression_Valg[[#This Row],[Afhængig variabel ID]]&lt;=$B$5</f>
        <v>0</v>
      </c>
      <c r="F1949" t="str" cm="1">
        <f t="array" ref="F1949">IF(LineærRegression_Valg[[#This Row],[Indenfor range]],INDEX(DataTitel_liste,LineærRegression_Valg[[#This Row],[Afhængig variabel ID]]),INDEX(DataTitel_liste,1))</f>
        <v>Eksempel 1 (interval)</v>
      </c>
      <c r="G1949" s="45" t="str" cm="1">
        <f t="array" ref="G1949">IF(LineærRegression_Valg[[#This Row],[Indenfor range]],IF(LineærRegression_Valg[[#This Row],[Intet overlap]],INDEX(DataTitel_liste,LineærRegression_Valg[[#This Row],[Uafhængig variabel ID]]),INDEX(DataTitel_liste,IF(LineærRegression_Valg[[#This Row],[Afhængig variabel ID]]=1,2,1))),$B$7)</f>
        <v>Eksempel 2 (interval)</v>
      </c>
      <c r="H1949" s="45">
        <f>_xlfn.AGGREGATE(2,5,LineærRegression_Valg[[#This Row],[Tabel ID]])</f>
        <v>1</v>
      </c>
    </row>
    <row r="1950" spans="1:8" x14ac:dyDescent="0.2">
      <c r="A1950">
        <f>ROW(LineærRegression_Valg[[#This Row],[Tabel ID]])-ROW(LineærRegression_Valg[[#Headers],[Tabel ID]])</f>
        <v>1940</v>
      </c>
      <c r="B1950" s="45">
        <f>ROUNDDOWN((LineærRegression_Valg[[#This Row],[Tabel ID]]-1)/$B$5,0)+1</f>
        <v>485</v>
      </c>
      <c r="C1950" s="45">
        <f t="shared" si="30"/>
        <v>4</v>
      </c>
      <c r="D1950" s="45" t="b">
        <f>LineærRegression_Valg[[#This Row],[Afhængig variabel ID]]&lt;&gt;LineærRegression_Valg[[#This Row],[Uafhængig variabel ID]]</f>
        <v>1</v>
      </c>
      <c r="E1950" s="45" t="b">
        <f>LineærRegression_Valg[[#This Row],[Afhængig variabel ID]]&lt;=$B$5</f>
        <v>0</v>
      </c>
      <c r="F1950" t="str" cm="1">
        <f t="array" ref="F1950">IF(LineærRegression_Valg[[#This Row],[Indenfor range]],INDEX(DataTitel_liste,LineærRegression_Valg[[#This Row],[Afhængig variabel ID]]),INDEX(DataTitel_liste,1))</f>
        <v>Eksempel 1 (interval)</v>
      </c>
      <c r="G1950" s="45" t="str" cm="1">
        <f t="array" ref="G1950">IF(LineærRegression_Valg[[#This Row],[Indenfor range]],IF(LineærRegression_Valg[[#This Row],[Intet overlap]],INDEX(DataTitel_liste,LineærRegression_Valg[[#This Row],[Uafhængig variabel ID]]),INDEX(DataTitel_liste,IF(LineærRegression_Valg[[#This Row],[Afhængig variabel ID]]=1,2,1))),$B$7)</f>
        <v>Eksempel 2 (interval)</v>
      </c>
      <c r="H1950" s="45">
        <f>_xlfn.AGGREGATE(2,5,LineærRegression_Valg[[#This Row],[Tabel ID]])</f>
        <v>1</v>
      </c>
    </row>
    <row r="1951" spans="1:8" x14ac:dyDescent="0.2">
      <c r="A1951">
        <f>ROW(LineærRegression_Valg[[#This Row],[Tabel ID]])-ROW(LineærRegression_Valg[[#Headers],[Tabel ID]])</f>
        <v>1941</v>
      </c>
      <c r="B1951" s="45">
        <f>ROUNDDOWN((LineærRegression_Valg[[#This Row],[Tabel ID]]-1)/$B$5,0)+1</f>
        <v>486</v>
      </c>
      <c r="C1951" s="45">
        <f t="shared" si="30"/>
        <v>1</v>
      </c>
      <c r="D1951" s="45" t="b">
        <f>LineærRegression_Valg[[#This Row],[Afhængig variabel ID]]&lt;&gt;LineærRegression_Valg[[#This Row],[Uafhængig variabel ID]]</f>
        <v>1</v>
      </c>
      <c r="E1951" s="45" t="b">
        <f>LineærRegression_Valg[[#This Row],[Afhængig variabel ID]]&lt;=$B$5</f>
        <v>0</v>
      </c>
      <c r="F1951" t="str" cm="1">
        <f t="array" ref="F1951">IF(LineærRegression_Valg[[#This Row],[Indenfor range]],INDEX(DataTitel_liste,LineærRegression_Valg[[#This Row],[Afhængig variabel ID]]),INDEX(DataTitel_liste,1))</f>
        <v>Eksempel 1 (interval)</v>
      </c>
      <c r="G1951" s="45" t="str" cm="1">
        <f t="array" ref="G1951">IF(LineærRegression_Valg[[#This Row],[Indenfor range]],IF(LineærRegression_Valg[[#This Row],[Intet overlap]],INDEX(DataTitel_liste,LineærRegression_Valg[[#This Row],[Uafhængig variabel ID]]),INDEX(DataTitel_liste,IF(LineærRegression_Valg[[#This Row],[Afhængig variabel ID]]=1,2,1))),$B$7)</f>
        <v>Eksempel 2 (interval)</v>
      </c>
      <c r="H1951" s="45">
        <f>_xlfn.AGGREGATE(2,5,LineærRegression_Valg[[#This Row],[Tabel ID]])</f>
        <v>1</v>
      </c>
    </row>
    <row r="1952" spans="1:8" x14ac:dyDescent="0.2">
      <c r="A1952">
        <f>ROW(LineærRegression_Valg[[#This Row],[Tabel ID]])-ROW(LineærRegression_Valg[[#Headers],[Tabel ID]])</f>
        <v>1942</v>
      </c>
      <c r="B1952" s="45">
        <f>ROUNDDOWN((LineærRegression_Valg[[#This Row],[Tabel ID]]-1)/$B$5,0)+1</f>
        <v>486</v>
      </c>
      <c r="C1952" s="45">
        <f t="shared" si="30"/>
        <v>2</v>
      </c>
      <c r="D1952" s="45" t="b">
        <f>LineærRegression_Valg[[#This Row],[Afhængig variabel ID]]&lt;&gt;LineærRegression_Valg[[#This Row],[Uafhængig variabel ID]]</f>
        <v>1</v>
      </c>
      <c r="E1952" s="45" t="b">
        <f>LineærRegression_Valg[[#This Row],[Afhængig variabel ID]]&lt;=$B$5</f>
        <v>0</v>
      </c>
      <c r="F1952" t="str" cm="1">
        <f t="array" ref="F1952">IF(LineærRegression_Valg[[#This Row],[Indenfor range]],INDEX(DataTitel_liste,LineærRegression_Valg[[#This Row],[Afhængig variabel ID]]),INDEX(DataTitel_liste,1))</f>
        <v>Eksempel 1 (interval)</v>
      </c>
      <c r="G1952" s="45" t="str" cm="1">
        <f t="array" ref="G1952">IF(LineærRegression_Valg[[#This Row],[Indenfor range]],IF(LineærRegression_Valg[[#This Row],[Intet overlap]],INDEX(DataTitel_liste,LineærRegression_Valg[[#This Row],[Uafhængig variabel ID]]),INDEX(DataTitel_liste,IF(LineærRegression_Valg[[#This Row],[Afhængig variabel ID]]=1,2,1))),$B$7)</f>
        <v>Eksempel 2 (interval)</v>
      </c>
      <c r="H1952" s="45">
        <f>_xlfn.AGGREGATE(2,5,LineærRegression_Valg[[#This Row],[Tabel ID]])</f>
        <v>1</v>
      </c>
    </row>
    <row r="1953" spans="1:8" x14ac:dyDescent="0.2">
      <c r="A1953">
        <f>ROW(LineærRegression_Valg[[#This Row],[Tabel ID]])-ROW(LineærRegression_Valg[[#Headers],[Tabel ID]])</f>
        <v>1943</v>
      </c>
      <c r="B1953" s="45">
        <f>ROUNDDOWN((LineærRegression_Valg[[#This Row],[Tabel ID]]-1)/$B$5,0)+1</f>
        <v>486</v>
      </c>
      <c r="C1953" s="45">
        <f t="shared" si="30"/>
        <v>3</v>
      </c>
      <c r="D1953" s="45" t="b">
        <f>LineærRegression_Valg[[#This Row],[Afhængig variabel ID]]&lt;&gt;LineærRegression_Valg[[#This Row],[Uafhængig variabel ID]]</f>
        <v>1</v>
      </c>
      <c r="E1953" s="45" t="b">
        <f>LineærRegression_Valg[[#This Row],[Afhængig variabel ID]]&lt;=$B$5</f>
        <v>0</v>
      </c>
      <c r="F1953" t="str" cm="1">
        <f t="array" ref="F1953">IF(LineærRegression_Valg[[#This Row],[Indenfor range]],INDEX(DataTitel_liste,LineærRegression_Valg[[#This Row],[Afhængig variabel ID]]),INDEX(DataTitel_liste,1))</f>
        <v>Eksempel 1 (interval)</v>
      </c>
      <c r="G1953" s="45" t="str" cm="1">
        <f t="array" ref="G1953">IF(LineærRegression_Valg[[#This Row],[Indenfor range]],IF(LineærRegression_Valg[[#This Row],[Intet overlap]],INDEX(DataTitel_liste,LineærRegression_Valg[[#This Row],[Uafhængig variabel ID]]),INDEX(DataTitel_liste,IF(LineærRegression_Valg[[#This Row],[Afhængig variabel ID]]=1,2,1))),$B$7)</f>
        <v>Eksempel 2 (interval)</v>
      </c>
      <c r="H1953" s="45">
        <f>_xlfn.AGGREGATE(2,5,LineærRegression_Valg[[#This Row],[Tabel ID]])</f>
        <v>1</v>
      </c>
    </row>
    <row r="1954" spans="1:8" x14ac:dyDescent="0.2">
      <c r="A1954">
        <f>ROW(LineærRegression_Valg[[#This Row],[Tabel ID]])-ROW(LineærRegression_Valg[[#Headers],[Tabel ID]])</f>
        <v>1944</v>
      </c>
      <c r="B1954" s="45">
        <f>ROUNDDOWN((LineærRegression_Valg[[#This Row],[Tabel ID]]-1)/$B$5,0)+1</f>
        <v>486</v>
      </c>
      <c r="C1954" s="45">
        <f t="shared" si="30"/>
        <v>4</v>
      </c>
      <c r="D1954" s="45" t="b">
        <f>LineærRegression_Valg[[#This Row],[Afhængig variabel ID]]&lt;&gt;LineærRegression_Valg[[#This Row],[Uafhængig variabel ID]]</f>
        <v>1</v>
      </c>
      <c r="E1954" s="45" t="b">
        <f>LineærRegression_Valg[[#This Row],[Afhængig variabel ID]]&lt;=$B$5</f>
        <v>0</v>
      </c>
      <c r="F1954" t="str" cm="1">
        <f t="array" ref="F1954">IF(LineærRegression_Valg[[#This Row],[Indenfor range]],INDEX(DataTitel_liste,LineærRegression_Valg[[#This Row],[Afhængig variabel ID]]),INDEX(DataTitel_liste,1))</f>
        <v>Eksempel 1 (interval)</v>
      </c>
      <c r="G1954" s="45" t="str" cm="1">
        <f t="array" ref="G1954">IF(LineærRegression_Valg[[#This Row],[Indenfor range]],IF(LineærRegression_Valg[[#This Row],[Intet overlap]],INDEX(DataTitel_liste,LineærRegression_Valg[[#This Row],[Uafhængig variabel ID]]),INDEX(DataTitel_liste,IF(LineærRegression_Valg[[#This Row],[Afhængig variabel ID]]=1,2,1))),$B$7)</f>
        <v>Eksempel 2 (interval)</v>
      </c>
      <c r="H1954" s="45">
        <f>_xlfn.AGGREGATE(2,5,LineærRegression_Valg[[#This Row],[Tabel ID]])</f>
        <v>1</v>
      </c>
    </row>
    <row r="1955" spans="1:8" x14ac:dyDescent="0.2">
      <c r="A1955">
        <f>ROW(LineærRegression_Valg[[#This Row],[Tabel ID]])-ROW(LineærRegression_Valg[[#Headers],[Tabel ID]])</f>
        <v>1945</v>
      </c>
      <c r="B1955" s="45">
        <f>ROUNDDOWN((LineærRegression_Valg[[#This Row],[Tabel ID]]-1)/$B$5,0)+1</f>
        <v>487</v>
      </c>
      <c r="C1955" s="45">
        <f t="shared" si="30"/>
        <v>1</v>
      </c>
      <c r="D1955" s="45" t="b">
        <f>LineærRegression_Valg[[#This Row],[Afhængig variabel ID]]&lt;&gt;LineærRegression_Valg[[#This Row],[Uafhængig variabel ID]]</f>
        <v>1</v>
      </c>
      <c r="E1955" s="45" t="b">
        <f>LineærRegression_Valg[[#This Row],[Afhængig variabel ID]]&lt;=$B$5</f>
        <v>0</v>
      </c>
      <c r="F1955" t="str" cm="1">
        <f t="array" ref="F1955">IF(LineærRegression_Valg[[#This Row],[Indenfor range]],INDEX(DataTitel_liste,LineærRegression_Valg[[#This Row],[Afhængig variabel ID]]),INDEX(DataTitel_liste,1))</f>
        <v>Eksempel 1 (interval)</v>
      </c>
      <c r="G1955" s="45" t="str" cm="1">
        <f t="array" ref="G1955">IF(LineærRegression_Valg[[#This Row],[Indenfor range]],IF(LineærRegression_Valg[[#This Row],[Intet overlap]],INDEX(DataTitel_liste,LineærRegression_Valg[[#This Row],[Uafhængig variabel ID]]),INDEX(DataTitel_liste,IF(LineærRegression_Valg[[#This Row],[Afhængig variabel ID]]=1,2,1))),$B$7)</f>
        <v>Eksempel 2 (interval)</v>
      </c>
      <c r="H1955" s="45">
        <f>_xlfn.AGGREGATE(2,5,LineærRegression_Valg[[#This Row],[Tabel ID]])</f>
        <v>1</v>
      </c>
    </row>
    <row r="1956" spans="1:8" x14ac:dyDescent="0.2">
      <c r="A1956">
        <f>ROW(LineærRegression_Valg[[#This Row],[Tabel ID]])-ROW(LineærRegression_Valg[[#Headers],[Tabel ID]])</f>
        <v>1946</v>
      </c>
      <c r="B1956" s="45">
        <f>ROUNDDOWN((LineærRegression_Valg[[#This Row],[Tabel ID]]-1)/$B$5,0)+1</f>
        <v>487</v>
      </c>
      <c r="C1956" s="45">
        <f t="shared" si="30"/>
        <v>2</v>
      </c>
      <c r="D1956" s="45" t="b">
        <f>LineærRegression_Valg[[#This Row],[Afhængig variabel ID]]&lt;&gt;LineærRegression_Valg[[#This Row],[Uafhængig variabel ID]]</f>
        <v>1</v>
      </c>
      <c r="E1956" s="45" t="b">
        <f>LineærRegression_Valg[[#This Row],[Afhængig variabel ID]]&lt;=$B$5</f>
        <v>0</v>
      </c>
      <c r="F1956" t="str" cm="1">
        <f t="array" ref="F1956">IF(LineærRegression_Valg[[#This Row],[Indenfor range]],INDEX(DataTitel_liste,LineærRegression_Valg[[#This Row],[Afhængig variabel ID]]),INDEX(DataTitel_liste,1))</f>
        <v>Eksempel 1 (interval)</v>
      </c>
      <c r="G1956" s="45" t="str" cm="1">
        <f t="array" ref="G1956">IF(LineærRegression_Valg[[#This Row],[Indenfor range]],IF(LineærRegression_Valg[[#This Row],[Intet overlap]],INDEX(DataTitel_liste,LineærRegression_Valg[[#This Row],[Uafhængig variabel ID]]),INDEX(DataTitel_liste,IF(LineærRegression_Valg[[#This Row],[Afhængig variabel ID]]=1,2,1))),$B$7)</f>
        <v>Eksempel 2 (interval)</v>
      </c>
      <c r="H1956" s="45">
        <f>_xlfn.AGGREGATE(2,5,LineærRegression_Valg[[#This Row],[Tabel ID]])</f>
        <v>1</v>
      </c>
    </row>
    <row r="1957" spans="1:8" x14ac:dyDescent="0.2">
      <c r="A1957">
        <f>ROW(LineærRegression_Valg[[#This Row],[Tabel ID]])-ROW(LineærRegression_Valg[[#Headers],[Tabel ID]])</f>
        <v>1947</v>
      </c>
      <c r="B1957" s="45">
        <f>ROUNDDOWN((LineærRegression_Valg[[#This Row],[Tabel ID]]-1)/$B$5,0)+1</f>
        <v>487</v>
      </c>
      <c r="C1957" s="45">
        <f t="shared" si="30"/>
        <v>3</v>
      </c>
      <c r="D1957" s="45" t="b">
        <f>LineærRegression_Valg[[#This Row],[Afhængig variabel ID]]&lt;&gt;LineærRegression_Valg[[#This Row],[Uafhængig variabel ID]]</f>
        <v>1</v>
      </c>
      <c r="E1957" s="45" t="b">
        <f>LineærRegression_Valg[[#This Row],[Afhængig variabel ID]]&lt;=$B$5</f>
        <v>0</v>
      </c>
      <c r="F1957" t="str" cm="1">
        <f t="array" ref="F1957">IF(LineærRegression_Valg[[#This Row],[Indenfor range]],INDEX(DataTitel_liste,LineærRegression_Valg[[#This Row],[Afhængig variabel ID]]),INDEX(DataTitel_liste,1))</f>
        <v>Eksempel 1 (interval)</v>
      </c>
      <c r="G1957" s="45" t="str" cm="1">
        <f t="array" ref="G1957">IF(LineærRegression_Valg[[#This Row],[Indenfor range]],IF(LineærRegression_Valg[[#This Row],[Intet overlap]],INDEX(DataTitel_liste,LineærRegression_Valg[[#This Row],[Uafhængig variabel ID]]),INDEX(DataTitel_liste,IF(LineærRegression_Valg[[#This Row],[Afhængig variabel ID]]=1,2,1))),$B$7)</f>
        <v>Eksempel 2 (interval)</v>
      </c>
      <c r="H1957" s="45">
        <f>_xlfn.AGGREGATE(2,5,LineærRegression_Valg[[#This Row],[Tabel ID]])</f>
        <v>1</v>
      </c>
    </row>
    <row r="1958" spans="1:8" x14ac:dyDescent="0.2">
      <c r="A1958">
        <f>ROW(LineærRegression_Valg[[#This Row],[Tabel ID]])-ROW(LineærRegression_Valg[[#Headers],[Tabel ID]])</f>
        <v>1948</v>
      </c>
      <c r="B1958" s="45">
        <f>ROUNDDOWN((LineærRegression_Valg[[#This Row],[Tabel ID]]-1)/$B$5,0)+1</f>
        <v>487</v>
      </c>
      <c r="C1958" s="45">
        <f t="shared" si="30"/>
        <v>4</v>
      </c>
      <c r="D1958" s="45" t="b">
        <f>LineærRegression_Valg[[#This Row],[Afhængig variabel ID]]&lt;&gt;LineærRegression_Valg[[#This Row],[Uafhængig variabel ID]]</f>
        <v>1</v>
      </c>
      <c r="E1958" s="45" t="b">
        <f>LineærRegression_Valg[[#This Row],[Afhængig variabel ID]]&lt;=$B$5</f>
        <v>0</v>
      </c>
      <c r="F1958" t="str" cm="1">
        <f t="array" ref="F1958">IF(LineærRegression_Valg[[#This Row],[Indenfor range]],INDEX(DataTitel_liste,LineærRegression_Valg[[#This Row],[Afhængig variabel ID]]),INDEX(DataTitel_liste,1))</f>
        <v>Eksempel 1 (interval)</v>
      </c>
      <c r="G1958" s="45" t="str" cm="1">
        <f t="array" ref="G1958">IF(LineærRegression_Valg[[#This Row],[Indenfor range]],IF(LineærRegression_Valg[[#This Row],[Intet overlap]],INDEX(DataTitel_liste,LineærRegression_Valg[[#This Row],[Uafhængig variabel ID]]),INDEX(DataTitel_liste,IF(LineærRegression_Valg[[#This Row],[Afhængig variabel ID]]=1,2,1))),$B$7)</f>
        <v>Eksempel 2 (interval)</v>
      </c>
      <c r="H1958" s="45">
        <f>_xlfn.AGGREGATE(2,5,LineærRegression_Valg[[#This Row],[Tabel ID]])</f>
        <v>1</v>
      </c>
    </row>
    <row r="1959" spans="1:8" x14ac:dyDescent="0.2">
      <c r="A1959">
        <f>ROW(LineærRegression_Valg[[#This Row],[Tabel ID]])-ROW(LineærRegression_Valg[[#Headers],[Tabel ID]])</f>
        <v>1949</v>
      </c>
      <c r="B1959" s="45">
        <f>ROUNDDOWN((LineærRegression_Valg[[#This Row],[Tabel ID]]-1)/$B$5,0)+1</f>
        <v>488</v>
      </c>
      <c r="C1959" s="45">
        <f t="shared" si="30"/>
        <v>1</v>
      </c>
      <c r="D1959" s="45" t="b">
        <f>LineærRegression_Valg[[#This Row],[Afhængig variabel ID]]&lt;&gt;LineærRegression_Valg[[#This Row],[Uafhængig variabel ID]]</f>
        <v>1</v>
      </c>
      <c r="E1959" s="45" t="b">
        <f>LineærRegression_Valg[[#This Row],[Afhængig variabel ID]]&lt;=$B$5</f>
        <v>0</v>
      </c>
      <c r="F1959" t="str" cm="1">
        <f t="array" ref="F1959">IF(LineærRegression_Valg[[#This Row],[Indenfor range]],INDEX(DataTitel_liste,LineærRegression_Valg[[#This Row],[Afhængig variabel ID]]),INDEX(DataTitel_liste,1))</f>
        <v>Eksempel 1 (interval)</v>
      </c>
      <c r="G1959" s="45" t="str" cm="1">
        <f t="array" ref="G1959">IF(LineærRegression_Valg[[#This Row],[Indenfor range]],IF(LineærRegression_Valg[[#This Row],[Intet overlap]],INDEX(DataTitel_liste,LineærRegression_Valg[[#This Row],[Uafhængig variabel ID]]),INDEX(DataTitel_liste,IF(LineærRegression_Valg[[#This Row],[Afhængig variabel ID]]=1,2,1))),$B$7)</f>
        <v>Eksempel 2 (interval)</v>
      </c>
      <c r="H1959" s="45">
        <f>_xlfn.AGGREGATE(2,5,LineærRegression_Valg[[#This Row],[Tabel ID]])</f>
        <v>1</v>
      </c>
    </row>
    <row r="1960" spans="1:8" x14ac:dyDescent="0.2">
      <c r="A1960">
        <f>ROW(LineærRegression_Valg[[#This Row],[Tabel ID]])-ROW(LineærRegression_Valg[[#Headers],[Tabel ID]])</f>
        <v>1950</v>
      </c>
      <c r="B1960" s="45">
        <f>ROUNDDOWN((LineærRegression_Valg[[#This Row],[Tabel ID]]-1)/$B$5,0)+1</f>
        <v>488</v>
      </c>
      <c r="C1960" s="45">
        <f t="shared" si="30"/>
        <v>2</v>
      </c>
      <c r="D1960" s="45" t="b">
        <f>LineærRegression_Valg[[#This Row],[Afhængig variabel ID]]&lt;&gt;LineærRegression_Valg[[#This Row],[Uafhængig variabel ID]]</f>
        <v>1</v>
      </c>
      <c r="E1960" s="45" t="b">
        <f>LineærRegression_Valg[[#This Row],[Afhængig variabel ID]]&lt;=$B$5</f>
        <v>0</v>
      </c>
      <c r="F1960" t="str" cm="1">
        <f t="array" ref="F1960">IF(LineærRegression_Valg[[#This Row],[Indenfor range]],INDEX(DataTitel_liste,LineærRegression_Valg[[#This Row],[Afhængig variabel ID]]),INDEX(DataTitel_liste,1))</f>
        <v>Eksempel 1 (interval)</v>
      </c>
      <c r="G1960" s="45" t="str" cm="1">
        <f t="array" ref="G1960">IF(LineærRegression_Valg[[#This Row],[Indenfor range]],IF(LineærRegression_Valg[[#This Row],[Intet overlap]],INDEX(DataTitel_liste,LineærRegression_Valg[[#This Row],[Uafhængig variabel ID]]),INDEX(DataTitel_liste,IF(LineærRegression_Valg[[#This Row],[Afhængig variabel ID]]=1,2,1))),$B$7)</f>
        <v>Eksempel 2 (interval)</v>
      </c>
      <c r="H1960" s="45">
        <f>_xlfn.AGGREGATE(2,5,LineærRegression_Valg[[#This Row],[Tabel ID]])</f>
        <v>1</v>
      </c>
    </row>
    <row r="1961" spans="1:8" x14ac:dyDescent="0.2">
      <c r="A1961">
        <f>ROW(LineærRegression_Valg[[#This Row],[Tabel ID]])-ROW(LineærRegression_Valg[[#Headers],[Tabel ID]])</f>
        <v>1951</v>
      </c>
      <c r="B1961" s="45">
        <f>ROUNDDOWN((LineærRegression_Valg[[#This Row],[Tabel ID]]-1)/$B$5,0)+1</f>
        <v>488</v>
      </c>
      <c r="C1961" s="45">
        <f t="shared" si="30"/>
        <v>3</v>
      </c>
      <c r="D1961" s="45" t="b">
        <f>LineærRegression_Valg[[#This Row],[Afhængig variabel ID]]&lt;&gt;LineærRegression_Valg[[#This Row],[Uafhængig variabel ID]]</f>
        <v>1</v>
      </c>
      <c r="E1961" s="45" t="b">
        <f>LineærRegression_Valg[[#This Row],[Afhængig variabel ID]]&lt;=$B$5</f>
        <v>0</v>
      </c>
      <c r="F1961" t="str" cm="1">
        <f t="array" ref="F1961">IF(LineærRegression_Valg[[#This Row],[Indenfor range]],INDEX(DataTitel_liste,LineærRegression_Valg[[#This Row],[Afhængig variabel ID]]),INDEX(DataTitel_liste,1))</f>
        <v>Eksempel 1 (interval)</v>
      </c>
      <c r="G1961" s="45" t="str" cm="1">
        <f t="array" ref="G1961">IF(LineærRegression_Valg[[#This Row],[Indenfor range]],IF(LineærRegression_Valg[[#This Row],[Intet overlap]],INDEX(DataTitel_liste,LineærRegression_Valg[[#This Row],[Uafhængig variabel ID]]),INDEX(DataTitel_liste,IF(LineærRegression_Valg[[#This Row],[Afhængig variabel ID]]=1,2,1))),$B$7)</f>
        <v>Eksempel 2 (interval)</v>
      </c>
      <c r="H1961" s="45">
        <f>_xlfn.AGGREGATE(2,5,LineærRegression_Valg[[#This Row],[Tabel ID]])</f>
        <v>1</v>
      </c>
    </row>
    <row r="1962" spans="1:8" x14ac:dyDescent="0.2">
      <c r="A1962">
        <f>ROW(LineærRegression_Valg[[#This Row],[Tabel ID]])-ROW(LineærRegression_Valg[[#Headers],[Tabel ID]])</f>
        <v>1952</v>
      </c>
      <c r="B1962" s="45">
        <f>ROUNDDOWN((LineærRegression_Valg[[#This Row],[Tabel ID]]-1)/$B$5,0)+1</f>
        <v>488</v>
      </c>
      <c r="C1962" s="45">
        <f t="shared" si="30"/>
        <v>4</v>
      </c>
      <c r="D1962" s="45" t="b">
        <f>LineærRegression_Valg[[#This Row],[Afhængig variabel ID]]&lt;&gt;LineærRegression_Valg[[#This Row],[Uafhængig variabel ID]]</f>
        <v>1</v>
      </c>
      <c r="E1962" s="45" t="b">
        <f>LineærRegression_Valg[[#This Row],[Afhængig variabel ID]]&lt;=$B$5</f>
        <v>0</v>
      </c>
      <c r="F1962" t="str" cm="1">
        <f t="array" ref="F1962">IF(LineærRegression_Valg[[#This Row],[Indenfor range]],INDEX(DataTitel_liste,LineærRegression_Valg[[#This Row],[Afhængig variabel ID]]),INDEX(DataTitel_liste,1))</f>
        <v>Eksempel 1 (interval)</v>
      </c>
      <c r="G1962" s="45" t="str" cm="1">
        <f t="array" ref="G1962">IF(LineærRegression_Valg[[#This Row],[Indenfor range]],IF(LineærRegression_Valg[[#This Row],[Intet overlap]],INDEX(DataTitel_liste,LineærRegression_Valg[[#This Row],[Uafhængig variabel ID]]),INDEX(DataTitel_liste,IF(LineærRegression_Valg[[#This Row],[Afhængig variabel ID]]=1,2,1))),$B$7)</f>
        <v>Eksempel 2 (interval)</v>
      </c>
      <c r="H1962" s="45">
        <f>_xlfn.AGGREGATE(2,5,LineærRegression_Valg[[#This Row],[Tabel ID]])</f>
        <v>1</v>
      </c>
    </row>
    <row r="1963" spans="1:8" x14ac:dyDescent="0.2">
      <c r="A1963">
        <f>ROW(LineærRegression_Valg[[#This Row],[Tabel ID]])-ROW(LineærRegression_Valg[[#Headers],[Tabel ID]])</f>
        <v>1953</v>
      </c>
      <c r="B1963" s="45">
        <f>ROUNDDOWN((LineærRegression_Valg[[#This Row],[Tabel ID]]-1)/$B$5,0)+1</f>
        <v>489</v>
      </c>
      <c r="C1963" s="45">
        <f t="shared" si="30"/>
        <v>1</v>
      </c>
      <c r="D1963" s="45" t="b">
        <f>LineærRegression_Valg[[#This Row],[Afhængig variabel ID]]&lt;&gt;LineærRegression_Valg[[#This Row],[Uafhængig variabel ID]]</f>
        <v>1</v>
      </c>
      <c r="E1963" s="45" t="b">
        <f>LineærRegression_Valg[[#This Row],[Afhængig variabel ID]]&lt;=$B$5</f>
        <v>0</v>
      </c>
      <c r="F1963" t="str" cm="1">
        <f t="array" ref="F1963">IF(LineærRegression_Valg[[#This Row],[Indenfor range]],INDEX(DataTitel_liste,LineærRegression_Valg[[#This Row],[Afhængig variabel ID]]),INDEX(DataTitel_liste,1))</f>
        <v>Eksempel 1 (interval)</v>
      </c>
      <c r="G1963" s="45" t="str" cm="1">
        <f t="array" ref="G1963">IF(LineærRegression_Valg[[#This Row],[Indenfor range]],IF(LineærRegression_Valg[[#This Row],[Intet overlap]],INDEX(DataTitel_liste,LineærRegression_Valg[[#This Row],[Uafhængig variabel ID]]),INDEX(DataTitel_liste,IF(LineærRegression_Valg[[#This Row],[Afhængig variabel ID]]=1,2,1))),$B$7)</f>
        <v>Eksempel 2 (interval)</v>
      </c>
      <c r="H1963" s="45">
        <f>_xlfn.AGGREGATE(2,5,LineærRegression_Valg[[#This Row],[Tabel ID]])</f>
        <v>1</v>
      </c>
    </row>
    <row r="1964" spans="1:8" x14ac:dyDescent="0.2">
      <c r="A1964">
        <f>ROW(LineærRegression_Valg[[#This Row],[Tabel ID]])-ROW(LineærRegression_Valg[[#Headers],[Tabel ID]])</f>
        <v>1954</v>
      </c>
      <c r="B1964" s="45">
        <f>ROUNDDOWN((LineærRegression_Valg[[#This Row],[Tabel ID]]-1)/$B$5,0)+1</f>
        <v>489</v>
      </c>
      <c r="C1964" s="45">
        <f t="shared" si="30"/>
        <v>2</v>
      </c>
      <c r="D1964" s="45" t="b">
        <f>LineærRegression_Valg[[#This Row],[Afhængig variabel ID]]&lt;&gt;LineærRegression_Valg[[#This Row],[Uafhængig variabel ID]]</f>
        <v>1</v>
      </c>
      <c r="E1964" s="45" t="b">
        <f>LineærRegression_Valg[[#This Row],[Afhængig variabel ID]]&lt;=$B$5</f>
        <v>0</v>
      </c>
      <c r="F1964" t="str" cm="1">
        <f t="array" ref="F1964">IF(LineærRegression_Valg[[#This Row],[Indenfor range]],INDEX(DataTitel_liste,LineærRegression_Valg[[#This Row],[Afhængig variabel ID]]),INDEX(DataTitel_liste,1))</f>
        <v>Eksempel 1 (interval)</v>
      </c>
      <c r="G1964" s="45" t="str" cm="1">
        <f t="array" ref="G1964">IF(LineærRegression_Valg[[#This Row],[Indenfor range]],IF(LineærRegression_Valg[[#This Row],[Intet overlap]],INDEX(DataTitel_liste,LineærRegression_Valg[[#This Row],[Uafhængig variabel ID]]),INDEX(DataTitel_liste,IF(LineærRegression_Valg[[#This Row],[Afhængig variabel ID]]=1,2,1))),$B$7)</f>
        <v>Eksempel 2 (interval)</v>
      </c>
      <c r="H1964" s="45">
        <f>_xlfn.AGGREGATE(2,5,LineærRegression_Valg[[#This Row],[Tabel ID]])</f>
        <v>1</v>
      </c>
    </row>
    <row r="1965" spans="1:8" x14ac:dyDescent="0.2">
      <c r="A1965">
        <f>ROW(LineærRegression_Valg[[#This Row],[Tabel ID]])-ROW(LineærRegression_Valg[[#Headers],[Tabel ID]])</f>
        <v>1955</v>
      </c>
      <c r="B1965" s="45">
        <f>ROUNDDOWN((LineærRegression_Valg[[#This Row],[Tabel ID]]-1)/$B$5,0)+1</f>
        <v>489</v>
      </c>
      <c r="C1965" s="45">
        <f t="shared" si="30"/>
        <v>3</v>
      </c>
      <c r="D1965" s="45" t="b">
        <f>LineærRegression_Valg[[#This Row],[Afhængig variabel ID]]&lt;&gt;LineærRegression_Valg[[#This Row],[Uafhængig variabel ID]]</f>
        <v>1</v>
      </c>
      <c r="E1965" s="45" t="b">
        <f>LineærRegression_Valg[[#This Row],[Afhængig variabel ID]]&lt;=$B$5</f>
        <v>0</v>
      </c>
      <c r="F1965" t="str" cm="1">
        <f t="array" ref="F1965">IF(LineærRegression_Valg[[#This Row],[Indenfor range]],INDEX(DataTitel_liste,LineærRegression_Valg[[#This Row],[Afhængig variabel ID]]),INDEX(DataTitel_liste,1))</f>
        <v>Eksempel 1 (interval)</v>
      </c>
      <c r="G1965" s="45" t="str" cm="1">
        <f t="array" ref="G1965">IF(LineærRegression_Valg[[#This Row],[Indenfor range]],IF(LineærRegression_Valg[[#This Row],[Intet overlap]],INDEX(DataTitel_liste,LineærRegression_Valg[[#This Row],[Uafhængig variabel ID]]),INDEX(DataTitel_liste,IF(LineærRegression_Valg[[#This Row],[Afhængig variabel ID]]=1,2,1))),$B$7)</f>
        <v>Eksempel 2 (interval)</v>
      </c>
      <c r="H1965" s="45">
        <f>_xlfn.AGGREGATE(2,5,LineærRegression_Valg[[#This Row],[Tabel ID]])</f>
        <v>1</v>
      </c>
    </row>
    <row r="1966" spans="1:8" x14ac:dyDescent="0.2">
      <c r="A1966">
        <f>ROW(LineærRegression_Valg[[#This Row],[Tabel ID]])-ROW(LineærRegression_Valg[[#Headers],[Tabel ID]])</f>
        <v>1956</v>
      </c>
      <c r="B1966" s="45">
        <f>ROUNDDOWN((LineærRegression_Valg[[#This Row],[Tabel ID]]-1)/$B$5,0)+1</f>
        <v>489</v>
      </c>
      <c r="C1966" s="45">
        <f t="shared" si="30"/>
        <v>4</v>
      </c>
      <c r="D1966" s="45" t="b">
        <f>LineærRegression_Valg[[#This Row],[Afhængig variabel ID]]&lt;&gt;LineærRegression_Valg[[#This Row],[Uafhængig variabel ID]]</f>
        <v>1</v>
      </c>
      <c r="E1966" s="45" t="b">
        <f>LineærRegression_Valg[[#This Row],[Afhængig variabel ID]]&lt;=$B$5</f>
        <v>0</v>
      </c>
      <c r="F1966" t="str" cm="1">
        <f t="array" ref="F1966">IF(LineærRegression_Valg[[#This Row],[Indenfor range]],INDEX(DataTitel_liste,LineærRegression_Valg[[#This Row],[Afhængig variabel ID]]),INDEX(DataTitel_liste,1))</f>
        <v>Eksempel 1 (interval)</v>
      </c>
      <c r="G1966" s="45" t="str" cm="1">
        <f t="array" ref="G1966">IF(LineærRegression_Valg[[#This Row],[Indenfor range]],IF(LineærRegression_Valg[[#This Row],[Intet overlap]],INDEX(DataTitel_liste,LineærRegression_Valg[[#This Row],[Uafhængig variabel ID]]),INDEX(DataTitel_liste,IF(LineærRegression_Valg[[#This Row],[Afhængig variabel ID]]=1,2,1))),$B$7)</f>
        <v>Eksempel 2 (interval)</v>
      </c>
      <c r="H1966" s="45">
        <f>_xlfn.AGGREGATE(2,5,LineærRegression_Valg[[#This Row],[Tabel ID]])</f>
        <v>1</v>
      </c>
    </row>
    <row r="1967" spans="1:8" x14ac:dyDescent="0.2">
      <c r="A1967">
        <f>ROW(LineærRegression_Valg[[#This Row],[Tabel ID]])-ROW(LineærRegression_Valg[[#Headers],[Tabel ID]])</f>
        <v>1957</v>
      </c>
      <c r="B1967" s="45">
        <f>ROUNDDOWN((LineærRegression_Valg[[#This Row],[Tabel ID]]-1)/$B$5,0)+1</f>
        <v>490</v>
      </c>
      <c r="C1967" s="45">
        <f t="shared" si="30"/>
        <v>1</v>
      </c>
      <c r="D1967" s="45" t="b">
        <f>LineærRegression_Valg[[#This Row],[Afhængig variabel ID]]&lt;&gt;LineærRegression_Valg[[#This Row],[Uafhængig variabel ID]]</f>
        <v>1</v>
      </c>
      <c r="E1967" s="45" t="b">
        <f>LineærRegression_Valg[[#This Row],[Afhængig variabel ID]]&lt;=$B$5</f>
        <v>0</v>
      </c>
      <c r="F1967" t="str" cm="1">
        <f t="array" ref="F1967">IF(LineærRegression_Valg[[#This Row],[Indenfor range]],INDEX(DataTitel_liste,LineærRegression_Valg[[#This Row],[Afhængig variabel ID]]),INDEX(DataTitel_liste,1))</f>
        <v>Eksempel 1 (interval)</v>
      </c>
      <c r="G1967" s="45" t="str" cm="1">
        <f t="array" ref="G1967">IF(LineærRegression_Valg[[#This Row],[Indenfor range]],IF(LineærRegression_Valg[[#This Row],[Intet overlap]],INDEX(DataTitel_liste,LineærRegression_Valg[[#This Row],[Uafhængig variabel ID]]),INDEX(DataTitel_liste,IF(LineærRegression_Valg[[#This Row],[Afhængig variabel ID]]=1,2,1))),$B$7)</f>
        <v>Eksempel 2 (interval)</v>
      </c>
      <c r="H1967" s="45">
        <f>_xlfn.AGGREGATE(2,5,LineærRegression_Valg[[#This Row],[Tabel ID]])</f>
        <v>1</v>
      </c>
    </row>
    <row r="1968" spans="1:8" x14ac:dyDescent="0.2">
      <c r="A1968">
        <f>ROW(LineærRegression_Valg[[#This Row],[Tabel ID]])-ROW(LineærRegression_Valg[[#Headers],[Tabel ID]])</f>
        <v>1958</v>
      </c>
      <c r="B1968" s="45">
        <f>ROUNDDOWN((LineærRegression_Valg[[#This Row],[Tabel ID]]-1)/$B$5,0)+1</f>
        <v>490</v>
      </c>
      <c r="C1968" s="45">
        <f t="shared" si="30"/>
        <v>2</v>
      </c>
      <c r="D1968" s="45" t="b">
        <f>LineærRegression_Valg[[#This Row],[Afhængig variabel ID]]&lt;&gt;LineærRegression_Valg[[#This Row],[Uafhængig variabel ID]]</f>
        <v>1</v>
      </c>
      <c r="E1968" s="45" t="b">
        <f>LineærRegression_Valg[[#This Row],[Afhængig variabel ID]]&lt;=$B$5</f>
        <v>0</v>
      </c>
      <c r="F1968" t="str" cm="1">
        <f t="array" ref="F1968">IF(LineærRegression_Valg[[#This Row],[Indenfor range]],INDEX(DataTitel_liste,LineærRegression_Valg[[#This Row],[Afhængig variabel ID]]),INDEX(DataTitel_liste,1))</f>
        <v>Eksempel 1 (interval)</v>
      </c>
      <c r="G1968" s="45" t="str" cm="1">
        <f t="array" ref="G1968">IF(LineærRegression_Valg[[#This Row],[Indenfor range]],IF(LineærRegression_Valg[[#This Row],[Intet overlap]],INDEX(DataTitel_liste,LineærRegression_Valg[[#This Row],[Uafhængig variabel ID]]),INDEX(DataTitel_liste,IF(LineærRegression_Valg[[#This Row],[Afhængig variabel ID]]=1,2,1))),$B$7)</f>
        <v>Eksempel 2 (interval)</v>
      </c>
      <c r="H1968" s="45">
        <f>_xlfn.AGGREGATE(2,5,LineærRegression_Valg[[#This Row],[Tabel ID]])</f>
        <v>1</v>
      </c>
    </row>
    <row r="1969" spans="1:8" x14ac:dyDescent="0.2">
      <c r="A1969">
        <f>ROW(LineærRegression_Valg[[#This Row],[Tabel ID]])-ROW(LineærRegression_Valg[[#Headers],[Tabel ID]])</f>
        <v>1959</v>
      </c>
      <c r="B1969" s="45">
        <f>ROUNDDOWN((LineærRegression_Valg[[#This Row],[Tabel ID]]-1)/$B$5,0)+1</f>
        <v>490</v>
      </c>
      <c r="C1969" s="45">
        <f t="shared" si="30"/>
        <v>3</v>
      </c>
      <c r="D1969" s="45" t="b">
        <f>LineærRegression_Valg[[#This Row],[Afhængig variabel ID]]&lt;&gt;LineærRegression_Valg[[#This Row],[Uafhængig variabel ID]]</f>
        <v>1</v>
      </c>
      <c r="E1969" s="45" t="b">
        <f>LineærRegression_Valg[[#This Row],[Afhængig variabel ID]]&lt;=$B$5</f>
        <v>0</v>
      </c>
      <c r="F1969" t="str" cm="1">
        <f t="array" ref="F1969">IF(LineærRegression_Valg[[#This Row],[Indenfor range]],INDEX(DataTitel_liste,LineærRegression_Valg[[#This Row],[Afhængig variabel ID]]),INDEX(DataTitel_liste,1))</f>
        <v>Eksempel 1 (interval)</v>
      </c>
      <c r="G1969" s="45" t="str" cm="1">
        <f t="array" ref="G1969">IF(LineærRegression_Valg[[#This Row],[Indenfor range]],IF(LineærRegression_Valg[[#This Row],[Intet overlap]],INDEX(DataTitel_liste,LineærRegression_Valg[[#This Row],[Uafhængig variabel ID]]),INDEX(DataTitel_liste,IF(LineærRegression_Valg[[#This Row],[Afhængig variabel ID]]=1,2,1))),$B$7)</f>
        <v>Eksempel 2 (interval)</v>
      </c>
      <c r="H1969" s="45">
        <f>_xlfn.AGGREGATE(2,5,LineærRegression_Valg[[#This Row],[Tabel ID]])</f>
        <v>1</v>
      </c>
    </row>
    <row r="1970" spans="1:8" x14ac:dyDescent="0.2">
      <c r="A1970">
        <f>ROW(LineærRegression_Valg[[#This Row],[Tabel ID]])-ROW(LineærRegression_Valg[[#Headers],[Tabel ID]])</f>
        <v>1960</v>
      </c>
      <c r="B1970" s="45">
        <f>ROUNDDOWN((LineærRegression_Valg[[#This Row],[Tabel ID]]-1)/$B$5,0)+1</f>
        <v>490</v>
      </c>
      <c r="C1970" s="45">
        <f t="shared" si="30"/>
        <v>4</v>
      </c>
      <c r="D1970" s="45" t="b">
        <f>LineærRegression_Valg[[#This Row],[Afhængig variabel ID]]&lt;&gt;LineærRegression_Valg[[#This Row],[Uafhængig variabel ID]]</f>
        <v>1</v>
      </c>
      <c r="E1970" s="45" t="b">
        <f>LineærRegression_Valg[[#This Row],[Afhængig variabel ID]]&lt;=$B$5</f>
        <v>0</v>
      </c>
      <c r="F1970" t="str" cm="1">
        <f t="array" ref="F1970">IF(LineærRegression_Valg[[#This Row],[Indenfor range]],INDEX(DataTitel_liste,LineærRegression_Valg[[#This Row],[Afhængig variabel ID]]),INDEX(DataTitel_liste,1))</f>
        <v>Eksempel 1 (interval)</v>
      </c>
      <c r="G1970" s="45" t="str" cm="1">
        <f t="array" ref="G1970">IF(LineærRegression_Valg[[#This Row],[Indenfor range]],IF(LineærRegression_Valg[[#This Row],[Intet overlap]],INDEX(DataTitel_liste,LineærRegression_Valg[[#This Row],[Uafhængig variabel ID]]),INDEX(DataTitel_liste,IF(LineærRegression_Valg[[#This Row],[Afhængig variabel ID]]=1,2,1))),$B$7)</f>
        <v>Eksempel 2 (interval)</v>
      </c>
      <c r="H1970" s="45">
        <f>_xlfn.AGGREGATE(2,5,LineærRegression_Valg[[#This Row],[Tabel ID]])</f>
        <v>1</v>
      </c>
    </row>
    <row r="1971" spans="1:8" x14ac:dyDescent="0.2">
      <c r="A1971">
        <f>ROW(LineærRegression_Valg[[#This Row],[Tabel ID]])-ROW(LineærRegression_Valg[[#Headers],[Tabel ID]])</f>
        <v>1961</v>
      </c>
      <c r="B1971" s="45">
        <f>ROUNDDOWN((LineærRegression_Valg[[#This Row],[Tabel ID]]-1)/$B$5,0)+1</f>
        <v>491</v>
      </c>
      <c r="C1971" s="45">
        <f t="shared" si="30"/>
        <v>1</v>
      </c>
      <c r="D1971" s="45" t="b">
        <f>LineærRegression_Valg[[#This Row],[Afhængig variabel ID]]&lt;&gt;LineærRegression_Valg[[#This Row],[Uafhængig variabel ID]]</f>
        <v>1</v>
      </c>
      <c r="E1971" s="45" t="b">
        <f>LineærRegression_Valg[[#This Row],[Afhængig variabel ID]]&lt;=$B$5</f>
        <v>0</v>
      </c>
      <c r="F1971" t="str" cm="1">
        <f t="array" ref="F1971">IF(LineærRegression_Valg[[#This Row],[Indenfor range]],INDEX(DataTitel_liste,LineærRegression_Valg[[#This Row],[Afhængig variabel ID]]),INDEX(DataTitel_liste,1))</f>
        <v>Eksempel 1 (interval)</v>
      </c>
      <c r="G1971" s="45" t="str" cm="1">
        <f t="array" ref="G1971">IF(LineærRegression_Valg[[#This Row],[Indenfor range]],IF(LineærRegression_Valg[[#This Row],[Intet overlap]],INDEX(DataTitel_liste,LineærRegression_Valg[[#This Row],[Uafhængig variabel ID]]),INDEX(DataTitel_liste,IF(LineærRegression_Valg[[#This Row],[Afhængig variabel ID]]=1,2,1))),$B$7)</f>
        <v>Eksempel 2 (interval)</v>
      </c>
      <c r="H1971" s="45">
        <f>_xlfn.AGGREGATE(2,5,LineærRegression_Valg[[#This Row],[Tabel ID]])</f>
        <v>1</v>
      </c>
    </row>
    <row r="1972" spans="1:8" x14ac:dyDescent="0.2">
      <c r="A1972">
        <f>ROW(LineærRegression_Valg[[#This Row],[Tabel ID]])-ROW(LineærRegression_Valg[[#Headers],[Tabel ID]])</f>
        <v>1962</v>
      </c>
      <c r="B1972" s="45">
        <f>ROUNDDOWN((LineærRegression_Valg[[#This Row],[Tabel ID]]-1)/$B$5,0)+1</f>
        <v>491</v>
      </c>
      <c r="C1972" s="45">
        <f t="shared" si="30"/>
        <v>2</v>
      </c>
      <c r="D1972" s="45" t="b">
        <f>LineærRegression_Valg[[#This Row],[Afhængig variabel ID]]&lt;&gt;LineærRegression_Valg[[#This Row],[Uafhængig variabel ID]]</f>
        <v>1</v>
      </c>
      <c r="E1972" s="45" t="b">
        <f>LineærRegression_Valg[[#This Row],[Afhængig variabel ID]]&lt;=$B$5</f>
        <v>0</v>
      </c>
      <c r="F1972" t="str" cm="1">
        <f t="array" ref="F1972">IF(LineærRegression_Valg[[#This Row],[Indenfor range]],INDEX(DataTitel_liste,LineærRegression_Valg[[#This Row],[Afhængig variabel ID]]),INDEX(DataTitel_liste,1))</f>
        <v>Eksempel 1 (interval)</v>
      </c>
      <c r="G1972" s="45" t="str" cm="1">
        <f t="array" ref="G1972">IF(LineærRegression_Valg[[#This Row],[Indenfor range]],IF(LineærRegression_Valg[[#This Row],[Intet overlap]],INDEX(DataTitel_liste,LineærRegression_Valg[[#This Row],[Uafhængig variabel ID]]),INDEX(DataTitel_liste,IF(LineærRegression_Valg[[#This Row],[Afhængig variabel ID]]=1,2,1))),$B$7)</f>
        <v>Eksempel 2 (interval)</v>
      </c>
      <c r="H1972" s="45">
        <f>_xlfn.AGGREGATE(2,5,LineærRegression_Valg[[#This Row],[Tabel ID]])</f>
        <v>1</v>
      </c>
    </row>
    <row r="1973" spans="1:8" x14ac:dyDescent="0.2">
      <c r="A1973">
        <f>ROW(LineærRegression_Valg[[#This Row],[Tabel ID]])-ROW(LineærRegression_Valg[[#Headers],[Tabel ID]])</f>
        <v>1963</v>
      </c>
      <c r="B1973" s="45">
        <f>ROUNDDOWN((LineærRegression_Valg[[#This Row],[Tabel ID]]-1)/$B$5,0)+1</f>
        <v>491</v>
      </c>
      <c r="C1973" s="45">
        <f t="shared" si="30"/>
        <v>3</v>
      </c>
      <c r="D1973" s="45" t="b">
        <f>LineærRegression_Valg[[#This Row],[Afhængig variabel ID]]&lt;&gt;LineærRegression_Valg[[#This Row],[Uafhængig variabel ID]]</f>
        <v>1</v>
      </c>
      <c r="E1973" s="45" t="b">
        <f>LineærRegression_Valg[[#This Row],[Afhængig variabel ID]]&lt;=$B$5</f>
        <v>0</v>
      </c>
      <c r="F1973" t="str" cm="1">
        <f t="array" ref="F1973">IF(LineærRegression_Valg[[#This Row],[Indenfor range]],INDEX(DataTitel_liste,LineærRegression_Valg[[#This Row],[Afhængig variabel ID]]),INDEX(DataTitel_liste,1))</f>
        <v>Eksempel 1 (interval)</v>
      </c>
      <c r="G1973" s="45" t="str" cm="1">
        <f t="array" ref="G1973">IF(LineærRegression_Valg[[#This Row],[Indenfor range]],IF(LineærRegression_Valg[[#This Row],[Intet overlap]],INDEX(DataTitel_liste,LineærRegression_Valg[[#This Row],[Uafhængig variabel ID]]),INDEX(DataTitel_liste,IF(LineærRegression_Valg[[#This Row],[Afhængig variabel ID]]=1,2,1))),$B$7)</f>
        <v>Eksempel 2 (interval)</v>
      </c>
      <c r="H1973" s="45">
        <f>_xlfn.AGGREGATE(2,5,LineærRegression_Valg[[#This Row],[Tabel ID]])</f>
        <v>1</v>
      </c>
    </row>
    <row r="1974" spans="1:8" x14ac:dyDescent="0.2">
      <c r="A1974">
        <f>ROW(LineærRegression_Valg[[#This Row],[Tabel ID]])-ROW(LineærRegression_Valg[[#Headers],[Tabel ID]])</f>
        <v>1964</v>
      </c>
      <c r="B1974" s="45">
        <f>ROUNDDOWN((LineærRegression_Valg[[#This Row],[Tabel ID]]-1)/$B$5,0)+1</f>
        <v>491</v>
      </c>
      <c r="C1974" s="45">
        <f t="shared" si="30"/>
        <v>4</v>
      </c>
      <c r="D1974" s="45" t="b">
        <f>LineærRegression_Valg[[#This Row],[Afhængig variabel ID]]&lt;&gt;LineærRegression_Valg[[#This Row],[Uafhængig variabel ID]]</f>
        <v>1</v>
      </c>
      <c r="E1974" s="45" t="b">
        <f>LineærRegression_Valg[[#This Row],[Afhængig variabel ID]]&lt;=$B$5</f>
        <v>0</v>
      </c>
      <c r="F1974" t="str" cm="1">
        <f t="array" ref="F1974">IF(LineærRegression_Valg[[#This Row],[Indenfor range]],INDEX(DataTitel_liste,LineærRegression_Valg[[#This Row],[Afhængig variabel ID]]),INDEX(DataTitel_liste,1))</f>
        <v>Eksempel 1 (interval)</v>
      </c>
      <c r="G1974" s="45" t="str" cm="1">
        <f t="array" ref="G1974">IF(LineærRegression_Valg[[#This Row],[Indenfor range]],IF(LineærRegression_Valg[[#This Row],[Intet overlap]],INDEX(DataTitel_liste,LineærRegression_Valg[[#This Row],[Uafhængig variabel ID]]),INDEX(DataTitel_liste,IF(LineærRegression_Valg[[#This Row],[Afhængig variabel ID]]=1,2,1))),$B$7)</f>
        <v>Eksempel 2 (interval)</v>
      </c>
      <c r="H1974" s="45">
        <f>_xlfn.AGGREGATE(2,5,LineærRegression_Valg[[#This Row],[Tabel ID]])</f>
        <v>1</v>
      </c>
    </row>
    <row r="1975" spans="1:8" x14ac:dyDescent="0.2">
      <c r="A1975">
        <f>ROW(LineærRegression_Valg[[#This Row],[Tabel ID]])-ROW(LineærRegression_Valg[[#Headers],[Tabel ID]])</f>
        <v>1965</v>
      </c>
      <c r="B1975" s="45">
        <f>ROUNDDOWN((LineærRegression_Valg[[#This Row],[Tabel ID]]-1)/$B$5,0)+1</f>
        <v>492</v>
      </c>
      <c r="C1975" s="45">
        <f t="shared" si="30"/>
        <v>1</v>
      </c>
      <c r="D1975" s="45" t="b">
        <f>LineærRegression_Valg[[#This Row],[Afhængig variabel ID]]&lt;&gt;LineærRegression_Valg[[#This Row],[Uafhængig variabel ID]]</f>
        <v>1</v>
      </c>
      <c r="E1975" s="45" t="b">
        <f>LineærRegression_Valg[[#This Row],[Afhængig variabel ID]]&lt;=$B$5</f>
        <v>0</v>
      </c>
      <c r="F1975" t="str" cm="1">
        <f t="array" ref="F1975">IF(LineærRegression_Valg[[#This Row],[Indenfor range]],INDEX(DataTitel_liste,LineærRegression_Valg[[#This Row],[Afhængig variabel ID]]),INDEX(DataTitel_liste,1))</f>
        <v>Eksempel 1 (interval)</v>
      </c>
      <c r="G1975" s="45" t="str" cm="1">
        <f t="array" ref="G1975">IF(LineærRegression_Valg[[#This Row],[Indenfor range]],IF(LineærRegression_Valg[[#This Row],[Intet overlap]],INDEX(DataTitel_liste,LineærRegression_Valg[[#This Row],[Uafhængig variabel ID]]),INDEX(DataTitel_liste,IF(LineærRegression_Valg[[#This Row],[Afhængig variabel ID]]=1,2,1))),$B$7)</f>
        <v>Eksempel 2 (interval)</v>
      </c>
      <c r="H1975" s="45">
        <f>_xlfn.AGGREGATE(2,5,LineærRegression_Valg[[#This Row],[Tabel ID]])</f>
        <v>1</v>
      </c>
    </row>
    <row r="1976" spans="1:8" x14ac:dyDescent="0.2">
      <c r="A1976">
        <f>ROW(LineærRegression_Valg[[#This Row],[Tabel ID]])-ROW(LineærRegression_Valg[[#Headers],[Tabel ID]])</f>
        <v>1966</v>
      </c>
      <c r="B1976" s="45">
        <f>ROUNDDOWN((LineærRegression_Valg[[#This Row],[Tabel ID]]-1)/$B$5,0)+1</f>
        <v>492</v>
      </c>
      <c r="C1976" s="45">
        <f t="shared" si="30"/>
        <v>2</v>
      </c>
      <c r="D1976" s="45" t="b">
        <f>LineærRegression_Valg[[#This Row],[Afhængig variabel ID]]&lt;&gt;LineærRegression_Valg[[#This Row],[Uafhængig variabel ID]]</f>
        <v>1</v>
      </c>
      <c r="E1976" s="45" t="b">
        <f>LineærRegression_Valg[[#This Row],[Afhængig variabel ID]]&lt;=$B$5</f>
        <v>0</v>
      </c>
      <c r="F1976" t="str" cm="1">
        <f t="array" ref="F1976">IF(LineærRegression_Valg[[#This Row],[Indenfor range]],INDEX(DataTitel_liste,LineærRegression_Valg[[#This Row],[Afhængig variabel ID]]),INDEX(DataTitel_liste,1))</f>
        <v>Eksempel 1 (interval)</v>
      </c>
      <c r="G1976" s="45" t="str" cm="1">
        <f t="array" ref="G1976">IF(LineærRegression_Valg[[#This Row],[Indenfor range]],IF(LineærRegression_Valg[[#This Row],[Intet overlap]],INDEX(DataTitel_liste,LineærRegression_Valg[[#This Row],[Uafhængig variabel ID]]),INDEX(DataTitel_liste,IF(LineærRegression_Valg[[#This Row],[Afhængig variabel ID]]=1,2,1))),$B$7)</f>
        <v>Eksempel 2 (interval)</v>
      </c>
      <c r="H1976" s="45">
        <f>_xlfn.AGGREGATE(2,5,LineærRegression_Valg[[#This Row],[Tabel ID]])</f>
        <v>1</v>
      </c>
    </row>
    <row r="1977" spans="1:8" x14ac:dyDescent="0.2">
      <c r="A1977">
        <f>ROW(LineærRegression_Valg[[#This Row],[Tabel ID]])-ROW(LineærRegression_Valg[[#Headers],[Tabel ID]])</f>
        <v>1967</v>
      </c>
      <c r="B1977" s="45">
        <f>ROUNDDOWN((LineærRegression_Valg[[#This Row],[Tabel ID]]-1)/$B$5,0)+1</f>
        <v>492</v>
      </c>
      <c r="C1977" s="45">
        <f t="shared" si="30"/>
        <v>3</v>
      </c>
      <c r="D1977" s="45" t="b">
        <f>LineærRegression_Valg[[#This Row],[Afhængig variabel ID]]&lt;&gt;LineærRegression_Valg[[#This Row],[Uafhængig variabel ID]]</f>
        <v>1</v>
      </c>
      <c r="E1977" s="45" t="b">
        <f>LineærRegression_Valg[[#This Row],[Afhængig variabel ID]]&lt;=$B$5</f>
        <v>0</v>
      </c>
      <c r="F1977" t="str" cm="1">
        <f t="array" ref="F1977">IF(LineærRegression_Valg[[#This Row],[Indenfor range]],INDEX(DataTitel_liste,LineærRegression_Valg[[#This Row],[Afhængig variabel ID]]),INDEX(DataTitel_liste,1))</f>
        <v>Eksempel 1 (interval)</v>
      </c>
      <c r="G1977" s="45" t="str" cm="1">
        <f t="array" ref="G1977">IF(LineærRegression_Valg[[#This Row],[Indenfor range]],IF(LineærRegression_Valg[[#This Row],[Intet overlap]],INDEX(DataTitel_liste,LineærRegression_Valg[[#This Row],[Uafhængig variabel ID]]),INDEX(DataTitel_liste,IF(LineærRegression_Valg[[#This Row],[Afhængig variabel ID]]=1,2,1))),$B$7)</f>
        <v>Eksempel 2 (interval)</v>
      </c>
      <c r="H1977" s="45">
        <f>_xlfn.AGGREGATE(2,5,LineærRegression_Valg[[#This Row],[Tabel ID]])</f>
        <v>1</v>
      </c>
    </row>
    <row r="1978" spans="1:8" x14ac:dyDescent="0.2">
      <c r="A1978">
        <f>ROW(LineærRegression_Valg[[#This Row],[Tabel ID]])-ROW(LineærRegression_Valg[[#Headers],[Tabel ID]])</f>
        <v>1968</v>
      </c>
      <c r="B1978" s="45">
        <f>ROUNDDOWN((LineærRegression_Valg[[#This Row],[Tabel ID]]-1)/$B$5,0)+1</f>
        <v>492</v>
      </c>
      <c r="C1978" s="45">
        <f t="shared" si="30"/>
        <v>4</v>
      </c>
      <c r="D1978" s="45" t="b">
        <f>LineærRegression_Valg[[#This Row],[Afhængig variabel ID]]&lt;&gt;LineærRegression_Valg[[#This Row],[Uafhængig variabel ID]]</f>
        <v>1</v>
      </c>
      <c r="E1978" s="45" t="b">
        <f>LineærRegression_Valg[[#This Row],[Afhængig variabel ID]]&lt;=$B$5</f>
        <v>0</v>
      </c>
      <c r="F1978" t="str" cm="1">
        <f t="array" ref="F1978">IF(LineærRegression_Valg[[#This Row],[Indenfor range]],INDEX(DataTitel_liste,LineærRegression_Valg[[#This Row],[Afhængig variabel ID]]),INDEX(DataTitel_liste,1))</f>
        <v>Eksempel 1 (interval)</v>
      </c>
      <c r="G1978" s="45" t="str" cm="1">
        <f t="array" ref="G1978">IF(LineærRegression_Valg[[#This Row],[Indenfor range]],IF(LineærRegression_Valg[[#This Row],[Intet overlap]],INDEX(DataTitel_liste,LineærRegression_Valg[[#This Row],[Uafhængig variabel ID]]),INDEX(DataTitel_liste,IF(LineærRegression_Valg[[#This Row],[Afhængig variabel ID]]=1,2,1))),$B$7)</f>
        <v>Eksempel 2 (interval)</v>
      </c>
      <c r="H1978" s="45">
        <f>_xlfn.AGGREGATE(2,5,LineærRegression_Valg[[#This Row],[Tabel ID]])</f>
        <v>1</v>
      </c>
    </row>
    <row r="1979" spans="1:8" x14ac:dyDescent="0.2">
      <c r="A1979">
        <f>ROW(LineærRegression_Valg[[#This Row],[Tabel ID]])-ROW(LineærRegression_Valg[[#Headers],[Tabel ID]])</f>
        <v>1969</v>
      </c>
      <c r="B1979" s="45">
        <f>ROUNDDOWN((LineærRegression_Valg[[#This Row],[Tabel ID]]-1)/$B$5,0)+1</f>
        <v>493</v>
      </c>
      <c r="C1979" s="45">
        <f t="shared" si="30"/>
        <v>1</v>
      </c>
      <c r="D1979" s="45" t="b">
        <f>LineærRegression_Valg[[#This Row],[Afhængig variabel ID]]&lt;&gt;LineærRegression_Valg[[#This Row],[Uafhængig variabel ID]]</f>
        <v>1</v>
      </c>
      <c r="E1979" s="45" t="b">
        <f>LineærRegression_Valg[[#This Row],[Afhængig variabel ID]]&lt;=$B$5</f>
        <v>0</v>
      </c>
      <c r="F1979" t="str" cm="1">
        <f t="array" ref="F1979">IF(LineærRegression_Valg[[#This Row],[Indenfor range]],INDEX(DataTitel_liste,LineærRegression_Valg[[#This Row],[Afhængig variabel ID]]),INDEX(DataTitel_liste,1))</f>
        <v>Eksempel 1 (interval)</v>
      </c>
      <c r="G1979" s="45" t="str" cm="1">
        <f t="array" ref="G1979">IF(LineærRegression_Valg[[#This Row],[Indenfor range]],IF(LineærRegression_Valg[[#This Row],[Intet overlap]],INDEX(DataTitel_liste,LineærRegression_Valg[[#This Row],[Uafhængig variabel ID]]),INDEX(DataTitel_liste,IF(LineærRegression_Valg[[#This Row],[Afhængig variabel ID]]=1,2,1))),$B$7)</f>
        <v>Eksempel 2 (interval)</v>
      </c>
      <c r="H1979" s="45">
        <f>_xlfn.AGGREGATE(2,5,LineærRegression_Valg[[#This Row],[Tabel ID]])</f>
        <v>1</v>
      </c>
    </row>
    <row r="1980" spans="1:8" x14ac:dyDescent="0.2">
      <c r="A1980">
        <f>ROW(LineærRegression_Valg[[#This Row],[Tabel ID]])-ROW(LineærRegression_Valg[[#Headers],[Tabel ID]])</f>
        <v>1970</v>
      </c>
      <c r="B1980" s="45">
        <f>ROUNDDOWN((LineærRegression_Valg[[#This Row],[Tabel ID]]-1)/$B$5,0)+1</f>
        <v>493</v>
      </c>
      <c r="C1980" s="45">
        <f t="shared" si="30"/>
        <v>2</v>
      </c>
      <c r="D1980" s="45" t="b">
        <f>LineærRegression_Valg[[#This Row],[Afhængig variabel ID]]&lt;&gt;LineærRegression_Valg[[#This Row],[Uafhængig variabel ID]]</f>
        <v>1</v>
      </c>
      <c r="E1980" s="45" t="b">
        <f>LineærRegression_Valg[[#This Row],[Afhængig variabel ID]]&lt;=$B$5</f>
        <v>0</v>
      </c>
      <c r="F1980" t="str" cm="1">
        <f t="array" ref="F1980">IF(LineærRegression_Valg[[#This Row],[Indenfor range]],INDEX(DataTitel_liste,LineærRegression_Valg[[#This Row],[Afhængig variabel ID]]),INDEX(DataTitel_liste,1))</f>
        <v>Eksempel 1 (interval)</v>
      </c>
      <c r="G1980" s="45" t="str" cm="1">
        <f t="array" ref="G1980">IF(LineærRegression_Valg[[#This Row],[Indenfor range]],IF(LineærRegression_Valg[[#This Row],[Intet overlap]],INDEX(DataTitel_liste,LineærRegression_Valg[[#This Row],[Uafhængig variabel ID]]),INDEX(DataTitel_liste,IF(LineærRegression_Valg[[#This Row],[Afhængig variabel ID]]=1,2,1))),$B$7)</f>
        <v>Eksempel 2 (interval)</v>
      </c>
      <c r="H1980" s="45">
        <f>_xlfn.AGGREGATE(2,5,LineærRegression_Valg[[#This Row],[Tabel ID]])</f>
        <v>1</v>
      </c>
    </row>
    <row r="1981" spans="1:8" x14ac:dyDescent="0.2">
      <c r="A1981">
        <f>ROW(LineærRegression_Valg[[#This Row],[Tabel ID]])-ROW(LineærRegression_Valg[[#Headers],[Tabel ID]])</f>
        <v>1971</v>
      </c>
      <c r="B1981" s="45">
        <f>ROUNDDOWN((LineærRegression_Valg[[#This Row],[Tabel ID]]-1)/$B$5,0)+1</f>
        <v>493</v>
      </c>
      <c r="C1981" s="45">
        <f t="shared" si="30"/>
        <v>3</v>
      </c>
      <c r="D1981" s="45" t="b">
        <f>LineærRegression_Valg[[#This Row],[Afhængig variabel ID]]&lt;&gt;LineærRegression_Valg[[#This Row],[Uafhængig variabel ID]]</f>
        <v>1</v>
      </c>
      <c r="E1981" s="45" t="b">
        <f>LineærRegression_Valg[[#This Row],[Afhængig variabel ID]]&lt;=$B$5</f>
        <v>0</v>
      </c>
      <c r="F1981" t="str" cm="1">
        <f t="array" ref="F1981">IF(LineærRegression_Valg[[#This Row],[Indenfor range]],INDEX(DataTitel_liste,LineærRegression_Valg[[#This Row],[Afhængig variabel ID]]),INDEX(DataTitel_liste,1))</f>
        <v>Eksempel 1 (interval)</v>
      </c>
      <c r="G1981" s="45" t="str" cm="1">
        <f t="array" ref="G1981">IF(LineærRegression_Valg[[#This Row],[Indenfor range]],IF(LineærRegression_Valg[[#This Row],[Intet overlap]],INDEX(DataTitel_liste,LineærRegression_Valg[[#This Row],[Uafhængig variabel ID]]),INDEX(DataTitel_liste,IF(LineærRegression_Valg[[#This Row],[Afhængig variabel ID]]=1,2,1))),$B$7)</f>
        <v>Eksempel 2 (interval)</v>
      </c>
      <c r="H1981" s="45">
        <f>_xlfn.AGGREGATE(2,5,LineærRegression_Valg[[#This Row],[Tabel ID]])</f>
        <v>1</v>
      </c>
    </row>
    <row r="1982" spans="1:8" x14ac:dyDescent="0.2">
      <c r="A1982">
        <f>ROW(LineærRegression_Valg[[#This Row],[Tabel ID]])-ROW(LineærRegression_Valg[[#Headers],[Tabel ID]])</f>
        <v>1972</v>
      </c>
      <c r="B1982" s="45">
        <f>ROUNDDOWN((LineærRegression_Valg[[#This Row],[Tabel ID]]-1)/$B$5,0)+1</f>
        <v>493</v>
      </c>
      <c r="C1982" s="45">
        <f t="shared" si="30"/>
        <v>4</v>
      </c>
      <c r="D1982" s="45" t="b">
        <f>LineærRegression_Valg[[#This Row],[Afhængig variabel ID]]&lt;&gt;LineærRegression_Valg[[#This Row],[Uafhængig variabel ID]]</f>
        <v>1</v>
      </c>
      <c r="E1982" s="45" t="b">
        <f>LineærRegression_Valg[[#This Row],[Afhængig variabel ID]]&lt;=$B$5</f>
        <v>0</v>
      </c>
      <c r="F1982" t="str" cm="1">
        <f t="array" ref="F1982">IF(LineærRegression_Valg[[#This Row],[Indenfor range]],INDEX(DataTitel_liste,LineærRegression_Valg[[#This Row],[Afhængig variabel ID]]),INDEX(DataTitel_liste,1))</f>
        <v>Eksempel 1 (interval)</v>
      </c>
      <c r="G1982" s="45" t="str" cm="1">
        <f t="array" ref="G1982">IF(LineærRegression_Valg[[#This Row],[Indenfor range]],IF(LineærRegression_Valg[[#This Row],[Intet overlap]],INDEX(DataTitel_liste,LineærRegression_Valg[[#This Row],[Uafhængig variabel ID]]),INDEX(DataTitel_liste,IF(LineærRegression_Valg[[#This Row],[Afhængig variabel ID]]=1,2,1))),$B$7)</f>
        <v>Eksempel 2 (interval)</v>
      </c>
      <c r="H1982" s="45">
        <f>_xlfn.AGGREGATE(2,5,LineærRegression_Valg[[#This Row],[Tabel ID]])</f>
        <v>1</v>
      </c>
    </row>
    <row r="1983" spans="1:8" x14ac:dyDescent="0.2">
      <c r="A1983">
        <f>ROW(LineærRegression_Valg[[#This Row],[Tabel ID]])-ROW(LineærRegression_Valg[[#Headers],[Tabel ID]])</f>
        <v>1973</v>
      </c>
      <c r="B1983" s="45">
        <f>ROUNDDOWN((LineærRegression_Valg[[#This Row],[Tabel ID]]-1)/$B$5,0)+1</f>
        <v>494</v>
      </c>
      <c r="C1983" s="45">
        <f t="shared" si="30"/>
        <v>1</v>
      </c>
      <c r="D1983" s="45" t="b">
        <f>LineærRegression_Valg[[#This Row],[Afhængig variabel ID]]&lt;&gt;LineærRegression_Valg[[#This Row],[Uafhængig variabel ID]]</f>
        <v>1</v>
      </c>
      <c r="E1983" s="45" t="b">
        <f>LineærRegression_Valg[[#This Row],[Afhængig variabel ID]]&lt;=$B$5</f>
        <v>0</v>
      </c>
      <c r="F1983" t="str" cm="1">
        <f t="array" ref="F1983">IF(LineærRegression_Valg[[#This Row],[Indenfor range]],INDEX(DataTitel_liste,LineærRegression_Valg[[#This Row],[Afhængig variabel ID]]),INDEX(DataTitel_liste,1))</f>
        <v>Eksempel 1 (interval)</v>
      </c>
      <c r="G1983" s="45" t="str" cm="1">
        <f t="array" ref="G1983">IF(LineærRegression_Valg[[#This Row],[Indenfor range]],IF(LineærRegression_Valg[[#This Row],[Intet overlap]],INDEX(DataTitel_liste,LineærRegression_Valg[[#This Row],[Uafhængig variabel ID]]),INDEX(DataTitel_liste,IF(LineærRegression_Valg[[#This Row],[Afhængig variabel ID]]=1,2,1))),$B$7)</f>
        <v>Eksempel 2 (interval)</v>
      </c>
      <c r="H1983" s="45">
        <f>_xlfn.AGGREGATE(2,5,LineærRegression_Valg[[#This Row],[Tabel ID]])</f>
        <v>1</v>
      </c>
    </row>
    <row r="1984" spans="1:8" x14ac:dyDescent="0.2">
      <c r="A1984">
        <f>ROW(LineærRegression_Valg[[#This Row],[Tabel ID]])-ROW(LineærRegression_Valg[[#Headers],[Tabel ID]])</f>
        <v>1974</v>
      </c>
      <c r="B1984" s="45">
        <f>ROUNDDOWN((LineærRegression_Valg[[#This Row],[Tabel ID]]-1)/$B$5,0)+1</f>
        <v>494</v>
      </c>
      <c r="C1984" s="45">
        <f t="shared" si="30"/>
        <v>2</v>
      </c>
      <c r="D1984" s="45" t="b">
        <f>LineærRegression_Valg[[#This Row],[Afhængig variabel ID]]&lt;&gt;LineærRegression_Valg[[#This Row],[Uafhængig variabel ID]]</f>
        <v>1</v>
      </c>
      <c r="E1984" s="45" t="b">
        <f>LineærRegression_Valg[[#This Row],[Afhængig variabel ID]]&lt;=$B$5</f>
        <v>0</v>
      </c>
      <c r="F1984" t="str" cm="1">
        <f t="array" ref="F1984">IF(LineærRegression_Valg[[#This Row],[Indenfor range]],INDEX(DataTitel_liste,LineærRegression_Valg[[#This Row],[Afhængig variabel ID]]),INDEX(DataTitel_liste,1))</f>
        <v>Eksempel 1 (interval)</v>
      </c>
      <c r="G1984" s="45" t="str" cm="1">
        <f t="array" ref="G1984">IF(LineærRegression_Valg[[#This Row],[Indenfor range]],IF(LineærRegression_Valg[[#This Row],[Intet overlap]],INDEX(DataTitel_liste,LineærRegression_Valg[[#This Row],[Uafhængig variabel ID]]),INDEX(DataTitel_liste,IF(LineærRegression_Valg[[#This Row],[Afhængig variabel ID]]=1,2,1))),$B$7)</f>
        <v>Eksempel 2 (interval)</v>
      </c>
      <c r="H1984" s="45">
        <f>_xlfn.AGGREGATE(2,5,LineærRegression_Valg[[#This Row],[Tabel ID]])</f>
        <v>1</v>
      </c>
    </row>
    <row r="1985" spans="1:8" x14ac:dyDescent="0.2">
      <c r="A1985">
        <f>ROW(LineærRegression_Valg[[#This Row],[Tabel ID]])-ROW(LineærRegression_Valg[[#Headers],[Tabel ID]])</f>
        <v>1975</v>
      </c>
      <c r="B1985" s="45">
        <f>ROUNDDOWN((LineærRegression_Valg[[#This Row],[Tabel ID]]-1)/$B$5,0)+1</f>
        <v>494</v>
      </c>
      <c r="C1985" s="45">
        <f t="shared" si="30"/>
        <v>3</v>
      </c>
      <c r="D1985" s="45" t="b">
        <f>LineærRegression_Valg[[#This Row],[Afhængig variabel ID]]&lt;&gt;LineærRegression_Valg[[#This Row],[Uafhængig variabel ID]]</f>
        <v>1</v>
      </c>
      <c r="E1985" s="45" t="b">
        <f>LineærRegression_Valg[[#This Row],[Afhængig variabel ID]]&lt;=$B$5</f>
        <v>0</v>
      </c>
      <c r="F1985" t="str" cm="1">
        <f t="array" ref="F1985">IF(LineærRegression_Valg[[#This Row],[Indenfor range]],INDEX(DataTitel_liste,LineærRegression_Valg[[#This Row],[Afhængig variabel ID]]),INDEX(DataTitel_liste,1))</f>
        <v>Eksempel 1 (interval)</v>
      </c>
      <c r="G1985" s="45" t="str" cm="1">
        <f t="array" ref="G1985">IF(LineærRegression_Valg[[#This Row],[Indenfor range]],IF(LineærRegression_Valg[[#This Row],[Intet overlap]],INDEX(DataTitel_liste,LineærRegression_Valg[[#This Row],[Uafhængig variabel ID]]),INDEX(DataTitel_liste,IF(LineærRegression_Valg[[#This Row],[Afhængig variabel ID]]=1,2,1))),$B$7)</f>
        <v>Eksempel 2 (interval)</v>
      </c>
      <c r="H1985" s="45">
        <f>_xlfn.AGGREGATE(2,5,LineærRegression_Valg[[#This Row],[Tabel ID]])</f>
        <v>1</v>
      </c>
    </row>
    <row r="1986" spans="1:8" x14ac:dyDescent="0.2">
      <c r="A1986">
        <f>ROW(LineærRegression_Valg[[#This Row],[Tabel ID]])-ROW(LineærRegression_Valg[[#Headers],[Tabel ID]])</f>
        <v>1976</v>
      </c>
      <c r="B1986" s="45">
        <f>ROUNDDOWN((LineærRegression_Valg[[#This Row],[Tabel ID]]-1)/$B$5,0)+1</f>
        <v>494</v>
      </c>
      <c r="C1986" s="45">
        <f t="shared" si="30"/>
        <v>4</v>
      </c>
      <c r="D1986" s="45" t="b">
        <f>LineærRegression_Valg[[#This Row],[Afhængig variabel ID]]&lt;&gt;LineærRegression_Valg[[#This Row],[Uafhængig variabel ID]]</f>
        <v>1</v>
      </c>
      <c r="E1986" s="45" t="b">
        <f>LineærRegression_Valg[[#This Row],[Afhængig variabel ID]]&lt;=$B$5</f>
        <v>0</v>
      </c>
      <c r="F1986" t="str" cm="1">
        <f t="array" ref="F1986">IF(LineærRegression_Valg[[#This Row],[Indenfor range]],INDEX(DataTitel_liste,LineærRegression_Valg[[#This Row],[Afhængig variabel ID]]),INDEX(DataTitel_liste,1))</f>
        <v>Eksempel 1 (interval)</v>
      </c>
      <c r="G1986" s="45" t="str" cm="1">
        <f t="array" ref="G1986">IF(LineærRegression_Valg[[#This Row],[Indenfor range]],IF(LineærRegression_Valg[[#This Row],[Intet overlap]],INDEX(DataTitel_liste,LineærRegression_Valg[[#This Row],[Uafhængig variabel ID]]),INDEX(DataTitel_liste,IF(LineærRegression_Valg[[#This Row],[Afhængig variabel ID]]=1,2,1))),$B$7)</f>
        <v>Eksempel 2 (interval)</v>
      </c>
      <c r="H1986" s="45">
        <f>_xlfn.AGGREGATE(2,5,LineærRegression_Valg[[#This Row],[Tabel ID]])</f>
        <v>1</v>
      </c>
    </row>
    <row r="1987" spans="1:8" x14ac:dyDescent="0.2">
      <c r="A1987">
        <f>ROW(LineærRegression_Valg[[#This Row],[Tabel ID]])-ROW(LineærRegression_Valg[[#Headers],[Tabel ID]])</f>
        <v>1977</v>
      </c>
      <c r="B1987" s="45">
        <f>ROUNDDOWN((LineærRegression_Valg[[#This Row],[Tabel ID]]-1)/$B$5,0)+1</f>
        <v>495</v>
      </c>
      <c r="C1987" s="45">
        <f t="shared" si="30"/>
        <v>1</v>
      </c>
      <c r="D1987" s="45" t="b">
        <f>LineærRegression_Valg[[#This Row],[Afhængig variabel ID]]&lt;&gt;LineærRegression_Valg[[#This Row],[Uafhængig variabel ID]]</f>
        <v>1</v>
      </c>
      <c r="E1987" s="45" t="b">
        <f>LineærRegression_Valg[[#This Row],[Afhængig variabel ID]]&lt;=$B$5</f>
        <v>0</v>
      </c>
      <c r="F1987" t="str" cm="1">
        <f t="array" ref="F1987">IF(LineærRegression_Valg[[#This Row],[Indenfor range]],INDEX(DataTitel_liste,LineærRegression_Valg[[#This Row],[Afhængig variabel ID]]),INDEX(DataTitel_liste,1))</f>
        <v>Eksempel 1 (interval)</v>
      </c>
      <c r="G1987" s="45" t="str" cm="1">
        <f t="array" ref="G1987">IF(LineærRegression_Valg[[#This Row],[Indenfor range]],IF(LineærRegression_Valg[[#This Row],[Intet overlap]],INDEX(DataTitel_liste,LineærRegression_Valg[[#This Row],[Uafhængig variabel ID]]),INDEX(DataTitel_liste,IF(LineærRegression_Valg[[#This Row],[Afhængig variabel ID]]=1,2,1))),$B$7)</f>
        <v>Eksempel 2 (interval)</v>
      </c>
      <c r="H1987" s="45">
        <f>_xlfn.AGGREGATE(2,5,LineærRegression_Valg[[#This Row],[Tabel ID]])</f>
        <v>1</v>
      </c>
    </row>
    <row r="1988" spans="1:8" x14ac:dyDescent="0.2">
      <c r="A1988">
        <f>ROW(LineærRegression_Valg[[#This Row],[Tabel ID]])-ROW(LineærRegression_Valg[[#Headers],[Tabel ID]])</f>
        <v>1978</v>
      </c>
      <c r="B1988" s="45">
        <f>ROUNDDOWN((LineærRegression_Valg[[#This Row],[Tabel ID]]-1)/$B$5,0)+1</f>
        <v>495</v>
      </c>
      <c r="C1988" s="45">
        <f t="shared" si="30"/>
        <v>2</v>
      </c>
      <c r="D1988" s="45" t="b">
        <f>LineærRegression_Valg[[#This Row],[Afhængig variabel ID]]&lt;&gt;LineærRegression_Valg[[#This Row],[Uafhængig variabel ID]]</f>
        <v>1</v>
      </c>
      <c r="E1988" s="45" t="b">
        <f>LineærRegression_Valg[[#This Row],[Afhængig variabel ID]]&lt;=$B$5</f>
        <v>0</v>
      </c>
      <c r="F1988" t="str" cm="1">
        <f t="array" ref="F1988">IF(LineærRegression_Valg[[#This Row],[Indenfor range]],INDEX(DataTitel_liste,LineærRegression_Valg[[#This Row],[Afhængig variabel ID]]),INDEX(DataTitel_liste,1))</f>
        <v>Eksempel 1 (interval)</v>
      </c>
      <c r="G1988" s="45" t="str" cm="1">
        <f t="array" ref="G1988">IF(LineærRegression_Valg[[#This Row],[Indenfor range]],IF(LineærRegression_Valg[[#This Row],[Intet overlap]],INDEX(DataTitel_liste,LineærRegression_Valg[[#This Row],[Uafhængig variabel ID]]),INDEX(DataTitel_liste,IF(LineærRegression_Valg[[#This Row],[Afhængig variabel ID]]=1,2,1))),$B$7)</f>
        <v>Eksempel 2 (interval)</v>
      </c>
      <c r="H1988" s="45">
        <f>_xlfn.AGGREGATE(2,5,LineærRegression_Valg[[#This Row],[Tabel ID]])</f>
        <v>1</v>
      </c>
    </row>
    <row r="1989" spans="1:8" x14ac:dyDescent="0.2">
      <c r="A1989">
        <f>ROW(LineærRegression_Valg[[#This Row],[Tabel ID]])-ROW(LineærRegression_Valg[[#Headers],[Tabel ID]])</f>
        <v>1979</v>
      </c>
      <c r="B1989" s="45">
        <f>ROUNDDOWN((LineærRegression_Valg[[#This Row],[Tabel ID]]-1)/$B$5,0)+1</f>
        <v>495</v>
      </c>
      <c r="C1989" s="45">
        <f t="shared" si="30"/>
        <v>3</v>
      </c>
      <c r="D1989" s="45" t="b">
        <f>LineærRegression_Valg[[#This Row],[Afhængig variabel ID]]&lt;&gt;LineærRegression_Valg[[#This Row],[Uafhængig variabel ID]]</f>
        <v>1</v>
      </c>
      <c r="E1989" s="45" t="b">
        <f>LineærRegression_Valg[[#This Row],[Afhængig variabel ID]]&lt;=$B$5</f>
        <v>0</v>
      </c>
      <c r="F1989" t="str" cm="1">
        <f t="array" ref="F1989">IF(LineærRegression_Valg[[#This Row],[Indenfor range]],INDEX(DataTitel_liste,LineærRegression_Valg[[#This Row],[Afhængig variabel ID]]),INDEX(DataTitel_liste,1))</f>
        <v>Eksempel 1 (interval)</v>
      </c>
      <c r="G1989" s="45" t="str" cm="1">
        <f t="array" ref="G1989">IF(LineærRegression_Valg[[#This Row],[Indenfor range]],IF(LineærRegression_Valg[[#This Row],[Intet overlap]],INDEX(DataTitel_liste,LineærRegression_Valg[[#This Row],[Uafhængig variabel ID]]),INDEX(DataTitel_liste,IF(LineærRegression_Valg[[#This Row],[Afhængig variabel ID]]=1,2,1))),$B$7)</f>
        <v>Eksempel 2 (interval)</v>
      </c>
      <c r="H1989" s="45">
        <f>_xlfn.AGGREGATE(2,5,LineærRegression_Valg[[#This Row],[Tabel ID]])</f>
        <v>1</v>
      </c>
    </row>
    <row r="1990" spans="1:8" x14ac:dyDescent="0.2">
      <c r="A1990">
        <f>ROW(LineærRegression_Valg[[#This Row],[Tabel ID]])-ROW(LineærRegression_Valg[[#Headers],[Tabel ID]])</f>
        <v>1980</v>
      </c>
      <c r="B1990" s="45">
        <f>ROUNDDOWN((LineærRegression_Valg[[#This Row],[Tabel ID]]-1)/$B$5,0)+1</f>
        <v>495</v>
      </c>
      <c r="C1990" s="45">
        <f t="shared" si="30"/>
        <v>4</v>
      </c>
      <c r="D1990" s="45" t="b">
        <f>LineærRegression_Valg[[#This Row],[Afhængig variabel ID]]&lt;&gt;LineærRegression_Valg[[#This Row],[Uafhængig variabel ID]]</f>
        <v>1</v>
      </c>
      <c r="E1990" s="45" t="b">
        <f>LineærRegression_Valg[[#This Row],[Afhængig variabel ID]]&lt;=$B$5</f>
        <v>0</v>
      </c>
      <c r="F1990" t="str" cm="1">
        <f t="array" ref="F1990">IF(LineærRegression_Valg[[#This Row],[Indenfor range]],INDEX(DataTitel_liste,LineærRegression_Valg[[#This Row],[Afhængig variabel ID]]),INDEX(DataTitel_liste,1))</f>
        <v>Eksempel 1 (interval)</v>
      </c>
      <c r="G1990" s="45" t="str" cm="1">
        <f t="array" ref="G1990">IF(LineærRegression_Valg[[#This Row],[Indenfor range]],IF(LineærRegression_Valg[[#This Row],[Intet overlap]],INDEX(DataTitel_liste,LineærRegression_Valg[[#This Row],[Uafhængig variabel ID]]),INDEX(DataTitel_liste,IF(LineærRegression_Valg[[#This Row],[Afhængig variabel ID]]=1,2,1))),$B$7)</f>
        <v>Eksempel 2 (interval)</v>
      </c>
      <c r="H1990" s="45">
        <f>_xlfn.AGGREGATE(2,5,LineærRegression_Valg[[#This Row],[Tabel ID]])</f>
        <v>1</v>
      </c>
    </row>
    <row r="1991" spans="1:8" x14ac:dyDescent="0.2">
      <c r="A1991">
        <f>ROW(LineærRegression_Valg[[#This Row],[Tabel ID]])-ROW(LineærRegression_Valg[[#Headers],[Tabel ID]])</f>
        <v>1981</v>
      </c>
      <c r="B1991" s="45">
        <f>ROUNDDOWN((LineærRegression_Valg[[#This Row],[Tabel ID]]-1)/$B$5,0)+1</f>
        <v>496</v>
      </c>
      <c r="C1991" s="45">
        <f t="shared" si="30"/>
        <v>1</v>
      </c>
      <c r="D1991" s="45" t="b">
        <f>LineærRegression_Valg[[#This Row],[Afhængig variabel ID]]&lt;&gt;LineærRegression_Valg[[#This Row],[Uafhængig variabel ID]]</f>
        <v>1</v>
      </c>
      <c r="E1991" s="45" t="b">
        <f>LineærRegression_Valg[[#This Row],[Afhængig variabel ID]]&lt;=$B$5</f>
        <v>0</v>
      </c>
      <c r="F1991" t="str" cm="1">
        <f t="array" ref="F1991">IF(LineærRegression_Valg[[#This Row],[Indenfor range]],INDEX(DataTitel_liste,LineærRegression_Valg[[#This Row],[Afhængig variabel ID]]),INDEX(DataTitel_liste,1))</f>
        <v>Eksempel 1 (interval)</v>
      </c>
      <c r="G1991" s="45" t="str" cm="1">
        <f t="array" ref="G1991">IF(LineærRegression_Valg[[#This Row],[Indenfor range]],IF(LineærRegression_Valg[[#This Row],[Intet overlap]],INDEX(DataTitel_liste,LineærRegression_Valg[[#This Row],[Uafhængig variabel ID]]),INDEX(DataTitel_liste,IF(LineærRegression_Valg[[#This Row],[Afhængig variabel ID]]=1,2,1))),$B$7)</f>
        <v>Eksempel 2 (interval)</v>
      </c>
      <c r="H1991" s="45">
        <f>_xlfn.AGGREGATE(2,5,LineærRegression_Valg[[#This Row],[Tabel ID]])</f>
        <v>1</v>
      </c>
    </row>
    <row r="1992" spans="1:8" x14ac:dyDescent="0.2">
      <c r="A1992">
        <f>ROW(LineærRegression_Valg[[#This Row],[Tabel ID]])-ROW(LineærRegression_Valg[[#Headers],[Tabel ID]])</f>
        <v>1982</v>
      </c>
      <c r="B1992" s="45">
        <f>ROUNDDOWN((LineærRegression_Valg[[#This Row],[Tabel ID]]-1)/$B$5,0)+1</f>
        <v>496</v>
      </c>
      <c r="C1992" s="45">
        <f t="shared" si="30"/>
        <v>2</v>
      </c>
      <c r="D1992" s="45" t="b">
        <f>LineærRegression_Valg[[#This Row],[Afhængig variabel ID]]&lt;&gt;LineærRegression_Valg[[#This Row],[Uafhængig variabel ID]]</f>
        <v>1</v>
      </c>
      <c r="E1992" s="45" t="b">
        <f>LineærRegression_Valg[[#This Row],[Afhængig variabel ID]]&lt;=$B$5</f>
        <v>0</v>
      </c>
      <c r="F1992" t="str" cm="1">
        <f t="array" ref="F1992">IF(LineærRegression_Valg[[#This Row],[Indenfor range]],INDEX(DataTitel_liste,LineærRegression_Valg[[#This Row],[Afhængig variabel ID]]),INDEX(DataTitel_liste,1))</f>
        <v>Eksempel 1 (interval)</v>
      </c>
      <c r="G1992" s="45" t="str" cm="1">
        <f t="array" ref="G1992">IF(LineærRegression_Valg[[#This Row],[Indenfor range]],IF(LineærRegression_Valg[[#This Row],[Intet overlap]],INDEX(DataTitel_liste,LineærRegression_Valg[[#This Row],[Uafhængig variabel ID]]),INDEX(DataTitel_liste,IF(LineærRegression_Valg[[#This Row],[Afhængig variabel ID]]=1,2,1))),$B$7)</f>
        <v>Eksempel 2 (interval)</v>
      </c>
      <c r="H1992" s="45">
        <f>_xlfn.AGGREGATE(2,5,LineærRegression_Valg[[#This Row],[Tabel ID]])</f>
        <v>1</v>
      </c>
    </row>
    <row r="1993" spans="1:8" x14ac:dyDescent="0.2">
      <c r="A1993">
        <f>ROW(LineærRegression_Valg[[#This Row],[Tabel ID]])-ROW(LineærRegression_Valg[[#Headers],[Tabel ID]])</f>
        <v>1983</v>
      </c>
      <c r="B1993" s="45">
        <f>ROUNDDOWN((LineærRegression_Valg[[#This Row],[Tabel ID]]-1)/$B$5,0)+1</f>
        <v>496</v>
      </c>
      <c r="C1993" s="45">
        <f t="shared" si="30"/>
        <v>3</v>
      </c>
      <c r="D1993" s="45" t="b">
        <f>LineærRegression_Valg[[#This Row],[Afhængig variabel ID]]&lt;&gt;LineærRegression_Valg[[#This Row],[Uafhængig variabel ID]]</f>
        <v>1</v>
      </c>
      <c r="E1993" s="45" t="b">
        <f>LineærRegression_Valg[[#This Row],[Afhængig variabel ID]]&lt;=$B$5</f>
        <v>0</v>
      </c>
      <c r="F1993" t="str" cm="1">
        <f t="array" ref="F1993">IF(LineærRegression_Valg[[#This Row],[Indenfor range]],INDEX(DataTitel_liste,LineærRegression_Valg[[#This Row],[Afhængig variabel ID]]),INDEX(DataTitel_liste,1))</f>
        <v>Eksempel 1 (interval)</v>
      </c>
      <c r="G1993" s="45" t="str" cm="1">
        <f t="array" ref="G1993">IF(LineærRegression_Valg[[#This Row],[Indenfor range]],IF(LineærRegression_Valg[[#This Row],[Intet overlap]],INDEX(DataTitel_liste,LineærRegression_Valg[[#This Row],[Uafhængig variabel ID]]),INDEX(DataTitel_liste,IF(LineærRegression_Valg[[#This Row],[Afhængig variabel ID]]=1,2,1))),$B$7)</f>
        <v>Eksempel 2 (interval)</v>
      </c>
      <c r="H1993" s="45">
        <f>_xlfn.AGGREGATE(2,5,LineærRegression_Valg[[#This Row],[Tabel ID]])</f>
        <v>1</v>
      </c>
    </row>
    <row r="1994" spans="1:8" x14ac:dyDescent="0.2">
      <c r="A1994">
        <f>ROW(LineærRegression_Valg[[#This Row],[Tabel ID]])-ROW(LineærRegression_Valg[[#Headers],[Tabel ID]])</f>
        <v>1984</v>
      </c>
      <c r="B1994" s="45">
        <f>ROUNDDOWN((LineærRegression_Valg[[#This Row],[Tabel ID]]-1)/$B$5,0)+1</f>
        <v>496</v>
      </c>
      <c r="C1994" s="45">
        <f t="shared" si="30"/>
        <v>4</v>
      </c>
      <c r="D1994" s="45" t="b">
        <f>LineærRegression_Valg[[#This Row],[Afhængig variabel ID]]&lt;&gt;LineærRegression_Valg[[#This Row],[Uafhængig variabel ID]]</f>
        <v>1</v>
      </c>
      <c r="E1994" s="45" t="b">
        <f>LineærRegression_Valg[[#This Row],[Afhængig variabel ID]]&lt;=$B$5</f>
        <v>0</v>
      </c>
      <c r="F1994" t="str" cm="1">
        <f t="array" ref="F1994">IF(LineærRegression_Valg[[#This Row],[Indenfor range]],INDEX(DataTitel_liste,LineærRegression_Valg[[#This Row],[Afhængig variabel ID]]),INDEX(DataTitel_liste,1))</f>
        <v>Eksempel 1 (interval)</v>
      </c>
      <c r="G1994" s="45" t="str" cm="1">
        <f t="array" ref="G1994">IF(LineærRegression_Valg[[#This Row],[Indenfor range]],IF(LineærRegression_Valg[[#This Row],[Intet overlap]],INDEX(DataTitel_liste,LineærRegression_Valg[[#This Row],[Uafhængig variabel ID]]),INDEX(DataTitel_liste,IF(LineærRegression_Valg[[#This Row],[Afhængig variabel ID]]=1,2,1))),$B$7)</f>
        <v>Eksempel 2 (interval)</v>
      </c>
      <c r="H1994" s="45">
        <f>_xlfn.AGGREGATE(2,5,LineærRegression_Valg[[#This Row],[Tabel ID]])</f>
        <v>1</v>
      </c>
    </row>
    <row r="1995" spans="1:8" x14ac:dyDescent="0.2">
      <c r="A1995">
        <f>ROW(LineærRegression_Valg[[#This Row],[Tabel ID]])-ROW(LineærRegression_Valg[[#Headers],[Tabel ID]])</f>
        <v>1985</v>
      </c>
      <c r="B1995" s="45">
        <f>ROUNDDOWN((LineærRegression_Valg[[#This Row],[Tabel ID]]-1)/$B$5,0)+1</f>
        <v>497</v>
      </c>
      <c r="C1995" s="45">
        <f t="shared" ref="C1995:C2058" si="31">MOD(A1995-1,$B$5)+1</f>
        <v>1</v>
      </c>
      <c r="D1995" s="45" t="b">
        <f>LineærRegression_Valg[[#This Row],[Afhængig variabel ID]]&lt;&gt;LineærRegression_Valg[[#This Row],[Uafhængig variabel ID]]</f>
        <v>1</v>
      </c>
      <c r="E1995" s="45" t="b">
        <f>LineærRegression_Valg[[#This Row],[Afhængig variabel ID]]&lt;=$B$5</f>
        <v>0</v>
      </c>
      <c r="F1995" t="str" cm="1">
        <f t="array" ref="F1995">IF(LineærRegression_Valg[[#This Row],[Indenfor range]],INDEX(DataTitel_liste,LineærRegression_Valg[[#This Row],[Afhængig variabel ID]]),INDEX(DataTitel_liste,1))</f>
        <v>Eksempel 1 (interval)</v>
      </c>
      <c r="G1995" s="45" t="str" cm="1">
        <f t="array" ref="G1995">IF(LineærRegression_Valg[[#This Row],[Indenfor range]],IF(LineærRegression_Valg[[#This Row],[Intet overlap]],INDEX(DataTitel_liste,LineærRegression_Valg[[#This Row],[Uafhængig variabel ID]]),INDEX(DataTitel_liste,IF(LineærRegression_Valg[[#This Row],[Afhængig variabel ID]]=1,2,1))),$B$7)</f>
        <v>Eksempel 2 (interval)</v>
      </c>
      <c r="H1995" s="45">
        <f>_xlfn.AGGREGATE(2,5,LineærRegression_Valg[[#This Row],[Tabel ID]])</f>
        <v>1</v>
      </c>
    </row>
    <row r="1996" spans="1:8" x14ac:dyDescent="0.2">
      <c r="A1996">
        <f>ROW(LineærRegression_Valg[[#This Row],[Tabel ID]])-ROW(LineærRegression_Valg[[#Headers],[Tabel ID]])</f>
        <v>1986</v>
      </c>
      <c r="B1996" s="45">
        <f>ROUNDDOWN((LineærRegression_Valg[[#This Row],[Tabel ID]]-1)/$B$5,0)+1</f>
        <v>497</v>
      </c>
      <c r="C1996" s="45">
        <f t="shared" si="31"/>
        <v>2</v>
      </c>
      <c r="D1996" s="45" t="b">
        <f>LineærRegression_Valg[[#This Row],[Afhængig variabel ID]]&lt;&gt;LineærRegression_Valg[[#This Row],[Uafhængig variabel ID]]</f>
        <v>1</v>
      </c>
      <c r="E1996" s="45" t="b">
        <f>LineærRegression_Valg[[#This Row],[Afhængig variabel ID]]&lt;=$B$5</f>
        <v>0</v>
      </c>
      <c r="F1996" t="str" cm="1">
        <f t="array" ref="F1996">IF(LineærRegression_Valg[[#This Row],[Indenfor range]],INDEX(DataTitel_liste,LineærRegression_Valg[[#This Row],[Afhængig variabel ID]]),INDEX(DataTitel_liste,1))</f>
        <v>Eksempel 1 (interval)</v>
      </c>
      <c r="G1996" s="45" t="str" cm="1">
        <f t="array" ref="G1996">IF(LineærRegression_Valg[[#This Row],[Indenfor range]],IF(LineærRegression_Valg[[#This Row],[Intet overlap]],INDEX(DataTitel_liste,LineærRegression_Valg[[#This Row],[Uafhængig variabel ID]]),INDEX(DataTitel_liste,IF(LineærRegression_Valg[[#This Row],[Afhængig variabel ID]]=1,2,1))),$B$7)</f>
        <v>Eksempel 2 (interval)</v>
      </c>
      <c r="H1996" s="45">
        <f>_xlfn.AGGREGATE(2,5,LineærRegression_Valg[[#This Row],[Tabel ID]])</f>
        <v>1</v>
      </c>
    </row>
    <row r="1997" spans="1:8" x14ac:dyDescent="0.2">
      <c r="A1997">
        <f>ROW(LineærRegression_Valg[[#This Row],[Tabel ID]])-ROW(LineærRegression_Valg[[#Headers],[Tabel ID]])</f>
        <v>1987</v>
      </c>
      <c r="B1997" s="45">
        <f>ROUNDDOWN((LineærRegression_Valg[[#This Row],[Tabel ID]]-1)/$B$5,0)+1</f>
        <v>497</v>
      </c>
      <c r="C1997" s="45">
        <f t="shared" si="31"/>
        <v>3</v>
      </c>
      <c r="D1997" s="45" t="b">
        <f>LineærRegression_Valg[[#This Row],[Afhængig variabel ID]]&lt;&gt;LineærRegression_Valg[[#This Row],[Uafhængig variabel ID]]</f>
        <v>1</v>
      </c>
      <c r="E1997" s="45" t="b">
        <f>LineærRegression_Valg[[#This Row],[Afhængig variabel ID]]&lt;=$B$5</f>
        <v>0</v>
      </c>
      <c r="F1997" t="str" cm="1">
        <f t="array" ref="F1997">IF(LineærRegression_Valg[[#This Row],[Indenfor range]],INDEX(DataTitel_liste,LineærRegression_Valg[[#This Row],[Afhængig variabel ID]]),INDEX(DataTitel_liste,1))</f>
        <v>Eksempel 1 (interval)</v>
      </c>
      <c r="G1997" s="45" t="str" cm="1">
        <f t="array" ref="G1997">IF(LineærRegression_Valg[[#This Row],[Indenfor range]],IF(LineærRegression_Valg[[#This Row],[Intet overlap]],INDEX(DataTitel_liste,LineærRegression_Valg[[#This Row],[Uafhængig variabel ID]]),INDEX(DataTitel_liste,IF(LineærRegression_Valg[[#This Row],[Afhængig variabel ID]]=1,2,1))),$B$7)</f>
        <v>Eksempel 2 (interval)</v>
      </c>
      <c r="H1997" s="45">
        <f>_xlfn.AGGREGATE(2,5,LineærRegression_Valg[[#This Row],[Tabel ID]])</f>
        <v>1</v>
      </c>
    </row>
    <row r="1998" spans="1:8" x14ac:dyDescent="0.2">
      <c r="A1998">
        <f>ROW(LineærRegression_Valg[[#This Row],[Tabel ID]])-ROW(LineærRegression_Valg[[#Headers],[Tabel ID]])</f>
        <v>1988</v>
      </c>
      <c r="B1998" s="45">
        <f>ROUNDDOWN((LineærRegression_Valg[[#This Row],[Tabel ID]]-1)/$B$5,0)+1</f>
        <v>497</v>
      </c>
      <c r="C1998" s="45">
        <f t="shared" si="31"/>
        <v>4</v>
      </c>
      <c r="D1998" s="45" t="b">
        <f>LineærRegression_Valg[[#This Row],[Afhængig variabel ID]]&lt;&gt;LineærRegression_Valg[[#This Row],[Uafhængig variabel ID]]</f>
        <v>1</v>
      </c>
      <c r="E1998" s="45" t="b">
        <f>LineærRegression_Valg[[#This Row],[Afhængig variabel ID]]&lt;=$B$5</f>
        <v>0</v>
      </c>
      <c r="F1998" t="str" cm="1">
        <f t="array" ref="F1998">IF(LineærRegression_Valg[[#This Row],[Indenfor range]],INDEX(DataTitel_liste,LineærRegression_Valg[[#This Row],[Afhængig variabel ID]]),INDEX(DataTitel_liste,1))</f>
        <v>Eksempel 1 (interval)</v>
      </c>
      <c r="G1998" s="45" t="str" cm="1">
        <f t="array" ref="G1998">IF(LineærRegression_Valg[[#This Row],[Indenfor range]],IF(LineærRegression_Valg[[#This Row],[Intet overlap]],INDEX(DataTitel_liste,LineærRegression_Valg[[#This Row],[Uafhængig variabel ID]]),INDEX(DataTitel_liste,IF(LineærRegression_Valg[[#This Row],[Afhængig variabel ID]]=1,2,1))),$B$7)</f>
        <v>Eksempel 2 (interval)</v>
      </c>
      <c r="H1998" s="45">
        <f>_xlfn.AGGREGATE(2,5,LineærRegression_Valg[[#This Row],[Tabel ID]])</f>
        <v>1</v>
      </c>
    </row>
    <row r="1999" spans="1:8" x14ac:dyDescent="0.2">
      <c r="A1999">
        <f>ROW(LineærRegression_Valg[[#This Row],[Tabel ID]])-ROW(LineærRegression_Valg[[#Headers],[Tabel ID]])</f>
        <v>1989</v>
      </c>
      <c r="B1999" s="45">
        <f>ROUNDDOWN((LineærRegression_Valg[[#This Row],[Tabel ID]]-1)/$B$5,0)+1</f>
        <v>498</v>
      </c>
      <c r="C1999" s="45">
        <f t="shared" si="31"/>
        <v>1</v>
      </c>
      <c r="D1999" s="45" t="b">
        <f>LineærRegression_Valg[[#This Row],[Afhængig variabel ID]]&lt;&gt;LineærRegression_Valg[[#This Row],[Uafhængig variabel ID]]</f>
        <v>1</v>
      </c>
      <c r="E1999" s="45" t="b">
        <f>LineærRegression_Valg[[#This Row],[Afhængig variabel ID]]&lt;=$B$5</f>
        <v>0</v>
      </c>
      <c r="F1999" t="str" cm="1">
        <f t="array" ref="F1999">IF(LineærRegression_Valg[[#This Row],[Indenfor range]],INDEX(DataTitel_liste,LineærRegression_Valg[[#This Row],[Afhængig variabel ID]]),INDEX(DataTitel_liste,1))</f>
        <v>Eksempel 1 (interval)</v>
      </c>
      <c r="G1999" s="45" t="str" cm="1">
        <f t="array" ref="G1999">IF(LineærRegression_Valg[[#This Row],[Indenfor range]],IF(LineærRegression_Valg[[#This Row],[Intet overlap]],INDEX(DataTitel_liste,LineærRegression_Valg[[#This Row],[Uafhængig variabel ID]]),INDEX(DataTitel_liste,IF(LineærRegression_Valg[[#This Row],[Afhængig variabel ID]]=1,2,1))),$B$7)</f>
        <v>Eksempel 2 (interval)</v>
      </c>
      <c r="H1999" s="45">
        <f>_xlfn.AGGREGATE(2,5,LineærRegression_Valg[[#This Row],[Tabel ID]])</f>
        <v>1</v>
      </c>
    </row>
    <row r="2000" spans="1:8" x14ac:dyDescent="0.2">
      <c r="A2000">
        <f>ROW(LineærRegression_Valg[[#This Row],[Tabel ID]])-ROW(LineærRegression_Valg[[#Headers],[Tabel ID]])</f>
        <v>1990</v>
      </c>
      <c r="B2000" s="45">
        <f>ROUNDDOWN((LineærRegression_Valg[[#This Row],[Tabel ID]]-1)/$B$5,0)+1</f>
        <v>498</v>
      </c>
      <c r="C2000" s="45">
        <f t="shared" si="31"/>
        <v>2</v>
      </c>
      <c r="D2000" s="45" t="b">
        <f>LineærRegression_Valg[[#This Row],[Afhængig variabel ID]]&lt;&gt;LineærRegression_Valg[[#This Row],[Uafhængig variabel ID]]</f>
        <v>1</v>
      </c>
      <c r="E2000" s="45" t="b">
        <f>LineærRegression_Valg[[#This Row],[Afhængig variabel ID]]&lt;=$B$5</f>
        <v>0</v>
      </c>
      <c r="F2000" t="str" cm="1">
        <f t="array" ref="F2000">IF(LineærRegression_Valg[[#This Row],[Indenfor range]],INDEX(DataTitel_liste,LineærRegression_Valg[[#This Row],[Afhængig variabel ID]]),INDEX(DataTitel_liste,1))</f>
        <v>Eksempel 1 (interval)</v>
      </c>
      <c r="G2000" s="45" t="str" cm="1">
        <f t="array" ref="G2000">IF(LineærRegression_Valg[[#This Row],[Indenfor range]],IF(LineærRegression_Valg[[#This Row],[Intet overlap]],INDEX(DataTitel_liste,LineærRegression_Valg[[#This Row],[Uafhængig variabel ID]]),INDEX(DataTitel_liste,IF(LineærRegression_Valg[[#This Row],[Afhængig variabel ID]]=1,2,1))),$B$7)</f>
        <v>Eksempel 2 (interval)</v>
      </c>
      <c r="H2000" s="45">
        <f>_xlfn.AGGREGATE(2,5,LineærRegression_Valg[[#This Row],[Tabel ID]])</f>
        <v>1</v>
      </c>
    </row>
    <row r="2001" spans="1:8" x14ac:dyDescent="0.2">
      <c r="A2001">
        <f>ROW(LineærRegression_Valg[[#This Row],[Tabel ID]])-ROW(LineærRegression_Valg[[#Headers],[Tabel ID]])</f>
        <v>1991</v>
      </c>
      <c r="B2001" s="45">
        <f>ROUNDDOWN((LineærRegression_Valg[[#This Row],[Tabel ID]]-1)/$B$5,0)+1</f>
        <v>498</v>
      </c>
      <c r="C2001" s="45">
        <f t="shared" si="31"/>
        <v>3</v>
      </c>
      <c r="D2001" s="45" t="b">
        <f>LineærRegression_Valg[[#This Row],[Afhængig variabel ID]]&lt;&gt;LineærRegression_Valg[[#This Row],[Uafhængig variabel ID]]</f>
        <v>1</v>
      </c>
      <c r="E2001" s="45" t="b">
        <f>LineærRegression_Valg[[#This Row],[Afhængig variabel ID]]&lt;=$B$5</f>
        <v>0</v>
      </c>
      <c r="F2001" t="str" cm="1">
        <f t="array" ref="F2001">IF(LineærRegression_Valg[[#This Row],[Indenfor range]],INDEX(DataTitel_liste,LineærRegression_Valg[[#This Row],[Afhængig variabel ID]]),INDEX(DataTitel_liste,1))</f>
        <v>Eksempel 1 (interval)</v>
      </c>
      <c r="G2001" s="45" t="str" cm="1">
        <f t="array" ref="G2001">IF(LineærRegression_Valg[[#This Row],[Indenfor range]],IF(LineærRegression_Valg[[#This Row],[Intet overlap]],INDEX(DataTitel_liste,LineærRegression_Valg[[#This Row],[Uafhængig variabel ID]]),INDEX(DataTitel_liste,IF(LineærRegression_Valg[[#This Row],[Afhængig variabel ID]]=1,2,1))),$B$7)</f>
        <v>Eksempel 2 (interval)</v>
      </c>
      <c r="H2001" s="45">
        <f>_xlfn.AGGREGATE(2,5,LineærRegression_Valg[[#This Row],[Tabel ID]])</f>
        <v>1</v>
      </c>
    </row>
    <row r="2002" spans="1:8" x14ac:dyDescent="0.2">
      <c r="A2002">
        <f>ROW(LineærRegression_Valg[[#This Row],[Tabel ID]])-ROW(LineærRegression_Valg[[#Headers],[Tabel ID]])</f>
        <v>1992</v>
      </c>
      <c r="B2002" s="45">
        <f>ROUNDDOWN((LineærRegression_Valg[[#This Row],[Tabel ID]]-1)/$B$5,0)+1</f>
        <v>498</v>
      </c>
      <c r="C2002" s="45">
        <f t="shared" si="31"/>
        <v>4</v>
      </c>
      <c r="D2002" s="45" t="b">
        <f>LineærRegression_Valg[[#This Row],[Afhængig variabel ID]]&lt;&gt;LineærRegression_Valg[[#This Row],[Uafhængig variabel ID]]</f>
        <v>1</v>
      </c>
      <c r="E2002" s="45" t="b">
        <f>LineærRegression_Valg[[#This Row],[Afhængig variabel ID]]&lt;=$B$5</f>
        <v>0</v>
      </c>
      <c r="F2002" t="str" cm="1">
        <f t="array" ref="F2002">IF(LineærRegression_Valg[[#This Row],[Indenfor range]],INDEX(DataTitel_liste,LineærRegression_Valg[[#This Row],[Afhængig variabel ID]]),INDEX(DataTitel_liste,1))</f>
        <v>Eksempel 1 (interval)</v>
      </c>
      <c r="G2002" s="45" t="str" cm="1">
        <f t="array" ref="G2002">IF(LineærRegression_Valg[[#This Row],[Indenfor range]],IF(LineærRegression_Valg[[#This Row],[Intet overlap]],INDEX(DataTitel_liste,LineærRegression_Valg[[#This Row],[Uafhængig variabel ID]]),INDEX(DataTitel_liste,IF(LineærRegression_Valg[[#This Row],[Afhængig variabel ID]]=1,2,1))),$B$7)</f>
        <v>Eksempel 2 (interval)</v>
      </c>
      <c r="H2002" s="45">
        <f>_xlfn.AGGREGATE(2,5,LineærRegression_Valg[[#This Row],[Tabel ID]])</f>
        <v>1</v>
      </c>
    </row>
    <row r="2003" spans="1:8" x14ac:dyDescent="0.2">
      <c r="A2003">
        <f>ROW(LineærRegression_Valg[[#This Row],[Tabel ID]])-ROW(LineærRegression_Valg[[#Headers],[Tabel ID]])</f>
        <v>1993</v>
      </c>
      <c r="B2003" s="45">
        <f>ROUNDDOWN((LineærRegression_Valg[[#This Row],[Tabel ID]]-1)/$B$5,0)+1</f>
        <v>499</v>
      </c>
      <c r="C2003" s="45">
        <f t="shared" si="31"/>
        <v>1</v>
      </c>
      <c r="D2003" s="45" t="b">
        <f>LineærRegression_Valg[[#This Row],[Afhængig variabel ID]]&lt;&gt;LineærRegression_Valg[[#This Row],[Uafhængig variabel ID]]</f>
        <v>1</v>
      </c>
      <c r="E2003" s="45" t="b">
        <f>LineærRegression_Valg[[#This Row],[Afhængig variabel ID]]&lt;=$B$5</f>
        <v>0</v>
      </c>
      <c r="F2003" t="str" cm="1">
        <f t="array" ref="F2003">IF(LineærRegression_Valg[[#This Row],[Indenfor range]],INDEX(DataTitel_liste,LineærRegression_Valg[[#This Row],[Afhængig variabel ID]]),INDEX(DataTitel_liste,1))</f>
        <v>Eksempel 1 (interval)</v>
      </c>
      <c r="G2003" s="45" t="str" cm="1">
        <f t="array" ref="G2003">IF(LineærRegression_Valg[[#This Row],[Indenfor range]],IF(LineærRegression_Valg[[#This Row],[Intet overlap]],INDEX(DataTitel_liste,LineærRegression_Valg[[#This Row],[Uafhængig variabel ID]]),INDEX(DataTitel_liste,IF(LineærRegression_Valg[[#This Row],[Afhængig variabel ID]]=1,2,1))),$B$7)</f>
        <v>Eksempel 2 (interval)</v>
      </c>
      <c r="H2003" s="45">
        <f>_xlfn.AGGREGATE(2,5,LineærRegression_Valg[[#This Row],[Tabel ID]])</f>
        <v>1</v>
      </c>
    </row>
    <row r="2004" spans="1:8" x14ac:dyDescent="0.2">
      <c r="A2004">
        <f>ROW(LineærRegression_Valg[[#This Row],[Tabel ID]])-ROW(LineærRegression_Valg[[#Headers],[Tabel ID]])</f>
        <v>1994</v>
      </c>
      <c r="B2004" s="45">
        <f>ROUNDDOWN((LineærRegression_Valg[[#This Row],[Tabel ID]]-1)/$B$5,0)+1</f>
        <v>499</v>
      </c>
      <c r="C2004" s="45">
        <f t="shared" si="31"/>
        <v>2</v>
      </c>
      <c r="D2004" s="45" t="b">
        <f>LineærRegression_Valg[[#This Row],[Afhængig variabel ID]]&lt;&gt;LineærRegression_Valg[[#This Row],[Uafhængig variabel ID]]</f>
        <v>1</v>
      </c>
      <c r="E2004" s="45" t="b">
        <f>LineærRegression_Valg[[#This Row],[Afhængig variabel ID]]&lt;=$B$5</f>
        <v>0</v>
      </c>
      <c r="F2004" t="str" cm="1">
        <f t="array" ref="F2004">IF(LineærRegression_Valg[[#This Row],[Indenfor range]],INDEX(DataTitel_liste,LineærRegression_Valg[[#This Row],[Afhængig variabel ID]]),INDEX(DataTitel_liste,1))</f>
        <v>Eksempel 1 (interval)</v>
      </c>
      <c r="G2004" s="45" t="str" cm="1">
        <f t="array" ref="G2004">IF(LineærRegression_Valg[[#This Row],[Indenfor range]],IF(LineærRegression_Valg[[#This Row],[Intet overlap]],INDEX(DataTitel_liste,LineærRegression_Valg[[#This Row],[Uafhængig variabel ID]]),INDEX(DataTitel_liste,IF(LineærRegression_Valg[[#This Row],[Afhængig variabel ID]]=1,2,1))),$B$7)</f>
        <v>Eksempel 2 (interval)</v>
      </c>
      <c r="H2004" s="45">
        <f>_xlfn.AGGREGATE(2,5,LineærRegression_Valg[[#This Row],[Tabel ID]])</f>
        <v>1</v>
      </c>
    </row>
    <row r="2005" spans="1:8" x14ac:dyDescent="0.2">
      <c r="A2005">
        <f>ROW(LineærRegression_Valg[[#This Row],[Tabel ID]])-ROW(LineærRegression_Valg[[#Headers],[Tabel ID]])</f>
        <v>1995</v>
      </c>
      <c r="B2005" s="45">
        <f>ROUNDDOWN((LineærRegression_Valg[[#This Row],[Tabel ID]]-1)/$B$5,0)+1</f>
        <v>499</v>
      </c>
      <c r="C2005" s="45">
        <f t="shared" si="31"/>
        <v>3</v>
      </c>
      <c r="D2005" s="45" t="b">
        <f>LineærRegression_Valg[[#This Row],[Afhængig variabel ID]]&lt;&gt;LineærRegression_Valg[[#This Row],[Uafhængig variabel ID]]</f>
        <v>1</v>
      </c>
      <c r="E2005" s="45" t="b">
        <f>LineærRegression_Valg[[#This Row],[Afhængig variabel ID]]&lt;=$B$5</f>
        <v>0</v>
      </c>
      <c r="F2005" t="str" cm="1">
        <f t="array" ref="F2005">IF(LineærRegression_Valg[[#This Row],[Indenfor range]],INDEX(DataTitel_liste,LineærRegression_Valg[[#This Row],[Afhængig variabel ID]]),INDEX(DataTitel_liste,1))</f>
        <v>Eksempel 1 (interval)</v>
      </c>
      <c r="G2005" s="45" t="str" cm="1">
        <f t="array" ref="G2005">IF(LineærRegression_Valg[[#This Row],[Indenfor range]],IF(LineærRegression_Valg[[#This Row],[Intet overlap]],INDEX(DataTitel_liste,LineærRegression_Valg[[#This Row],[Uafhængig variabel ID]]),INDEX(DataTitel_liste,IF(LineærRegression_Valg[[#This Row],[Afhængig variabel ID]]=1,2,1))),$B$7)</f>
        <v>Eksempel 2 (interval)</v>
      </c>
      <c r="H2005" s="45">
        <f>_xlfn.AGGREGATE(2,5,LineærRegression_Valg[[#This Row],[Tabel ID]])</f>
        <v>1</v>
      </c>
    </row>
    <row r="2006" spans="1:8" x14ac:dyDescent="0.2">
      <c r="A2006">
        <f>ROW(LineærRegression_Valg[[#This Row],[Tabel ID]])-ROW(LineærRegression_Valg[[#Headers],[Tabel ID]])</f>
        <v>1996</v>
      </c>
      <c r="B2006" s="45">
        <f>ROUNDDOWN((LineærRegression_Valg[[#This Row],[Tabel ID]]-1)/$B$5,0)+1</f>
        <v>499</v>
      </c>
      <c r="C2006" s="45">
        <f t="shared" si="31"/>
        <v>4</v>
      </c>
      <c r="D2006" s="45" t="b">
        <f>LineærRegression_Valg[[#This Row],[Afhængig variabel ID]]&lt;&gt;LineærRegression_Valg[[#This Row],[Uafhængig variabel ID]]</f>
        <v>1</v>
      </c>
      <c r="E2006" s="45" t="b">
        <f>LineærRegression_Valg[[#This Row],[Afhængig variabel ID]]&lt;=$B$5</f>
        <v>0</v>
      </c>
      <c r="F2006" t="str" cm="1">
        <f t="array" ref="F2006">IF(LineærRegression_Valg[[#This Row],[Indenfor range]],INDEX(DataTitel_liste,LineærRegression_Valg[[#This Row],[Afhængig variabel ID]]),INDEX(DataTitel_liste,1))</f>
        <v>Eksempel 1 (interval)</v>
      </c>
      <c r="G2006" s="45" t="str" cm="1">
        <f t="array" ref="G2006">IF(LineærRegression_Valg[[#This Row],[Indenfor range]],IF(LineærRegression_Valg[[#This Row],[Intet overlap]],INDEX(DataTitel_liste,LineærRegression_Valg[[#This Row],[Uafhængig variabel ID]]),INDEX(DataTitel_liste,IF(LineærRegression_Valg[[#This Row],[Afhængig variabel ID]]=1,2,1))),$B$7)</f>
        <v>Eksempel 2 (interval)</v>
      </c>
      <c r="H2006" s="45">
        <f>_xlfn.AGGREGATE(2,5,LineærRegression_Valg[[#This Row],[Tabel ID]])</f>
        <v>1</v>
      </c>
    </row>
    <row r="2007" spans="1:8" x14ac:dyDescent="0.2">
      <c r="A2007">
        <f>ROW(LineærRegression_Valg[[#This Row],[Tabel ID]])-ROW(LineærRegression_Valg[[#Headers],[Tabel ID]])</f>
        <v>1997</v>
      </c>
      <c r="B2007" s="45">
        <f>ROUNDDOWN((LineærRegression_Valg[[#This Row],[Tabel ID]]-1)/$B$5,0)+1</f>
        <v>500</v>
      </c>
      <c r="C2007" s="45">
        <f t="shared" si="31"/>
        <v>1</v>
      </c>
      <c r="D2007" s="45" t="b">
        <f>LineærRegression_Valg[[#This Row],[Afhængig variabel ID]]&lt;&gt;LineærRegression_Valg[[#This Row],[Uafhængig variabel ID]]</f>
        <v>1</v>
      </c>
      <c r="E2007" s="45" t="b">
        <f>LineærRegression_Valg[[#This Row],[Afhængig variabel ID]]&lt;=$B$5</f>
        <v>0</v>
      </c>
      <c r="F2007" t="str" cm="1">
        <f t="array" ref="F2007">IF(LineærRegression_Valg[[#This Row],[Indenfor range]],INDEX(DataTitel_liste,LineærRegression_Valg[[#This Row],[Afhængig variabel ID]]),INDEX(DataTitel_liste,1))</f>
        <v>Eksempel 1 (interval)</v>
      </c>
      <c r="G2007" s="45" t="str" cm="1">
        <f t="array" ref="G2007">IF(LineærRegression_Valg[[#This Row],[Indenfor range]],IF(LineærRegression_Valg[[#This Row],[Intet overlap]],INDEX(DataTitel_liste,LineærRegression_Valg[[#This Row],[Uafhængig variabel ID]]),INDEX(DataTitel_liste,IF(LineærRegression_Valg[[#This Row],[Afhængig variabel ID]]=1,2,1))),$B$7)</f>
        <v>Eksempel 2 (interval)</v>
      </c>
      <c r="H2007" s="45">
        <f>_xlfn.AGGREGATE(2,5,LineærRegression_Valg[[#This Row],[Tabel ID]])</f>
        <v>1</v>
      </c>
    </row>
    <row r="2008" spans="1:8" x14ac:dyDescent="0.2">
      <c r="A2008">
        <f>ROW(LineærRegression_Valg[[#This Row],[Tabel ID]])-ROW(LineærRegression_Valg[[#Headers],[Tabel ID]])</f>
        <v>1998</v>
      </c>
      <c r="B2008" s="45">
        <f>ROUNDDOWN((LineærRegression_Valg[[#This Row],[Tabel ID]]-1)/$B$5,0)+1</f>
        <v>500</v>
      </c>
      <c r="C2008" s="45">
        <f t="shared" si="31"/>
        <v>2</v>
      </c>
      <c r="D2008" s="45" t="b">
        <f>LineærRegression_Valg[[#This Row],[Afhængig variabel ID]]&lt;&gt;LineærRegression_Valg[[#This Row],[Uafhængig variabel ID]]</f>
        <v>1</v>
      </c>
      <c r="E2008" s="45" t="b">
        <f>LineærRegression_Valg[[#This Row],[Afhængig variabel ID]]&lt;=$B$5</f>
        <v>0</v>
      </c>
      <c r="F2008" t="str" cm="1">
        <f t="array" ref="F2008">IF(LineærRegression_Valg[[#This Row],[Indenfor range]],INDEX(DataTitel_liste,LineærRegression_Valg[[#This Row],[Afhængig variabel ID]]),INDEX(DataTitel_liste,1))</f>
        <v>Eksempel 1 (interval)</v>
      </c>
      <c r="G2008" s="45" t="str" cm="1">
        <f t="array" ref="G2008">IF(LineærRegression_Valg[[#This Row],[Indenfor range]],IF(LineærRegression_Valg[[#This Row],[Intet overlap]],INDEX(DataTitel_liste,LineærRegression_Valg[[#This Row],[Uafhængig variabel ID]]),INDEX(DataTitel_liste,IF(LineærRegression_Valg[[#This Row],[Afhængig variabel ID]]=1,2,1))),$B$7)</f>
        <v>Eksempel 2 (interval)</v>
      </c>
      <c r="H2008" s="45">
        <f>_xlfn.AGGREGATE(2,5,LineærRegression_Valg[[#This Row],[Tabel ID]])</f>
        <v>1</v>
      </c>
    </row>
    <row r="2009" spans="1:8" x14ac:dyDescent="0.2">
      <c r="A2009">
        <f>ROW(LineærRegression_Valg[[#This Row],[Tabel ID]])-ROW(LineærRegression_Valg[[#Headers],[Tabel ID]])</f>
        <v>1999</v>
      </c>
      <c r="B2009" s="45">
        <f>ROUNDDOWN((LineærRegression_Valg[[#This Row],[Tabel ID]]-1)/$B$5,0)+1</f>
        <v>500</v>
      </c>
      <c r="C2009" s="45">
        <f t="shared" si="31"/>
        <v>3</v>
      </c>
      <c r="D2009" s="45" t="b">
        <f>LineærRegression_Valg[[#This Row],[Afhængig variabel ID]]&lt;&gt;LineærRegression_Valg[[#This Row],[Uafhængig variabel ID]]</f>
        <v>1</v>
      </c>
      <c r="E2009" s="45" t="b">
        <f>LineærRegression_Valg[[#This Row],[Afhængig variabel ID]]&lt;=$B$5</f>
        <v>0</v>
      </c>
      <c r="F2009" t="str" cm="1">
        <f t="array" ref="F2009">IF(LineærRegression_Valg[[#This Row],[Indenfor range]],INDEX(DataTitel_liste,LineærRegression_Valg[[#This Row],[Afhængig variabel ID]]),INDEX(DataTitel_liste,1))</f>
        <v>Eksempel 1 (interval)</v>
      </c>
      <c r="G2009" s="45" t="str" cm="1">
        <f t="array" ref="G2009">IF(LineærRegression_Valg[[#This Row],[Indenfor range]],IF(LineærRegression_Valg[[#This Row],[Intet overlap]],INDEX(DataTitel_liste,LineærRegression_Valg[[#This Row],[Uafhængig variabel ID]]),INDEX(DataTitel_liste,IF(LineærRegression_Valg[[#This Row],[Afhængig variabel ID]]=1,2,1))),$B$7)</f>
        <v>Eksempel 2 (interval)</v>
      </c>
      <c r="H2009" s="45">
        <f>_xlfn.AGGREGATE(2,5,LineærRegression_Valg[[#This Row],[Tabel ID]])</f>
        <v>1</v>
      </c>
    </row>
    <row r="2010" spans="1:8" x14ac:dyDescent="0.2">
      <c r="A2010">
        <f>ROW(LineærRegression_Valg[[#This Row],[Tabel ID]])-ROW(LineærRegression_Valg[[#Headers],[Tabel ID]])</f>
        <v>2000</v>
      </c>
      <c r="B2010" s="45">
        <f>ROUNDDOWN((LineærRegression_Valg[[#This Row],[Tabel ID]]-1)/$B$5,0)+1</f>
        <v>500</v>
      </c>
      <c r="C2010" s="45">
        <f t="shared" si="31"/>
        <v>4</v>
      </c>
      <c r="D2010" s="45" t="b">
        <f>LineærRegression_Valg[[#This Row],[Afhængig variabel ID]]&lt;&gt;LineærRegression_Valg[[#This Row],[Uafhængig variabel ID]]</f>
        <v>1</v>
      </c>
      <c r="E2010" s="45" t="b">
        <f>LineærRegression_Valg[[#This Row],[Afhængig variabel ID]]&lt;=$B$5</f>
        <v>0</v>
      </c>
      <c r="F2010" t="str" cm="1">
        <f t="array" ref="F2010">IF(LineærRegression_Valg[[#This Row],[Indenfor range]],INDEX(DataTitel_liste,LineærRegression_Valg[[#This Row],[Afhængig variabel ID]]),INDEX(DataTitel_liste,1))</f>
        <v>Eksempel 1 (interval)</v>
      </c>
      <c r="G2010" s="45" t="str" cm="1">
        <f t="array" ref="G2010">IF(LineærRegression_Valg[[#This Row],[Indenfor range]],IF(LineærRegression_Valg[[#This Row],[Intet overlap]],INDEX(DataTitel_liste,LineærRegression_Valg[[#This Row],[Uafhængig variabel ID]]),INDEX(DataTitel_liste,IF(LineærRegression_Valg[[#This Row],[Afhængig variabel ID]]=1,2,1))),$B$7)</f>
        <v>Eksempel 2 (interval)</v>
      </c>
      <c r="H2010" s="45">
        <f>_xlfn.AGGREGATE(2,5,LineærRegression_Valg[[#This Row],[Tabel ID]])</f>
        <v>1</v>
      </c>
    </row>
    <row r="2011" spans="1:8" x14ac:dyDescent="0.2">
      <c r="A2011">
        <f>ROW(LineærRegression_Valg[[#This Row],[Tabel ID]])-ROW(LineærRegression_Valg[[#Headers],[Tabel ID]])</f>
        <v>2001</v>
      </c>
      <c r="B2011" s="45">
        <f>ROUNDDOWN((LineærRegression_Valg[[#This Row],[Tabel ID]]-1)/$B$5,0)+1</f>
        <v>501</v>
      </c>
      <c r="C2011" s="45">
        <f t="shared" si="31"/>
        <v>1</v>
      </c>
      <c r="D2011" s="45" t="b">
        <f>LineærRegression_Valg[[#This Row],[Afhængig variabel ID]]&lt;&gt;LineærRegression_Valg[[#This Row],[Uafhængig variabel ID]]</f>
        <v>1</v>
      </c>
      <c r="E2011" s="45" t="b">
        <f>LineærRegression_Valg[[#This Row],[Afhængig variabel ID]]&lt;=$B$5</f>
        <v>0</v>
      </c>
      <c r="F2011" t="str" cm="1">
        <f t="array" ref="F2011">IF(LineærRegression_Valg[[#This Row],[Indenfor range]],INDEX(DataTitel_liste,LineærRegression_Valg[[#This Row],[Afhængig variabel ID]]),INDEX(DataTitel_liste,1))</f>
        <v>Eksempel 1 (interval)</v>
      </c>
      <c r="G2011" s="45" t="str" cm="1">
        <f t="array" ref="G2011">IF(LineærRegression_Valg[[#This Row],[Indenfor range]],IF(LineærRegression_Valg[[#This Row],[Intet overlap]],INDEX(DataTitel_liste,LineærRegression_Valg[[#This Row],[Uafhængig variabel ID]]),INDEX(DataTitel_liste,IF(LineærRegression_Valg[[#This Row],[Afhængig variabel ID]]=1,2,1))),$B$7)</f>
        <v>Eksempel 2 (interval)</v>
      </c>
      <c r="H2011" s="45">
        <f>_xlfn.AGGREGATE(2,5,LineærRegression_Valg[[#This Row],[Tabel ID]])</f>
        <v>1</v>
      </c>
    </row>
    <row r="2012" spans="1:8" x14ac:dyDescent="0.2">
      <c r="A2012">
        <f>ROW(LineærRegression_Valg[[#This Row],[Tabel ID]])-ROW(LineærRegression_Valg[[#Headers],[Tabel ID]])</f>
        <v>2002</v>
      </c>
      <c r="B2012" s="45">
        <f>ROUNDDOWN((LineærRegression_Valg[[#This Row],[Tabel ID]]-1)/$B$5,0)+1</f>
        <v>501</v>
      </c>
      <c r="C2012" s="45">
        <f t="shared" si="31"/>
        <v>2</v>
      </c>
      <c r="D2012" s="45" t="b">
        <f>LineærRegression_Valg[[#This Row],[Afhængig variabel ID]]&lt;&gt;LineærRegression_Valg[[#This Row],[Uafhængig variabel ID]]</f>
        <v>1</v>
      </c>
      <c r="E2012" s="45" t="b">
        <f>LineærRegression_Valg[[#This Row],[Afhængig variabel ID]]&lt;=$B$5</f>
        <v>0</v>
      </c>
      <c r="F2012" t="str" cm="1">
        <f t="array" ref="F2012">IF(LineærRegression_Valg[[#This Row],[Indenfor range]],INDEX(DataTitel_liste,LineærRegression_Valg[[#This Row],[Afhængig variabel ID]]),INDEX(DataTitel_liste,1))</f>
        <v>Eksempel 1 (interval)</v>
      </c>
      <c r="G2012" s="45" t="str" cm="1">
        <f t="array" ref="G2012">IF(LineærRegression_Valg[[#This Row],[Indenfor range]],IF(LineærRegression_Valg[[#This Row],[Intet overlap]],INDEX(DataTitel_liste,LineærRegression_Valg[[#This Row],[Uafhængig variabel ID]]),INDEX(DataTitel_liste,IF(LineærRegression_Valg[[#This Row],[Afhængig variabel ID]]=1,2,1))),$B$7)</f>
        <v>Eksempel 2 (interval)</v>
      </c>
      <c r="H2012" s="45">
        <f>_xlfn.AGGREGATE(2,5,LineærRegression_Valg[[#This Row],[Tabel ID]])</f>
        <v>1</v>
      </c>
    </row>
    <row r="2013" spans="1:8" x14ac:dyDescent="0.2">
      <c r="A2013">
        <f>ROW(LineærRegression_Valg[[#This Row],[Tabel ID]])-ROW(LineærRegression_Valg[[#Headers],[Tabel ID]])</f>
        <v>2003</v>
      </c>
      <c r="B2013" s="45">
        <f>ROUNDDOWN((LineærRegression_Valg[[#This Row],[Tabel ID]]-1)/$B$5,0)+1</f>
        <v>501</v>
      </c>
      <c r="C2013" s="45">
        <f t="shared" si="31"/>
        <v>3</v>
      </c>
      <c r="D2013" s="45" t="b">
        <f>LineærRegression_Valg[[#This Row],[Afhængig variabel ID]]&lt;&gt;LineærRegression_Valg[[#This Row],[Uafhængig variabel ID]]</f>
        <v>1</v>
      </c>
      <c r="E2013" s="45" t="b">
        <f>LineærRegression_Valg[[#This Row],[Afhængig variabel ID]]&lt;=$B$5</f>
        <v>0</v>
      </c>
      <c r="F2013" t="str" cm="1">
        <f t="array" ref="F2013">IF(LineærRegression_Valg[[#This Row],[Indenfor range]],INDEX(DataTitel_liste,LineærRegression_Valg[[#This Row],[Afhængig variabel ID]]),INDEX(DataTitel_liste,1))</f>
        <v>Eksempel 1 (interval)</v>
      </c>
      <c r="G2013" s="45" t="str" cm="1">
        <f t="array" ref="G2013">IF(LineærRegression_Valg[[#This Row],[Indenfor range]],IF(LineærRegression_Valg[[#This Row],[Intet overlap]],INDEX(DataTitel_liste,LineærRegression_Valg[[#This Row],[Uafhængig variabel ID]]),INDEX(DataTitel_liste,IF(LineærRegression_Valg[[#This Row],[Afhængig variabel ID]]=1,2,1))),$B$7)</f>
        <v>Eksempel 2 (interval)</v>
      </c>
      <c r="H2013" s="45">
        <f>_xlfn.AGGREGATE(2,5,LineærRegression_Valg[[#This Row],[Tabel ID]])</f>
        <v>1</v>
      </c>
    </row>
    <row r="2014" spans="1:8" x14ac:dyDescent="0.2">
      <c r="A2014">
        <f>ROW(LineærRegression_Valg[[#This Row],[Tabel ID]])-ROW(LineærRegression_Valg[[#Headers],[Tabel ID]])</f>
        <v>2004</v>
      </c>
      <c r="B2014" s="45">
        <f>ROUNDDOWN((LineærRegression_Valg[[#This Row],[Tabel ID]]-1)/$B$5,0)+1</f>
        <v>501</v>
      </c>
      <c r="C2014" s="45">
        <f t="shared" si="31"/>
        <v>4</v>
      </c>
      <c r="D2014" s="45" t="b">
        <f>LineærRegression_Valg[[#This Row],[Afhængig variabel ID]]&lt;&gt;LineærRegression_Valg[[#This Row],[Uafhængig variabel ID]]</f>
        <v>1</v>
      </c>
      <c r="E2014" s="45" t="b">
        <f>LineærRegression_Valg[[#This Row],[Afhængig variabel ID]]&lt;=$B$5</f>
        <v>0</v>
      </c>
      <c r="F2014" t="str" cm="1">
        <f t="array" ref="F2014">IF(LineærRegression_Valg[[#This Row],[Indenfor range]],INDEX(DataTitel_liste,LineærRegression_Valg[[#This Row],[Afhængig variabel ID]]),INDEX(DataTitel_liste,1))</f>
        <v>Eksempel 1 (interval)</v>
      </c>
      <c r="G2014" s="45" t="str" cm="1">
        <f t="array" ref="G2014">IF(LineærRegression_Valg[[#This Row],[Indenfor range]],IF(LineærRegression_Valg[[#This Row],[Intet overlap]],INDEX(DataTitel_liste,LineærRegression_Valg[[#This Row],[Uafhængig variabel ID]]),INDEX(DataTitel_liste,IF(LineærRegression_Valg[[#This Row],[Afhængig variabel ID]]=1,2,1))),$B$7)</f>
        <v>Eksempel 2 (interval)</v>
      </c>
      <c r="H2014" s="45">
        <f>_xlfn.AGGREGATE(2,5,LineærRegression_Valg[[#This Row],[Tabel ID]])</f>
        <v>1</v>
      </c>
    </row>
    <row r="2015" spans="1:8" x14ac:dyDescent="0.2">
      <c r="A2015">
        <f>ROW(LineærRegression_Valg[[#This Row],[Tabel ID]])-ROW(LineærRegression_Valg[[#Headers],[Tabel ID]])</f>
        <v>2005</v>
      </c>
      <c r="B2015" s="45">
        <f>ROUNDDOWN((LineærRegression_Valg[[#This Row],[Tabel ID]]-1)/$B$5,0)+1</f>
        <v>502</v>
      </c>
      <c r="C2015" s="45">
        <f t="shared" si="31"/>
        <v>1</v>
      </c>
      <c r="D2015" s="45" t="b">
        <f>LineærRegression_Valg[[#This Row],[Afhængig variabel ID]]&lt;&gt;LineærRegression_Valg[[#This Row],[Uafhængig variabel ID]]</f>
        <v>1</v>
      </c>
      <c r="E2015" s="45" t="b">
        <f>LineærRegression_Valg[[#This Row],[Afhængig variabel ID]]&lt;=$B$5</f>
        <v>0</v>
      </c>
      <c r="F2015" t="str" cm="1">
        <f t="array" ref="F2015">IF(LineærRegression_Valg[[#This Row],[Indenfor range]],INDEX(DataTitel_liste,LineærRegression_Valg[[#This Row],[Afhængig variabel ID]]),INDEX(DataTitel_liste,1))</f>
        <v>Eksempel 1 (interval)</v>
      </c>
      <c r="G2015" s="45" t="str" cm="1">
        <f t="array" ref="G2015">IF(LineærRegression_Valg[[#This Row],[Indenfor range]],IF(LineærRegression_Valg[[#This Row],[Intet overlap]],INDEX(DataTitel_liste,LineærRegression_Valg[[#This Row],[Uafhængig variabel ID]]),INDEX(DataTitel_liste,IF(LineærRegression_Valg[[#This Row],[Afhængig variabel ID]]=1,2,1))),$B$7)</f>
        <v>Eksempel 2 (interval)</v>
      </c>
      <c r="H2015" s="45">
        <f>_xlfn.AGGREGATE(2,5,LineærRegression_Valg[[#This Row],[Tabel ID]])</f>
        <v>1</v>
      </c>
    </row>
    <row r="2016" spans="1:8" x14ac:dyDescent="0.2">
      <c r="A2016">
        <f>ROW(LineærRegression_Valg[[#This Row],[Tabel ID]])-ROW(LineærRegression_Valg[[#Headers],[Tabel ID]])</f>
        <v>2006</v>
      </c>
      <c r="B2016" s="45">
        <f>ROUNDDOWN((LineærRegression_Valg[[#This Row],[Tabel ID]]-1)/$B$5,0)+1</f>
        <v>502</v>
      </c>
      <c r="C2016" s="45">
        <f t="shared" si="31"/>
        <v>2</v>
      </c>
      <c r="D2016" s="45" t="b">
        <f>LineærRegression_Valg[[#This Row],[Afhængig variabel ID]]&lt;&gt;LineærRegression_Valg[[#This Row],[Uafhængig variabel ID]]</f>
        <v>1</v>
      </c>
      <c r="E2016" s="45" t="b">
        <f>LineærRegression_Valg[[#This Row],[Afhængig variabel ID]]&lt;=$B$5</f>
        <v>0</v>
      </c>
      <c r="F2016" t="str" cm="1">
        <f t="array" ref="F2016">IF(LineærRegression_Valg[[#This Row],[Indenfor range]],INDEX(DataTitel_liste,LineærRegression_Valg[[#This Row],[Afhængig variabel ID]]),INDEX(DataTitel_liste,1))</f>
        <v>Eksempel 1 (interval)</v>
      </c>
      <c r="G2016" s="45" t="str" cm="1">
        <f t="array" ref="G2016">IF(LineærRegression_Valg[[#This Row],[Indenfor range]],IF(LineærRegression_Valg[[#This Row],[Intet overlap]],INDEX(DataTitel_liste,LineærRegression_Valg[[#This Row],[Uafhængig variabel ID]]),INDEX(DataTitel_liste,IF(LineærRegression_Valg[[#This Row],[Afhængig variabel ID]]=1,2,1))),$B$7)</f>
        <v>Eksempel 2 (interval)</v>
      </c>
      <c r="H2016" s="45">
        <f>_xlfn.AGGREGATE(2,5,LineærRegression_Valg[[#This Row],[Tabel ID]])</f>
        <v>1</v>
      </c>
    </row>
    <row r="2017" spans="1:8" x14ac:dyDescent="0.2">
      <c r="A2017">
        <f>ROW(LineærRegression_Valg[[#This Row],[Tabel ID]])-ROW(LineærRegression_Valg[[#Headers],[Tabel ID]])</f>
        <v>2007</v>
      </c>
      <c r="B2017" s="45">
        <f>ROUNDDOWN((LineærRegression_Valg[[#This Row],[Tabel ID]]-1)/$B$5,0)+1</f>
        <v>502</v>
      </c>
      <c r="C2017" s="45">
        <f t="shared" si="31"/>
        <v>3</v>
      </c>
      <c r="D2017" s="45" t="b">
        <f>LineærRegression_Valg[[#This Row],[Afhængig variabel ID]]&lt;&gt;LineærRegression_Valg[[#This Row],[Uafhængig variabel ID]]</f>
        <v>1</v>
      </c>
      <c r="E2017" s="45" t="b">
        <f>LineærRegression_Valg[[#This Row],[Afhængig variabel ID]]&lt;=$B$5</f>
        <v>0</v>
      </c>
      <c r="F2017" t="str" cm="1">
        <f t="array" ref="F2017">IF(LineærRegression_Valg[[#This Row],[Indenfor range]],INDEX(DataTitel_liste,LineærRegression_Valg[[#This Row],[Afhængig variabel ID]]),INDEX(DataTitel_liste,1))</f>
        <v>Eksempel 1 (interval)</v>
      </c>
      <c r="G2017" s="45" t="str" cm="1">
        <f t="array" ref="G2017">IF(LineærRegression_Valg[[#This Row],[Indenfor range]],IF(LineærRegression_Valg[[#This Row],[Intet overlap]],INDEX(DataTitel_liste,LineærRegression_Valg[[#This Row],[Uafhængig variabel ID]]),INDEX(DataTitel_liste,IF(LineærRegression_Valg[[#This Row],[Afhængig variabel ID]]=1,2,1))),$B$7)</f>
        <v>Eksempel 2 (interval)</v>
      </c>
      <c r="H2017" s="45">
        <f>_xlfn.AGGREGATE(2,5,LineærRegression_Valg[[#This Row],[Tabel ID]])</f>
        <v>1</v>
      </c>
    </row>
    <row r="2018" spans="1:8" x14ac:dyDescent="0.2">
      <c r="A2018">
        <f>ROW(LineærRegression_Valg[[#This Row],[Tabel ID]])-ROW(LineærRegression_Valg[[#Headers],[Tabel ID]])</f>
        <v>2008</v>
      </c>
      <c r="B2018" s="45">
        <f>ROUNDDOWN((LineærRegression_Valg[[#This Row],[Tabel ID]]-1)/$B$5,0)+1</f>
        <v>502</v>
      </c>
      <c r="C2018" s="45">
        <f t="shared" si="31"/>
        <v>4</v>
      </c>
      <c r="D2018" s="45" t="b">
        <f>LineærRegression_Valg[[#This Row],[Afhængig variabel ID]]&lt;&gt;LineærRegression_Valg[[#This Row],[Uafhængig variabel ID]]</f>
        <v>1</v>
      </c>
      <c r="E2018" s="45" t="b">
        <f>LineærRegression_Valg[[#This Row],[Afhængig variabel ID]]&lt;=$B$5</f>
        <v>0</v>
      </c>
      <c r="F2018" t="str" cm="1">
        <f t="array" ref="F2018">IF(LineærRegression_Valg[[#This Row],[Indenfor range]],INDEX(DataTitel_liste,LineærRegression_Valg[[#This Row],[Afhængig variabel ID]]),INDEX(DataTitel_liste,1))</f>
        <v>Eksempel 1 (interval)</v>
      </c>
      <c r="G2018" s="45" t="str" cm="1">
        <f t="array" ref="G2018">IF(LineærRegression_Valg[[#This Row],[Indenfor range]],IF(LineærRegression_Valg[[#This Row],[Intet overlap]],INDEX(DataTitel_liste,LineærRegression_Valg[[#This Row],[Uafhængig variabel ID]]),INDEX(DataTitel_liste,IF(LineærRegression_Valg[[#This Row],[Afhængig variabel ID]]=1,2,1))),$B$7)</f>
        <v>Eksempel 2 (interval)</v>
      </c>
      <c r="H2018" s="45">
        <f>_xlfn.AGGREGATE(2,5,LineærRegression_Valg[[#This Row],[Tabel ID]])</f>
        <v>1</v>
      </c>
    </row>
    <row r="2019" spans="1:8" x14ac:dyDescent="0.2">
      <c r="A2019">
        <f>ROW(LineærRegression_Valg[[#This Row],[Tabel ID]])-ROW(LineærRegression_Valg[[#Headers],[Tabel ID]])</f>
        <v>2009</v>
      </c>
      <c r="B2019" s="45">
        <f>ROUNDDOWN((LineærRegression_Valg[[#This Row],[Tabel ID]]-1)/$B$5,0)+1</f>
        <v>503</v>
      </c>
      <c r="C2019" s="45">
        <f t="shared" si="31"/>
        <v>1</v>
      </c>
      <c r="D2019" s="45" t="b">
        <f>LineærRegression_Valg[[#This Row],[Afhængig variabel ID]]&lt;&gt;LineærRegression_Valg[[#This Row],[Uafhængig variabel ID]]</f>
        <v>1</v>
      </c>
      <c r="E2019" s="45" t="b">
        <f>LineærRegression_Valg[[#This Row],[Afhængig variabel ID]]&lt;=$B$5</f>
        <v>0</v>
      </c>
      <c r="F2019" t="str" cm="1">
        <f t="array" ref="F2019">IF(LineærRegression_Valg[[#This Row],[Indenfor range]],INDEX(DataTitel_liste,LineærRegression_Valg[[#This Row],[Afhængig variabel ID]]),INDEX(DataTitel_liste,1))</f>
        <v>Eksempel 1 (interval)</v>
      </c>
      <c r="G2019" s="45" t="str" cm="1">
        <f t="array" ref="G2019">IF(LineærRegression_Valg[[#This Row],[Indenfor range]],IF(LineærRegression_Valg[[#This Row],[Intet overlap]],INDEX(DataTitel_liste,LineærRegression_Valg[[#This Row],[Uafhængig variabel ID]]),INDEX(DataTitel_liste,IF(LineærRegression_Valg[[#This Row],[Afhængig variabel ID]]=1,2,1))),$B$7)</f>
        <v>Eksempel 2 (interval)</v>
      </c>
      <c r="H2019" s="45">
        <f>_xlfn.AGGREGATE(2,5,LineærRegression_Valg[[#This Row],[Tabel ID]])</f>
        <v>1</v>
      </c>
    </row>
    <row r="2020" spans="1:8" x14ac:dyDescent="0.2">
      <c r="A2020">
        <f>ROW(LineærRegression_Valg[[#This Row],[Tabel ID]])-ROW(LineærRegression_Valg[[#Headers],[Tabel ID]])</f>
        <v>2010</v>
      </c>
      <c r="B2020" s="45">
        <f>ROUNDDOWN((LineærRegression_Valg[[#This Row],[Tabel ID]]-1)/$B$5,0)+1</f>
        <v>503</v>
      </c>
      <c r="C2020" s="45">
        <f t="shared" si="31"/>
        <v>2</v>
      </c>
      <c r="D2020" s="45" t="b">
        <f>LineærRegression_Valg[[#This Row],[Afhængig variabel ID]]&lt;&gt;LineærRegression_Valg[[#This Row],[Uafhængig variabel ID]]</f>
        <v>1</v>
      </c>
      <c r="E2020" s="45" t="b">
        <f>LineærRegression_Valg[[#This Row],[Afhængig variabel ID]]&lt;=$B$5</f>
        <v>0</v>
      </c>
      <c r="F2020" t="str" cm="1">
        <f t="array" ref="F2020">IF(LineærRegression_Valg[[#This Row],[Indenfor range]],INDEX(DataTitel_liste,LineærRegression_Valg[[#This Row],[Afhængig variabel ID]]),INDEX(DataTitel_liste,1))</f>
        <v>Eksempel 1 (interval)</v>
      </c>
      <c r="G2020" s="45" t="str" cm="1">
        <f t="array" ref="G2020">IF(LineærRegression_Valg[[#This Row],[Indenfor range]],IF(LineærRegression_Valg[[#This Row],[Intet overlap]],INDEX(DataTitel_liste,LineærRegression_Valg[[#This Row],[Uafhængig variabel ID]]),INDEX(DataTitel_liste,IF(LineærRegression_Valg[[#This Row],[Afhængig variabel ID]]=1,2,1))),$B$7)</f>
        <v>Eksempel 2 (interval)</v>
      </c>
      <c r="H2020" s="45">
        <f>_xlfn.AGGREGATE(2,5,LineærRegression_Valg[[#This Row],[Tabel ID]])</f>
        <v>1</v>
      </c>
    </row>
    <row r="2021" spans="1:8" x14ac:dyDescent="0.2">
      <c r="A2021">
        <f>ROW(LineærRegression_Valg[[#This Row],[Tabel ID]])-ROW(LineærRegression_Valg[[#Headers],[Tabel ID]])</f>
        <v>2011</v>
      </c>
      <c r="B2021" s="45">
        <f>ROUNDDOWN((LineærRegression_Valg[[#This Row],[Tabel ID]]-1)/$B$5,0)+1</f>
        <v>503</v>
      </c>
      <c r="C2021" s="45">
        <f t="shared" si="31"/>
        <v>3</v>
      </c>
      <c r="D2021" s="45" t="b">
        <f>LineærRegression_Valg[[#This Row],[Afhængig variabel ID]]&lt;&gt;LineærRegression_Valg[[#This Row],[Uafhængig variabel ID]]</f>
        <v>1</v>
      </c>
      <c r="E2021" s="45" t="b">
        <f>LineærRegression_Valg[[#This Row],[Afhængig variabel ID]]&lt;=$B$5</f>
        <v>0</v>
      </c>
      <c r="F2021" t="str" cm="1">
        <f t="array" ref="F2021">IF(LineærRegression_Valg[[#This Row],[Indenfor range]],INDEX(DataTitel_liste,LineærRegression_Valg[[#This Row],[Afhængig variabel ID]]),INDEX(DataTitel_liste,1))</f>
        <v>Eksempel 1 (interval)</v>
      </c>
      <c r="G2021" s="45" t="str" cm="1">
        <f t="array" ref="G2021">IF(LineærRegression_Valg[[#This Row],[Indenfor range]],IF(LineærRegression_Valg[[#This Row],[Intet overlap]],INDEX(DataTitel_liste,LineærRegression_Valg[[#This Row],[Uafhængig variabel ID]]),INDEX(DataTitel_liste,IF(LineærRegression_Valg[[#This Row],[Afhængig variabel ID]]=1,2,1))),$B$7)</f>
        <v>Eksempel 2 (interval)</v>
      </c>
      <c r="H2021" s="45">
        <f>_xlfn.AGGREGATE(2,5,LineærRegression_Valg[[#This Row],[Tabel ID]])</f>
        <v>1</v>
      </c>
    </row>
    <row r="2022" spans="1:8" x14ac:dyDescent="0.2">
      <c r="A2022">
        <f>ROW(LineærRegression_Valg[[#This Row],[Tabel ID]])-ROW(LineærRegression_Valg[[#Headers],[Tabel ID]])</f>
        <v>2012</v>
      </c>
      <c r="B2022" s="45">
        <f>ROUNDDOWN((LineærRegression_Valg[[#This Row],[Tabel ID]]-1)/$B$5,0)+1</f>
        <v>503</v>
      </c>
      <c r="C2022" s="45">
        <f t="shared" si="31"/>
        <v>4</v>
      </c>
      <c r="D2022" s="45" t="b">
        <f>LineærRegression_Valg[[#This Row],[Afhængig variabel ID]]&lt;&gt;LineærRegression_Valg[[#This Row],[Uafhængig variabel ID]]</f>
        <v>1</v>
      </c>
      <c r="E2022" s="45" t="b">
        <f>LineærRegression_Valg[[#This Row],[Afhængig variabel ID]]&lt;=$B$5</f>
        <v>0</v>
      </c>
      <c r="F2022" t="str" cm="1">
        <f t="array" ref="F2022">IF(LineærRegression_Valg[[#This Row],[Indenfor range]],INDEX(DataTitel_liste,LineærRegression_Valg[[#This Row],[Afhængig variabel ID]]),INDEX(DataTitel_liste,1))</f>
        <v>Eksempel 1 (interval)</v>
      </c>
      <c r="G2022" s="45" t="str" cm="1">
        <f t="array" ref="G2022">IF(LineærRegression_Valg[[#This Row],[Indenfor range]],IF(LineærRegression_Valg[[#This Row],[Intet overlap]],INDEX(DataTitel_liste,LineærRegression_Valg[[#This Row],[Uafhængig variabel ID]]),INDEX(DataTitel_liste,IF(LineærRegression_Valg[[#This Row],[Afhængig variabel ID]]=1,2,1))),$B$7)</f>
        <v>Eksempel 2 (interval)</v>
      </c>
      <c r="H2022" s="45">
        <f>_xlfn.AGGREGATE(2,5,LineærRegression_Valg[[#This Row],[Tabel ID]])</f>
        <v>1</v>
      </c>
    </row>
    <row r="2023" spans="1:8" x14ac:dyDescent="0.2">
      <c r="A2023">
        <f>ROW(LineærRegression_Valg[[#This Row],[Tabel ID]])-ROW(LineærRegression_Valg[[#Headers],[Tabel ID]])</f>
        <v>2013</v>
      </c>
      <c r="B2023" s="45">
        <f>ROUNDDOWN((LineærRegression_Valg[[#This Row],[Tabel ID]]-1)/$B$5,0)+1</f>
        <v>504</v>
      </c>
      <c r="C2023" s="45">
        <f t="shared" si="31"/>
        <v>1</v>
      </c>
      <c r="D2023" s="45" t="b">
        <f>LineærRegression_Valg[[#This Row],[Afhængig variabel ID]]&lt;&gt;LineærRegression_Valg[[#This Row],[Uafhængig variabel ID]]</f>
        <v>1</v>
      </c>
      <c r="E2023" s="45" t="b">
        <f>LineærRegression_Valg[[#This Row],[Afhængig variabel ID]]&lt;=$B$5</f>
        <v>0</v>
      </c>
      <c r="F2023" t="str" cm="1">
        <f t="array" ref="F2023">IF(LineærRegression_Valg[[#This Row],[Indenfor range]],INDEX(DataTitel_liste,LineærRegression_Valg[[#This Row],[Afhængig variabel ID]]),INDEX(DataTitel_liste,1))</f>
        <v>Eksempel 1 (interval)</v>
      </c>
      <c r="G2023" s="45" t="str" cm="1">
        <f t="array" ref="G2023">IF(LineærRegression_Valg[[#This Row],[Indenfor range]],IF(LineærRegression_Valg[[#This Row],[Intet overlap]],INDEX(DataTitel_liste,LineærRegression_Valg[[#This Row],[Uafhængig variabel ID]]),INDEX(DataTitel_liste,IF(LineærRegression_Valg[[#This Row],[Afhængig variabel ID]]=1,2,1))),$B$7)</f>
        <v>Eksempel 2 (interval)</v>
      </c>
      <c r="H2023" s="45">
        <f>_xlfn.AGGREGATE(2,5,LineærRegression_Valg[[#This Row],[Tabel ID]])</f>
        <v>1</v>
      </c>
    </row>
    <row r="2024" spans="1:8" x14ac:dyDescent="0.2">
      <c r="A2024">
        <f>ROW(LineærRegression_Valg[[#This Row],[Tabel ID]])-ROW(LineærRegression_Valg[[#Headers],[Tabel ID]])</f>
        <v>2014</v>
      </c>
      <c r="B2024" s="45">
        <f>ROUNDDOWN((LineærRegression_Valg[[#This Row],[Tabel ID]]-1)/$B$5,0)+1</f>
        <v>504</v>
      </c>
      <c r="C2024" s="45">
        <f t="shared" si="31"/>
        <v>2</v>
      </c>
      <c r="D2024" s="45" t="b">
        <f>LineærRegression_Valg[[#This Row],[Afhængig variabel ID]]&lt;&gt;LineærRegression_Valg[[#This Row],[Uafhængig variabel ID]]</f>
        <v>1</v>
      </c>
      <c r="E2024" s="45" t="b">
        <f>LineærRegression_Valg[[#This Row],[Afhængig variabel ID]]&lt;=$B$5</f>
        <v>0</v>
      </c>
      <c r="F2024" t="str" cm="1">
        <f t="array" ref="F2024">IF(LineærRegression_Valg[[#This Row],[Indenfor range]],INDEX(DataTitel_liste,LineærRegression_Valg[[#This Row],[Afhængig variabel ID]]),INDEX(DataTitel_liste,1))</f>
        <v>Eksempel 1 (interval)</v>
      </c>
      <c r="G2024" s="45" t="str" cm="1">
        <f t="array" ref="G2024">IF(LineærRegression_Valg[[#This Row],[Indenfor range]],IF(LineærRegression_Valg[[#This Row],[Intet overlap]],INDEX(DataTitel_liste,LineærRegression_Valg[[#This Row],[Uafhængig variabel ID]]),INDEX(DataTitel_liste,IF(LineærRegression_Valg[[#This Row],[Afhængig variabel ID]]=1,2,1))),$B$7)</f>
        <v>Eksempel 2 (interval)</v>
      </c>
      <c r="H2024" s="45">
        <f>_xlfn.AGGREGATE(2,5,LineærRegression_Valg[[#This Row],[Tabel ID]])</f>
        <v>1</v>
      </c>
    </row>
    <row r="2025" spans="1:8" x14ac:dyDescent="0.2">
      <c r="A2025">
        <f>ROW(LineærRegression_Valg[[#This Row],[Tabel ID]])-ROW(LineærRegression_Valg[[#Headers],[Tabel ID]])</f>
        <v>2015</v>
      </c>
      <c r="B2025" s="45">
        <f>ROUNDDOWN((LineærRegression_Valg[[#This Row],[Tabel ID]]-1)/$B$5,0)+1</f>
        <v>504</v>
      </c>
      <c r="C2025" s="45">
        <f t="shared" si="31"/>
        <v>3</v>
      </c>
      <c r="D2025" s="45" t="b">
        <f>LineærRegression_Valg[[#This Row],[Afhængig variabel ID]]&lt;&gt;LineærRegression_Valg[[#This Row],[Uafhængig variabel ID]]</f>
        <v>1</v>
      </c>
      <c r="E2025" s="45" t="b">
        <f>LineærRegression_Valg[[#This Row],[Afhængig variabel ID]]&lt;=$B$5</f>
        <v>0</v>
      </c>
      <c r="F2025" t="str" cm="1">
        <f t="array" ref="F2025">IF(LineærRegression_Valg[[#This Row],[Indenfor range]],INDEX(DataTitel_liste,LineærRegression_Valg[[#This Row],[Afhængig variabel ID]]),INDEX(DataTitel_liste,1))</f>
        <v>Eksempel 1 (interval)</v>
      </c>
      <c r="G2025" s="45" t="str" cm="1">
        <f t="array" ref="G2025">IF(LineærRegression_Valg[[#This Row],[Indenfor range]],IF(LineærRegression_Valg[[#This Row],[Intet overlap]],INDEX(DataTitel_liste,LineærRegression_Valg[[#This Row],[Uafhængig variabel ID]]),INDEX(DataTitel_liste,IF(LineærRegression_Valg[[#This Row],[Afhængig variabel ID]]=1,2,1))),$B$7)</f>
        <v>Eksempel 2 (interval)</v>
      </c>
      <c r="H2025" s="45">
        <f>_xlfn.AGGREGATE(2,5,LineærRegression_Valg[[#This Row],[Tabel ID]])</f>
        <v>1</v>
      </c>
    </row>
    <row r="2026" spans="1:8" x14ac:dyDescent="0.2">
      <c r="A2026">
        <f>ROW(LineærRegression_Valg[[#This Row],[Tabel ID]])-ROW(LineærRegression_Valg[[#Headers],[Tabel ID]])</f>
        <v>2016</v>
      </c>
      <c r="B2026" s="45">
        <f>ROUNDDOWN((LineærRegression_Valg[[#This Row],[Tabel ID]]-1)/$B$5,0)+1</f>
        <v>504</v>
      </c>
      <c r="C2026" s="45">
        <f t="shared" si="31"/>
        <v>4</v>
      </c>
      <c r="D2026" s="45" t="b">
        <f>LineærRegression_Valg[[#This Row],[Afhængig variabel ID]]&lt;&gt;LineærRegression_Valg[[#This Row],[Uafhængig variabel ID]]</f>
        <v>1</v>
      </c>
      <c r="E2026" s="45" t="b">
        <f>LineærRegression_Valg[[#This Row],[Afhængig variabel ID]]&lt;=$B$5</f>
        <v>0</v>
      </c>
      <c r="F2026" t="str" cm="1">
        <f t="array" ref="F2026">IF(LineærRegression_Valg[[#This Row],[Indenfor range]],INDEX(DataTitel_liste,LineærRegression_Valg[[#This Row],[Afhængig variabel ID]]),INDEX(DataTitel_liste,1))</f>
        <v>Eksempel 1 (interval)</v>
      </c>
      <c r="G2026" s="45" t="str" cm="1">
        <f t="array" ref="G2026">IF(LineærRegression_Valg[[#This Row],[Indenfor range]],IF(LineærRegression_Valg[[#This Row],[Intet overlap]],INDEX(DataTitel_liste,LineærRegression_Valg[[#This Row],[Uafhængig variabel ID]]),INDEX(DataTitel_liste,IF(LineærRegression_Valg[[#This Row],[Afhængig variabel ID]]=1,2,1))),$B$7)</f>
        <v>Eksempel 2 (interval)</v>
      </c>
      <c r="H2026" s="45">
        <f>_xlfn.AGGREGATE(2,5,LineærRegression_Valg[[#This Row],[Tabel ID]])</f>
        <v>1</v>
      </c>
    </row>
    <row r="2027" spans="1:8" x14ac:dyDescent="0.2">
      <c r="A2027">
        <f>ROW(LineærRegression_Valg[[#This Row],[Tabel ID]])-ROW(LineærRegression_Valg[[#Headers],[Tabel ID]])</f>
        <v>2017</v>
      </c>
      <c r="B2027" s="45">
        <f>ROUNDDOWN((LineærRegression_Valg[[#This Row],[Tabel ID]]-1)/$B$5,0)+1</f>
        <v>505</v>
      </c>
      <c r="C2027" s="45">
        <f t="shared" si="31"/>
        <v>1</v>
      </c>
      <c r="D2027" s="45" t="b">
        <f>LineærRegression_Valg[[#This Row],[Afhængig variabel ID]]&lt;&gt;LineærRegression_Valg[[#This Row],[Uafhængig variabel ID]]</f>
        <v>1</v>
      </c>
      <c r="E2027" s="45" t="b">
        <f>LineærRegression_Valg[[#This Row],[Afhængig variabel ID]]&lt;=$B$5</f>
        <v>0</v>
      </c>
      <c r="F2027" t="str" cm="1">
        <f t="array" ref="F2027">IF(LineærRegression_Valg[[#This Row],[Indenfor range]],INDEX(DataTitel_liste,LineærRegression_Valg[[#This Row],[Afhængig variabel ID]]),INDEX(DataTitel_liste,1))</f>
        <v>Eksempel 1 (interval)</v>
      </c>
      <c r="G2027" s="45" t="str" cm="1">
        <f t="array" ref="G2027">IF(LineærRegression_Valg[[#This Row],[Indenfor range]],IF(LineærRegression_Valg[[#This Row],[Intet overlap]],INDEX(DataTitel_liste,LineærRegression_Valg[[#This Row],[Uafhængig variabel ID]]),INDEX(DataTitel_liste,IF(LineærRegression_Valg[[#This Row],[Afhængig variabel ID]]=1,2,1))),$B$7)</f>
        <v>Eksempel 2 (interval)</v>
      </c>
      <c r="H2027" s="45">
        <f>_xlfn.AGGREGATE(2,5,LineærRegression_Valg[[#This Row],[Tabel ID]])</f>
        <v>1</v>
      </c>
    </row>
    <row r="2028" spans="1:8" x14ac:dyDescent="0.2">
      <c r="A2028">
        <f>ROW(LineærRegression_Valg[[#This Row],[Tabel ID]])-ROW(LineærRegression_Valg[[#Headers],[Tabel ID]])</f>
        <v>2018</v>
      </c>
      <c r="B2028" s="45">
        <f>ROUNDDOWN((LineærRegression_Valg[[#This Row],[Tabel ID]]-1)/$B$5,0)+1</f>
        <v>505</v>
      </c>
      <c r="C2028" s="45">
        <f t="shared" si="31"/>
        <v>2</v>
      </c>
      <c r="D2028" s="45" t="b">
        <f>LineærRegression_Valg[[#This Row],[Afhængig variabel ID]]&lt;&gt;LineærRegression_Valg[[#This Row],[Uafhængig variabel ID]]</f>
        <v>1</v>
      </c>
      <c r="E2028" s="45" t="b">
        <f>LineærRegression_Valg[[#This Row],[Afhængig variabel ID]]&lt;=$B$5</f>
        <v>0</v>
      </c>
      <c r="F2028" t="str" cm="1">
        <f t="array" ref="F2028">IF(LineærRegression_Valg[[#This Row],[Indenfor range]],INDEX(DataTitel_liste,LineærRegression_Valg[[#This Row],[Afhængig variabel ID]]),INDEX(DataTitel_liste,1))</f>
        <v>Eksempel 1 (interval)</v>
      </c>
      <c r="G2028" s="45" t="str" cm="1">
        <f t="array" ref="G2028">IF(LineærRegression_Valg[[#This Row],[Indenfor range]],IF(LineærRegression_Valg[[#This Row],[Intet overlap]],INDEX(DataTitel_liste,LineærRegression_Valg[[#This Row],[Uafhængig variabel ID]]),INDEX(DataTitel_liste,IF(LineærRegression_Valg[[#This Row],[Afhængig variabel ID]]=1,2,1))),$B$7)</f>
        <v>Eksempel 2 (interval)</v>
      </c>
      <c r="H2028" s="45">
        <f>_xlfn.AGGREGATE(2,5,LineærRegression_Valg[[#This Row],[Tabel ID]])</f>
        <v>1</v>
      </c>
    </row>
    <row r="2029" spans="1:8" x14ac:dyDescent="0.2">
      <c r="A2029">
        <f>ROW(LineærRegression_Valg[[#This Row],[Tabel ID]])-ROW(LineærRegression_Valg[[#Headers],[Tabel ID]])</f>
        <v>2019</v>
      </c>
      <c r="B2029" s="45">
        <f>ROUNDDOWN((LineærRegression_Valg[[#This Row],[Tabel ID]]-1)/$B$5,0)+1</f>
        <v>505</v>
      </c>
      <c r="C2029" s="45">
        <f t="shared" si="31"/>
        <v>3</v>
      </c>
      <c r="D2029" s="45" t="b">
        <f>LineærRegression_Valg[[#This Row],[Afhængig variabel ID]]&lt;&gt;LineærRegression_Valg[[#This Row],[Uafhængig variabel ID]]</f>
        <v>1</v>
      </c>
      <c r="E2029" s="45" t="b">
        <f>LineærRegression_Valg[[#This Row],[Afhængig variabel ID]]&lt;=$B$5</f>
        <v>0</v>
      </c>
      <c r="F2029" t="str" cm="1">
        <f t="array" ref="F2029">IF(LineærRegression_Valg[[#This Row],[Indenfor range]],INDEX(DataTitel_liste,LineærRegression_Valg[[#This Row],[Afhængig variabel ID]]),INDEX(DataTitel_liste,1))</f>
        <v>Eksempel 1 (interval)</v>
      </c>
      <c r="G2029" s="45" t="str" cm="1">
        <f t="array" ref="G2029">IF(LineærRegression_Valg[[#This Row],[Indenfor range]],IF(LineærRegression_Valg[[#This Row],[Intet overlap]],INDEX(DataTitel_liste,LineærRegression_Valg[[#This Row],[Uafhængig variabel ID]]),INDEX(DataTitel_liste,IF(LineærRegression_Valg[[#This Row],[Afhængig variabel ID]]=1,2,1))),$B$7)</f>
        <v>Eksempel 2 (interval)</v>
      </c>
      <c r="H2029" s="45">
        <f>_xlfn.AGGREGATE(2,5,LineærRegression_Valg[[#This Row],[Tabel ID]])</f>
        <v>1</v>
      </c>
    </row>
    <row r="2030" spans="1:8" x14ac:dyDescent="0.2">
      <c r="A2030">
        <f>ROW(LineærRegression_Valg[[#This Row],[Tabel ID]])-ROW(LineærRegression_Valg[[#Headers],[Tabel ID]])</f>
        <v>2020</v>
      </c>
      <c r="B2030" s="45">
        <f>ROUNDDOWN((LineærRegression_Valg[[#This Row],[Tabel ID]]-1)/$B$5,0)+1</f>
        <v>505</v>
      </c>
      <c r="C2030" s="45">
        <f t="shared" si="31"/>
        <v>4</v>
      </c>
      <c r="D2030" s="45" t="b">
        <f>LineærRegression_Valg[[#This Row],[Afhængig variabel ID]]&lt;&gt;LineærRegression_Valg[[#This Row],[Uafhængig variabel ID]]</f>
        <v>1</v>
      </c>
      <c r="E2030" s="45" t="b">
        <f>LineærRegression_Valg[[#This Row],[Afhængig variabel ID]]&lt;=$B$5</f>
        <v>0</v>
      </c>
      <c r="F2030" t="str" cm="1">
        <f t="array" ref="F2030">IF(LineærRegression_Valg[[#This Row],[Indenfor range]],INDEX(DataTitel_liste,LineærRegression_Valg[[#This Row],[Afhængig variabel ID]]),INDEX(DataTitel_liste,1))</f>
        <v>Eksempel 1 (interval)</v>
      </c>
      <c r="G2030" s="45" t="str" cm="1">
        <f t="array" ref="G2030">IF(LineærRegression_Valg[[#This Row],[Indenfor range]],IF(LineærRegression_Valg[[#This Row],[Intet overlap]],INDEX(DataTitel_liste,LineærRegression_Valg[[#This Row],[Uafhængig variabel ID]]),INDEX(DataTitel_liste,IF(LineærRegression_Valg[[#This Row],[Afhængig variabel ID]]=1,2,1))),$B$7)</f>
        <v>Eksempel 2 (interval)</v>
      </c>
      <c r="H2030" s="45">
        <f>_xlfn.AGGREGATE(2,5,LineærRegression_Valg[[#This Row],[Tabel ID]])</f>
        <v>1</v>
      </c>
    </row>
    <row r="2031" spans="1:8" x14ac:dyDescent="0.2">
      <c r="A2031">
        <f>ROW(LineærRegression_Valg[[#This Row],[Tabel ID]])-ROW(LineærRegression_Valg[[#Headers],[Tabel ID]])</f>
        <v>2021</v>
      </c>
      <c r="B2031" s="45">
        <f>ROUNDDOWN((LineærRegression_Valg[[#This Row],[Tabel ID]]-1)/$B$5,0)+1</f>
        <v>506</v>
      </c>
      <c r="C2031" s="45">
        <f t="shared" si="31"/>
        <v>1</v>
      </c>
      <c r="D2031" s="45" t="b">
        <f>LineærRegression_Valg[[#This Row],[Afhængig variabel ID]]&lt;&gt;LineærRegression_Valg[[#This Row],[Uafhængig variabel ID]]</f>
        <v>1</v>
      </c>
      <c r="E2031" s="45" t="b">
        <f>LineærRegression_Valg[[#This Row],[Afhængig variabel ID]]&lt;=$B$5</f>
        <v>0</v>
      </c>
      <c r="F2031" t="str" cm="1">
        <f t="array" ref="F2031">IF(LineærRegression_Valg[[#This Row],[Indenfor range]],INDEX(DataTitel_liste,LineærRegression_Valg[[#This Row],[Afhængig variabel ID]]),INDEX(DataTitel_liste,1))</f>
        <v>Eksempel 1 (interval)</v>
      </c>
      <c r="G2031" s="45" t="str" cm="1">
        <f t="array" ref="G2031">IF(LineærRegression_Valg[[#This Row],[Indenfor range]],IF(LineærRegression_Valg[[#This Row],[Intet overlap]],INDEX(DataTitel_liste,LineærRegression_Valg[[#This Row],[Uafhængig variabel ID]]),INDEX(DataTitel_liste,IF(LineærRegression_Valg[[#This Row],[Afhængig variabel ID]]=1,2,1))),$B$7)</f>
        <v>Eksempel 2 (interval)</v>
      </c>
      <c r="H2031" s="45">
        <f>_xlfn.AGGREGATE(2,5,LineærRegression_Valg[[#This Row],[Tabel ID]])</f>
        <v>1</v>
      </c>
    </row>
    <row r="2032" spans="1:8" x14ac:dyDescent="0.2">
      <c r="A2032">
        <f>ROW(LineærRegression_Valg[[#This Row],[Tabel ID]])-ROW(LineærRegression_Valg[[#Headers],[Tabel ID]])</f>
        <v>2022</v>
      </c>
      <c r="B2032" s="45">
        <f>ROUNDDOWN((LineærRegression_Valg[[#This Row],[Tabel ID]]-1)/$B$5,0)+1</f>
        <v>506</v>
      </c>
      <c r="C2032" s="45">
        <f t="shared" si="31"/>
        <v>2</v>
      </c>
      <c r="D2032" s="45" t="b">
        <f>LineærRegression_Valg[[#This Row],[Afhængig variabel ID]]&lt;&gt;LineærRegression_Valg[[#This Row],[Uafhængig variabel ID]]</f>
        <v>1</v>
      </c>
      <c r="E2032" s="45" t="b">
        <f>LineærRegression_Valg[[#This Row],[Afhængig variabel ID]]&lt;=$B$5</f>
        <v>0</v>
      </c>
      <c r="F2032" t="str" cm="1">
        <f t="array" ref="F2032">IF(LineærRegression_Valg[[#This Row],[Indenfor range]],INDEX(DataTitel_liste,LineærRegression_Valg[[#This Row],[Afhængig variabel ID]]),INDEX(DataTitel_liste,1))</f>
        <v>Eksempel 1 (interval)</v>
      </c>
      <c r="G2032" s="45" t="str" cm="1">
        <f t="array" ref="G2032">IF(LineærRegression_Valg[[#This Row],[Indenfor range]],IF(LineærRegression_Valg[[#This Row],[Intet overlap]],INDEX(DataTitel_liste,LineærRegression_Valg[[#This Row],[Uafhængig variabel ID]]),INDEX(DataTitel_liste,IF(LineærRegression_Valg[[#This Row],[Afhængig variabel ID]]=1,2,1))),$B$7)</f>
        <v>Eksempel 2 (interval)</v>
      </c>
      <c r="H2032" s="45">
        <f>_xlfn.AGGREGATE(2,5,LineærRegression_Valg[[#This Row],[Tabel ID]])</f>
        <v>1</v>
      </c>
    </row>
    <row r="2033" spans="1:8" x14ac:dyDescent="0.2">
      <c r="A2033">
        <f>ROW(LineærRegression_Valg[[#This Row],[Tabel ID]])-ROW(LineærRegression_Valg[[#Headers],[Tabel ID]])</f>
        <v>2023</v>
      </c>
      <c r="B2033" s="45">
        <f>ROUNDDOWN((LineærRegression_Valg[[#This Row],[Tabel ID]]-1)/$B$5,0)+1</f>
        <v>506</v>
      </c>
      <c r="C2033" s="45">
        <f t="shared" si="31"/>
        <v>3</v>
      </c>
      <c r="D2033" s="45" t="b">
        <f>LineærRegression_Valg[[#This Row],[Afhængig variabel ID]]&lt;&gt;LineærRegression_Valg[[#This Row],[Uafhængig variabel ID]]</f>
        <v>1</v>
      </c>
      <c r="E2033" s="45" t="b">
        <f>LineærRegression_Valg[[#This Row],[Afhængig variabel ID]]&lt;=$B$5</f>
        <v>0</v>
      </c>
      <c r="F2033" t="str" cm="1">
        <f t="array" ref="F2033">IF(LineærRegression_Valg[[#This Row],[Indenfor range]],INDEX(DataTitel_liste,LineærRegression_Valg[[#This Row],[Afhængig variabel ID]]),INDEX(DataTitel_liste,1))</f>
        <v>Eksempel 1 (interval)</v>
      </c>
      <c r="G2033" s="45" t="str" cm="1">
        <f t="array" ref="G2033">IF(LineærRegression_Valg[[#This Row],[Indenfor range]],IF(LineærRegression_Valg[[#This Row],[Intet overlap]],INDEX(DataTitel_liste,LineærRegression_Valg[[#This Row],[Uafhængig variabel ID]]),INDEX(DataTitel_liste,IF(LineærRegression_Valg[[#This Row],[Afhængig variabel ID]]=1,2,1))),$B$7)</f>
        <v>Eksempel 2 (interval)</v>
      </c>
      <c r="H2033" s="45">
        <f>_xlfn.AGGREGATE(2,5,LineærRegression_Valg[[#This Row],[Tabel ID]])</f>
        <v>1</v>
      </c>
    </row>
    <row r="2034" spans="1:8" x14ac:dyDescent="0.2">
      <c r="A2034">
        <f>ROW(LineærRegression_Valg[[#This Row],[Tabel ID]])-ROW(LineærRegression_Valg[[#Headers],[Tabel ID]])</f>
        <v>2024</v>
      </c>
      <c r="B2034" s="45">
        <f>ROUNDDOWN((LineærRegression_Valg[[#This Row],[Tabel ID]]-1)/$B$5,0)+1</f>
        <v>506</v>
      </c>
      <c r="C2034" s="45">
        <f t="shared" si="31"/>
        <v>4</v>
      </c>
      <c r="D2034" s="45" t="b">
        <f>LineærRegression_Valg[[#This Row],[Afhængig variabel ID]]&lt;&gt;LineærRegression_Valg[[#This Row],[Uafhængig variabel ID]]</f>
        <v>1</v>
      </c>
      <c r="E2034" s="45" t="b">
        <f>LineærRegression_Valg[[#This Row],[Afhængig variabel ID]]&lt;=$B$5</f>
        <v>0</v>
      </c>
      <c r="F2034" t="str" cm="1">
        <f t="array" ref="F2034">IF(LineærRegression_Valg[[#This Row],[Indenfor range]],INDEX(DataTitel_liste,LineærRegression_Valg[[#This Row],[Afhængig variabel ID]]),INDEX(DataTitel_liste,1))</f>
        <v>Eksempel 1 (interval)</v>
      </c>
      <c r="G2034" s="45" t="str" cm="1">
        <f t="array" ref="G2034">IF(LineærRegression_Valg[[#This Row],[Indenfor range]],IF(LineærRegression_Valg[[#This Row],[Intet overlap]],INDEX(DataTitel_liste,LineærRegression_Valg[[#This Row],[Uafhængig variabel ID]]),INDEX(DataTitel_liste,IF(LineærRegression_Valg[[#This Row],[Afhængig variabel ID]]=1,2,1))),$B$7)</f>
        <v>Eksempel 2 (interval)</v>
      </c>
      <c r="H2034" s="45">
        <f>_xlfn.AGGREGATE(2,5,LineærRegression_Valg[[#This Row],[Tabel ID]])</f>
        <v>1</v>
      </c>
    </row>
    <row r="2035" spans="1:8" x14ac:dyDescent="0.2">
      <c r="A2035">
        <f>ROW(LineærRegression_Valg[[#This Row],[Tabel ID]])-ROW(LineærRegression_Valg[[#Headers],[Tabel ID]])</f>
        <v>2025</v>
      </c>
      <c r="B2035" s="45">
        <f>ROUNDDOWN((LineærRegression_Valg[[#This Row],[Tabel ID]]-1)/$B$5,0)+1</f>
        <v>507</v>
      </c>
      <c r="C2035" s="45">
        <f t="shared" si="31"/>
        <v>1</v>
      </c>
      <c r="D2035" s="45" t="b">
        <f>LineærRegression_Valg[[#This Row],[Afhængig variabel ID]]&lt;&gt;LineærRegression_Valg[[#This Row],[Uafhængig variabel ID]]</f>
        <v>1</v>
      </c>
      <c r="E2035" s="45" t="b">
        <f>LineærRegression_Valg[[#This Row],[Afhængig variabel ID]]&lt;=$B$5</f>
        <v>0</v>
      </c>
      <c r="F2035" t="str" cm="1">
        <f t="array" ref="F2035">IF(LineærRegression_Valg[[#This Row],[Indenfor range]],INDEX(DataTitel_liste,LineærRegression_Valg[[#This Row],[Afhængig variabel ID]]),INDEX(DataTitel_liste,1))</f>
        <v>Eksempel 1 (interval)</v>
      </c>
      <c r="G2035" s="45" t="str" cm="1">
        <f t="array" ref="G2035">IF(LineærRegression_Valg[[#This Row],[Indenfor range]],IF(LineærRegression_Valg[[#This Row],[Intet overlap]],INDEX(DataTitel_liste,LineærRegression_Valg[[#This Row],[Uafhængig variabel ID]]),INDEX(DataTitel_liste,IF(LineærRegression_Valg[[#This Row],[Afhængig variabel ID]]=1,2,1))),$B$7)</f>
        <v>Eksempel 2 (interval)</v>
      </c>
      <c r="H2035" s="45">
        <f>_xlfn.AGGREGATE(2,5,LineærRegression_Valg[[#This Row],[Tabel ID]])</f>
        <v>1</v>
      </c>
    </row>
    <row r="2036" spans="1:8" x14ac:dyDescent="0.2">
      <c r="A2036">
        <f>ROW(LineærRegression_Valg[[#This Row],[Tabel ID]])-ROW(LineærRegression_Valg[[#Headers],[Tabel ID]])</f>
        <v>2026</v>
      </c>
      <c r="B2036" s="45">
        <f>ROUNDDOWN((LineærRegression_Valg[[#This Row],[Tabel ID]]-1)/$B$5,0)+1</f>
        <v>507</v>
      </c>
      <c r="C2036" s="45">
        <f t="shared" si="31"/>
        <v>2</v>
      </c>
      <c r="D2036" s="45" t="b">
        <f>LineærRegression_Valg[[#This Row],[Afhængig variabel ID]]&lt;&gt;LineærRegression_Valg[[#This Row],[Uafhængig variabel ID]]</f>
        <v>1</v>
      </c>
      <c r="E2036" s="45" t="b">
        <f>LineærRegression_Valg[[#This Row],[Afhængig variabel ID]]&lt;=$B$5</f>
        <v>0</v>
      </c>
      <c r="F2036" t="str" cm="1">
        <f t="array" ref="F2036">IF(LineærRegression_Valg[[#This Row],[Indenfor range]],INDEX(DataTitel_liste,LineærRegression_Valg[[#This Row],[Afhængig variabel ID]]),INDEX(DataTitel_liste,1))</f>
        <v>Eksempel 1 (interval)</v>
      </c>
      <c r="G2036" s="45" t="str" cm="1">
        <f t="array" ref="G2036">IF(LineærRegression_Valg[[#This Row],[Indenfor range]],IF(LineærRegression_Valg[[#This Row],[Intet overlap]],INDEX(DataTitel_liste,LineærRegression_Valg[[#This Row],[Uafhængig variabel ID]]),INDEX(DataTitel_liste,IF(LineærRegression_Valg[[#This Row],[Afhængig variabel ID]]=1,2,1))),$B$7)</f>
        <v>Eksempel 2 (interval)</v>
      </c>
      <c r="H2036" s="45">
        <f>_xlfn.AGGREGATE(2,5,LineærRegression_Valg[[#This Row],[Tabel ID]])</f>
        <v>1</v>
      </c>
    </row>
    <row r="2037" spans="1:8" x14ac:dyDescent="0.2">
      <c r="A2037">
        <f>ROW(LineærRegression_Valg[[#This Row],[Tabel ID]])-ROW(LineærRegression_Valg[[#Headers],[Tabel ID]])</f>
        <v>2027</v>
      </c>
      <c r="B2037" s="45">
        <f>ROUNDDOWN((LineærRegression_Valg[[#This Row],[Tabel ID]]-1)/$B$5,0)+1</f>
        <v>507</v>
      </c>
      <c r="C2037" s="45">
        <f t="shared" si="31"/>
        <v>3</v>
      </c>
      <c r="D2037" s="45" t="b">
        <f>LineærRegression_Valg[[#This Row],[Afhængig variabel ID]]&lt;&gt;LineærRegression_Valg[[#This Row],[Uafhængig variabel ID]]</f>
        <v>1</v>
      </c>
      <c r="E2037" s="45" t="b">
        <f>LineærRegression_Valg[[#This Row],[Afhængig variabel ID]]&lt;=$B$5</f>
        <v>0</v>
      </c>
      <c r="F2037" t="str" cm="1">
        <f t="array" ref="F2037">IF(LineærRegression_Valg[[#This Row],[Indenfor range]],INDEX(DataTitel_liste,LineærRegression_Valg[[#This Row],[Afhængig variabel ID]]),INDEX(DataTitel_liste,1))</f>
        <v>Eksempel 1 (interval)</v>
      </c>
      <c r="G2037" s="45" t="str" cm="1">
        <f t="array" ref="G2037">IF(LineærRegression_Valg[[#This Row],[Indenfor range]],IF(LineærRegression_Valg[[#This Row],[Intet overlap]],INDEX(DataTitel_liste,LineærRegression_Valg[[#This Row],[Uafhængig variabel ID]]),INDEX(DataTitel_liste,IF(LineærRegression_Valg[[#This Row],[Afhængig variabel ID]]=1,2,1))),$B$7)</f>
        <v>Eksempel 2 (interval)</v>
      </c>
      <c r="H2037" s="45">
        <f>_xlfn.AGGREGATE(2,5,LineærRegression_Valg[[#This Row],[Tabel ID]])</f>
        <v>1</v>
      </c>
    </row>
    <row r="2038" spans="1:8" x14ac:dyDescent="0.2">
      <c r="A2038">
        <f>ROW(LineærRegression_Valg[[#This Row],[Tabel ID]])-ROW(LineærRegression_Valg[[#Headers],[Tabel ID]])</f>
        <v>2028</v>
      </c>
      <c r="B2038" s="45">
        <f>ROUNDDOWN((LineærRegression_Valg[[#This Row],[Tabel ID]]-1)/$B$5,0)+1</f>
        <v>507</v>
      </c>
      <c r="C2038" s="45">
        <f t="shared" si="31"/>
        <v>4</v>
      </c>
      <c r="D2038" s="45" t="b">
        <f>LineærRegression_Valg[[#This Row],[Afhængig variabel ID]]&lt;&gt;LineærRegression_Valg[[#This Row],[Uafhængig variabel ID]]</f>
        <v>1</v>
      </c>
      <c r="E2038" s="45" t="b">
        <f>LineærRegression_Valg[[#This Row],[Afhængig variabel ID]]&lt;=$B$5</f>
        <v>0</v>
      </c>
      <c r="F2038" t="str" cm="1">
        <f t="array" ref="F2038">IF(LineærRegression_Valg[[#This Row],[Indenfor range]],INDEX(DataTitel_liste,LineærRegression_Valg[[#This Row],[Afhængig variabel ID]]),INDEX(DataTitel_liste,1))</f>
        <v>Eksempel 1 (interval)</v>
      </c>
      <c r="G2038" s="45" t="str" cm="1">
        <f t="array" ref="G2038">IF(LineærRegression_Valg[[#This Row],[Indenfor range]],IF(LineærRegression_Valg[[#This Row],[Intet overlap]],INDEX(DataTitel_liste,LineærRegression_Valg[[#This Row],[Uafhængig variabel ID]]),INDEX(DataTitel_liste,IF(LineærRegression_Valg[[#This Row],[Afhængig variabel ID]]=1,2,1))),$B$7)</f>
        <v>Eksempel 2 (interval)</v>
      </c>
      <c r="H2038" s="45">
        <f>_xlfn.AGGREGATE(2,5,LineærRegression_Valg[[#This Row],[Tabel ID]])</f>
        <v>1</v>
      </c>
    </row>
    <row r="2039" spans="1:8" x14ac:dyDescent="0.2">
      <c r="A2039">
        <f>ROW(LineærRegression_Valg[[#This Row],[Tabel ID]])-ROW(LineærRegression_Valg[[#Headers],[Tabel ID]])</f>
        <v>2029</v>
      </c>
      <c r="B2039" s="45">
        <f>ROUNDDOWN((LineærRegression_Valg[[#This Row],[Tabel ID]]-1)/$B$5,0)+1</f>
        <v>508</v>
      </c>
      <c r="C2039" s="45">
        <f t="shared" si="31"/>
        <v>1</v>
      </c>
      <c r="D2039" s="45" t="b">
        <f>LineærRegression_Valg[[#This Row],[Afhængig variabel ID]]&lt;&gt;LineærRegression_Valg[[#This Row],[Uafhængig variabel ID]]</f>
        <v>1</v>
      </c>
      <c r="E2039" s="45" t="b">
        <f>LineærRegression_Valg[[#This Row],[Afhængig variabel ID]]&lt;=$B$5</f>
        <v>0</v>
      </c>
      <c r="F2039" t="str" cm="1">
        <f t="array" ref="F2039">IF(LineærRegression_Valg[[#This Row],[Indenfor range]],INDEX(DataTitel_liste,LineærRegression_Valg[[#This Row],[Afhængig variabel ID]]),INDEX(DataTitel_liste,1))</f>
        <v>Eksempel 1 (interval)</v>
      </c>
      <c r="G2039" s="45" t="str" cm="1">
        <f t="array" ref="G2039">IF(LineærRegression_Valg[[#This Row],[Indenfor range]],IF(LineærRegression_Valg[[#This Row],[Intet overlap]],INDEX(DataTitel_liste,LineærRegression_Valg[[#This Row],[Uafhængig variabel ID]]),INDEX(DataTitel_liste,IF(LineærRegression_Valg[[#This Row],[Afhængig variabel ID]]=1,2,1))),$B$7)</f>
        <v>Eksempel 2 (interval)</v>
      </c>
      <c r="H2039" s="45">
        <f>_xlfn.AGGREGATE(2,5,LineærRegression_Valg[[#This Row],[Tabel ID]])</f>
        <v>1</v>
      </c>
    </row>
    <row r="2040" spans="1:8" x14ac:dyDescent="0.2">
      <c r="A2040">
        <f>ROW(LineærRegression_Valg[[#This Row],[Tabel ID]])-ROW(LineærRegression_Valg[[#Headers],[Tabel ID]])</f>
        <v>2030</v>
      </c>
      <c r="B2040" s="45">
        <f>ROUNDDOWN((LineærRegression_Valg[[#This Row],[Tabel ID]]-1)/$B$5,0)+1</f>
        <v>508</v>
      </c>
      <c r="C2040" s="45">
        <f t="shared" si="31"/>
        <v>2</v>
      </c>
      <c r="D2040" s="45" t="b">
        <f>LineærRegression_Valg[[#This Row],[Afhængig variabel ID]]&lt;&gt;LineærRegression_Valg[[#This Row],[Uafhængig variabel ID]]</f>
        <v>1</v>
      </c>
      <c r="E2040" s="45" t="b">
        <f>LineærRegression_Valg[[#This Row],[Afhængig variabel ID]]&lt;=$B$5</f>
        <v>0</v>
      </c>
      <c r="F2040" t="str" cm="1">
        <f t="array" ref="F2040">IF(LineærRegression_Valg[[#This Row],[Indenfor range]],INDEX(DataTitel_liste,LineærRegression_Valg[[#This Row],[Afhængig variabel ID]]),INDEX(DataTitel_liste,1))</f>
        <v>Eksempel 1 (interval)</v>
      </c>
      <c r="G2040" s="45" t="str" cm="1">
        <f t="array" ref="G2040">IF(LineærRegression_Valg[[#This Row],[Indenfor range]],IF(LineærRegression_Valg[[#This Row],[Intet overlap]],INDEX(DataTitel_liste,LineærRegression_Valg[[#This Row],[Uafhængig variabel ID]]),INDEX(DataTitel_liste,IF(LineærRegression_Valg[[#This Row],[Afhængig variabel ID]]=1,2,1))),$B$7)</f>
        <v>Eksempel 2 (interval)</v>
      </c>
      <c r="H2040" s="45">
        <f>_xlfn.AGGREGATE(2,5,LineærRegression_Valg[[#This Row],[Tabel ID]])</f>
        <v>1</v>
      </c>
    </row>
    <row r="2041" spans="1:8" x14ac:dyDescent="0.2">
      <c r="A2041">
        <f>ROW(LineærRegression_Valg[[#This Row],[Tabel ID]])-ROW(LineærRegression_Valg[[#Headers],[Tabel ID]])</f>
        <v>2031</v>
      </c>
      <c r="B2041" s="45">
        <f>ROUNDDOWN((LineærRegression_Valg[[#This Row],[Tabel ID]]-1)/$B$5,0)+1</f>
        <v>508</v>
      </c>
      <c r="C2041" s="45">
        <f t="shared" si="31"/>
        <v>3</v>
      </c>
      <c r="D2041" s="45" t="b">
        <f>LineærRegression_Valg[[#This Row],[Afhængig variabel ID]]&lt;&gt;LineærRegression_Valg[[#This Row],[Uafhængig variabel ID]]</f>
        <v>1</v>
      </c>
      <c r="E2041" s="45" t="b">
        <f>LineærRegression_Valg[[#This Row],[Afhængig variabel ID]]&lt;=$B$5</f>
        <v>0</v>
      </c>
      <c r="F2041" t="str" cm="1">
        <f t="array" ref="F2041">IF(LineærRegression_Valg[[#This Row],[Indenfor range]],INDEX(DataTitel_liste,LineærRegression_Valg[[#This Row],[Afhængig variabel ID]]),INDEX(DataTitel_liste,1))</f>
        <v>Eksempel 1 (interval)</v>
      </c>
      <c r="G2041" s="45" t="str" cm="1">
        <f t="array" ref="G2041">IF(LineærRegression_Valg[[#This Row],[Indenfor range]],IF(LineærRegression_Valg[[#This Row],[Intet overlap]],INDEX(DataTitel_liste,LineærRegression_Valg[[#This Row],[Uafhængig variabel ID]]),INDEX(DataTitel_liste,IF(LineærRegression_Valg[[#This Row],[Afhængig variabel ID]]=1,2,1))),$B$7)</f>
        <v>Eksempel 2 (interval)</v>
      </c>
      <c r="H2041" s="45">
        <f>_xlfn.AGGREGATE(2,5,LineærRegression_Valg[[#This Row],[Tabel ID]])</f>
        <v>1</v>
      </c>
    </row>
    <row r="2042" spans="1:8" x14ac:dyDescent="0.2">
      <c r="A2042">
        <f>ROW(LineærRegression_Valg[[#This Row],[Tabel ID]])-ROW(LineærRegression_Valg[[#Headers],[Tabel ID]])</f>
        <v>2032</v>
      </c>
      <c r="B2042" s="45">
        <f>ROUNDDOWN((LineærRegression_Valg[[#This Row],[Tabel ID]]-1)/$B$5,0)+1</f>
        <v>508</v>
      </c>
      <c r="C2042" s="45">
        <f t="shared" si="31"/>
        <v>4</v>
      </c>
      <c r="D2042" s="45" t="b">
        <f>LineærRegression_Valg[[#This Row],[Afhængig variabel ID]]&lt;&gt;LineærRegression_Valg[[#This Row],[Uafhængig variabel ID]]</f>
        <v>1</v>
      </c>
      <c r="E2042" s="45" t="b">
        <f>LineærRegression_Valg[[#This Row],[Afhængig variabel ID]]&lt;=$B$5</f>
        <v>0</v>
      </c>
      <c r="F2042" t="str" cm="1">
        <f t="array" ref="F2042">IF(LineærRegression_Valg[[#This Row],[Indenfor range]],INDEX(DataTitel_liste,LineærRegression_Valg[[#This Row],[Afhængig variabel ID]]),INDEX(DataTitel_liste,1))</f>
        <v>Eksempel 1 (interval)</v>
      </c>
      <c r="G2042" s="45" t="str" cm="1">
        <f t="array" ref="G2042">IF(LineærRegression_Valg[[#This Row],[Indenfor range]],IF(LineærRegression_Valg[[#This Row],[Intet overlap]],INDEX(DataTitel_liste,LineærRegression_Valg[[#This Row],[Uafhængig variabel ID]]),INDEX(DataTitel_liste,IF(LineærRegression_Valg[[#This Row],[Afhængig variabel ID]]=1,2,1))),$B$7)</f>
        <v>Eksempel 2 (interval)</v>
      </c>
      <c r="H2042" s="45">
        <f>_xlfn.AGGREGATE(2,5,LineærRegression_Valg[[#This Row],[Tabel ID]])</f>
        <v>1</v>
      </c>
    </row>
    <row r="2043" spans="1:8" x14ac:dyDescent="0.2">
      <c r="A2043">
        <f>ROW(LineærRegression_Valg[[#This Row],[Tabel ID]])-ROW(LineærRegression_Valg[[#Headers],[Tabel ID]])</f>
        <v>2033</v>
      </c>
      <c r="B2043" s="45">
        <f>ROUNDDOWN((LineærRegression_Valg[[#This Row],[Tabel ID]]-1)/$B$5,0)+1</f>
        <v>509</v>
      </c>
      <c r="C2043" s="45">
        <f t="shared" si="31"/>
        <v>1</v>
      </c>
      <c r="D2043" s="45" t="b">
        <f>LineærRegression_Valg[[#This Row],[Afhængig variabel ID]]&lt;&gt;LineærRegression_Valg[[#This Row],[Uafhængig variabel ID]]</f>
        <v>1</v>
      </c>
      <c r="E2043" s="45" t="b">
        <f>LineærRegression_Valg[[#This Row],[Afhængig variabel ID]]&lt;=$B$5</f>
        <v>0</v>
      </c>
      <c r="F2043" t="str" cm="1">
        <f t="array" ref="F2043">IF(LineærRegression_Valg[[#This Row],[Indenfor range]],INDEX(DataTitel_liste,LineærRegression_Valg[[#This Row],[Afhængig variabel ID]]),INDEX(DataTitel_liste,1))</f>
        <v>Eksempel 1 (interval)</v>
      </c>
      <c r="G2043" s="45" t="str" cm="1">
        <f t="array" ref="G2043">IF(LineærRegression_Valg[[#This Row],[Indenfor range]],IF(LineærRegression_Valg[[#This Row],[Intet overlap]],INDEX(DataTitel_liste,LineærRegression_Valg[[#This Row],[Uafhængig variabel ID]]),INDEX(DataTitel_liste,IF(LineærRegression_Valg[[#This Row],[Afhængig variabel ID]]=1,2,1))),$B$7)</f>
        <v>Eksempel 2 (interval)</v>
      </c>
      <c r="H2043" s="45">
        <f>_xlfn.AGGREGATE(2,5,LineærRegression_Valg[[#This Row],[Tabel ID]])</f>
        <v>1</v>
      </c>
    </row>
    <row r="2044" spans="1:8" x14ac:dyDescent="0.2">
      <c r="A2044">
        <f>ROW(LineærRegression_Valg[[#This Row],[Tabel ID]])-ROW(LineærRegression_Valg[[#Headers],[Tabel ID]])</f>
        <v>2034</v>
      </c>
      <c r="B2044" s="45">
        <f>ROUNDDOWN((LineærRegression_Valg[[#This Row],[Tabel ID]]-1)/$B$5,0)+1</f>
        <v>509</v>
      </c>
      <c r="C2044" s="45">
        <f t="shared" si="31"/>
        <v>2</v>
      </c>
      <c r="D2044" s="45" t="b">
        <f>LineærRegression_Valg[[#This Row],[Afhængig variabel ID]]&lt;&gt;LineærRegression_Valg[[#This Row],[Uafhængig variabel ID]]</f>
        <v>1</v>
      </c>
      <c r="E2044" s="45" t="b">
        <f>LineærRegression_Valg[[#This Row],[Afhængig variabel ID]]&lt;=$B$5</f>
        <v>0</v>
      </c>
      <c r="F2044" t="str" cm="1">
        <f t="array" ref="F2044">IF(LineærRegression_Valg[[#This Row],[Indenfor range]],INDEX(DataTitel_liste,LineærRegression_Valg[[#This Row],[Afhængig variabel ID]]),INDEX(DataTitel_liste,1))</f>
        <v>Eksempel 1 (interval)</v>
      </c>
      <c r="G2044" s="45" t="str" cm="1">
        <f t="array" ref="G2044">IF(LineærRegression_Valg[[#This Row],[Indenfor range]],IF(LineærRegression_Valg[[#This Row],[Intet overlap]],INDEX(DataTitel_liste,LineærRegression_Valg[[#This Row],[Uafhængig variabel ID]]),INDEX(DataTitel_liste,IF(LineærRegression_Valg[[#This Row],[Afhængig variabel ID]]=1,2,1))),$B$7)</f>
        <v>Eksempel 2 (interval)</v>
      </c>
      <c r="H2044" s="45">
        <f>_xlfn.AGGREGATE(2,5,LineærRegression_Valg[[#This Row],[Tabel ID]])</f>
        <v>1</v>
      </c>
    </row>
    <row r="2045" spans="1:8" x14ac:dyDescent="0.2">
      <c r="A2045">
        <f>ROW(LineærRegression_Valg[[#This Row],[Tabel ID]])-ROW(LineærRegression_Valg[[#Headers],[Tabel ID]])</f>
        <v>2035</v>
      </c>
      <c r="B2045" s="45">
        <f>ROUNDDOWN((LineærRegression_Valg[[#This Row],[Tabel ID]]-1)/$B$5,0)+1</f>
        <v>509</v>
      </c>
      <c r="C2045" s="45">
        <f t="shared" si="31"/>
        <v>3</v>
      </c>
      <c r="D2045" s="45" t="b">
        <f>LineærRegression_Valg[[#This Row],[Afhængig variabel ID]]&lt;&gt;LineærRegression_Valg[[#This Row],[Uafhængig variabel ID]]</f>
        <v>1</v>
      </c>
      <c r="E2045" s="45" t="b">
        <f>LineærRegression_Valg[[#This Row],[Afhængig variabel ID]]&lt;=$B$5</f>
        <v>0</v>
      </c>
      <c r="F2045" t="str" cm="1">
        <f t="array" ref="F2045">IF(LineærRegression_Valg[[#This Row],[Indenfor range]],INDEX(DataTitel_liste,LineærRegression_Valg[[#This Row],[Afhængig variabel ID]]),INDEX(DataTitel_liste,1))</f>
        <v>Eksempel 1 (interval)</v>
      </c>
      <c r="G2045" s="45" t="str" cm="1">
        <f t="array" ref="G2045">IF(LineærRegression_Valg[[#This Row],[Indenfor range]],IF(LineærRegression_Valg[[#This Row],[Intet overlap]],INDEX(DataTitel_liste,LineærRegression_Valg[[#This Row],[Uafhængig variabel ID]]),INDEX(DataTitel_liste,IF(LineærRegression_Valg[[#This Row],[Afhængig variabel ID]]=1,2,1))),$B$7)</f>
        <v>Eksempel 2 (interval)</v>
      </c>
      <c r="H2045" s="45">
        <f>_xlfn.AGGREGATE(2,5,LineærRegression_Valg[[#This Row],[Tabel ID]])</f>
        <v>1</v>
      </c>
    </row>
    <row r="2046" spans="1:8" x14ac:dyDescent="0.2">
      <c r="A2046">
        <f>ROW(LineærRegression_Valg[[#This Row],[Tabel ID]])-ROW(LineærRegression_Valg[[#Headers],[Tabel ID]])</f>
        <v>2036</v>
      </c>
      <c r="B2046" s="45">
        <f>ROUNDDOWN((LineærRegression_Valg[[#This Row],[Tabel ID]]-1)/$B$5,0)+1</f>
        <v>509</v>
      </c>
      <c r="C2046" s="45">
        <f t="shared" si="31"/>
        <v>4</v>
      </c>
      <c r="D2046" s="45" t="b">
        <f>LineærRegression_Valg[[#This Row],[Afhængig variabel ID]]&lt;&gt;LineærRegression_Valg[[#This Row],[Uafhængig variabel ID]]</f>
        <v>1</v>
      </c>
      <c r="E2046" s="45" t="b">
        <f>LineærRegression_Valg[[#This Row],[Afhængig variabel ID]]&lt;=$B$5</f>
        <v>0</v>
      </c>
      <c r="F2046" t="str" cm="1">
        <f t="array" ref="F2046">IF(LineærRegression_Valg[[#This Row],[Indenfor range]],INDEX(DataTitel_liste,LineærRegression_Valg[[#This Row],[Afhængig variabel ID]]),INDEX(DataTitel_liste,1))</f>
        <v>Eksempel 1 (interval)</v>
      </c>
      <c r="G2046" s="45" t="str" cm="1">
        <f t="array" ref="G2046">IF(LineærRegression_Valg[[#This Row],[Indenfor range]],IF(LineærRegression_Valg[[#This Row],[Intet overlap]],INDEX(DataTitel_liste,LineærRegression_Valg[[#This Row],[Uafhængig variabel ID]]),INDEX(DataTitel_liste,IF(LineærRegression_Valg[[#This Row],[Afhængig variabel ID]]=1,2,1))),$B$7)</f>
        <v>Eksempel 2 (interval)</v>
      </c>
      <c r="H2046" s="45">
        <f>_xlfn.AGGREGATE(2,5,LineærRegression_Valg[[#This Row],[Tabel ID]])</f>
        <v>1</v>
      </c>
    </row>
    <row r="2047" spans="1:8" x14ac:dyDescent="0.2">
      <c r="A2047">
        <f>ROW(LineærRegression_Valg[[#This Row],[Tabel ID]])-ROW(LineærRegression_Valg[[#Headers],[Tabel ID]])</f>
        <v>2037</v>
      </c>
      <c r="B2047" s="45">
        <f>ROUNDDOWN((LineærRegression_Valg[[#This Row],[Tabel ID]]-1)/$B$5,0)+1</f>
        <v>510</v>
      </c>
      <c r="C2047" s="45">
        <f t="shared" si="31"/>
        <v>1</v>
      </c>
      <c r="D2047" s="45" t="b">
        <f>LineærRegression_Valg[[#This Row],[Afhængig variabel ID]]&lt;&gt;LineærRegression_Valg[[#This Row],[Uafhængig variabel ID]]</f>
        <v>1</v>
      </c>
      <c r="E2047" s="45" t="b">
        <f>LineærRegression_Valg[[#This Row],[Afhængig variabel ID]]&lt;=$B$5</f>
        <v>0</v>
      </c>
      <c r="F2047" t="str" cm="1">
        <f t="array" ref="F2047">IF(LineærRegression_Valg[[#This Row],[Indenfor range]],INDEX(DataTitel_liste,LineærRegression_Valg[[#This Row],[Afhængig variabel ID]]),INDEX(DataTitel_liste,1))</f>
        <v>Eksempel 1 (interval)</v>
      </c>
      <c r="G2047" s="45" t="str" cm="1">
        <f t="array" ref="G2047">IF(LineærRegression_Valg[[#This Row],[Indenfor range]],IF(LineærRegression_Valg[[#This Row],[Intet overlap]],INDEX(DataTitel_liste,LineærRegression_Valg[[#This Row],[Uafhængig variabel ID]]),INDEX(DataTitel_liste,IF(LineærRegression_Valg[[#This Row],[Afhængig variabel ID]]=1,2,1))),$B$7)</f>
        <v>Eksempel 2 (interval)</v>
      </c>
      <c r="H2047" s="45">
        <f>_xlfn.AGGREGATE(2,5,LineærRegression_Valg[[#This Row],[Tabel ID]])</f>
        <v>1</v>
      </c>
    </row>
    <row r="2048" spans="1:8" x14ac:dyDescent="0.2">
      <c r="A2048">
        <f>ROW(LineærRegression_Valg[[#This Row],[Tabel ID]])-ROW(LineærRegression_Valg[[#Headers],[Tabel ID]])</f>
        <v>2038</v>
      </c>
      <c r="B2048" s="45">
        <f>ROUNDDOWN((LineærRegression_Valg[[#This Row],[Tabel ID]]-1)/$B$5,0)+1</f>
        <v>510</v>
      </c>
      <c r="C2048" s="45">
        <f t="shared" si="31"/>
        <v>2</v>
      </c>
      <c r="D2048" s="45" t="b">
        <f>LineærRegression_Valg[[#This Row],[Afhængig variabel ID]]&lt;&gt;LineærRegression_Valg[[#This Row],[Uafhængig variabel ID]]</f>
        <v>1</v>
      </c>
      <c r="E2048" s="45" t="b">
        <f>LineærRegression_Valg[[#This Row],[Afhængig variabel ID]]&lt;=$B$5</f>
        <v>0</v>
      </c>
      <c r="F2048" t="str" cm="1">
        <f t="array" ref="F2048">IF(LineærRegression_Valg[[#This Row],[Indenfor range]],INDEX(DataTitel_liste,LineærRegression_Valg[[#This Row],[Afhængig variabel ID]]),INDEX(DataTitel_liste,1))</f>
        <v>Eksempel 1 (interval)</v>
      </c>
      <c r="G2048" s="45" t="str" cm="1">
        <f t="array" ref="G2048">IF(LineærRegression_Valg[[#This Row],[Indenfor range]],IF(LineærRegression_Valg[[#This Row],[Intet overlap]],INDEX(DataTitel_liste,LineærRegression_Valg[[#This Row],[Uafhængig variabel ID]]),INDEX(DataTitel_liste,IF(LineærRegression_Valg[[#This Row],[Afhængig variabel ID]]=1,2,1))),$B$7)</f>
        <v>Eksempel 2 (interval)</v>
      </c>
      <c r="H2048" s="45">
        <f>_xlfn.AGGREGATE(2,5,LineærRegression_Valg[[#This Row],[Tabel ID]])</f>
        <v>1</v>
      </c>
    </row>
    <row r="2049" spans="1:8" x14ac:dyDescent="0.2">
      <c r="A2049">
        <f>ROW(LineærRegression_Valg[[#This Row],[Tabel ID]])-ROW(LineærRegression_Valg[[#Headers],[Tabel ID]])</f>
        <v>2039</v>
      </c>
      <c r="B2049" s="45">
        <f>ROUNDDOWN((LineærRegression_Valg[[#This Row],[Tabel ID]]-1)/$B$5,0)+1</f>
        <v>510</v>
      </c>
      <c r="C2049" s="45">
        <f t="shared" si="31"/>
        <v>3</v>
      </c>
      <c r="D2049" s="45" t="b">
        <f>LineærRegression_Valg[[#This Row],[Afhængig variabel ID]]&lt;&gt;LineærRegression_Valg[[#This Row],[Uafhængig variabel ID]]</f>
        <v>1</v>
      </c>
      <c r="E2049" s="45" t="b">
        <f>LineærRegression_Valg[[#This Row],[Afhængig variabel ID]]&lt;=$B$5</f>
        <v>0</v>
      </c>
      <c r="F2049" t="str" cm="1">
        <f t="array" ref="F2049">IF(LineærRegression_Valg[[#This Row],[Indenfor range]],INDEX(DataTitel_liste,LineærRegression_Valg[[#This Row],[Afhængig variabel ID]]),INDEX(DataTitel_liste,1))</f>
        <v>Eksempel 1 (interval)</v>
      </c>
      <c r="G2049" s="45" t="str" cm="1">
        <f t="array" ref="G2049">IF(LineærRegression_Valg[[#This Row],[Indenfor range]],IF(LineærRegression_Valg[[#This Row],[Intet overlap]],INDEX(DataTitel_liste,LineærRegression_Valg[[#This Row],[Uafhængig variabel ID]]),INDEX(DataTitel_liste,IF(LineærRegression_Valg[[#This Row],[Afhængig variabel ID]]=1,2,1))),$B$7)</f>
        <v>Eksempel 2 (interval)</v>
      </c>
      <c r="H2049" s="45">
        <f>_xlfn.AGGREGATE(2,5,LineærRegression_Valg[[#This Row],[Tabel ID]])</f>
        <v>1</v>
      </c>
    </row>
    <row r="2050" spans="1:8" x14ac:dyDescent="0.2">
      <c r="A2050">
        <f>ROW(LineærRegression_Valg[[#This Row],[Tabel ID]])-ROW(LineærRegression_Valg[[#Headers],[Tabel ID]])</f>
        <v>2040</v>
      </c>
      <c r="B2050" s="45">
        <f>ROUNDDOWN((LineærRegression_Valg[[#This Row],[Tabel ID]]-1)/$B$5,0)+1</f>
        <v>510</v>
      </c>
      <c r="C2050" s="45">
        <f t="shared" si="31"/>
        <v>4</v>
      </c>
      <c r="D2050" s="45" t="b">
        <f>LineærRegression_Valg[[#This Row],[Afhængig variabel ID]]&lt;&gt;LineærRegression_Valg[[#This Row],[Uafhængig variabel ID]]</f>
        <v>1</v>
      </c>
      <c r="E2050" s="45" t="b">
        <f>LineærRegression_Valg[[#This Row],[Afhængig variabel ID]]&lt;=$B$5</f>
        <v>0</v>
      </c>
      <c r="F2050" t="str" cm="1">
        <f t="array" ref="F2050">IF(LineærRegression_Valg[[#This Row],[Indenfor range]],INDEX(DataTitel_liste,LineærRegression_Valg[[#This Row],[Afhængig variabel ID]]),INDEX(DataTitel_liste,1))</f>
        <v>Eksempel 1 (interval)</v>
      </c>
      <c r="G2050" s="45" t="str" cm="1">
        <f t="array" ref="G2050">IF(LineærRegression_Valg[[#This Row],[Indenfor range]],IF(LineærRegression_Valg[[#This Row],[Intet overlap]],INDEX(DataTitel_liste,LineærRegression_Valg[[#This Row],[Uafhængig variabel ID]]),INDEX(DataTitel_liste,IF(LineærRegression_Valg[[#This Row],[Afhængig variabel ID]]=1,2,1))),$B$7)</f>
        <v>Eksempel 2 (interval)</v>
      </c>
      <c r="H2050" s="45">
        <f>_xlfn.AGGREGATE(2,5,LineærRegression_Valg[[#This Row],[Tabel ID]])</f>
        <v>1</v>
      </c>
    </row>
    <row r="2051" spans="1:8" x14ac:dyDescent="0.2">
      <c r="A2051">
        <f>ROW(LineærRegression_Valg[[#This Row],[Tabel ID]])-ROW(LineærRegression_Valg[[#Headers],[Tabel ID]])</f>
        <v>2041</v>
      </c>
      <c r="B2051" s="45">
        <f>ROUNDDOWN((LineærRegression_Valg[[#This Row],[Tabel ID]]-1)/$B$5,0)+1</f>
        <v>511</v>
      </c>
      <c r="C2051" s="45">
        <f t="shared" si="31"/>
        <v>1</v>
      </c>
      <c r="D2051" s="45" t="b">
        <f>LineærRegression_Valg[[#This Row],[Afhængig variabel ID]]&lt;&gt;LineærRegression_Valg[[#This Row],[Uafhængig variabel ID]]</f>
        <v>1</v>
      </c>
      <c r="E2051" s="45" t="b">
        <f>LineærRegression_Valg[[#This Row],[Afhængig variabel ID]]&lt;=$B$5</f>
        <v>0</v>
      </c>
      <c r="F2051" t="str" cm="1">
        <f t="array" ref="F2051">IF(LineærRegression_Valg[[#This Row],[Indenfor range]],INDEX(DataTitel_liste,LineærRegression_Valg[[#This Row],[Afhængig variabel ID]]),INDEX(DataTitel_liste,1))</f>
        <v>Eksempel 1 (interval)</v>
      </c>
      <c r="G2051" s="45" t="str" cm="1">
        <f t="array" ref="G2051">IF(LineærRegression_Valg[[#This Row],[Indenfor range]],IF(LineærRegression_Valg[[#This Row],[Intet overlap]],INDEX(DataTitel_liste,LineærRegression_Valg[[#This Row],[Uafhængig variabel ID]]),INDEX(DataTitel_liste,IF(LineærRegression_Valg[[#This Row],[Afhængig variabel ID]]=1,2,1))),$B$7)</f>
        <v>Eksempel 2 (interval)</v>
      </c>
      <c r="H2051" s="45">
        <f>_xlfn.AGGREGATE(2,5,LineærRegression_Valg[[#This Row],[Tabel ID]])</f>
        <v>1</v>
      </c>
    </row>
    <row r="2052" spans="1:8" x14ac:dyDescent="0.2">
      <c r="A2052">
        <f>ROW(LineærRegression_Valg[[#This Row],[Tabel ID]])-ROW(LineærRegression_Valg[[#Headers],[Tabel ID]])</f>
        <v>2042</v>
      </c>
      <c r="B2052" s="45">
        <f>ROUNDDOWN((LineærRegression_Valg[[#This Row],[Tabel ID]]-1)/$B$5,0)+1</f>
        <v>511</v>
      </c>
      <c r="C2052" s="45">
        <f t="shared" si="31"/>
        <v>2</v>
      </c>
      <c r="D2052" s="45" t="b">
        <f>LineærRegression_Valg[[#This Row],[Afhængig variabel ID]]&lt;&gt;LineærRegression_Valg[[#This Row],[Uafhængig variabel ID]]</f>
        <v>1</v>
      </c>
      <c r="E2052" s="45" t="b">
        <f>LineærRegression_Valg[[#This Row],[Afhængig variabel ID]]&lt;=$B$5</f>
        <v>0</v>
      </c>
      <c r="F2052" t="str" cm="1">
        <f t="array" ref="F2052">IF(LineærRegression_Valg[[#This Row],[Indenfor range]],INDEX(DataTitel_liste,LineærRegression_Valg[[#This Row],[Afhængig variabel ID]]),INDEX(DataTitel_liste,1))</f>
        <v>Eksempel 1 (interval)</v>
      </c>
      <c r="G2052" s="45" t="str" cm="1">
        <f t="array" ref="G2052">IF(LineærRegression_Valg[[#This Row],[Indenfor range]],IF(LineærRegression_Valg[[#This Row],[Intet overlap]],INDEX(DataTitel_liste,LineærRegression_Valg[[#This Row],[Uafhængig variabel ID]]),INDEX(DataTitel_liste,IF(LineærRegression_Valg[[#This Row],[Afhængig variabel ID]]=1,2,1))),$B$7)</f>
        <v>Eksempel 2 (interval)</v>
      </c>
      <c r="H2052" s="45">
        <f>_xlfn.AGGREGATE(2,5,LineærRegression_Valg[[#This Row],[Tabel ID]])</f>
        <v>1</v>
      </c>
    </row>
    <row r="2053" spans="1:8" x14ac:dyDescent="0.2">
      <c r="A2053">
        <f>ROW(LineærRegression_Valg[[#This Row],[Tabel ID]])-ROW(LineærRegression_Valg[[#Headers],[Tabel ID]])</f>
        <v>2043</v>
      </c>
      <c r="B2053" s="45">
        <f>ROUNDDOWN((LineærRegression_Valg[[#This Row],[Tabel ID]]-1)/$B$5,0)+1</f>
        <v>511</v>
      </c>
      <c r="C2053" s="45">
        <f t="shared" si="31"/>
        <v>3</v>
      </c>
      <c r="D2053" s="45" t="b">
        <f>LineærRegression_Valg[[#This Row],[Afhængig variabel ID]]&lt;&gt;LineærRegression_Valg[[#This Row],[Uafhængig variabel ID]]</f>
        <v>1</v>
      </c>
      <c r="E2053" s="45" t="b">
        <f>LineærRegression_Valg[[#This Row],[Afhængig variabel ID]]&lt;=$B$5</f>
        <v>0</v>
      </c>
      <c r="F2053" t="str" cm="1">
        <f t="array" ref="F2053">IF(LineærRegression_Valg[[#This Row],[Indenfor range]],INDEX(DataTitel_liste,LineærRegression_Valg[[#This Row],[Afhængig variabel ID]]),INDEX(DataTitel_liste,1))</f>
        <v>Eksempel 1 (interval)</v>
      </c>
      <c r="G2053" s="45" t="str" cm="1">
        <f t="array" ref="G2053">IF(LineærRegression_Valg[[#This Row],[Indenfor range]],IF(LineærRegression_Valg[[#This Row],[Intet overlap]],INDEX(DataTitel_liste,LineærRegression_Valg[[#This Row],[Uafhængig variabel ID]]),INDEX(DataTitel_liste,IF(LineærRegression_Valg[[#This Row],[Afhængig variabel ID]]=1,2,1))),$B$7)</f>
        <v>Eksempel 2 (interval)</v>
      </c>
      <c r="H2053" s="45">
        <f>_xlfn.AGGREGATE(2,5,LineærRegression_Valg[[#This Row],[Tabel ID]])</f>
        <v>1</v>
      </c>
    </row>
    <row r="2054" spans="1:8" x14ac:dyDescent="0.2">
      <c r="A2054">
        <f>ROW(LineærRegression_Valg[[#This Row],[Tabel ID]])-ROW(LineærRegression_Valg[[#Headers],[Tabel ID]])</f>
        <v>2044</v>
      </c>
      <c r="B2054" s="45">
        <f>ROUNDDOWN((LineærRegression_Valg[[#This Row],[Tabel ID]]-1)/$B$5,0)+1</f>
        <v>511</v>
      </c>
      <c r="C2054" s="45">
        <f t="shared" si="31"/>
        <v>4</v>
      </c>
      <c r="D2054" s="45" t="b">
        <f>LineærRegression_Valg[[#This Row],[Afhængig variabel ID]]&lt;&gt;LineærRegression_Valg[[#This Row],[Uafhængig variabel ID]]</f>
        <v>1</v>
      </c>
      <c r="E2054" s="45" t="b">
        <f>LineærRegression_Valg[[#This Row],[Afhængig variabel ID]]&lt;=$B$5</f>
        <v>0</v>
      </c>
      <c r="F2054" t="str" cm="1">
        <f t="array" ref="F2054">IF(LineærRegression_Valg[[#This Row],[Indenfor range]],INDEX(DataTitel_liste,LineærRegression_Valg[[#This Row],[Afhængig variabel ID]]),INDEX(DataTitel_liste,1))</f>
        <v>Eksempel 1 (interval)</v>
      </c>
      <c r="G2054" s="45" t="str" cm="1">
        <f t="array" ref="G2054">IF(LineærRegression_Valg[[#This Row],[Indenfor range]],IF(LineærRegression_Valg[[#This Row],[Intet overlap]],INDEX(DataTitel_liste,LineærRegression_Valg[[#This Row],[Uafhængig variabel ID]]),INDEX(DataTitel_liste,IF(LineærRegression_Valg[[#This Row],[Afhængig variabel ID]]=1,2,1))),$B$7)</f>
        <v>Eksempel 2 (interval)</v>
      </c>
      <c r="H2054" s="45">
        <f>_xlfn.AGGREGATE(2,5,LineærRegression_Valg[[#This Row],[Tabel ID]])</f>
        <v>1</v>
      </c>
    </row>
    <row r="2055" spans="1:8" x14ac:dyDescent="0.2">
      <c r="A2055">
        <f>ROW(LineærRegression_Valg[[#This Row],[Tabel ID]])-ROW(LineærRegression_Valg[[#Headers],[Tabel ID]])</f>
        <v>2045</v>
      </c>
      <c r="B2055" s="45">
        <f>ROUNDDOWN((LineærRegression_Valg[[#This Row],[Tabel ID]]-1)/$B$5,0)+1</f>
        <v>512</v>
      </c>
      <c r="C2055" s="45">
        <f t="shared" si="31"/>
        <v>1</v>
      </c>
      <c r="D2055" s="45" t="b">
        <f>LineærRegression_Valg[[#This Row],[Afhængig variabel ID]]&lt;&gt;LineærRegression_Valg[[#This Row],[Uafhængig variabel ID]]</f>
        <v>1</v>
      </c>
      <c r="E2055" s="45" t="b">
        <f>LineærRegression_Valg[[#This Row],[Afhængig variabel ID]]&lt;=$B$5</f>
        <v>0</v>
      </c>
      <c r="F2055" t="str" cm="1">
        <f t="array" ref="F2055">IF(LineærRegression_Valg[[#This Row],[Indenfor range]],INDEX(DataTitel_liste,LineærRegression_Valg[[#This Row],[Afhængig variabel ID]]),INDEX(DataTitel_liste,1))</f>
        <v>Eksempel 1 (interval)</v>
      </c>
      <c r="G2055" s="45" t="str" cm="1">
        <f t="array" ref="G2055">IF(LineærRegression_Valg[[#This Row],[Indenfor range]],IF(LineærRegression_Valg[[#This Row],[Intet overlap]],INDEX(DataTitel_liste,LineærRegression_Valg[[#This Row],[Uafhængig variabel ID]]),INDEX(DataTitel_liste,IF(LineærRegression_Valg[[#This Row],[Afhængig variabel ID]]=1,2,1))),$B$7)</f>
        <v>Eksempel 2 (interval)</v>
      </c>
      <c r="H2055" s="45">
        <f>_xlfn.AGGREGATE(2,5,LineærRegression_Valg[[#This Row],[Tabel ID]])</f>
        <v>1</v>
      </c>
    </row>
    <row r="2056" spans="1:8" x14ac:dyDescent="0.2">
      <c r="A2056">
        <f>ROW(LineærRegression_Valg[[#This Row],[Tabel ID]])-ROW(LineærRegression_Valg[[#Headers],[Tabel ID]])</f>
        <v>2046</v>
      </c>
      <c r="B2056" s="45">
        <f>ROUNDDOWN((LineærRegression_Valg[[#This Row],[Tabel ID]]-1)/$B$5,0)+1</f>
        <v>512</v>
      </c>
      <c r="C2056" s="45">
        <f t="shared" si="31"/>
        <v>2</v>
      </c>
      <c r="D2056" s="45" t="b">
        <f>LineærRegression_Valg[[#This Row],[Afhængig variabel ID]]&lt;&gt;LineærRegression_Valg[[#This Row],[Uafhængig variabel ID]]</f>
        <v>1</v>
      </c>
      <c r="E2056" s="45" t="b">
        <f>LineærRegression_Valg[[#This Row],[Afhængig variabel ID]]&lt;=$B$5</f>
        <v>0</v>
      </c>
      <c r="F2056" t="str" cm="1">
        <f t="array" ref="F2056">IF(LineærRegression_Valg[[#This Row],[Indenfor range]],INDEX(DataTitel_liste,LineærRegression_Valg[[#This Row],[Afhængig variabel ID]]),INDEX(DataTitel_liste,1))</f>
        <v>Eksempel 1 (interval)</v>
      </c>
      <c r="G2056" s="45" t="str" cm="1">
        <f t="array" ref="G2056">IF(LineærRegression_Valg[[#This Row],[Indenfor range]],IF(LineærRegression_Valg[[#This Row],[Intet overlap]],INDEX(DataTitel_liste,LineærRegression_Valg[[#This Row],[Uafhængig variabel ID]]),INDEX(DataTitel_liste,IF(LineærRegression_Valg[[#This Row],[Afhængig variabel ID]]=1,2,1))),$B$7)</f>
        <v>Eksempel 2 (interval)</v>
      </c>
      <c r="H2056" s="45">
        <f>_xlfn.AGGREGATE(2,5,LineærRegression_Valg[[#This Row],[Tabel ID]])</f>
        <v>1</v>
      </c>
    </row>
    <row r="2057" spans="1:8" x14ac:dyDescent="0.2">
      <c r="A2057">
        <f>ROW(LineærRegression_Valg[[#This Row],[Tabel ID]])-ROW(LineærRegression_Valg[[#Headers],[Tabel ID]])</f>
        <v>2047</v>
      </c>
      <c r="B2057" s="45">
        <f>ROUNDDOWN((LineærRegression_Valg[[#This Row],[Tabel ID]]-1)/$B$5,0)+1</f>
        <v>512</v>
      </c>
      <c r="C2057" s="45">
        <f t="shared" si="31"/>
        <v>3</v>
      </c>
      <c r="D2057" s="45" t="b">
        <f>LineærRegression_Valg[[#This Row],[Afhængig variabel ID]]&lt;&gt;LineærRegression_Valg[[#This Row],[Uafhængig variabel ID]]</f>
        <v>1</v>
      </c>
      <c r="E2057" s="45" t="b">
        <f>LineærRegression_Valg[[#This Row],[Afhængig variabel ID]]&lt;=$B$5</f>
        <v>0</v>
      </c>
      <c r="F2057" t="str" cm="1">
        <f t="array" ref="F2057">IF(LineærRegression_Valg[[#This Row],[Indenfor range]],INDEX(DataTitel_liste,LineærRegression_Valg[[#This Row],[Afhængig variabel ID]]),INDEX(DataTitel_liste,1))</f>
        <v>Eksempel 1 (interval)</v>
      </c>
      <c r="G2057" s="45" t="str" cm="1">
        <f t="array" ref="G2057">IF(LineærRegression_Valg[[#This Row],[Indenfor range]],IF(LineærRegression_Valg[[#This Row],[Intet overlap]],INDEX(DataTitel_liste,LineærRegression_Valg[[#This Row],[Uafhængig variabel ID]]),INDEX(DataTitel_liste,IF(LineærRegression_Valg[[#This Row],[Afhængig variabel ID]]=1,2,1))),$B$7)</f>
        <v>Eksempel 2 (interval)</v>
      </c>
      <c r="H2057" s="45">
        <f>_xlfn.AGGREGATE(2,5,LineærRegression_Valg[[#This Row],[Tabel ID]])</f>
        <v>1</v>
      </c>
    </row>
    <row r="2058" spans="1:8" x14ac:dyDescent="0.2">
      <c r="A2058">
        <f>ROW(LineærRegression_Valg[[#This Row],[Tabel ID]])-ROW(LineærRegression_Valg[[#Headers],[Tabel ID]])</f>
        <v>2048</v>
      </c>
      <c r="B2058" s="45">
        <f>ROUNDDOWN((LineærRegression_Valg[[#This Row],[Tabel ID]]-1)/$B$5,0)+1</f>
        <v>512</v>
      </c>
      <c r="C2058" s="45">
        <f t="shared" si="31"/>
        <v>4</v>
      </c>
      <c r="D2058" s="45" t="b">
        <f>LineærRegression_Valg[[#This Row],[Afhængig variabel ID]]&lt;&gt;LineærRegression_Valg[[#This Row],[Uafhængig variabel ID]]</f>
        <v>1</v>
      </c>
      <c r="E2058" s="45" t="b">
        <f>LineærRegression_Valg[[#This Row],[Afhængig variabel ID]]&lt;=$B$5</f>
        <v>0</v>
      </c>
      <c r="F2058" t="str" cm="1">
        <f t="array" ref="F2058">IF(LineærRegression_Valg[[#This Row],[Indenfor range]],INDEX(DataTitel_liste,LineærRegression_Valg[[#This Row],[Afhængig variabel ID]]),INDEX(DataTitel_liste,1))</f>
        <v>Eksempel 1 (interval)</v>
      </c>
      <c r="G2058" s="45" t="str" cm="1">
        <f t="array" ref="G2058">IF(LineærRegression_Valg[[#This Row],[Indenfor range]],IF(LineærRegression_Valg[[#This Row],[Intet overlap]],INDEX(DataTitel_liste,LineærRegression_Valg[[#This Row],[Uafhængig variabel ID]]),INDEX(DataTitel_liste,IF(LineærRegression_Valg[[#This Row],[Afhængig variabel ID]]=1,2,1))),$B$7)</f>
        <v>Eksempel 2 (interval)</v>
      </c>
      <c r="H2058" s="45">
        <f>_xlfn.AGGREGATE(2,5,LineærRegression_Valg[[#This Row],[Tabel ID]])</f>
        <v>1</v>
      </c>
    </row>
    <row r="2059" spans="1:8" x14ac:dyDescent="0.2">
      <c r="A2059">
        <f>ROW(LineærRegression_Valg[[#This Row],[Tabel ID]])-ROW(LineærRegression_Valg[[#Headers],[Tabel ID]])</f>
        <v>2049</v>
      </c>
      <c r="B2059" s="45">
        <f>ROUNDDOWN((LineærRegression_Valg[[#This Row],[Tabel ID]]-1)/$B$5,0)+1</f>
        <v>513</v>
      </c>
      <c r="C2059" s="45">
        <f t="shared" ref="C2059:C2122" si="32">MOD(A2059-1,$B$5)+1</f>
        <v>1</v>
      </c>
      <c r="D2059" s="45" t="b">
        <f>LineærRegression_Valg[[#This Row],[Afhængig variabel ID]]&lt;&gt;LineærRegression_Valg[[#This Row],[Uafhængig variabel ID]]</f>
        <v>1</v>
      </c>
      <c r="E2059" s="45" t="b">
        <f>LineærRegression_Valg[[#This Row],[Afhængig variabel ID]]&lt;=$B$5</f>
        <v>0</v>
      </c>
      <c r="F2059" t="str" cm="1">
        <f t="array" ref="F2059">IF(LineærRegression_Valg[[#This Row],[Indenfor range]],INDEX(DataTitel_liste,LineærRegression_Valg[[#This Row],[Afhængig variabel ID]]),INDEX(DataTitel_liste,1))</f>
        <v>Eksempel 1 (interval)</v>
      </c>
      <c r="G2059" s="45" t="str" cm="1">
        <f t="array" ref="G2059">IF(LineærRegression_Valg[[#This Row],[Indenfor range]],IF(LineærRegression_Valg[[#This Row],[Intet overlap]],INDEX(DataTitel_liste,LineærRegression_Valg[[#This Row],[Uafhængig variabel ID]]),INDEX(DataTitel_liste,IF(LineærRegression_Valg[[#This Row],[Afhængig variabel ID]]=1,2,1))),$B$7)</f>
        <v>Eksempel 2 (interval)</v>
      </c>
      <c r="H2059" s="45">
        <f>_xlfn.AGGREGATE(2,5,LineærRegression_Valg[[#This Row],[Tabel ID]])</f>
        <v>1</v>
      </c>
    </row>
    <row r="2060" spans="1:8" x14ac:dyDescent="0.2">
      <c r="A2060">
        <f>ROW(LineærRegression_Valg[[#This Row],[Tabel ID]])-ROW(LineærRegression_Valg[[#Headers],[Tabel ID]])</f>
        <v>2050</v>
      </c>
      <c r="B2060" s="45">
        <f>ROUNDDOWN((LineærRegression_Valg[[#This Row],[Tabel ID]]-1)/$B$5,0)+1</f>
        <v>513</v>
      </c>
      <c r="C2060" s="45">
        <f t="shared" si="32"/>
        <v>2</v>
      </c>
      <c r="D2060" s="45" t="b">
        <f>LineærRegression_Valg[[#This Row],[Afhængig variabel ID]]&lt;&gt;LineærRegression_Valg[[#This Row],[Uafhængig variabel ID]]</f>
        <v>1</v>
      </c>
      <c r="E2060" s="45" t="b">
        <f>LineærRegression_Valg[[#This Row],[Afhængig variabel ID]]&lt;=$B$5</f>
        <v>0</v>
      </c>
      <c r="F2060" t="str" cm="1">
        <f t="array" ref="F2060">IF(LineærRegression_Valg[[#This Row],[Indenfor range]],INDEX(DataTitel_liste,LineærRegression_Valg[[#This Row],[Afhængig variabel ID]]),INDEX(DataTitel_liste,1))</f>
        <v>Eksempel 1 (interval)</v>
      </c>
      <c r="G2060" s="45" t="str" cm="1">
        <f t="array" ref="G2060">IF(LineærRegression_Valg[[#This Row],[Indenfor range]],IF(LineærRegression_Valg[[#This Row],[Intet overlap]],INDEX(DataTitel_liste,LineærRegression_Valg[[#This Row],[Uafhængig variabel ID]]),INDEX(DataTitel_liste,IF(LineærRegression_Valg[[#This Row],[Afhængig variabel ID]]=1,2,1))),$B$7)</f>
        <v>Eksempel 2 (interval)</v>
      </c>
      <c r="H2060" s="45">
        <f>_xlfn.AGGREGATE(2,5,LineærRegression_Valg[[#This Row],[Tabel ID]])</f>
        <v>1</v>
      </c>
    </row>
    <row r="2061" spans="1:8" x14ac:dyDescent="0.2">
      <c r="A2061">
        <f>ROW(LineærRegression_Valg[[#This Row],[Tabel ID]])-ROW(LineærRegression_Valg[[#Headers],[Tabel ID]])</f>
        <v>2051</v>
      </c>
      <c r="B2061" s="45">
        <f>ROUNDDOWN((LineærRegression_Valg[[#This Row],[Tabel ID]]-1)/$B$5,0)+1</f>
        <v>513</v>
      </c>
      <c r="C2061" s="45">
        <f t="shared" si="32"/>
        <v>3</v>
      </c>
      <c r="D2061" s="45" t="b">
        <f>LineærRegression_Valg[[#This Row],[Afhængig variabel ID]]&lt;&gt;LineærRegression_Valg[[#This Row],[Uafhængig variabel ID]]</f>
        <v>1</v>
      </c>
      <c r="E2061" s="45" t="b">
        <f>LineærRegression_Valg[[#This Row],[Afhængig variabel ID]]&lt;=$B$5</f>
        <v>0</v>
      </c>
      <c r="F2061" t="str" cm="1">
        <f t="array" ref="F2061">IF(LineærRegression_Valg[[#This Row],[Indenfor range]],INDEX(DataTitel_liste,LineærRegression_Valg[[#This Row],[Afhængig variabel ID]]),INDEX(DataTitel_liste,1))</f>
        <v>Eksempel 1 (interval)</v>
      </c>
      <c r="G2061" s="45" t="str" cm="1">
        <f t="array" ref="G2061">IF(LineærRegression_Valg[[#This Row],[Indenfor range]],IF(LineærRegression_Valg[[#This Row],[Intet overlap]],INDEX(DataTitel_liste,LineærRegression_Valg[[#This Row],[Uafhængig variabel ID]]),INDEX(DataTitel_liste,IF(LineærRegression_Valg[[#This Row],[Afhængig variabel ID]]=1,2,1))),$B$7)</f>
        <v>Eksempel 2 (interval)</v>
      </c>
      <c r="H2061" s="45">
        <f>_xlfn.AGGREGATE(2,5,LineærRegression_Valg[[#This Row],[Tabel ID]])</f>
        <v>1</v>
      </c>
    </row>
    <row r="2062" spans="1:8" x14ac:dyDescent="0.2">
      <c r="A2062">
        <f>ROW(LineærRegression_Valg[[#This Row],[Tabel ID]])-ROW(LineærRegression_Valg[[#Headers],[Tabel ID]])</f>
        <v>2052</v>
      </c>
      <c r="B2062" s="45">
        <f>ROUNDDOWN((LineærRegression_Valg[[#This Row],[Tabel ID]]-1)/$B$5,0)+1</f>
        <v>513</v>
      </c>
      <c r="C2062" s="45">
        <f t="shared" si="32"/>
        <v>4</v>
      </c>
      <c r="D2062" s="45" t="b">
        <f>LineærRegression_Valg[[#This Row],[Afhængig variabel ID]]&lt;&gt;LineærRegression_Valg[[#This Row],[Uafhængig variabel ID]]</f>
        <v>1</v>
      </c>
      <c r="E2062" s="45" t="b">
        <f>LineærRegression_Valg[[#This Row],[Afhængig variabel ID]]&lt;=$B$5</f>
        <v>0</v>
      </c>
      <c r="F2062" t="str" cm="1">
        <f t="array" ref="F2062">IF(LineærRegression_Valg[[#This Row],[Indenfor range]],INDEX(DataTitel_liste,LineærRegression_Valg[[#This Row],[Afhængig variabel ID]]),INDEX(DataTitel_liste,1))</f>
        <v>Eksempel 1 (interval)</v>
      </c>
      <c r="G2062" s="45" t="str" cm="1">
        <f t="array" ref="G2062">IF(LineærRegression_Valg[[#This Row],[Indenfor range]],IF(LineærRegression_Valg[[#This Row],[Intet overlap]],INDEX(DataTitel_liste,LineærRegression_Valg[[#This Row],[Uafhængig variabel ID]]),INDEX(DataTitel_liste,IF(LineærRegression_Valg[[#This Row],[Afhængig variabel ID]]=1,2,1))),$B$7)</f>
        <v>Eksempel 2 (interval)</v>
      </c>
      <c r="H2062" s="45">
        <f>_xlfn.AGGREGATE(2,5,LineærRegression_Valg[[#This Row],[Tabel ID]])</f>
        <v>1</v>
      </c>
    </row>
    <row r="2063" spans="1:8" x14ac:dyDescent="0.2">
      <c r="A2063">
        <f>ROW(LineærRegression_Valg[[#This Row],[Tabel ID]])-ROW(LineærRegression_Valg[[#Headers],[Tabel ID]])</f>
        <v>2053</v>
      </c>
      <c r="B2063" s="45">
        <f>ROUNDDOWN((LineærRegression_Valg[[#This Row],[Tabel ID]]-1)/$B$5,0)+1</f>
        <v>514</v>
      </c>
      <c r="C2063" s="45">
        <f t="shared" si="32"/>
        <v>1</v>
      </c>
      <c r="D2063" s="45" t="b">
        <f>LineærRegression_Valg[[#This Row],[Afhængig variabel ID]]&lt;&gt;LineærRegression_Valg[[#This Row],[Uafhængig variabel ID]]</f>
        <v>1</v>
      </c>
      <c r="E2063" s="45" t="b">
        <f>LineærRegression_Valg[[#This Row],[Afhængig variabel ID]]&lt;=$B$5</f>
        <v>0</v>
      </c>
      <c r="F2063" t="str" cm="1">
        <f t="array" ref="F2063">IF(LineærRegression_Valg[[#This Row],[Indenfor range]],INDEX(DataTitel_liste,LineærRegression_Valg[[#This Row],[Afhængig variabel ID]]),INDEX(DataTitel_liste,1))</f>
        <v>Eksempel 1 (interval)</v>
      </c>
      <c r="G2063" s="45" t="str" cm="1">
        <f t="array" ref="G2063">IF(LineærRegression_Valg[[#This Row],[Indenfor range]],IF(LineærRegression_Valg[[#This Row],[Intet overlap]],INDEX(DataTitel_liste,LineærRegression_Valg[[#This Row],[Uafhængig variabel ID]]),INDEX(DataTitel_liste,IF(LineærRegression_Valg[[#This Row],[Afhængig variabel ID]]=1,2,1))),$B$7)</f>
        <v>Eksempel 2 (interval)</v>
      </c>
      <c r="H2063" s="45">
        <f>_xlfn.AGGREGATE(2,5,LineærRegression_Valg[[#This Row],[Tabel ID]])</f>
        <v>1</v>
      </c>
    </row>
    <row r="2064" spans="1:8" x14ac:dyDescent="0.2">
      <c r="A2064">
        <f>ROW(LineærRegression_Valg[[#This Row],[Tabel ID]])-ROW(LineærRegression_Valg[[#Headers],[Tabel ID]])</f>
        <v>2054</v>
      </c>
      <c r="B2064" s="45">
        <f>ROUNDDOWN((LineærRegression_Valg[[#This Row],[Tabel ID]]-1)/$B$5,0)+1</f>
        <v>514</v>
      </c>
      <c r="C2064" s="45">
        <f t="shared" si="32"/>
        <v>2</v>
      </c>
      <c r="D2064" s="45" t="b">
        <f>LineærRegression_Valg[[#This Row],[Afhængig variabel ID]]&lt;&gt;LineærRegression_Valg[[#This Row],[Uafhængig variabel ID]]</f>
        <v>1</v>
      </c>
      <c r="E2064" s="45" t="b">
        <f>LineærRegression_Valg[[#This Row],[Afhængig variabel ID]]&lt;=$B$5</f>
        <v>0</v>
      </c>
      <c r="F2064" t="str" cm="1">
        <f t="array" ref="F2064">IF(LineærRegression_Valg[[#This Row],[Indenfor range]],INDEX(DataTitel_liste,LineærRegression_Valg[[#This Row],[Afhængig variabel ID]]),INDEX(DataTitel_liste,1))</f>
        <v>Eksempel 1 (interval)</v>
      </c>
      <c r="G2064" s="45" t="str" cm="1">
        <f t="array" ref="G2064">IF(LineærRegression_Valg[[#This Row],[Indenfor range]],IF(LineærRegression_Valg[[#This Row],[Intet overlap]],INDEX(DataTitel_liste,LineærRegression_Valg[[#This Row],[Uafhængig variabel ID]]),INDEX(DataTitel_liste,IF(LineærRegression_Valg[[#This Row],[Afhængig variabel ID]]=1,2,1))),$B$7)</f>
        <v>Eksempel 2 (interval)</v>
      </c>
      <c r="H2064" s="45">
        <f>_xlfn.AGGREGATE(2,5,LineærRegression_Valg[[#This Row],[Tabel ID]])</f>
        <v>1</v>
      </c>
    </row>
    <row r="2065" spans="1:8" x14ac:dyDescent="0.2">
      <c r="A2065">
        <f>ROW(LineærRegression_Valg[[#This Row],[Tabel ID]])-ROW(LineærRegression_Valg[[#Headers],[Tabel ID]])</f>
        <v>2055</v>
      </c>
      <c r="B2065" s="45">
        <f>ROUNDDOWN((LineærRegression_Valg[[#This Row],[Tabel ID]]-1)/$B$5,0)+1</f>
        <v>514</v>
      </c>
      <c r="C2065" s="45">
        <f t="shared" si="32"/>
        <v>3</v>
      </c>
      <c r="D2065" s="45" t="b">
        <f>LineærRegression_Valg[[#This Row],[Afhængig variabel ID]]&lt;&gt;LineærRegression_Valg[[#This Row],[Uafhængig variabel ID]]</f>
        <v>1</v>
      </c>
      <c r="E2065" s="45" t="b">
        <f>LineærRegression_Valg[[#This Row],[Afhængig variabel ID]]&lt;=$B$5</f>
        <v>0</v>
      </c>
      <c r="F2065" t="str" cm="1">
        <f t="array" ref="F2065">IF(LineærRegression_Valg[[#This Row],[Indenfor range]],INDEX(DataTitel_liste,LineærRegression_Valg[[#This Row],[Afhængig variabel ID]]),INDEX(DataTitel_liste,1))</f>
        <v>Eksempel 1 (interval)</v>
      </c>
      <c r="G2065" s="45" t="str" cm="1">
        <f t="array" ref="G2065">IF(LineærRegression_Valg[[#This Row],[Indenfor range]],IF(LineærRegression_Valg[[#This Row],[Intet overlap]],INDEX(DataTitel_liste,LineærRegression_Valg[[#This Row],[Uafhængig variabel ID]]),INDEX(DataTitel_liste,IF(LineærRegression_Valg[[#This Row],[Afhængig variabel ID]]=1,2,1))),$B$7)</f>
        <v>Eksempel 2 (interval)</v>
      </c>
      <c r="H2065" s="45">
        <f>_xlfn.AGGREGATE(2,5,LineærRegression_Valg[[#This Row],[Tabel ID]])</f>
        <v>1</v>
      </c>
    </row>
    <row r="2066" spans="1:8" x14ac:dyDescent="0.2">
      <c r="A2066">
        <f>ROW(LineærRegression_Valg[[#This Row],[Tabel ID]])-ROW(LineærRegression_Valg[[#Headers],[Tabel ID]])</f>
        <v>2056</v>
      </c>
      <c r="B2066" s="45">
        <f>ROUNDDOWN((LineærRegression_Valg[[#This Row],[Tabel ID]]-1)/$B$5,0)+1</f>
        <v>514</v>
      </c>
      <c r="C2066" s="45">
        <f t="shared" si="32"/>
        <v>4</v>
      </c>
      <c r="D2066" s="45" t="b">
        <f>LineærRegression_Valg[[#This Row],[Afhængig variabel ID]]&lt;&gt;LineærRegression_Valg[[#This Row],[Uafhængig variabel ID]]</f>
        <v>1</v>
      </c>
      <c r="E2066" s="45" t="b">
        <f>LineærRegression_Valg[[#This Row],[Afhængig variabel ID]]&lt;=$B$5</f>
        <v>0</v>
      </c>
      <c r="F2066" t="str" cm="1">
        <f t="array" ref="F2066">IF(LineærRegression_Valg[[#This Row],[Indenfor range]],INDEX(DataTitel_liste,LineærRegression_Valg[[#This Row],[Afhængig variabel ID]]),INDEX(DataTitel_liste,1))</f>
        <v>Eksempel 1 (interval)</v>
      </c>
      <c r="G2066" s="45" t="str" cm="1">
        <f t="array" ref="G2066">IF(LineærRegression_Valg[[#This Row],[Indenfor range]],IF(LineærRegression_Valg[[#This Row],[Intet overlap]],INDEX(DataTitel_liste,LineærRegression_Valg[[#This Row],[Uafhængig variabel ID]]),INDEX(DataTitel_liste,IF(LineærRegression_Valg[[#This Row],[Afhængig variabel ID]]=1,2,1))),$B$7)</f>
        <v>Eksempel 2 (interval)</v>
      </c>
      <c r="H2066" s="45">
        <f>_xlfn.AGGREGATE(2,5,LineærRegression_Valg[[#This Row],[Tabel ID]])</f>
        <v>1</v>
      </c>
    </row>
    <row r="2067" spans="1:8" x14ac:dyDescent="0.2">
      <c r="A2067">
        <f>ROW(LineærRegression_Valg[[#This Row],[Tabel ID]])-ROW(LineærRegression_Valg[[#Headers],[Tabel ID]])</f>
        <v>2057</v>
      </c>
      <c r="B2067" s="45">
        <f>ROUNDDOWN((LineærRegression_Valg[[#This Row],[Tabel ID]]-1)/$B$5,0)+1</f>
        <v>515</v>
      </c>
      <c r="C2067" s="45">
        <f t="shared" si="32"/>
        <v>1</v>
      </c>
      <c r="D2067" s="45" t="b">
        <f>LineærRegression_Valg[[#This Row],[Afhængig variabel ID]]&lt;&gt;LineærRegression_Valg[[#This Row],[Uafhængig variabel ID]]</f>
        <v>1</v>
      </c>
      <c r="E2067" s="45" t="b">
        <f>LineærRegression_Valg[[#This Row],[Afhængig variabel ID]]&lt;=$B$5</f>
        <v>0</v>
      </c>
      <c r="F2067" t="str" cm="1">
        <f t="array" ref="F2067">IF(LineærRegression_Valg[[#This Row],[Indenfor range]],INDEX(DataTitel_liste,LineærRegression_Valg[[#This Row],[Afhængig variabel ID]]),INDEX(DataTitel_liste,1))</f>
        <v>Eksempel 1 (interval)</v>
      </c>
      <c r="G2067" s="45" t="str" cm="1">
        <f t="array" ref="G2067">IF(LineærRegression_Valg[[#This Row],[Indenfor range]],IF(LineærRegression_Valg[[#This Row],[Intet overlap]],INDEX(DataTitel_liste,LineærRegression_Valg[[#This Row],[Uafhængig variabel ID]]),INDEX(DataTitel_liste,IF(LineærRegression_Valg[[#This Row],[Afhængig variabel ID]]=1,2,1))),$B$7)</f>
        <v>Eksempel 2 (interval)</v>
      </c>
      <c r="H2067" s="45">
        <f>_xlfn.AGGREGATE(2,5,LineærRegression_Valg[[#This Row],[Tabel ID]])</f>
        <v>1</v>
      </c>
    </row>
    <row r="2068" spans="1:8" x14ac:dyDescent="0.2">
      <c r="A2068">
        <f>ROW(LineærRegression_Valg[[#This Row],[Tabel ID]])-ROW(LineærRegression_Valg[[#Headers],[Tabel ID]])</f>
        <v>2058</v>
      </c>
      <c r="B2068" s="45">
        <f>ROUNDDOWN((LineærRegression_Valg[[#This Row],[Tabel ID]]-1)/$B$5,0)+1</f>
        <v>515</v>
      </c>
      <c r="C2068" s="45">
        <f t="shared" si="32"/>
        <v>2</v>
      </c>
      <c r="D2068" s="45" t="b">
        <f>LineærRegression_Valg[[#This Row],[Afhængig variabel ID]]&lt;&gt;LineærRegression_Valg[[#This Row],[Uafhængig variabel ID]]</f>
        <v>1</v>
      </c>
      <c r="E2068" s="45" t="b">
        <f>LineærRegression_Valg[[#This Row],[Afhængig variabel ID]]&lt;=$B$5</f>
        <v>0</v>
      </c>
      <c r="F2068" t="str" cm="1">
        <f t="array" ref="F2068">IF(LineærRegression_Valg[[#This Row],[Indenfor range]],INDEX(DataTitel_liste,LineærRegression_Valg[[#This Row],[Afhængig variabel ID]]),INDEX(DataTitel_liste,1))</f>
        <v>Eksempel 1 (interval)</v>
      </c>
      <c r="G2068" s="45" t="str" cm="1">
        <f t="array" ref="G2068">IF(LineærRegression_Valg[[#This Row],[Indenfor range]],IF(LineærRegression_Valg[[#This Row],[Intet overlap]],INDEX(DataTitel_liste,LineærRegression_Valg[[#This Row],[Uafhængig variabel ID]]),INDEX(DataTitel_liste,IF(LineærRegression_Valg[[#This Row],[Afhængig variabel ID]]=1,2,1))),$B$7)</f>
        <v>Eksempel 2 (interval)</v>
      </c>
      <c r="H2068" s="45">
        <f>_xlfn.AGGREGATE(2,5,LineærRegression_Valg[[#This Row],[Tabel ID]])</f>
        <v>1</v>
      </c>
    </row>
    <row r="2069" spans="1:8" x14ac:dyDescent="0.2">
      <c r="A2069">
        <f>ROW(LineærRegression_Valg[[#This Row],[Tabel ID]])-ROW(LineærRegression_Valg[[#Headers],[Tabel ID]])</f>
        <v>2059</v>
      </c>
      <c r="B2069" s="45">
        <f>ROUNDDOWN((LineærRegression_Valg[[#This Row],[Tabel ID]]-1)/$B$5,0)+1</f>
        <v>515</v>
      </c>
      <c r="C2069" s="45">
        <f t="shared" si="32"/>
        <v>3</v>
      </c>
      <c r="D2069" s="45" t="b">
        <f>LineærRegression_Valg[[#This Row],[Afhængig variabel ID]]&lt;&gt;LineærRegression_Valg[[#This Row],[Uafhængig variabel ID]]</f>
        <v>1</v>
      </c>
      <c r="E2069" s="45" t="b">
        <f>LineærRegression_Valg[[#This Row],[Afhængig variabel ID]]&lt;=$B$5</f>
        <v>0</v>
      </c>
      <c r="F2069" t="str" cm="1">
        <f t="array" ref="F2069">IF(LineærRegression_Valg[[#This Row],[Indenfor range]],INDEX(DataTitel_liste,LineærRegression_Valg[[#This Row],[Afhængig variabel ID]]),INDEX(DataTitel_liste,1))</f>
        <v>Eksempel 1 (interval)</v>
      </c>
      <c r="G2069" s="45" t="str" cm="1">
        <f t="array" ref="G2069">IF(LineærRegression_Valg[[#This Row],[Indenfor range]],IF(LineærRegression_Valg[[#This Row],[Intet overlap]],INDEX(DataTitel_liste,LineærRegression_Valg[[#This Row],[Uafhængig variabel ID]]),INDEX(DataTitel_liste,IF(LineærRegression_Valg[[#This Row],[Afhængig variabel ID]]=1,2,1))),$B$7)</f>
        <v>Eksempel 2 (interval)</v>
      </c>
      <c r="H2069" s="45">
        <f>_xlfn.AGGREGATE(2,5,LineærRegression_Valg[[#This Row],[Tabel ID]])</f>
        <v>1</v>
      </c>
    </row>
    <row r="2070" spans="1:8" x14ac:dyDescent="0.2">
      <c r="A2070">
        <f>ROW(LineærRegression_Valg[[#This Row],[Tabel ID]])-ROW(LineærRegression_Valg[[#Headers],[Tabel ID]])</f>
        <v>2060</v>
      </c>
      <c r="B2070" s="45">
        <f>ROUNDDOWN((LineærRegression_Valg[[#This Row],[Tabel ID]]-1)/$B$5,0)+1</f>
        <v>515</v>
      </c>
      <c r="C2070" s="45">
        <f t="shared" si="32"/>
        <v>4</v>
      </c>
      <c r="D2070" s="45" t="b">
        <f>LineærRegression_Valg[[#This Row],[Afhængig variabel ID]]&lt;&gt;LineærRegression_Valg[[#This Row],[Uafhængig variabel ID]]</f>
        <v>1</v>
      </c>
      <c r="E2070" s="45" t="b">
        <f>LineærRegression_Valg[[#This Row],[Afhængig variabel ID]]&lt;=$B$5</f>
        <v>0</v>
      </c>
      <c r="F2070" t="str" cm="1">
        <f t="array" ref="F2070">IF(LineærRegression_Valg[[#This Row],[Indenfor range]],INDEX(DataTitel_liste,LineærRegression_Valg[[#This Row],[Afhængig variabel ID]]),INDEX(DataTitel_liste,1))</f>
        <v>Eksempel 1 (interval)</v>
      </c>
      <c r="G2070" s="45" t="str" cm="1">
        <f t="array" ref="G2070">IF(LineærRegression_Valg[[#This Row],[Indenfor range]],IF(LineærRegression_Valg[[#This Row],[Intet overlap]],INDEX(DataTitel_liste,LineærRegression_Valg[[#This Row],[Uafhængig variabel ID]]),INDEX(DataTitel_liste,IF(LineærRegression_Valg[[#This Row],[Afhængig variabel ID]]=1,2,1))),$B$7)</f>
        <v>Eksempel 2 (interval)</v>
      </c>
      <c r="H2070" s="45">
        <f>_xlfn.AGGREGATE(2,5,LineærRegression_Valg[[#This Row],[Tabel ID]])</f>
        <v>1</v>
      </c>
    </row>
    <row r="2071" spans="1:8" x14ac:dyDescent="0.2">
      <c r="A2071">
        <f>ROW(LineærRegression_Valg[[#This Row],[Tabel ID]])-ROW(LineærRegression_Valg[[#Headers],[Tabel ID]])</f>
        <v>2061</v>
      </c>
      <c r="B2071" s="45">
        <f>ROUNDDOWN((LineærRegression_Valg[[#This Row],[Tabel ID]]-1)/$B$5,0)+1</f>
        <v>516</v>
      </c>
      <c r="C2071" s="45">
        <f t="shared" si="32"/>
        <v>1</v>
      </c>
      <c r="D2071" s="45" t="b">
        <f>LineærRegression_Valg[[#This Row],[Afhængig variabel ID]]&lt;&gt;LineærRegression_Valg[[#This Row],[Uafhængig variabel ID]]</f>
        <v>1</v>
      </c>
      <c r="E2071" s="45" t="b">
        <f>LineærRegression_Valg[[#This Row],[Afhængig variabel ID]]&lt;=$B$5</f>
        <v>0</v>
      </c>
      <c r="F2071" t="str" cm="1">
        <f t="array" ref="F2071">IF(LineærRegression_Valg[[#This Row],[Indenfor range]],INDEX(DataTitel_liste,LineærRegression_Valg[[#This Row],[Afhængig variabel ID]]),INDEX(DataTitel_liste,1))</f>
        <v>Eksempel 1 (interval)</v>
      </c>
      <c r="G2071" s="45" t="str" cm="1">
        <f t="array" ref="G2071">IF(LineærRegression_Valg[[#This Row],[Indenfor range]],IF(LineærRegression_Valg[[#This Row],[Intet overlap]],INDEX(DataTitel_liste,LineærRegression_Valg[[#This Row],[Uafhængig variabel ID]]),INDEX(DataTitel_liste,IF(LineærRegression_Valg[[#This Row],[Afhængig variabel ID]]=1,2,1))),$B$7)</f>
        <v>Eksempel 2 (interval)</v>
      </c>
      <c r="H2071" s="45">
        <f>_xlfn.AGGREGATE(2,5,LineærRegression_Valg[[#This Row],[Tabel ID]])</f>
        <v>1</v>
      </c>
    </row>
    <row r="2072" spans="1:8" x14ac:dyDescent="0.2">
      <c r="A2072">
        <f>ROW(LineærRegression_Valg[[#This Row],[Tabel ID]])-ROW(LineærRegression_Valg[[#Headers],[Tabel ID]])</f>
        <v>2062</v>
      </c>
      <c r="B2072" s="45">
        <f>ROUNDDOWN((LineærRegression_Valg[[#This Row],[Tabel ID]]-1)/$B$5,0)+1</f>
        <v>516</v>
      </c>
      <c r="C2072" s="45">
        <f t="shared" si="32"/>
        <v>2</v>
      </c>
      <c r="D2072" s="45" t="b">
        <f>LineærRegression_Valg[[#This Row],[Afhængig variabel ID]]&lt;&gt;LineærRegression_Valg[[#This Row],[Uafhængig variabel ID]]</f>
        <v>1</v>
      </c>
      <c r="E2072" s="45" t="b">
        <f>LineærRegression_Valg[[#This Row],[Afhængig variabel ID]]&lt;=$B$5</f>
        <v>0</v>
      </c>
      <c r="F2072" t="str" cm="1">
        <f t="array" ref="F2072">IF(LineærRegression_Valg[[#This Row],[Indenfor range]],INDEX(DataTitel_liste,LineærRegression_Valg[[#This Row],[Afhængig variabel ID]]),INDEX(DataTitel_liste,1))</f>
        <v>Eksempel 1 (interval)</v>
      </c>
      <c r="G2072" s="45" t="str" cm="1">
        <f t="array" ref="G2072">IF(LineærRegression_Valg[[#This Row],[Indenfor range]],IF(LineærRegression_Valg[[#This Row],[Intet overlap]],INDEX(DataTitel_liste,LineærRegression_Valg[[#This Row],[Uafhængig variabel ID]]),INDEX(DataTitel_liste,IF(LineærRegression_Valg[[#This Row],[Afhængig variabel ID]]=1,2,1))),$B$7)</f>
        <v>Eksempel 2 (interval)</v>
      </c>
      <c r="H2072" s="45">
        <f>_xlfn.AGGREGATE(2,5,LineærRegression_Valg[[#This Row],[Tabel ID]])</f>
        <v>1</v>
      </c>
    </row>
    <row r="2073" spans="1:8" x14ac:dyDescent="0.2">
      <c r="A2073">
        <f>ROW(LineærRegression_Valg[[#This Row],[Tabel ID]])-ROW(LineærRegression_Valg[[#Headers],[Tabel ID]])</f>
        <v>2063</v>
      </c>
      <c r="B2073" s="45">
        <f>ROUNDDOWN((LineærRegression_Valg[[#This Row],[Tabel ID]]-1)/$B$5,0)+1</f>
        <v>516</v>
      </c>
      <c r="C2073" s="45">
        <f t="shared" si="32"/>
        <v>3</v>
      </c>
      <c r="D2073" s="45" t="b">
        <f>LineærRegression_Valg[[#This Row],[Afhængig variabel ID]]&lt;&gt;LineærRegression_Valg[[#This Row],[Uafhængig variabel ID]]</f>
        <v>1</v>
      </c>
      <c r="E2073" s="45" t="b">
        <f>LineærRegression_Valg[[#This Row],[Afhængig variabel ID]]&lt;=$B$5</f>
        <v>0</v>
      </c>
      <c r="F2073" t="str" cm="1">
        <f t="array" ref="F2073">IF(LineærRegression_Valg[[#This Row],[Indenfor range]],INDEX(DataTitel_liste,LineærRegression_Valg[[#This Row],[Afhængig variabel ID]]),INDEX(DataTitel_liste,1))</f>
        <v>Eksempel 1 (interval)</v>
      </c>
      <c r="G2073" s="45" t="str" cm="1">
        <f t="array" ref="G2073">IF(LineærRegression_Valg[[#This Row],[Indenfor range]],IF(LineærRegression_Valg[[#This Row],[Intet overlap]],INDEX(DataTitel_liste,LineærRegression_Valg[[#This Row],[Uafhængig variabel ID]]),INDEX(DataTitel_liste,IF(LineærRegression_Valg[[#This Row],[Afhængig variabel ID]]=1,2,1))),$B$7)</f>
        <v>Eksempel 2 (interval)</v>
      </c>
      <c r="H2073" s="45">
        <f>_xlfn.AGGREGATE(2,5,LineærRegression_Valg[[#This Row],[Tabel ID]])</f>
        <v>1</v>
      </c>
    </row>
    <row r="2074" spans="1:8" x14ac:dyDescent="0.2">
      <c r="A2074">
        <f>ROW(LineærRegression_Valg[[#This Row],[Tabel ID]])-ROW(LineærRegression_Valg[[#Headers],[Tabel ID]])</f>
        <v>2064</v>
      </c>
      <c r="B2074" s="45">
        <f>ROUNDDOWN((LineærRegression_Valg[[#This Row],[Tabel ID]]-1)/$B$5,0)+1</f>
        <v>516</v>
      </c>
      <c r="C2074" s="45">
        <f t="shared" si="32"/>
        <v>4</v>
      </c>
      <c r="D2074" s="45" t="b">
        <f>LineærRegression_Valg[[#This Row],[Afhængig variabel ID]]&lt;&gt;LineærRegression_Valg[[#This Row],[Uafhængig variabel ID]]</f>
        <v>1</v>
      </c>
      <c r="E2074" s="45" t="b">
        <f>LineærRegression_Valg[[#This Row],[Afhængig variabel ID]]&lt;=$B$5</f>
        <v>0</v>
      </c>
      <c r="F2074" t="str" cm="1">
        <f t="array" ref="F2074">IF(LineærRegression_Valg[[#This Row],[Indenfor range]],INDEX(DataTitel_liste,LineærRegression_Valg[[#This Row],[Afhængig variabel ID]]),INDEX(DataTitel_liste,1))</f>
        <v>Eksempel 1 (interval)</v>
      </c>
      <c r="G2074" s="45" t="str" cm="1">
        <f t="array" ref="G2074">IF(LineærRegression_Valg[[#This Row],[Indenfor range]],IF(LineærRegression_Valg[[#This Row],[Intet overlap]],INDEX(DataTitel_liste,LineærRegression_Valg[[#This Row],[Uafhængig variabel ID]]),INDEX(DataTitel_liste,IF(LineærRegression_Valg[[#This Row],[Afhængig variabel ID]]=1,2,1))),$B$7)</f>
        <v>Eksempel 2 (interval)</v>
      </c>
      <c r="H2074" s="45">
        <f>_xlfn.AGGREGATE(2,5,LineærRegression_Valg[[#This Row],[Tabel ID]])</f>
        <v>1</v>
      </c>
    </row>
    <row r="2075" spans="1:8" x14ac:dyDescent="0.2">
      <c r="A2075">
        <f>ROW(LineærRegression_Valg[[#This Row],[Tabel ID]])-ROW(LineærRegression_Valg[[#Headers],[Tabel ID]])</f>
        <v>2065</v>
      </c>
      <c r="B2075" s="45">
        <f>ROUNDDOWN((LineærRegression_Valg[[#This Row],[Tabel ID]]-1)/$B$5,0)+1</f>
        <v>517</v>
      </c>
      <c r="C2075" s="45">
        <f t="shared" si="32"/>
        <v>1</v>
      </c>
      <c r="D2075" s="45" t="b">
        <f>LineærRegression_Valg[[#This Row],[Afhængig variabel ID]]&lt;&gt;LineærRegression_Valg[[#This Row],[Uafhængig variabel ID]]</f>
        <v>1</v>
      </c>
      <c r="E2075" s="45" t="b">
        <f>LineærRegression_Valg[[#This Row],[Afhængig variabel ID]]&lt;=$B$5</f>
        <v>0</v>
      </c>
      <c r="F2075" t="str" cm="1">
        <f t="array" ref="F2075">IF(LineærRegression_Valg[[#This Row],[Indenfor range]],INDEX(DataTitel_liste,LineærRegression_Valg[[#This Row],[Afhængig variabel ID]]),INDEX(DataTitel_liste,1))</f>
        <v>Eksempel 1 (interval)</v>
      </c>
      <c r="G2075" s="45" t="str" cm="1">
        <f t="array" ref="G2075">IF(LineærRegression_Valg[[#This Row],[Indenfor range]],IF(LineærRegression_Valg[[#This Row],[Intet overlap]],INDEX(DataTitel_liste,LineærRegression_Valg[[#This Row],[Uafhængig variabel ID]]),INDEX(DataTitel_liste,IF(LineærRegression_Valg[[#This Row],[Afhængig variabel ID]]=1,2,1))),$B$7)</f>
        <v>Eksempel 2 (interval)</v>
      </c>
      <c r="H2075" s="45">
        <f>_xlfn.AGGREGATE(2,5,LineærRegression_Valg[[#This Row],[Tabel ID]])</f>
        <v>1</v>
      </c>
    </row>
    <row r="2076" spans="1:8" x14ac:dyDescent="0.2">
      <c r="A2076">
        <f>ROW(LineærRegression_Valg[[#This Row],[Tabel ID]])-ROW(LineærRegression_Valg[[#Headers],[Tabel ID]])</f>
        <v>2066</v>
      </c>
      <c r="B2076" s="45">
        <f>ROUNDDOWN((LineærRegression_Valg[[#This Row],[Tabel ID]]-1)/$B$5,0)+1</f>
        <v>517</v>
      </c>
      <c r="C2076" s="45">
        <f t="shared" si="32"/>
        <v>2</v>
      </c>
      <c r="D2076" s="45" t="b">
        <f>LineærRegression_Valg[[#This Row],[Afhængig variabel ID]]&lt;&gt;LineærRegression_Valg[[#This Row],[Uafhængig variabel ID]]</f>
        <v>1</v>
      </c>
      <c r="E2076" s="45" t="b">
        <f>LineærRegression_Valg[[#This Row],[Afhængig variabel ID]]&lt;=$B$5</f>
        <v>0</v>
      </c>
      <c r="F2076" t="str" cm="1">
        <f t="array" ref="F2076">IF(LineærRegression_Valg[[#This Row],[Indenfor range]],INDEX(DataTitel_liste,LineærRegression_Valg[[#This Row],[Afhængig variabel ID]]),INDEX(DataTitel_liste,1))</f>
        <v>Eksempel 1 (interval)</v>
      </c>
      <c r="G2076" s="45" t="str" cm="1">
        <f t="array" ref="G2076">IF(LineærRegression_Valg[[#This Row],[Indenfor range]],IF(LineærRegression_Valg[[#This Row],[Intet overlap]],INDEX(DataTitel_liste,LineærRegression_Valg[[#This Row],[Uafhængig variabel ID]]),INDEX(DataTitel_liste,IF(LineærRegression_Valg[[#This Row],[Afhængig variabel ID]]=1,2,1))),$B$7)</f>
        <v>Eksempel 2 (interval)</v>
      </c>
      <c r="H2076" s="45">
        <f>_xlfn.AGGREGATE(2,5,LineærRegression_Valg[[#This Row],[Tabel ID]])</f>
        <v>1</v>
      </c>
    </row>
    <row r="2077" spans="1:8" x14ac:dyDescent="0.2">
      <c r="A2077">
        <f>ROW(LineærRegression_Valg[[#This Row],[Tabel ID]])-ROW(LineærRegression_Valg[[#Headers],[Tabel ID]])</f>
        <v>2067</v>
      </c>
      <c r="B2077" s="45">
        <f>ROUNDDOWN((LineærRegression_Valg[[#This Row],[Tabel ID]]-1)/$B$5,0)+1</f>
        <v>517</v>
      </c>
      <c r="C2077" s="45">
        <f t="shared" si="32"/>
        <v>3</v>
      </c>
      <c r="D2077" s="45" t="b">
        <f>LineærRegression_Valg[[#This Row],[Afhængig variabel ID]]&lt;&gt;LineærRegression_Valg[[#This Row],[Uafhængig variabel ID]]</f>
        <v>1</v>
      </c>
      <c r="E2077" s="45" t="b">
        <f>LineærRegression_Valg[[#This Row],[Afhængig variabel ID]]&lt;=$B$5</f>
        <v>0</v>
      </c>
      <c r="F2077" t="str" cm="1">
        <f t="array" ref="F2077">IF(LineærRegression_Valg[[#This Row],[Indenfor range]],INDEX(DataTitel_liste,LineærRegression_Valg[[#This Row],[Afhængig variabel ID]]),INDEX(DataTitel_liste,1))</f>
        <v>Eksempel 1 (interval)</v>
      </c>
      <c r="G2077" s="45" t="str" cm="1">
        <f t="array" ref="G2077">IF(LineærRegression_Valg[[#This Row],[Indenfor range]],IF(LineærRegression_Valg[[#This Row],[Intet overlap]],INDEX(DataTitel_liste,LineærRegression_Valg[[#This Row],[Uafhængig variabel ID]]),INDEX(DataTitel_liste,IF(LineærRegression_Valg[[#This Row],[Afhængig variabel ID]]=1,2,1))),$B$7)</f>
        <v>Eksempel 2 (interval)</v>
      </c>
      <c r="H2077" s="45">
        <f>_xlfn.AGGREGATE(2,5,LineærRegression_Valg[[#This Row],[Tabel ID]])</f>
        <v>1</v>
      </c>
    </row>
    <row r="2078" spans="1:8" x14ac:dyDescent="0.2">
      <c r="A2078">
        <f>ROW(LineærRegression_Valg[[#This Row],[Tabel ID]])-ROW(LineærRegression_Valg[[#Headers],[Tabel ID]])</f>
        <v>2068</v>
      </c>
      <c r="B2078" s="45">
        <f>ROUNDDOWN((LineærRegression_Valg[[#This Row],[Tabel ID]]-1)/$B$5,0)+1</f>
        <v>517</v>
      </c>
      <c r="C2078" s="45">
        <f t="shared" si="32"/>
        <v>4</v>
      </c>
      <c r="D2078" s="45" t="b">
        <f>LineærRegression_Valg[[#This Row],[Afhængig variabel ID]]&lt;&gt;LineærRegression_Valg[[#This Row],[Uafhængig variabel ID]]</f>
        <v>1</v>
      </c>
      <c r="E2078" s="45" t="b">
        <f>LineærRegression_Valg[[#This Row],[Afhængig variabel ID]]&lt;=$B$5</f>
        <v>0</v>
      </c>
      <c r="F2078" t="str" cm="1">
        <f t="array" ref="F2078">IF(LineærRegression_Valg[[#This Row],[Indenfor range]],INDEX(DataTitel_liste,LineærRegression_Valg[[#This Row],[Afhængig variabel ID]]),INDEX(DataTitel_liste,1))</f>
        <v>Eksempel 1 (interval)</v>
      </c>
      <c r="G2078" s="45" t="str" cm="1">
        <f t="array" ref="G2078">IF(LineærRegression_Valg[[#This Row],[Indenfor range]],IF(LineærRegression_Valg[[#This Row],[Intet overlap]],INDEX(DataTitel_liste,LineærRegression_Valg[[#This Row],[Uafhængig variabel ID]]),INDEX(DataTitel_liste,IF(LineærRegression_Valg[[#This Row],[Afhængig variabel ID]]=1,2,1))),$B$7)</f>
        <v>Eksempel 2 (interval)</v>
      </c>
      <c r="H2078" s="45">
        <f>_xlfn.AGGREGATE(2,5,LineærRegression_Valg[[#This Row],[Tabel ID]])</f>
        <v>1</v>
      </c>
    </row>
    <row r="2079" spans="1:8" x14ac:dyDescent="0.2">
      <c r="A2079">
        <f>ROW(LineærRegression_Valg[[#This Row],[Tabel ID]])-ROW(LineærRegression_Valg[[#Headers],[Tabel ID]])</f>
        <v>2069</v>
      </c>
      <c r="B2079" s="45">
        <f>ROUNDDOWN((LineærRegression_Valg[[#This Row],[Tabel ID]]-1)/$B$5,0)+1</f>
        <v>518</v>
      </c>
      <c r="C2079" s="45">
        <f t="shared" si="32"/>
        <v>1</v>
      </c>
      <c r="D2079" s="45" t="b">
        <f>LineærRegression_Valg[[#This Row],[Afhængig variabel ID]]&lt;&gt;LineærRegression_Valg[[#This Row],[Uafhængig variabel ID]]</f>
        <v>1</v>
      </c>
      <c r="E2079" s="45" t="b">
        <f>LineærRegression_Valg[[#This Row],[Afhængig variabel ID]]&lt;=$B$5</f>
        <v>0</v>
      </c>
      <c r="F2079" t="str" cm="1">
        <f t="array" ref="F2079">IF(LineærRegression_Valg[[#This Row],[Indenfor range]],INDEX(DataTitel_liste,LineærRegression_Valg[[#This Row],[Afhængig variabel ID]]),INDEX(DataTitel_liste,1))</f>
        <v>Eksempel 1 (interval)</v>
      </c>
      <c r="G2079" s="45" t="str" cm="1">
        <f t="array" ref="G2079">IF(LineærRegression_Valg[[#This Row],[Indenfor range]],IF(LineærRegression_Valg[[#This Row],[Intet overlap]],INDEX(DataTitel_liste,LineærRegression_Valg[[#This Row],[Uafhængig variabel ID]]),INDEX(DataTitel_liste,IF(LineærRegression_Valg[[#This Row],[Afhængig variabel ID]]=1,2,1))),$B$7)</f>
        <v>Eksempel 2 (interval)</v>
      </c>
      <c r="H2079" s="45">
        <f>_xlfn.AGGREGATE(2,5,LineærRegression_Valg[[#This Row],[Tabel ID]])</f>
        <v>1</v>
      </c>
    </row>
    <row r="2080" spans="1:8" x14ac:dyDescent="0.2">
      <c r="A2080">
        <f>ROW(LineærRegression_Valg[[#This Row],[Tabel ID]])-ROW(LineærRegression_Valg[[#Headers],[Tabel ID]])</f>
        <v>2070</v>
      </c>
      <c r="B2080" s="45">
        <f>ROUNDDOWN((LineærRegression_Valg[[#This Row],[Tabel ID]]-1)/$B$5,0)+1</f>
        <v>518</v>
      </c>
      <c r="C2080" s="45">
        <f t="shared" si="32"/>
        <v>2</v>
      </c>
      <c r="D2080" s="45" t="b">
        <f>LineærRegression_Valg[[#This Row],[Afhængig variabel ID]]&lt;&gt;LineærRegression_Valg[[#This Row],[Uafhængig variabel ID]]</f>
        <v>1</v>
      </c>
      <c r="E2080" s="45" t="b">
        <f>LineærRegression_Valg[[#This Row],[Afhængig variabel ID]]&lt;=$B$5</f>
        <v>0</v>
      </c>
      <c r="F2080" t="str" cm="1">
        <f t="array" ref="F2080">IF(LineærRegression_Valg[[#This Row],[Indenfor range]],INDEX(DataTitel_liste,LineærRegression_Valg[[#This Row],[Afhængig variabel ID]]),INDEX(DataTitel_liste,1))</f>
        <v>Eksempel 1 (interval)</v>
      </c>
      <c r="G2080" s="45" t="str" cm="1">
        <f t="array" ref="G2080">IF(LineærRegression_Valg[[#This Row],[Indenfor range]],IF(LineærRegression_Valg[[#This Row],[Intet overlap]],INDEX(DataTitel_liste,LineærRegression_Valg[[#This Row],[Uafhængig variabel ID]]),INDEX(DataTitel_liste,IF(LineærRegression_Valg[[#This Row],[Afhængig variabel ID]]=1,2,1))),$B$7)</f>
        <v>Eksempel 2 (interval)</v>
      </c>
      <c r="H2080" s="45">
        <f>_xlfn.AGGREGATE(2,5,LineærRegression_Valg[[#This Row],[Tabel ID]])</f>
        <v>1</v>
      </c>
    </row>
    <row r="2081" spans="1:8" x14ac:dyDescent="0.2">
      <c r="A2081">
        <f>ROW(LineærRegression_Valg[[#This Row],[Tabel ID]])-ROW(LineærRegression_Valg[[#Headers],[Tabel ID]])</f>
        <v>2071</v>
      </c>
      <c r="B2081" s="45">
        <f>ROUNDDOWN((LineærRegression_Valg[[#This Row],[Tabel ID]]-1)/$B$5,0)+1</f>
        <v>518</v>
      </c>
      <c r="C2081" s="45">
        <f t="shared" si="32"/>
        <v>3</v>
      </c>
      <c r="D2081" s="45" t="b">
        <f>LineærRegression_Valg[[#This Row],[Afhængig variabel ID]]&lt;&gt;LineærRegression_Valg[[#This Row],[Uafhængig variabel ID]]</f>
        <v>1</v>
      </c>
      <c r="E2081" s="45" t="b">
        <f>LineærRegression_Valg[[#This Row],[Afhængig variabel ID]]&lt;=$B$5</f>
        <v>0</v>
      </c>
      <c r="F2081" t="str" cm="1">
        <f t="array" ref="F2081">IF(LineærRegression_Valg[[#This Row],[Indenfor range]],INDEX(DataTitel_liste,LineærRegression_Valg[[#This Row],[Afhængig variabel ID]]),INDEX(DataTitel_liste,1))</f>
        <v>Eksempel 1 (interval)</v>
      </c>
      <c r="G2081" s="45" t="str" cm="1">
        <f t="array" ref="G2081">IF(LineærRegression_Valg[[#This Row],[Indenfor range]],IF(LineærRegression_Valg[[#This Row],[Intet overlap]],INDEX(DataTitel_liste,LineærRegression_Valg[[#This Row],[Uafhængig variabel ID]]),INDEX(DataTitel_liste,IF(LineærRegression_Valg[[#This Row],[Afhængig variabel ID]]=1,2,1))),$B$7)</f>
        <v>Eksempel 2 (interval)</v>
      </c>
      <c r="H2081" s="45">
        <f>_xlfn.AGGREGATE(2,5,LineærRegression_Valg[[#This Row],[Tabel ID]])</f>
        <v>1</v>
      </c>
    </row>
    <row r="2082" spans="1:8" x14ac:dyDescent="0.2">
      <c r="A2082">
        <f>ROW(LineærRegression_Valg[[#This Row],[Tabel ID]])-ROW(LineærRegression_Valg[[#Headers],[Tabel ID]])</f>
        <v>2072</v>
      </c>
      <c r="B2082" s="45">
        <f>ROUNDDOWN((LineærRegression_Valg[[#This Row],[Tabel ID]]-1)/$B$5,0)+1</f>
        <v>518</v>
      </c>
      <c r="C2082" s="45">
        <f t="shared" si="32"/>
        <v>4</v>
      </c>
      <c r="D2082" s="45" t="b">
        <f>LineærRegression_Valg[[#This Row],[Afhængig variabel ID]]&lt;&gt;LineærRegression_Valg[[#This Row],[Uafhængig variabel ID]]</f>
        <v>1</v>
      </c>
      <c r="E2082" s="45" t="b">
        <f>LineærRegression_Valg[[#This Row],[Afhængig variabel ID]]&lt;=$B$5</f>
        <v>0</v>
      </c>
      <c r="F2082" t="str" cm="1">
        <f t="array" ref="F2082">IF(LineærRegression_Valg[[#This Row],[Indenfor range]],INDEX(DataTitel_liste,LineærRegression_Valg[[#This Row],[Afhængig variabel ID]]),INDEX(DataTitel_liste,1))</f>
        <v>Eksempel 1 (interval)</v>
      </c>
      <c r="G2082" s="45" t="str" cm="1">
        <f t="array" ref="G2082">IF(LineærRegression_Valg[[#This Row],[Indenfor range]],IF(LineærRegression_Valg[[#This Row],[Intet overlap]],INDEX(DataTitel_liste,LineærRegression_Valg[[#This Row],[Uafhængig variabel ID]]),INDEX(DataTitel_liste,IF(LineærRegression_Valg[[#This Row],[Afhængig variabel ID]]=1,2,1))),$B$7)</f>
        <v>Eksempel 2 (interval)</v>
      </c>
      <c r="H2082" s="45">
        <f>_xlfn.AGGREGATE(2,5,LineærRegression_Valg[[#This Row],[Tabel ID]])</f>
        <v>1</v>
      </c>
    </row>
    <row r="2083" spans="1:8" x14ac:dyDescent="0.2">
      <c r="A2083">
        <f>ROW(LineærRegression_Valg[[#This Row],[Tabel ID]])-ROW(LineærRegression_Valg[[#Headers],[Tabel ID]])</f>
        <v>2073</v>
      </c>
      <c r="B2083" s="45">
        <f>ROUNDDOWN((LineærRegression_Valg[[#This Row],[Tabel ID]]-1)/$B$5,0)+1</f>
        <v>519</v>
      </c>
      <c r="C2083" s="45">
        <f t="shared" si="32"/>
        <v>1</v>
      </c>
      <c r="D2083" s="45" t="b">
        <f>LineærRegression_Valg[[#This Row],[Afhængig variabel ID]]&lt;&gt;LineærRegression_Valg[[#This Row],[Uafhængig variabel ID]]</f>
        <v>1</v>
      </c>
      <c r="E2083" s="45" t="b">
        <f>LineærRegression_Valg[[#This Row],[Afhængig variabel ID]]&lt;=$B$5</f>
        <v>0</v>
      </c>
      <c r="F2083" t="str" cm="1">
        <f t="array" ref="F2083">IF(LineærRegression_Valg[[#This Row],[Indenfor range]],INDEX(DataTitel_liste,LineærRegression_Valg[[#This Row],[Afhængig variabel ID]]),INDEX(DataTitel_liste,1))</f>
        <v>Eksempel 1 (interval)</v>
      </c>
      <c r="G2083" s="45" t="str" cm="1">
        <f t="array" ref="G2083">IF(LineærRegression_Valg[[#This Row],[Indenfor range]],IF(LineærRegression_Valg[[#This Row],[Intet overlap]],INDEX(DataTitel_liste,LineærRegression_Valg[[#This Row],[Uafhængig variabel ID]]),INDEX(DataTitel_liste,IF(LineærRegression_Valg[[#This Row],[Afhængig variabel ID]]=1,2,1))),$B$7)</f>
        <v>Eksempel 2 (interval)</v>
      </c>
      <c r="H2083" s="45">
        <f>_xlfn.AGGREGATE(2,5,LineærRegression_Valg[[#This Row],[Tabel ID]])</f>
        <v>1</v>
      </c>
    </row>
    <row r="2084" spans="1:8" x14ac:dyDescent="0.2">
      <c r="A2084">
        <f>ROW(LineærRegression_Valg[[#This Row],[Tabel ID]])-ROW(LineærRegression_Valg[[#Headers],[Tabel ID]])</f>
        <v>2074</v>
      </c>
      <c r="B2084" s="45">
        <f>ROUNDDOWN((LineærRegression_Valg[[#This Row],[Tabel ID]]-1)/$B$5,0)+1</f>
        <v>519</v>
      </c>
      <c r="C2084" s="45">
        <f t="shared" si="32"/>
        <v>2</v>
      </c>
      <c r="D2084" s="45" t="b">
        <f>LineærRegression_Valg[[#This Row],[Afhængig variabel ID]]&lt;&gt;LineærRegression_Valg[[#This Row],[Uafhængig variabel ID]]</f>
        <v>1</v>
      </c>
      <c r="E2084" s="45" t="b">
        <f>LineærRegression_Valg[[#This Row],[Afhængig variabel ID]]&lt;=$B$5</f>
        <v>0</v>
      </c>
      <c r="F2084" t="str" cm="1">
        <f t="array" ref="F2084">IF(LineærRegression_Valg[[#This Row],[Indenfor range]],INDEX(DataTitel_liste,LineærRegression_Valg[[#This Row],[Afhængig variabel ID]]),INDEX(DataTitel_liste,1))</f>
        <v>Eksempel 1 (interval)</v>
      </c>
      <c r="G2084" s="45" t="str" cm="1">
        <f t="array" ref="G2084">IF(LineærRegression_Valg[[#This Row],[Indenfor range]],IF(LineærRegression_Valg[[#This Row],[Intet overlap]],INDEX(DataTitel_liste,LineærRegression_Valg[[#This Row],[Uafhængig variabel ID]]),INDEX(DataTitel_liste,IF(LineærRegression_Valg[[#This Row],[Afhængig variabel ID]]=1,2,1))),$B$7)</f>
        <v>Eksempel 2 (interval)</v>
      </c>
      <c r="H2084" s="45">
        <f>_xlfn.AGGREGATE(2,5,LineærRegression_Valg[[#This Row],[Tabel ID]])</f>
        <v>1</v>
      </c>
    </row>
    <row r="2085" spans="1:8" x14ac:dyDescent="0.2">
      <c r="A2085">
        <f>ROW(LineærRegression_Valg[[#This Row],[Tabel ID]])-ROW(LineærRegression_Valg[[#Headers],[Tabel ID]])</f>
        <v>2075</v>
      </c>
      <c r="B2085" s="45">
        <f>ROUNDDOWN((LineærRegression_Valg[[#This Row],[Tabel ID]]-1)/$B$5,0)+1</f>
        <v>519</v>
      </c>
      <c r="C2085" s="45">
        <f t="shared" si="32"/>
        <v>3</v>
      </c>
      <c r="D2085" s="45" t="b">
        <f>LineærRegression_Valg[[#This Row],[Afhængig variabel ID]]&lt;&gt;LineærRegression_Valg[[#This Row],[Uafhængig variabel ID]]</f>
        <v>1</v>
      </c>
      <c r="E2085" s="45" t="b">
        <f>LineærRegression_Valg[[#This Row],[Afhængig variabel ID]]&lt;=$B$5</f>
        <v>0</v>
      </c>
      <c r="F2085" t="str" cm="1">
        <f t="array" ref="F2085">IF(LineærRegression_Valg[[#This Row],[Indenfor range]],INDEX(DataTitel_liste,LineærRegression_Valg[[#This Row],[Afhængig variabel ID]]),INDEX(DataTitel_liste,1))</f>
        <v>Eksempel 1 (interval)</v>
      </c>
      <c r="G2085" s="45" t="str" cm="1">
        <f t="array" ref="G2085">IF(LineærRegression_Valg[[#This Row],[Indenfor range]],IF(LineærRegression_Valg[[#This Row],[Intet overlap]],INDEX(DataTitel_liste,LineærRegression_Valg[[#This Row],[Uafhængig variabel ID]]),INDEX(DataTitel_liste,IF(LineærRegression_Valg[[#This Row],[Afhængig variabel ID]]=1,2,1))),$B$7)</f>
        <v>Eksempel 2 (interval)</v>
      </c>
      <c r="H2085" s="45">
        <f>_xlfn.AGGREGATE(2,5,LineærRegression_Valg[[#This Row],[Tabel ID]])</f>
        <v>1</v>
      </c>
    </row>
    <row r="2086" spans="1:8" x14ac:dyDescent="0.2">
      <c r="A2086">
        <f>ROW(LineærRegression_Valg[[#This Row],[Tabel ID]])-ROW(LineærRegression_Valg[[#Headers],[Tabel ID]])</f>
        <v>2076</v>
      </c>
      <c r="B2086" s="45">
        <f>ROUNDDOWN((LineærRegression_Valg[[#This Row],[Tabel ID]]-1)/$B$5,0)+1</f>
        <v>519</v>
      </c>
      <c r="C2086" s="45">
        <f t="shared" si="32"/>
        <v>4</v>
      </c>
      <c r="D2086" s="45" t="b">
        <f>LineærRegression_Valg[[#This Row],[Afhængig variabel ID]]&lt;&gt;LineærRegression_Valg[[#This Row],[Uafhængig variabel ID]]</f>
        <v>1</v>
      </c>
      <c r="E2086" s="45" t="b">
        <f>LineærRegression_Valg[[#This Row],[Afhængig variabel ID]]&lt;=$B$5</f>
        <v>0</v>
      </c>
      <c r="F2086" t="str" cm="1">
        <f t="array" ref="F2086">IF(LineærRegression_Valg[[#This Row],[Indenfor range]],INDEX(DataTitel_liste,LineærRegression_Valg[[#This Row],[Afhængig variabel ID]]),INDEX(DataTitel_liste,1))</f>
        <v>Eksempel 1 (interval)</v>
      </c>
      <c r="G2086" s="45" t="str" cm="1">
        <f t="array" ref="G2086">IF(LineærRegression_Valg[[#This Row],[Indenfor range]],IF(LineærRegression_Valg[[#This Row],[Intet overlap]],INDEX(DataTitel_liste,LineærRegression_Valg[[#This Row],[Uafhængig variabel ID]]),INDEX(DataTitel_liste,IF(LineærRegression_Valg[[#This Row],[Afhængig variabel ID]]=1,2,1))),$B$7)</f>
        <v>Eksempel 2 (interval)</v>
      </c>
      <c r="H2086" s="45">
        <f>_xlfn.AGGREGATE(2,5,LineærRegression_Valg[[#This Row],[Tabel ID]])</f>
        <v>1</v>
      </c>
    </row>
    <row r="2087" spans="1:8" x14ac:dyDescent="0.2">
      <c r="A2087">
        <f>ROW(LineærRegression_Valg[[#This Row],[Tabel ID]])-ROW(LineærRegression_Valg[[#Headers],[Tabel ID]])</f>
        <v>2077</v>
      </c>
      <c r="B2087" s="45">
        <f>ROUNDDOWN((LineærRegression_Valg[[#This Row],[Tabel ID]]-1)/$B$5,0)+1</f>
        <v>520</v>
      </c>
      <c r="C2087" s="45">
        <f t="shared" si="32"/>
        <v>1</v>
      </c>
      <c r="D2087" s="45" t="b">
        <f>LineærRegression_Valg[[#This Row],[Afhængig variabel ID]]&lt;&gt;LineærRegression_Valg[[#This Row],[Uafhængig variabel ID]]</f>
        <v>1</v>
      </c>
      <c r="E2087" s="45" t="b">
        <f>LineærRegression_Valg[[#This Row],[Afhængig variabel ID]]&lt;=$B$5</f>
        <v>0</v>
      </c>
      <c r="F2087" t="str" cm="1">
        <f t="array" ref="F2087">IF(LineærRegression_Valg[[#This Row],[Indenfor range]],INDEX(DataTitel_liste,LineærRegression_Valg[[#This Row],[Afhængig variabel ID]]),INDEX(DataTitel_liste,1))</f>
        <v>Eksempel 1 (interval)</v>
      </c>
      <c r="G2087" s="45" t="str" cm="1">
        <f t="array" ref="G2087">IF(LineærRegression_Valg[[#This Row],[Indenfor range]],IF(LineærRegression_Valg[[#This Row],[Intet overlap]],INDEX(DataTitel_liste,LineærRegression_Valg[[#This Row],[Uafhængig variabel ID]]),INDEX(DataTitel_liste,IF(LineærRegression_Valg[[#This Row],[Afhængig variabel ID]]=1,2,1))),$B$7)</f>
        <v>Eksempel 2 (interval)</v>
      </c>
      <c r="H2087" s="45">
        <f>_xlfn.AGGREGATE(2,5,LineærRegression_Valg[[#This Row],[Tabel ID]])</f>
        <v>1</v>
      </c>
    </row>
    <row r="2088" spans="1:8" x14ac:dyDescent="0.2">
      <c r="A2088">
        <f>ROW(LineærRegression_Valg[[#This Row],[Tabel ID]])-ROW(LineærRegression_Valg[[#Headers],[Tabel ID]])</f>
        <v>2078</v>
      </c>
      <c r="B2088" s="45">
        <f>ROUNDDOWN((LineærRegression_Valg[[#This Row],[Tabel ID]]-1)/$B$5,0)+1</f>
        <v>520</v>
      </c>
      <c r="C2088" s="45">
        <f t="shared" si="32"/>
        <v>2</v>
      </c>
      <c r="D2088" s="45" t="b">
        <f>LineærRegression_Valg[[#This Row],[Afhængig variabel ID]]&lt;&gt;LineærRegression_Valg[[#This Row],[Uafhængig variabel ID]]</f>
        <v>1</v>
      </c>
      <c r="E2088" s="45" t="b">
        <f>LineærRegression_Valg[[#This Row],[Afhængig variabel ID]]&lt;=$B$5</f>
        <v>0</v>
      </c>
      <c r="F2088" t="str" cm="1">
        <f t="array" ref="F2088">IF(LineærRegression_Valg[[#This Row],[Indenfor range]],INDEX(DataTitel_liste,LineærRegression_Valg[[#This Row],[Afhængig variabel ID]]),INDEX(DataTitel_liste,1))</f>
        <v>Eksempel 1 (interval)</v>
      </c>
      <c r="G2088" s="45" t="str" cm="1">
        <f t="array" ref="G2088">IF(LineærRegression_Valg[[#This Row],[Indenfor range]],IF(LineærRegression_Valg[[#This Row],[Intet overlap]],INDEX(DataTitel_liste,LineærRegression_Valg[[#This Row],[Uafhængig variabel ID]]),INDEX(DataTitel_liste,IF(LineærRegression_Valg[[#This Row],[Afhængig variabel ID]]=1,2,1))),$B$7)</f>
        <v>Eksempel 2 (interval)</v>
      </c>
      <c r="H2088" s="45">
        <f>_xlfn.AGGREGATE(2,5,LineærRegression_Valg[[#This Row],[Tabel ID]])</f>
        <v>1</v>
      </c>
    </row>
    <row r="2089" spans="1:8" x14ac:dyDescent="0.2">
      <c r="A2089">
        <f>ROW(LineærRegression_Valg[[#This Row],[Tabel ID]])-ROW(LineærRegression_Valg[[#Headers],[Tabel ID]])</f>
        <v>2079</v>
      </c>
      <c r="B2089" s="45">
        <f>ROUNDDOWN((LineærRegression_Valg[[#This Row],[Tabel ID]]-1)/$B$5,0)+1</f>
        <v>520</v>
      </c>
      <c r="C2089" s="45">
        <f t="shared" si="32"/>
        <v>3</v>
      </c>
      <c r="D2089" s="45" t="b">
        <f>LineærRegression_Valg[[#This Row],[Afhængig variabel ID]]&lt;&gt;LineærRegression_Valg[[#This Row],[Uafhængig variabel ID]]</f>
        <v>1</v>
      </c>
      <c r="E2089" s="45" t="b">
        <f>LineærRegression_Valg[[#This Row],[Afhængig variabel ID]]&lt;=$B$5</f>
        <v>0</v>
      </c>
      <c r="F2089" t="str" cm="1">
        <f t="array" ref="F2089">IF(LineærRegression_Valg[[#This Row],[Indenfor range]],INDEX(DataTitel_liste,LineærRegression_Valg[[#This Row],[Afhængig variabel ID]]),INDEX(DataTitel_liste,1))</f>
        <v>Eksempel 1 (interval)</v>
      </c>
      <c r="G2089" s="45" t="str" cm="1">
        <f t="array" ref="G2089">IF(LineærRegression_Valg[[#This Row],[Indenfor range]],IF(LineærRegression_Valg[[#This Row],[Intet overlap]],INDEX(DataTitel_liste,LineærRegression_Valg[[#This Row],[Uafhængig variabel ID]]),INDEX(DataTitel_liste,IF(LineærRegression_Valg[[#This Row],[Afhængig variabel ID]]=1,2,1))),$B$7)</f>
        <v>Eksempel 2 (interval)</v>
      </c>
      <c r="H2089" s="45">
        <f>_xlfn.AGGREGATE(2,5,LineærRegression_Valg[[#This Row],[Tabel ID]])</f>
        <v>1</v>
      </c>
    </row>
    <row r="2090" spans="1:8" x14ac:dyDescent="0.2">
      <c r="A2090">
        <f>ROW(LineærRegression_Valg[[#This Row],[Tabel ID]])-ROW(LineærRegression_Valg[[#Headers],[Tabel ID]])</f>
        <v>2080</v>
      </c>
      <c r="B2090" s="45">
        <f>ROUNDDOWN((LineærRegression_Valg[[#This Row],[Tabel ID]]-1)/$B$5,0)+1</f>
        <v>520</v>
      </c>
      <c r="C2090" s="45">
        <f t="shared" si="32"/>
        <v>4</v>
      </c>
      <c r="D2090" s="45" t="b">
        <f>LineærRegression_Valg[[#This Row],[Afhængig variabel ID]]&lt;&gt;LineærRegression_Valg[[#This Row],[Uafhængig variabel ID]]</f>
        <v>1</v>
      </c>
      <c r="E2090" s="45" t="b">
        <f>LineærRegression_Valg[[#This Row],[Afhængig variabel ID]]&lt;=$B$5</f>
        <v>0</v>
      </c>
      <c r="F2090" t="str" cm="1">
        <f t="array" ref="F2090">IF(LineærRegression_Valg[[#This Row],[Indenfor range]],INDEX(DataTitel_liste,LineærRegression_Valg[[#This Row],[Afhængig variabel ID]]),INDEX(DataTitel_liste,1))</f>
        <v>Eksempel 1 (interval)</v>
      </c>
      <c r="G2090" s="45" t="str" cm="1">
        <f t="array" ref="G2090">IF(LineærRegression_Valg[[#This Row],[Indenfor range]],IF(LineærRegression_Valg[[#This Row],[Intet overlap]],INDEX(DataTitel_liste,LineærRegression_Valg[[#This Row],[Uafhængig variabel ID]]),INDEX(DataTitel_liste,IF(LineærRegression_Valg[[#This Row],[Afhængig variabel ID]]=1,2,1))),$B$7)</f>
        <v>Eksempel 2 (interval)</v>
      </c>
      <c r="H2090" s="45">
        <f>_xlfn.AGGREGATE(2,5,LineærRegression_Valg[[#This Row],[Tabel ID]])</f>
        <v>1</v>
      </c>
    </row>
    <row r="2091" spans="1:8" x14ac:dyDescent="0.2">
      <c r="A2091">
        <f>ROW(LineærRegression_Valg[[#This Row],[Tabel ID]])-ROW(LineærRegression_Valg[[#Headers],[Tabel ID]])</f>
        <v>2081</v>
      </c>
      <c r="B2091" s="45">
        <f>ROUNDDOWN((LineærRegression_Valg[[#This Row],[Tabel ID]]-1)/$B$5,0)+1</f>
        <v>521</v>
      </c>
      <c r="C2091" s="45">
        <f t="shared" si="32"/>
        <v>1</v>
      </c>
      <c r="D2091" s="45" t="b">
        <f>LineærRegression_Valg[[#This Row],[Afhængig variabel ID]]&lt;&gt;LineærRegression_Valg[[#This Row],[Uafhængig variabel ID]]</f>
        <v>1</v>
      </c>
      <c r="E2091" s="45" t="b">
        <f>LineærRegression_Valg[[#This Row],[Afhængig variabel ID]]&lt;=$B$5</f>
        <v>0</v>
      </c>
      <c r="F2091" t="str" cm="1">
        <f t="array" ref="F2091">IF(LineærRegression_Valg[[#This Row],[Indenfor range]],INDEX(DataTitel_liste,LineærRegression_Valg[[#This Row],[Afhængig variabel ID]]),INDEX(DataTitel_liste,1))</f>
        <v>Eksempel 1 (interval)</v>
      </c>
      <c r="G2091" s="45" t="str" cm="1">
        <f t="array" ref="G2091">IF(LineærRegression_Valg[[#This Row],[Indenfor range]],IF(LineærRegression_Valg[[#This Row],[Intet overlap]],INDEX(DataTitel_liste,LineærRegression_Valg[[#This Row],[Uafhængig variabel ID]]),INDEX(DataTitel_liste,IF(LineærRegression_Valg[[#This Row],[Afhængig variabel ID]]=1,2,1))),$B$7)</f>
        <v>Eksempel 2 (interval)</v>
      </c>
      <c r="H2091" s="45">
        <f>_xlfn.AGGREGATE(2,5,LineærRegression_Valg[[#This Row],[Tabel ID]])</f>
        <v>1</v>
      </c>
    </row>
    <row r="2092" spans="1:8" x14ac:dyDescent="0.2">
      <c r="A2092">
        <f>ROW(LineærRegression_Valg[[#This Row],[Tabel ID]])-ROW(LineærRegression_Valg[[#Headers],[Tabel ID]])</f>
        <v>2082</v>
      </c>
      <c r="B2092" s="45">
        <f>ROUNDDOWN((LineærRegression_Valg[[#This Row],[Tabel ID]]-1)/$B$5,0)+1</f>
        <v>521</v>
      </c>
      <c r="C2092" s="45">
        <f t="shared" si="32"/>
        <v>2</v>
      </c>
      <c r="D2092" s="45" t="b">
        <f>LineærRegression_Valg[[#This Row],[Afhængig variabel ID]]&lt;&gt;LineærRegression_Valg[[#This Row],[Uafhængig variabel ID]]</f>
        <v>1</v>
      </c>
      <c r="E2092" s="45" t="b">
        <f>LineærRegression_Valg[[#This Row],[Afhængig variabel ID]]&lt;=$B$5</f>
        <v>0</v>
      </c>
      <c r="F2092" t="str" cm="1">
        <f t="array" ref="F2092">IF(LineærRegression_Valg[[#This Row],[Indenfor range]],INDEX(DataTitel_liste,LineærRegression_Valg[[#This Row],[Afhængig variabel ID]]),INDEX(DataTitel_liste,1))</f>
        <v>Eksempel 1 (interval)</v>
      </c>
      <c r="G2092" s="45" t="str" cm="1">
        <f t="array" ref="G2092">IF(LineærRegression_Valg[[#This Row],[Indenfor range]],IF(LineærRegression_Valg[[#This Row],[Intet overlap]],INDEX(DataTitel_liste,LineærRegression_Valg[[#This Row],[Uafhængig variabel ID]]),INDEX(DataTitel_liste,IF(LineærRegression_Valg[[#This Row],[Afhængig variabel ID]]=1,2,1))),$B$7)</f>
        <v>Eksempel 2 (interval)</v>
      </c>
      <c r="H2092" s="45">
        <f>_xlfn.AGGREGATE(2,5,LineærRegression_Valg[[#This Row],[Tabel ID]])</f>
        <v>1</v>
      </c>
    </row>
    <row r="2093" spans="1:8" x14ac:dyDescent="0.2">
      <c r="A2093">
        <f>ROW(LineærRegression_Valg[[#This Row],[Tabel ID]])-ROW(LineærRegression_Valg[[#Headers],[Tabel ID]])</f>
        <v>2083</v>
      </c>
      <c r="B2093" s="45">
        <f>ROUNDDOWN((LineærRegression_Valg[[#This Row],[Tabel ID]]-1)/$B$5,0)+1</f>
        <v>521</v>
      </c>
      <c r="C2093" s="45">
        <f t="shared" si="32"/>
        <v>3</v>
      </c>
      <c r="D2093" s="45" t="b">
        <f>LineærRegression_Valg[[#This Row],[Afhængig variabel ID]]&lt;&gt;LineærRegression_Valg[[#This Row],[Uafhængig variabel ID]]</f>
        <v>1</v>
      </c>
      <c r="E2093" s="45" t="b">
        <f>LineærRegression_Valg[[#This Row],[Afhængig variabel ID]]&lt;=$B$5</f>
        <v>0</v>
      </c>
      <c r="F2093" t="str" cm="1">
        <f t="array" ref="F2093">IF(LineærRegression_Valg[[#This Row],[Indenfor range]],INDEX(DataTitel_liste,LineærRegression_Valg[[#This Row],[Afhængig variabel ID]]),INDEX(DataTitel_liste,1))</f>
        <v>Eksempel 1 (interval)</v>
      </c>
      <c r="G2093" s="45" t="str" cm="1">
        <f t="array" ref="G2093">IF(LineærRegression_Valg[[#This Row],[Indenfor range]],IF(LineærRegression_Valg[[#This Row],[Intet overlap]],INDEX(DataTitel_liste,LineærRegression_Valg[[#This Row],[Uafhængig variabel ID]]),INDEX(DataTitel_liste,IF(LineærRegression_Valg[[#This Row],[Afhængig variabel ID]]=1,2,1))),$B$7)</f>
        <v>Eksempel 2 (interval)</v>
      </c>
      <c r="H2093" s="45">
        <f>_xlfn.AGGREGATE(2,5,LineærRegression_Valg[[#This Row],[Tabel ID]])</f>
        <v>1</v>
      </c>
    </row>
    <row r="2094" spans="1:8" x14ac:dyDescent="0.2">
      <c r="A2094">
        <f>ROW(LineærRegression_Valg[[#This Row],[Tabel ID]])-ROW(LineærRegression_Valg[[#Headers],[Tabel ID]])</f>
        <v>2084</v>
      </c>
      <c r="B2094" s="45">
        <f>ROUNDDOWN((LineærRegression_Valg[[#This Row],[Tabel ID]]-1)/$B$5,0)+1</f>
        <v>521</v>
      </c>
      <c r="C2094" s="45">
        <f t="shared" si="32"/>
        <v>4</v>
      </c>
      <c r="D2094" s="45" t="b">
        <f>LineærRegression_Valg[[#This Row],[Afhængig variabel ID]]&lt;&gt;LineærRegression_Valg[[#This Row],[Uafhængig variabel ID]]</f>
        <v>1</v>
      </c>
      <c r="E2094" s="45" t="b">
        <f>LineærRegression_Valg[[#This Row],[Afhængig variabel ID]]&lt;=$B$5</f>
        <v>0</v>
      </c>
      <c r="F2094" t="str" cm="1">
        <f t="array" ref="F2094">IF(LineærRegression_Valg[[#This Row],[Indenfor range]],INDEX(DataTitel_liste,LineærRegression_Valg[[#This Row],[Afhængig variabel ID]]),INDEX(DataTitel_liste,1))</f>
        <v>Eksempel 1 (interval)</v>
      </c>
      <c r="G2094" s="45" t="str" cm="1">
        <f t="array" ref="G2094">IF(LineærRegression_Valg[[#This Row],[Indenfor range]],IF(LineærRegression_Valg[[#This Row],[Intet overlap]],INDEX(DataTitel_liste,LineærRegression_Valg[[#This Row],[Uafhængig variabel ID]]),INDEX(DataTitel_liste,IF(LineærRegression_Valg[[#This Row],[Afhængig variabel ID]]=1,2,1))),$B$7)</f>
        <v>Eksempel 2 (interval)</v>
      </c>
      <c r="H2094" s="45">
        <f>_xlfn.AGGREGATE(2,5,LineærRegression_Valg[[#This Row],[Tabel ID]])</f>
        <v>1</v>
      </c>
    </row>
    <row r="2095" spans="1:8" x14ac:dyDescent="0.2">
      <c r="A2095">
        <f>ROW(LineærRegression_Valg[[#This Row],[Tabel ID]])-ROW(LineærRegression_Valg[[#Headers],[Tabel ID]])</f>
        <v>2085</v>
      </c>
      <c r="B2095" s="45">
        <f>ROUNDDOWN((LineærRegression_Valg[[#This Row],[Tabel ID]]-1)/$B$5,0)+1</f>
        <v>522</v>
      </c>
      <c r="C2095" s="45">
        <f t="shared" si="32"/>
        <v>1</v>
      </c>
      <c r="D2095" s="45" t="b">
        <f>LineærRegression_Valg[[#This Row],[Afhængig variabel ID]]&lt;&gt;LineærRegression_Valg[[#This Row],[Uafhængig variabel ID]]</f>
        <v>1</v>
      </c>
      <c r="E2095" s="45" t="b">
        <f>LineærRegression_Valg[[#This Row],[Afhængig variabel ID]]&lt;=$B$5</f>
        <v>0</v>
      </c>
      <c r="F2095" t="str" cm="1">
        <f t="array" ref="F2095">IF(LineærRegression_Valg[[#This Row],[Indenfor range]],INDEX(DataTitel_liste,LineærRegression_Valg[[#This Row],[Afhængig variabel ID]]),INDEX(DataTitel_liste,1))</f>
        <v>Eksempel 1 (interval)</v>
      </c>
      <c r="G2095" s="45" t="str" cm="1">
        <f t="array" ref="G2095">IF(LineærRegression_Valg[[#This Row],[Indenfor range]],IF(LineærRegression_Valg[[#This Row],[Intet overlap]],INDEX(DataTitel_liste,LineærRegression_Valg[[#This Row],[Uafhængig variabel ID]]),INDEX(DataTitel_liste,IF(LineærRegression_Valg[[#This Row],[Afhængig variabel ID]]=1,2,1))),$B$7)</f>
        <v>Eksempel 2 (interval)</v>
      </c>
      <c r="H2095" s="45">
        <f>_xlfn.AGGREGATE(2,5,LineærRegression_Valg[[#This Row],[Tabel ID]])</f>
        <v>1</v>
      </c>
    </row>
    <row r="2096" spans="1:8" x14ac:dyDescent="0.2">
      <c r="A2096">
        <f>ROW(LineærRegression_Valg[[#This Row],[Tabel ID]])-ROW(LineærRegression_Valg[[#Headers],[Tabel ID]])</f>
        <v>2086</v>
      </c>
      <c r="B2096" s="45">
        <f>ROUNDDOWN((LineærRegression_Valg[[#This Row],[Tabel ID]]-1)/$B$5,0)+1</f>
        <v>522</v>
      </c>
      <c r="C2096" s="45">
        <f t="shared" si="32"/>
        <v>2</v>
      </c>
      <c r="D2096" s="45" t="b">
        <f>LineærRegression_Valg[[#This Row],[Afhængig variabel ID]]&lt;&gt;LineærRegression_Valg[[#This Row],[Uafhængig variabel ID]]</f>
        <v>1</v>
      </c>
      <c r="E2096" s="45" t="b">
        <f>LineærRegression_Valg[[#This Row],[Afhængig variabel ID]]&lt;=$B$5</f>
        <v>0</v>
      </c>
      <c r="F2096" t="str" cm="1">
        <f t="array" ref="F2096">IF(LineærRegression_Valg[[#This Row],[Indenfor range]],INDEX(DataTitel_liste,LineærRegression_Valg[[#This Row],[Afhængig variabel ID]]),INDEX(DataTitel_liste,1))</f>
        <v>Eksempel 1 (interval)</v>
      </c>
      <c r="G2096" s="45" t="str" cm="1">
        <f t="array" ref="G2096">IF(LineærRegression_Valg[[#This Row],[Indenfor range]],IF(LineærRegression_Valg[[#This Row],[Intet overlap]],INDEX(DataTitel_liste,LineærRegression_Valg[[#This Row],[Uafhængig variabel ID]]),INDEX(DataTitel_liste,IF(LineærRegression_Valg[[#This Row],[Afhængig variabel ID]]=1,2,1))),$B$7)</f>
        <v>Eksempel 2 (interval)</v>
      </c>
      <c r="H2096" s="45">
        <f>_xlfn.AGGREGATE(2,5,LineærRegression_Valg[[#This Row],[Tabel ID]])</f>
        <v>1</v>
      </c>
    </row>
    <row r="2097" spans="1:8" x14ac:dyDescent="0.2">
      <c r="A2097">
        <f>ROW(LineærRegression_Valg[[#This Row],[Tabel ID]])-ROW(LineærRegression_Valg[[#Headers],[Tabel ID]])</f>
        <v>2087</v>
      </c>
      <c r="B2097" s="45">
        <f>ROUNDDOWN((LineærRegression_Valg[[#This Row],[Tabel ID]]-1)/$B$5,0)+1</f>
        <v>522</v>
      </c>
      <c r="C2097" s="45">
        <f t="shared" si="32"/>
        <v>3</v>
      </c>
      <c r="D2097" s="45" t="b">
        <f>LineærRegression_Valg[[#This Row],[Afhængig variabel ID]]&lt;&gt;LineærRegression_Valg[[#This Row],[Uafhængig variabel ID]]</f>
        <v>1</v>
      </c>
      <c r="E2097" s="45" t="b">
        <f>LineærRegression_Valg[[#This Row],[Afhængig variabel ID]]&lt;=$B$5</f>
        <v>0</v>
      </c>
      <c r="F2097" t="str" cm="1">
        <f t="array" ref="F2097">IF(LineærRegression_Valg[[#This Row],[Indenfor range]],INDEX(DataTitel_liste,LineærRegression_Valg[[#This Row],[Afhængig variabel ID]]),INDEX(DataTitel_liste,1))</f>
        <v>Eksempel 1 (interval)</v>
      </c>
      <c r="G2097" s="45" t="str" cm="1">
        <f t="array" ref="G2097">IF(LineærRegression_Valg[[#This Row],[Indenfor range]],IF(LineærRegression_Valg[[#This Row],[Intet overlap]],INDEX(DataTitel_liste,LineærRegression_Valg[[#This Row],[Uafhængig variabel ID]]),INDEX(DataTitel_liste,IF(LineærRegression_Valg[[#This Row],[Afhængig variabel ID]]=1,2,1))),$B$7)</f>
        <v>Eksempel 2 (interval)</v>
      </c>
      <c r="H2097" s="45">
        <f>_xlfn.AGGREGATE(2,5,LineærRegression_Valg[[#This Row],[Tabel ID]])</f>
        <v>1</v>
      </c>
    </row>
    <row r="2098" spans="1:8" x14ac:dyDescent="0.2">
      <c r="A2098">
        <f>ROW(LineærRegression_Valg[[#This Row],[Tabel ID]])-ROW(LineærRegression_Valg[[#Headers],[Tabel ID]])</f>
        <v>2088</v>
      </c>
      <c r="B2098" s="45">
        <f>ROUNDDOWN((LineærRegression_Valg[[#This Row],[Tabel ID]]-1)/$B$5,0)+1</f>
        <v>522</v>
      </c>
      <c r="C2098" s="45">
        <f t="shared" si="32"/>
        <v>4</v>
      </c>
      <c r="D2098" s="45" t="b">
        <f>LineærRegression_Valg[[#This Row],[Afhængig variabel ID]]&lt;&gt;LineærRegression_Valg[[#This Row],[Uafhængig variabel ID]]</f>
        <v>1</v>
      </c>
      <c r="E2098" s="45" t="b">
        <f>LineærRegression_Valg[[#This Row],[Afhængig variabel ID]]&lt;=$B$5</f>
        <v>0</v>
      </c>
      <c r="F2098" t="str" cm="1">
        <f t="array" ref="F2098">IF(LineærRegression_Valg[[#This Row],[Indenfor range]],INDEX(DataTitel_liste,LineærRegression_Valg[[#This Row],[Afhængig variabel ID]]),INDEX(DataTitel_liste,1))</f>
        <v>Eksempel 1 (interval)</v>
      </c>
      <c r="G2098" s="45" t="str" cm="1">
        <f t="array" ref="G2098">IF(LineærRegression_Valg[[#This Row],[Indenfor range]],IF(LineærRegression_Valg[[#This Row],[Intet overlap]],INDEX(DataTitel_liste,LineærRegression_Valg[[#This Row],[Uafhængig variabel ID]]),INDEX(DataTitel_liste,IF(LineærRegression_Valg[[#This Row],[Afhængig variabel ID]]=1,2,1))),$B$7)</f>
        <v>Eksempel 2 (interval)</v>
      </c>
      <c r="H2098" s="45">
        <f>_xlfn.AGGREGATE(2,5,LineærRegression_Valg[[#This Row],[Tabel ID]])</f>
        <v>1</v>
      </c>
    </row>
    <row r="2099" spans="1:8" x14ac:dyDescent="0.2">
      <c r="A2099">
        <f>ROW(LineærRegression_Valg[[#This Row],[Tabel ID]])-ROW(LineærRegression_Valg[[#Headers],[Tabel ID]])</f>
        <v>2089</v>
      </c>
      <c r="B2099" s="45">
        <f>ROUNDDOWN((LineærRegression_Valg[[#This Row],[Tabel ID]]-1)/$B$5,0)+1</f>
        <v>523</v>
      </c>
      <c r="C2099" s="45">
        <f t="shared" si="32"/>
        <v>1</v>
      </c>
      <c r="D2099" s="45" t="b">
        <f>LineærRegression_Valg[[#This Row],[Afhængig variabel ID]]&lt;&gt;LineærRegression_Valg[[#This Row],[Uafhængig variabel ID]]</f>
        <v>1</v>
      </c>
      <c r="E2099" s="45" t="b">
        <f>LineærRegression_Valg[[#This Row],[Afhængig variabel ID]]&lt;=$B$5</f>
        <v>0</v>
      </c>
      <c r="F2099" t="str" cm="1">
        <f t="array" ref="F2099">IF(LineærRegression_Valg[[#This Row],[Indenfor range]],INDEX(DataTitel_liste,LineærRegression_Valg[[#This Row],[Afhængig variabel ID]]),INDEX(DataTitel_liste,1))</f>
        <v>Eksempel 1 (interval)</v>
      </c>
      <c r="G2099" s="45" t="str" cm="1">
        <f t="array" ref="G2099">IF(LineærRegression_Valg[[#This Row],[Indenfor range]],IF(LineærRegression_Valg[[#This Row],[Intet overlap]],INDEX(DataTitel_liste,LineærRegression_Valg[[#This Row],[Uafhængig variabel ID]]),INDEX(DataTitel_liste,IF(LineærRegression_Valg[[#This Row],[Afhængig variabel ID]]=1,2,1))),$B$7)</f>
        <v>Eksempel 2 (interval)</v>
      </c>
      <c r="H2099" s="45">
        <f>_xlfn.AGGREGATE(2,5,LineærRegression_Valg[[#This Row],[Tabel ID]])</f>
        <v>1</v>
      </c>
    </row>
    <row r="2100" spans="1:8" x14ac:dyDescent="0.2">
      <c r="A2100">
        <f>ROW(LineærRegression_Valg[[#This Row],[Tabel ID]])-ROW(LineærRegression_Valg[[#Headers],[Tabel ID]])</f>
        <v>2090</v>
      </c>
      <c r="B2100" s="45">
        <f>ROUNDDOWN((LineærRegression_Valg[[#This Row],[Tabel ID]]-1)/$B$5,0)+1</f>
        <v>523</v>
      </c>
      <c r="C2100" s="45">
        <f t="shared" si="32"/>
        <v>2</v>
      </c>
      <c r="D2100" s="45" t="b">
        <f>LineærRegression_Valg[[#This Row],[Afhængig variabel ID]]&lt;&gt;LineærRegression_Valg[[#This Row],[Uafhængig variabel ID]]</f>
        <v>1</v>
      </c>
      <c r="E2100" s="45" t="b">
        <f>LineærRegression_Valg[[#This Row],[Afhængig variabel ID]]&lt;=$B$5</f>
        <v>0</v>
      </c>
      <c r="F2100" t="str" cm="1">
        <f t="array" ref="F2100">IF(LineærRegression_Valg[[#This Row],[Indenfor range]],INDEX(DataTitel_liste,LineærRegression_Valg[[#This Row],[Afhængig variabel ID]]),INDEX(DataTitel_liste,1))</f>
        <v>Eksempel 1 (interval)</v>
      </c>
      <c r="G2100" s="45" t="str" cm="1">
        <f t="array" ref="G2100">IF(LineærRegression_Valg[[#This Row],[Indenfor range]],IF(LineærRegression_Valg[[#This Row],[Intet overlap]],INDEX(DataTitel_liste,LineærRegression_Valg[[#This Row],[Uafhængig variabel ID]]),INDEX(DataTitel_liste,IF(LineærRegression_Valg[[#This Row],[Afhængig variabel ID]]=1,2,1))),$B$7)</f>
        <v>Eksempel 2 (interval)</v>
      </c>
      <c r="H2100" s="45">
        <f>_xlfn.AGGREGATE(2,5,LineærRegression_Valg[[#This Row],[Tabel ID]])</f>
        <v>1</v>
      </c>
    </row>
    <row r="2101" spans="1:8" x14ac:dyDescent="0.2">
      <c r="A2101">
        <f>ROW(LineærRegression_Valg[[#This Row],[Tabel ID]])-ROW(LineærRegression_Valg[[#Headers],[Tabel ID]])</f>
        <v>2091</v>
      </c>
      <c r="B2101" s="45">
        <f>ROUNDDOWN((LineærRegression_Valg[[#This Row],[Tabel ID]]-1)/$B$5,0)+1</f>
        <v>523</v>
      </c>
      <c r="C2101" s="45">
        <f t="shared" si="32"/>
        <v>3</v>
      </c>
      <c r="D2101" s="45" t="b">
        <f>LineærRegression_Valg[[#This Row],[Afhængig variabel ID]]&lt;&gt;LineærRegression_Valg[[#This Row],[Uafhængig variabel ID]]</f>
        <v>1</v>
      </c>
      <c r="E2101" s="45" t="b">
        <f>LineærRegression_Valg[[#This Row],[Afhængig variabel ID]]&lt;=$B$5</f>
        <v>0</v>
      </c>
      <c r="F2101" t="str" cm="1">
        <f t="array" ref="F2101">IF(LineærRegression_Valg[[#This Row],[Indenfor range]],INDEX(DataTitel_liste,LineærRegression_Valg[[#This Row],[Afhængig variabel ID]]),INDEX(DataTitel_liste,1))</f>
        <v>Eksempel 1 (interval)</v>
      </c>
      <c r="G2101" s="45" t="str" cm="1">
        <f t="array" ref="G2101">IF(LineærRegression_Valg[[#This Row],[Indenfor range]],IF(LineærRegression_Valg[[#This Row],[Intet overlap]],INDEX(DataTitel_liste,LineærRegression_Valg[[#This Row],[Uafhængig variabel ID]]),INDEX(DataTitel_liste,IF(LineærRegression_Valg[[#This Row],[Afhængig variabel ID]]=1,2,1))),$B$7)</f>
        <v>Eksempel 2 (interval)</v>
      </c>
      <c r="H2101" s="45">
        <f>_xlfn.AGGREGATE(2,5,LineærRegression_Valg[[#This Row],[Tabel ID]])</f>
        <v>1</v>
      </c>
    </row>
    <row r="2102" spans="1:8" x14ac:dyDescent="0.2">
      <c r="A2102">
        <f>ROW(LineærRegression_Valg[[#This Row],[Tabel ID]])-ROW(LineærRegression_Valg[[#Headers],[Tabel ID]])</f>
        <v>2092</v>
      </c>
      <c r="B2102" s="45">
        <f>ROUNDDOWN((LineærRegression_Valg[[#This Row],[Tabel ID]]-1)/$B$5,0)+1</f>
        <v>523</v>
      </c>
      <c r="C2102" s="45">
        <f t="shared" si="32"/>
        <v>4</v>
      </c>
      <c r="D2102" s="45" t="b">
        <f>LineærRegression_Valg[[#This Row],[Afhængig variabel ID]]&lt;&gt;LineærRegression_Valg[[#This Row],[Uafhængig variabel ID]]</f>
        <v>1</v>
      </c>
      <c r="E2102" s="45" t="b">
        <f>LineærRegression_Valg[[#This Row],[Afhængig variabel ID]]&lt;=$B$5</f>
        <v>0</v>
      </c>
      <c r="F2102" t="str" cm="1">
        <f t="array" ref="F2102">IF(LineærRegression_Valg[[#This Row],[Indenfor range]],INDEX(DataTitel_liste,LineærRegression_Valg[[#This Row],[Afhængig variabel ID]]),INDEX(DataTitel_liste,1))</f>
        <v>Eksempel 1 (interval)</v>
      </c>
      <c r="G2102" s="45" t="str" cm="1">
        <f t="array" ref="G2102">IF(LineærRegression_Valg[[#This Row],[Indenfor range]],IF(LineærRegression_Valg[[#This Row],[Intet overlap]],INDEX(DataTitel_liste,LineærRegression_Valg[[#This Row],[Uafhængig variabel ID]]),INDEX(DataTitel_liste,IF(LineærRegression_Valg[[#This Row],[Afhængig variabel ID]]=1,2,1))),$B$7)</f>
        <v>Eksempel 2 (interval)</v>
      </c>
      <c r="H2102" s="45">
        <f>_xlfn.AGGREGATE(2,5,LineærRegression_Valg[[#This Row],[Tabel ID]])</f>
        <v>1</v>
      </c>
    </row>
    <row r="2103" spans="1:8" x14ac:dyDescent="0.2">
      <c r="A2103">
        <f>ROW(LineærRegression_Valg[[#This Row],[Tabel ID]])-ROW(LineærRegression_Valg[[#Headers],[Tabel ID]])</f>
        <v>2093</v>
      </c>
      <c r="B2103" s="45">
        <f>ROUNDDOWN((LineærRegression_Valg[[#This Row],[Tabel ID]]-1)/$B$5,0)+1</f>
        <v>524</v>
      </c>
      <c r="C2103" s="45">
        <f t="shared" si="32"/>
        <v>1</v>
      </c>
      <c r="D2103" s="45" t="b">
        <f>LineærRegression_Valg[[#This Row],[Afhængig variabel ID]]&lt;&gt;LineærRegression_Valg[[#This Row],[Uafhængig variabel ID]]</f>
        <v>1</v>
      </c>
      <c r="E2103" s="45" t="b">
        <f>LineærRegression_Valg[[#This Row],[Afhængig variabel ID]]&lt;=$B$5</f>
        <v>0</v>
      </c>
      <c r="F2103" t="str" cm="1">
        <f t="array" ref="F2103">IF(LineærRegression_Valg[[#This Row],[Indenfor range]],INDEX(DataTitel_liste,LineærRegression_Valg[[#This Row],[Afhængig variabel ID]]),INDEX(DataTitel_liste,1))</f>
        <v>Eksempel 1 (interval)</v>
      </c>
      <c r="G2103" s="45" t="str" cm="1">
        <f t="array" ref="G2103">IF(LineærRegression_Valg[[#This Row],[Indenfor range]],IF(LineærRegression_Valg[[#This Row],[Intet overlap]],INDEX(DataTitel_liste,LineærRegression_Valg[[#This Row],[Uafhængig variabel ID]]),INDEX(DataTitel_liste,IF(LineærRegression_Valg[[#This Row],[Afhængig variabel ID]]=1,2,1))),$B$7)</f>
        <v>Eksempel 2 (interval)</v>
      </c>
      <c r="H2103" s="45">
        <f>_xlfn.AGGREGATE(2,5,LineærRegression_Valg[[#This Row],[Tabel ID]])</f>
        <v>1</v>
      </c>
    </row>
    <row r="2104" spans="1:8" x14ac:dyDescent="0.2">
      <c r="A2104">
        <f>ROW(LineærRegression_Valg[[#This Row],[Tabel ID]])-ROW(LineærRegression_Valg[[#Headers],[Tabel ID]])</f>
        <v>2094</v>
      </c>
      <c r="B2104" s="45">
        <f>ROUNDDOWN((LineærRegression_Valg[[#This Row],[Tabel ID]]-1)/$B$5,0)+1</f>
        <v>524</v>
      </c>
      <c r="C2104" s="45">
        <f t="shared" si="32"/>
        <v>2</v>
      </c>
      <c r="D2104" s="45" t="b">
        <f>LineærRegression_Valg[[#This Row],[Afhængig variabel ID]]&lt;&gt;LineærRegression_Valg[[#This Row],[Uafhængig variabel ID]]</f>
        <v>1</v>
      </c>
      <c r="E2104" s="45" t="b">
        <f>LineærRegression_Valg[[#This Row],[Afhængig variabel ID]]&lt;=$B$5</f>
        <v>0</v>
      </c>
      <c r="F2104" t="str" cm="1">
        <f t="array" ref="F2104">IF(LineærRegression_Valg[[#This Row],[Indenfor range]],INDEX(DataTitel_liste,LineærRegression_Valg[[#This Row],[Afhængig variabel ID]]),INDEX(DataTitel_liste,1))</f>
        <v>Eksempel 1 (interval)</v>
      </c>
      <c r="G2104" s="45" t="str" cm="1">
        <f t="array" ref="G2104">IF(LineærRegression_Valg[[#This Row],[Indenfor range]],IF(LineærRegression_Valg[[#This Row],[Intet overlap]],INDEX(DataTitel_liste,LineærRegression_Valg[[#This Row],[Uafhængig variabel ID]]),INDEX(DataTitel_liste,IF(LineærRegression_Valg[[#This Row],[Afhængig variabel ID]]=1,2,1))),$B$7)</f>
        <v>Eksempel 2 (interval)</v>
      </c>
      <c r="H2104" s="45">
        <f>_xlfn.AGGREGATE(2,5,LineærRegression_Valg[[#This Row],[Tabel ID]])</f>
        <v>1</v>
      </c>
    </row>
    <row r="2105" spans="1:8" x14ac:dyDescent="0.2">
      <c r="A2105">
        <f>ROW(LineærRegression_Valg[[#This Row],[Tabel ID]])-ROW(LineærRegression_Valg[[#Headers],[Tabel ID]])</f>
        <v>2095</v>
      </c>
      <c r="B2105" s="45">
        <f>ROUNDDOWN((LineærRegression_Valg[[#This Row],[Tabel ID]]-1)/$B$5,0)+1</f>
        <v>524</v>
      </c>
      <c r="C2105" s="45">
        <f t="shared" si="32"/>
        <v>3</v>
      </c>
      <c r="D2105" s="45" t="b">
        <f>LineærRegression_Valg[[#This Row],[Afhængig variabel ID]]&lt;&gt;LineærRegression_Valg[[#This Row],[Uafhængig variabel ID]]</f>
        <v>1</v>
      </c>
      <c r="E2105" s="45" t="b">
        <f>LineærRegression_Valg[[#This Row],[Afhængig variabel ID]]&lt;=$B$5</f>
        <v>0</v>
      </c>
      <c r="F2105" t="str" cm="1">
        <f t="array" ref="F2105">IF(LineærRegression_Valg[[#This Row],[Indenfor range]],INDEX(DataTitel_liste,LineærRegression_Valg[[#This Row],[Afhængig variabel ID]]),INDEX(DataTitel_liste,1))</f>
        <v>Eksempel 1 (interval)</v>
      </c>
      <c r="G2105" s="45" t="str" cm="1">
        <f t="array" ref="G2105">IF(LineærRegression_Valg[[#This Row],[Indenfor range]],IF(LineærRegression_Valg[[#This Row],[Intet overlap]],INDEX(DataTitel_liste,LineærRegression_Valg[[#This Row],[Uafhængig variabel ID]]),INDEX(DataTitel_liste,IF(LineærRegression_Valg[[#This Row],[Afhængig variabel ID]]=1,2,1))),$B$7)</f>
        <v>Eksempel 2 (interval)</v>
      </c>
      <c r="H2105" s="45">
        <f>_xlfn.AGGREGATE(2,5,LineærRegression_Valg[[#This Row],[Tabel ID]])</f>
        <v>1</v>
      </c>
    </row>
    <row r="2106" spans="1:8" x14ac:dyDescent="0.2">
      <c r="A2106">
        <f>ROW(LineærRegression_Valg[[#This Row],[Tabel ID]])-ROW(LineærRegression_Valg[[#Headers],[Tabel ID]])</f>
        <v>2096</v>
      </c>
      <c r="B2106" s="45">
        <f>ROUNDDOWN((LineærRegression_Valg[[#This Row],[Tabel ID]]-1)/$B$5,0)+1</f>
        <v>524</v>
      </c>
      <c r="C2106" s="45">
        <f t="shared" si="32"/>
        <v>4</v>
      </c>
      <c r="D2106" s="45" t="b">
        <f>LineærRegression_Valg[[#This Row],[Afhængig variabel ID]]&lt;&gt;LineærRegression_Valg[[#This Row],[Uafhængig variabel ID]]</f>
        <v>1</v>
      </c>
      <c r="E2106" s="45" t="b">
        <f>LineærRegression_Valg[[#This Row],[Afhængig variabel ID]]&lt;=$B$5</f>
        <v>0</v>
      </c>
      <c r="F2106" t="str" cm="1">
        <f t="array" ref="F2106">IF(LineærRegression_Valg[[#This Row],[Indenfor range]],INDEX(DataTitel_liste,LineærRegression_Valg[[#This Row],[Afhængig variabel ID]]),INDEX(DataTitel_liste,1))</f>
        <v>Eksempel 1 (interval)</v>
      </c>
      <c r="G2106" s="45" t="str" cm="1">
        <f t="array" ref="G2106">IF(LineærRegression_Valg[[#This Row],[Indenfor range]],IF(LineærRegression_Valg[[#This Row],[Intet overlap]],INDEX(DataTitel_liste,LineærRegression_Valg[[#This Row],[Uafhængig variabel ID]]),INDEX(DataTitel_liste,IF(LineærRegression_Valg[[#This Row],[Afhængig variabel ID]]=1,2,1))),$B$7)</f>
        <v>Eksempel 2 (interval)</v>
      </c>
      <c r="H2106" s="45">
        <f>_xlfn.AGGREGATE(2,5,LineærRegression_Valg[[#This Row],[Tabel ID]])</f>
        <v>1</v>
      </c>
    </row>
    <row r="2107" spans="1:8" x14ac:dyDescent="0.2">
      <c r="A2107">
        <f>ROW(LineærRegression_Valg[[#This Row],[Tabel ID]])-ROW(LineærRegression_Valg[[#Headers],[Tabel ID]])</f>
        <v>2097</v>
      </c>
      <c r="B2107" s="45">
        <f>ROUNDDOWN((LineærRegression_Valg[[#This Row],[Tabel ID]]-1)/$B$5,0)+1</f>
        <v>525</v>
      </c>
      <c r="C2107" s="45">
        <f t="shared" si="32"/>
        <v>1</v>
      </c>
      <c r="D2107" s="45" t="b">
        <f>LineærRegression_Valg[[#This Row],[Afhængig variabel ID]]&lt;&gt;LineærRegression_Valg[[#This Row],[Uafhængig variabel ID]]</f>
        <v>1</v>
      </c>
      <c r="E2107" s="45" t="b">
        <f>LineærRegression_Valg[[#This Row],[Afhængig variabel ID]]&lt;=$B$5</f>
        <v>0</v>
      </c>
      <c r="F2107" t="str" cm="1">
        <f t="array" ref="F2107">IF(LineærRegression_Valg[[#This Row],[Indenfor range]],INDEX(DataTitel_liste,LineærRegression_Valg[[#This Row],[Afhængig variabel ID]]),INDEX(DataTitel_liste,1))</f>
        <v>Eksempel 1 (interval)</v>
      </c>
      <c r="G2107" s="45" t="str" cm="1">
        <f t="array" ref="G2107">IF(LineærRegression_Valg[[#This Row],[Indenfor range]],IF(LineærRegression_Valg[[#This Row],[Intet overlap]],INDEX(DataTitel_liste,LineærRegression_Valg[[#This Row],[Uafhængig variabel ID]]),INDEX(DataTitel_liste,IF(LineærRegression_Valg[[#This Row],[Afhængig variabel ID]]=1,2,1))),$B$7)</f>
        <v>Eksempel 2 (interval)</v>
      </c>
      <c r="H2107" s="45">
        <f>_xlfn.AGGREGATE(2,5,LineærRegression_Valg[[#This Row],[Tabel ID]])</f>
        <v>1</v>
      </c>
    </row>
    <row r="2108" spans="1:8" x14ac:dyDescent="0.2">
      <c r="A2108">
        <f>ROW(LineærRegression_Valg[[#This Row],[Tabel ID]])-ROW(LineærRegression_Valg[[#Headers],[Tabel ID]])</f>
        <v>2098</v>
      </c>
      <c r="B2108" s="45">
        <f>ROUNDDOWN((LineærRegression_Valg[[#This Row],[Tabel ID]]-1)/$B$5,0)+1</f>
        <v>525</v>
      </c>
      <c r="C2108" s="45">
        <f t="shared" si="32"/>
        <v>2</v>
      </c>
      <c r="D2108" s="45" t="b">
        <f>LineærRegression_Valg[[#This Row],[Afhængig variabel ID]]&lt;&gt;LineærRegression_Valg[[#This Row],[Uafhængig variabel ID]]</f>
        <v>1</v>
      </c>
      <c r="E2108" s="45" t="b">
        <f>LineærRegression_Valg[[#This Row],[Afhængig variabel ID]]&lt;=$B$5</f>
        <v>0</v>
      </c>
      <c r="F2108" t="str" cm="1">
        <f t="array" ref="F2108">IF(LineærRegression_Valg[[#This Row],[Indenfor range]],INDEX(DataTitel_liste,LineærRegression_Valg[[#This Row],[Afhængig variabel ID]]),INDEX(DataTitel_liste,1))</f>
        <v>Eksempel 1 (interval)</v>
      </c>
      <c r="G2108" s="45" t="str" cm="1">
        <f t="array" ref="G2108">IF(LineærRegression_Valg[[#This Row],[Indenfor range]],IF(LineærRegression_Valg[[#This Row],[Intet overlap]],INDEX(DataTitel_liste,LineærRegression_Valg[[#This Row],[Uafhængig variabel ID]]),INDEX(DataTitel_liste,IF(LineærRegression_Valg[[#This Row],[Afhængig variabel ID]]=1,2,1))),$B$7)</f>
        <v>Eksempel 2 (interval)</v>
      </c>
      <c r="H2108" s="45">
        <f>_xlfn.AGGREGATE(2,5,LineærRegression_Valg[[#This Row],[Tabel ID]])</f>
        <v>1</v>
      </c>
    </row>
    <row r="2109" spans="1:8" x14ac:dyDescent="0.2">
      <c r="A2109">
        <f>ROW(LineærRegression_Valg[[#This Row],[Tabel ID]])-ROW(LineærRegression_Valg[[#Headers],[Tabel ID]])</f>
        <v>2099</v>
      </c>
      <c r="B2109" s="45">
        <f>ROUNDDOWN((LineærRegression_Valg[[#This Row],[Tabel ID]]-1)/$B$5,0)+1</f>
        <v>525</v>
      </c>
      <c r="C2109" s="45">
        <f t="shared" si="32"/>
        <v>3</v>
      </c>
      <c r="D2109" s="45" t="b">
        <f>LineærRegression_Valg[[#This Row],[Afhængig variabel ID]]&lt;&gt;LineærRegression_Valg[[#This Row],[Uafhængig variabel ID]]</f>
        <v>1</v>
      </c>
      <c r="E2109" s="45" t="b">
        <f>LineærRegression_Valg[[#This Row],[Afhængig variabel ID]]&lt;=$B$5</f>
        <v>0</v>
      </c>
      <c r="F2109" t="str" cm="1">
        <f t="array" ref="F2109">IF(LineærRegression_Valg[[#This Row],[Indenfor range]],INDEX(DataTitel_liste,LineærRegression_Valg[[#This Row],[Afhængig variabel ID]]),INDEX(DataTitel_liste,1))</f>
        <v>Eksempel 1 (interval)</v>
      </c>
      <c r="G2109" s="45" t="str" cm="1">
        <f t="array" ref="G2109">IF(LineærRegression_Valg[[#This Row],[Indenfor range]],IF(LineærRegression_Valg[[#This Row],[Intet overlap]],INDEX(DataTitel_liste,LineærRegression_Valg[[#This Row],[Uafhængig variabel ID]]),INDEX(DataTitel_liste,IF(LineærRegression_Valg[[#This Row],[Afhængig variabel ID]]=1,2,1))),$B$7)</f>
        <v>Eksempel 2 (interval)</v>
      </c>
      <c r="H2109" s="45">
        <f>_xlfn.AGGREGATE(2,5,LineærRegression_Valg[[#This Row],[Tabel ID]])</f>
        <v>1</v>
      </c>
    </row>
    <row r="2110" spans="1:8" x14ac:dyDescent="0.2">
      <c r="A2110">
        <f>ROW(LineærRegression_Valg[[#This Row],[Tabel ID]])-ROW(LineærRegression_Valg[[#Headers],[Tabel ID]])</f>
        <v>2100</v>
      </c>
      <c r="B2110" s="45">
        <f>ROUNDDOWN((LineærRegression_Valg[[#This Row],[Tabel ID]]-1)/$B$5,0)+1</f>
        <v>525</v>
      </c>
      <c r="C2110" s="45">
        <f t="shared" si="32"/>
        <v>4</v>
      </c>
      <c r="D2110" s="45" t="b">
        <f>LineærRegression_Valg[[#This Row],[Afhængig variabel ID]]&lt;&gt;LineærRegression_Valg[[#This Row],[Uafhængig variabel ID]]</f>
        <v>1</v>
      </c>
      <c r="E2110" s="45" t="b">
        <f>LineærRegression_Valg[[#This Row],[Afhængig variabel ID]]&lt;=$B$5</f>
        <v>0</v>
      </c>
      <c r="F2110" t="str" cm="1">
        <f t="array" ref="F2110">IF(LineærRegression_Valg[[#This Row],[Indenfor range]],INDEX(DataTitel_liste,LineærRegression_Valg[[#This Row],[Afhængig variabel ID]]),INDEX(DataTitel_liste,1))</f>
        <v>Eksempel 1 (interval)</v>
      </c>
      <c r="G2110" s="45" t="str" cm="1">
        <f t="array" ref="G2110">IF(LineærRegression_Valg[[#This Row],[Indenfor range]],IF(LineærRegression_Valg[[#This Row],[Intet overlap]],INDEX(DataTitel_liste,LineærRegression_Valg[[#This Row],[Uafhængig variabel ID]]),INDEX(DataTitel_liste,IF(LineærRegression_Valg[[#This Row],[Afhængig variabel ID]]=1,2,1))),$B$7)</f>
        <v>Eksempel 2 (interval)</v>
      </c>
      <c r="H2110" s="45">
        <f>_xlfn.AGGREGATE(2,5,LineærRegression_Valg[[#This Row],[Tabel ID]])</f>
        <v>1</v>
      </c>
    </row>
    <row r="2111" spans="1:8" x14ac:dyDescent="0.2">
      <c r="A2111">
        <f>ROW(LineærRegression_Valg[[#This Row],[Tabel ID]])-ROW(LineærRegression_Valg[[#Headers],[Tabel ID]])</f>
        <v>2101</v>
      </c>
      <c r="B2111" s="45">
        <f>ROUNDDOWN((LineærRegression_Valg[[#This Row],[Tabel ID]]-1)/$B$5,0)+1</f>
        <v>526</v>
      </c>
      <c r="C2111" s="45">
        <f t="shared" si="32"/>
        <v>1</v>
      </c>
      <c r="D2111" s="45" t="b">
        <f>LineærRegression_Valg[[#This Row],[Afhængig variabel ID]]&lt;&gt;LineærRegression_Valg[[#This Row],[Uafhængig variabel ID]]</f>
        <v>1</v>
      </c>
      <c r="E2111" s="45" t="b">
        <f>LineærRegression_Valg[[#This Row],[Afhængig variabel ID]]&lt;=$B$5</f>
        <v>0</v>
      </c>
      <c r="F2111" t="str" cm="1">
        <f t="array" ref="F2111">IF(LineærRegression_Valg[[#This Row],[Indenfor range]],INDEX(DataTitel_liste,LineærRegression_Valg[[#This Row],[Afhængig variabel ID]]),INDEX(DataTitel_liste,1))</f>
        <v>Eksempel 1 (interval)</v>
      </c>
      <c r="G2111" s="45" t="str" cm="1">
        <f t="array" ref="G2111">IF(LineærRegression_Valg[[#This Row],[Indenfor range]],IF(LineærRegression_Valg[[#This Row],[Intet overlap]],INDEX(DataTitel_liste,LineærRegression_Valg[[#This Row],[Uafhængig variabel ID]]),INDEX(DataTitel_liste,IF(LineærRegression_Valg[[#This Row],[Afhængig variabel ID]]=1,2,1))),$B$7)</f>
        <v>Eksempel 2 (interval)</v>
      </c>
      <c r="H2111" s="45">
        <f>_xlfn.AGGREGATE(2,5,LineærRegression_Valg[[#This Row],[Tabel ID]])</f>
        <v>1</v>
      </c>
    </row>
    <row r="2112" spans="1:8" x14ac:dyDescent="0.2">
      <c r="A2112">
        <f>ROW(LineærRegression_Valg[[#This Row],[Tabel ID]])-ROW(LineærRegression_Valg[[#Headers],[Tabel ID]])</f>
        <v>2102</v>
      </c>
      <c r="B2112" s="45">
        <f>ROUNDDOWN((LineærRegression_Valg[[#This Row],[Tabel ID]]-1)/$B$5,0)+1</f>
        <v>526</v>
      </c>
      <c r="C2112" s="45">
        <f t="shared" si="32"/>
        <v>2</v>
      </c>
      <c r="D2112" s="45" t="b">
        <f>LineærRegression_Valg[[#This Row],[Afhængig variabel ID]]&lt;&gt;LineærRegression_Valg[[#This Row],[Uafhængig variabel ID]]</f>
        <v>1</v>
      </c>
      <c r="E2112" s="45" t="b">
        <f>LineærRegression_Valg[[#This Row],[Afhængig variabel ID]]&lt;=$B$5</f>
        <v>0</v>
      </c>
      <c r="F2112" t="str" cm="1">
        <f t="array" ref="F2112">IF(LineærRegression_Valg[[#This Row],[Indenfor range]],INDEX(DataTitel_liste,LineærRegression_Valg[[#This Row],[Afhængig variabel ID]]),INDEX(DataTitel_liste,1))</f>
        <v>Eksempel 1 (interval)</v>
      </c>
      <c r="G2112" s="45" t="str" cm="1">
        <f t="array" ref="G2112">IF(LineærRegression_Valg[[#This Row],[Indenfor range]],IF(LineærRegression_Valg[[#This Row],[Intet overlap]],INDEX(DataTitel_liste,LineærRegression_Valg[[#This Row],[Uafhængig variabel ID]]),INDEX(DataTitel_liste,IF(LineærRegression_Valg[[#This Row],[Afhængig variabel ID]]=1,2,1))),$B$7)</f>
        <v>Eksempel 2 (interval)</v>
      </c>
      <c r="H2112" s="45">
        <f>_xlfn.AGGREGATE(2,5,LineærRegression_Valg[[#This Row],[Tabel ID]])</f>
        <v>1</v>
      </c>
    </row>
    <row r="2113" spans="1:8" x14ac:dyDescent="0.2">
      <c r="A2113">
        <f>ROW(LineærRegression_Valg[[#This Row],[Tabel ID]])-ROW(LineærRegression_Valg[[#Headers],[Tabel ID]])</f>
        <v>2103</v>
      </c>
      <c r="B2113" s="45">
        <f>ROUNDDOWN((LineærRegression_Valg[[#This Row],[Tabel ID]]-1)/$B$5,0)+1</f>
        <v>526</v>
      </c>
      <c r="C2113" s="45">
        <f t="shared" si="32"/>
        <v>3</v>
      </c>
      <c r="D2113" s="45" t="b">
        <f>LineærRegression_Valg[[#This Row],[Afhængig variabel ID]]&lt;&gt;LineærRegression_Valg[[#This Row],[Uafhængig variabel ID]]</f>
        <v>1</v>
      </c>
      <c r="E2113" s="45" t="b">
        <f>LineærRegression_Valg[[#This Row],[Afhængig variabel ID]]&lt;=$B$5</f>
        <v>0</v>
      </c>
      <c r="F2113" t="str" cm="1">
        <f t="array" ref="F2113">IF(LineærRegression_Valg[[#This Row],[Indenfor range]],INDEX(DataTitel_liste,LineærRegression_Valg[[#This Row],[Afhængig variabel ID]]),INDEX(DataTitel_liste,1))</f>
        <v>Eksempel 1 (interval)</v>
      </c>
      <c r="G2113" s="45" t="str" cm="1">
        <f t="array" ref="G2113">IF(LineærRegression_Valg[[#This Row],[Indenfor range]],IF(LineærRegression_Valg[[#This Row],[Intet overlap]],INDEX(DataTitel_liste,LineærRegression_Valg[[#This Row],[Uafhængig variabel ID]]),INDEX(DataTitel_liste,IF(LineærRegression_Valg[[#This Row],[Afhængig variabel ID]]=1,2,1))),$B$7)</f>
        <v>Eksempel 2 (interval)</v>
      </c>
      <c r="H2113" s="45">
        <f>_xlfn.AGGREGATE(2,5,LineærRegression_Valg[[#This Row],[Tabel ID]])</f>
        <v>1</v>
      </c>
    </row>
    <row r="2114" spans="1:8" x14ac:dyDescent="0.2">
      <c r="A2114">
        <f>ROW(LineærRegression_Valg[[#This Row],[Tabel ID]])-ROW(LineærRegression_Valg[[#Headers],[Tabel ID]])</f>
        <v>2104</v>
      </c>
      <c r="B2114" s="45">
        <f>ROUNDDOWN((LineærRegression_Valg[[#This Row],[Tabel ID]]-1)/$B$5,0)+1</f>
        <v>526</v>
      </c>
      <c r="C2114" s="45">
        <f t="shared" si="32"/>
        <v>4</v>
      </c>
      <c r="D2114" s="45" t="b">
        <f>LineærRegression_Valg[[#This Row],[Afhængig variabel ID]]&lt;&gt;LineærRegression_Valg[[#This Row],[Uafhængig variabel ID]]</f>
        <v>1</v>
      </c>
      <c r="E2114" s="45" t="b">
        <f>LineærRegression_Valg[[#This Row],[Afhængig variabel ID]]&lt;=$B$5</f>
        <v>0</v>
      </c>
      <c r="F2114" t="str" cm="1">
        <f t="array" ref="F2114">IF(LineærRegression_Valg[[#This Row],[Indenfor range]],INDEX(DataTitel_liste,LineærRegression_Valg[[#This Row],[Afhængig variabel ID]]),INDEX(DataTitel_liste,1))</f>
        <v>Eksempel 1 (interval)</v>
      </c>
      <c r="G2114" s="45" t="str" cm="1">
        <f t="array" ref="G2114">IF(LineærRegression_Valg[[#This Row],[Indenfor range]],IF(LineærRegression_Valg[[#This Row],[Intet overlap]],INDEX(DataTitel_liste,LineærRegression_Valg[[#This Row],[Uafhængig variabel ID]]),INDEX(DataTitel_liste,IF(LineærRegression_Valg[[#This Row],[Afhængig variabel ID]]=1,2,1))),$B$7)</f>
        <v>Eksempel 2 (interval)</v>
      </c>
      <c r="H2114" s="45">
        <f>_xlfn.AGGREGATE(2,5,LineærRegression_Valg[[#This Row],[Tabel ID]])</f>
        <v>1</v>
      </c>
    </row>
    <row r="2115" spans="1:8" x14ac:dyDescent="0.2">
      <c r="A2115">
        <f>ROW(LineærRegression_Valg[[#This Row],[Tabel ID]])-ROW(LineærRegression_Valg[[#Headers],[Tabel ID]])</f>
        <v>2105</v>
      </c>
      <c r="B2115" s="45">
        <f>ROUNDDOWN((LineærRegression_Valg[[#This Row],[Tabel ID]]-1)/$B$5,0)+1</f>
        <v>527</v>
      </c>
      <c r="C2115" s="45">
        <f t="shared" si="32"/>
        <v>1</v>
      </c>
      <c r="D2115" s="45" t="b">
        <f>LineærRegression_Valg[[#This Row],[Afhængig variabel ID]]&lt;&gt;LineærRegression_Valg[[#This Row],[Uafhængig variabel ID]]</f>
        <v>1</v>
      </c>
      <c r="E2115" s="45" t="b">
        <f>LineærRegression_Valg[[#This Row],[Afhængig variabel ID]]&lt;=$B$5</f>
        <v>0</v>
      </c>
      <c r="F2115" t="str" cm="1">
        <f t="array" ref="F2115">IF(LineærRegression_Valg[[#This Row],[Indenfor range]],INDEX(DataTitel_liste,LineærRegression_Valg[[#This Row],[Afhængig variabel ID]]),INDEX(DataTitel_liste,1))</f>
        <v>Eksempel 1 (interval)</v>
      </c>
      <c r="G2115" s="45" t="str" cm="1">
        <f t="array" ref="G2115">IF(LineærRegression_Valg[[#This Row],[Indenfor range]],IF(LineærRegression_Valg[[#This Row],[Intet overlap]],INDEX(DataTitel_liste,LineærRegression_Valg[[#This Row],[Uafhængig variabel ID]]),INDEX(DataTitel_liste,IF(LineærRegression_Valg[[#This Row],[Afhængig variabel ID]]=1,2,1))),$B$7)</f>
        <v>Eksempel 2 (interval)</v>
      </c>
      <c r="H2115" s="45">
        <f>_xlfn.AGGREGATE(2,5,LineærRegression_Valg[[#This Row],[Tabel ID]])</f>
        <v>1</v>
      </c>
    </row>
    <row r="2116" spans="1:8" x14ac:dyDescent="0.2">
      <c r="A2116">
        <f>ROW(LineærRegression_Valg[[#This Row],[Tabel ID]])-ROW(LineærRegression_Valg[[#Headers],[Tabel ID]])</f>
        <v>2106</v>
      </c>
      <c r="B2116" s="45">
        <f>ROUNDDOWN((LineærRegression_Valg[[#This Row],[Tabel ID]]-1)/$B$5,0)+1</f>
        <v>527</v>
      </c>
      <c r="C2116" s="45">
        <f t="shared" si="32"/>
        <v>2</v>
      </c>
      <c r="D2116" s="45" t="b">
        <f>LineærRegression_Valg[[#This Row],[Afhængig variabel ID]]&lt;&gt;LineærRegression_Valg[[#This Row],[Uafhængig variabel ID]]</f>
        <v>1</v>
      </c>
      <c r="E2116" s="45" t="b">
        <f>LineærRegression_Valg[[#This Row],[Afhængig variabel ID]]&lt;=$B$5</f>
        <v>0</v>
      </c>
      <c r="F2116" t="str" cm="1">
        <f t="array" ref="F2116">IF(LineærRegression_Valg[[#This Row],[Indenfor range]],INDEX(DataTitel_liste,LineærRegression_Valg[[#This Row],[Afhængig variabel ID]]),INDEX(DataTitel_liste,1))</f>
        <v>Eksempel 1 (interval)</v>
      </c>
      <c r="G2116" s="45" t="str" cm="1">
        <f t="array" ref="G2116">IF(LineærRegression_Valg[[#This Row],[Indenfor range]],IF(LineærRegression_Valg[[#This Row],[Intet overlap]],INDEX(DataTitel_liste,LineærRegression_Valg[[#This Row],[Uafhængig variabel ID]]),INDEX(DataTitel_liste,IF(LineærRegression_Valg[[#This Row],[Afhængig variabel ID]]=1,2,1))),$B$7)</f>
        <v>Eksempel 2 (interval)</v>
      </c>
      <c r="H2116" s="45">
        <f>_xlfn.AGGREGATE(2,5,LineærRegression_Valg[[#This Row],[Tabel ID]])</f>
        <v>1</v>
      </c>
    </row>
    <row r="2117" spans="1:8" x14ac:dyDescent="0.2">
      <c r="A2117">
        <f>ROW(LineærRegression_Valg[[#This Row],[Tabel ID]])-ROW(LineærRegression_Valg[[#Headers],[Tabel ID]])</f>
        <v>2107</v>
      </c>
      <c r="B2117" s="45">
        <f>ROUNDDOWN((LineærRegression_Valg[[#This Row],[Tabel ID]]-1)/$B$5,0)+1</f>
        <v>527</v>
      </c>
      <c r="C2117" s="45">
        <f t="shared" si="32"/>
        <v>3</v>
      </c>
      <c r="D2117" s="45" t="b">
        <f>LineærRegression_Valg[[#This Row],[Afhængig variabel ID]]&lt;&gt;LineærRegression_Valg[[#This Row],[Uafhængig variabel ID]]</f>
        <v>1</v>
      </c>
      <c r="E2117" s="45" t="b">
        <f>LineærRegression_Valg[[#This Row],[Afhængig variabel ID]]&lt;=$B$5</f>
        <v>0</v>
      </c>
      <c r="F2117" t="str" cm="1">
        <f t="array" ref="F2117">IF(LineærRegression_Valg[[#This Row],[Indenfor range]],INDEX(DataTitel_liste,LineærRegression_Valg[[#This Row],[Afhængig variabel ID]]),INDEX(DataTitel_liste,1))</f>
        <v>Eksempel 1 (interval)</v>
      </c>
      <c r="G2117" s="45" t="str" cm="1">
        <f t="array" ref="G2117">IF(LineærRegression_Valg[[#This Row],[Indenfor range]],IF(LineærRegression_Valg[[#This Row],[Intet overlap]],INDEX(DataTitel_liste,LineærRegression_Valg[[#This Row],[Uafhængig variabel ID]]),INDEX(DataTitel_liste,IF(LineærRegression_Valg[[#This Row],[Afhængig variabel ID]]=1,2,1))),$B$7)</f>
        <v>Eksempel 2 (interval)</v>
      </c>
      <c r="H2117" s="45">
        <f>_xlfn.AGGREGATE(2,5,LineærRegression_Valg[[#This Row],[Tabel ID]])</f>
        <v>1</v>
      </c>
    </row>
    <row r="2118" spans="1:8" x14ac:dyDescent="0.2">
      <c r="A2118">
        <f>ROW(LineærRegression_Valg[[#This Row],[Tabel ID]])-ROW(LineærRegression_Valg[[#Headers],[Tabel ID]])</f>
        <v>2108</v>
      </c>
      <c r="B2118" s="45">
        <f>ROUNDDOWN((LineærRegression_Valg[[#This Row],[Tabel ID]]-1)/$B$5,0)+1</f>
        <v>527</v>
      </c>
      <c r="C2118" s="45">
        <f t="shared" si="32"/>
        <v>4</v>
      </c>
      <c r="D2118" s="45" t="b">
        <f>LineærRegression_Valg[[#This Row],[Afhængig variabel ID]]&lt;&gt;LineærRegression_Valg[[#This Row],[Uafhængig variabel ID]]</f>
        <v>1</v>
      </c>
      <c r="E2118" s="45" t="b">
        <f>LineærRegression_Valg[[#This Row],[Afhængig variabel ID]]&lt;=$B$5</f>
        <v>0</v>
      </c>
      <c r="F2118" t="str" cm="1">
        <f t="array" ref="F2118">IF(LineærRegression_Valg[[#This Row],[Indenfor range]],INDEX(DataTitel_liste,LineærRegression_Valg[[#This Row],[Afhængig variabel ID]]),INDEX(DataTitel_liste,1))</f>
        <v>Eksempel 1 (interval)</v>
      </c>
      <c r="G2118" s="45" t="str" cm="1">
        <f t="array" ref="G2118">IF(LineærRegression_Valg[[#This Row],[Indenfor range]],IF(LineærRegression_Valg[[#This Row],[Intet overlap]],INDEX(DataTitel_liste,LineærRegression_Valg[[#This Row],[Uafhængig variabel ID]]),INDEX(DataTitel_liste,IF(LineærRegression_Valg[[#This Row],[Afhængig variabel ID]]=1,2,1))),$B$7)</f>
        <v>Eksempel 2 (interval)</v>
      </c>
      <c r="H2118" s="45">
        <f>_xlfn.AGGREGATE(2,5,LineærRegression_Valg[[#This Row],[Tabel ID]])</f>
        <v>1</v>
      </c>
    </row>
    <row r="2119" spans="1:8" x14ac:dyDescent="0.2">
      <c r="A2119">
        <f>ROW(LineærRegression_Valg[[#This Row],[Tabel ID]])-ROW(LineærRegression_Valg[[#Headers],[Tabel ID]])</f>
        <v>2109</v>
      </c>
      <c r="B2119" s="45">
        <f>ROUNDDOWN((LineærRegression_Valg[[#This Row],[Tabel ID]]-1)/$B$5,0)+1</f>
        <v>528</v>
      </c>
      <c r="C2119" s="45">
        <f t="shared" si="32"/>
        <v>1</v>
      </c>
      <c r="D2119" s="45" t="b">
        <f>LineærRegression_Valg[[#This Row],[Afhængig variabel ID]]&lt;&gt;LineærRegression_Valg[[#This Row],[Uafhængig variabel ID]]</f>
        <v>1</v>
      </c>
      <c r="E2119" s="45" t="b">
        <f>LineærRegression_Valg[[#This Row],[Afhængig variabel ID]]&lt;=$B$5</f>
        <v>0</v>
      </c>
      <c r="F2119" t="str" cm="1">
        <f t="array" ref="F2119">IF(LineærRegression_Valg[[#This Row],[Indenfor range]],INDEX(DataTitel_liste,LineærRegression_Valg[[#This Row],[Afhængig variabel ID]]),INDEX(DataTitel_liste,1))</f>
        <v>Eksempel 1 (interval)</v>
      </c>
      <c r="G2119" s="45" t="str" cm="1">
        <f t="array" ref="G2119">IF(LineærRegression_Valg[[#This Row],[Indenfor range]],IF(LineærRegression_Valg[[#This Row],[Intet overlap]],INDEX(DataTitel_liste,LineærRegression_Valg[[#This Row],[Uafhængig variabel ID]]),INDEX(DataTitel_liste,IF(LineærRegression_Valg[[#This Row],[Afhængig variabel ID]]=1,2,1))),$B$7)</f>
        <v>Eksempel 2 (interval)</v>
      </c>
      <c r="H2119" s="45">
        <f>_xlfn.AGGREGATE(2,5,LineærRegression_Valg[[#This Row],[Tabel ID]])</f>
        <v>1</v>
      </c>
    </row>
    <row r="2120" spans="1:8" x14ac:dyDescent="0.2">
      <c r="A2120">
        <f>ROW(LineærRegression_Valg[[#This Row],[Tabel ID]])-ROW(LineærRegression_Valg[[#Headers],[Tabel ID]])</f>
        <v>2110</v>
      </c>
      <c r="B2120" s="45">
        <f>ROUNDDOWN((LineærRegression_Valg[[#This Row],[Tabel ID]]-1)/$B$5,0)+1</f>
        <v>528</v>
      </c>
      <c r="C2120" s="45">
        <f t="shared" si="32"/>
        <v>2</v>
      </c>
      <c r="D2120" s="45" t="b">
        <f>LineærRegression_Valg[[#This Row],[Afhængig variabel ID]]&lt;&gt;LineærRegression_Valg[[#This Row],[Uafhængig variabel ID]]</f>
        <v>1</v>
      </c>
      <c r="E2120" s="45" t="b">
        <f>LineærRegression_Valg[[#This Row],[Afhængig variabel ID]]&lt;=$B$5</f>
        <v>0</v>
      </c>
      <c r="F2120" t="str" cm="1">
        <f t="array" ref="F2120">IF(LineærRegression_Valg[[#This Row],[Indenfor range]],INDEX(DataTitel_liste,LineærRegression_Valg[[#This Row],[Afhængig variabel ID]]),INDEX(DataTitel_liste,1))</f>
        <v>Eksempel 1 (interval)</v>
      </c>
      <c r="G2120" s="45" t="str" cm="1">
        <f t="array" ref="G2120">IF(LineærRegression_Valg[[#This Row],[Indenfor range]],IF(LineærRegression_Valg[[#This Row],[Intet overlap]],INDEX(DataTitel_liste,LineærRegression_Valg[[#This Row],[Uafhængig variabel ID]]),INDEX(DataTitel_liste,IF(LineærRegression_Valg[[#This Row],[Afhængig variabel ID]]=1,2,1))),$B$7)</f>
        <v>Eksempel 2 (interval)</v>
      </c>
      <c r="H2120" s="45">
        <f>_xlfn.AGGREGATE(2,5,LineærRegression_Valg[[#This Row],[Tabel ID]])</f>
        <v>1</v>
      </c>
    </row>
    <row r="2121" spans="1:8" x14ac:dyDescent="0.2">
      <c r="A2121">
        <f>ROW(LineærRegression_Valg[[#This Row],[Tabel ID]])-ROW(LineærRegression_Valg[[#Headers],[Tabel ID]])</f>
        <v>2111</v>
      </c>
      <c r="B2121" s="45">
        <f>ROUNDDOWN((LineærRegression_Valg[[#This Row],[Tabel ID]]-1)/$B$5,0)+1</f>
        <v>528</v>
      </c>
      <c r="C2121" s="45">
        <f t="shared" si="32"/>
        <v>3</v>
      </c>
      <c r="D2121" s="45" t="b">
        <f>LineærRegression_Valg[[#This Row],[Afhængig variabel ID]]&lt;&gt;LineærRegression_Valg[[#This Row],[Uafhængig variabel ID]]</f>
        <v>1</v>
      </c>
      <c r="E2121" s="45" t="b">
        <f>LineærRegression_Valg[[#This Row],[Afhængig variabel ID]]&lt;=$B$5</f>
        <v>0</v>
      </c>
      <c r="F2121" t="str" cm="1">
        <f t="array" ref="F2121">IF(LineærRegression_Valg[[#This Row],[Indenfor range]],INDEX(DataTitel_liste,LineærRegression_Valg[[#This Row],[Afhængig variabel ID]]),INDEX(DataTitel_liste,1))</f>
        <v>Eksempel 1 (interval)</v>
      </c>
      <c r="G2121" s="45" t="str" cm="1">
        <f t="array" ref="G2121">IF(LineærRegression_Valg[[#This Row],[Indenfor range]],IF(LineærRegression_Valg[[#This Row],[Intet overlap]],INDEX(DataTitel_liste,LineærRegression_Valg[[#This Row],[Uafhængig variabel ID]]),INDEX(DataTitel_liste,IF(LineærRegression_Valg[[#This Row],[Afhængig variabel ID]]=1,2,1))),$B$7)</f>
        <v>Eksempel 2 (interval)</v>
      </c>
      <c r="H2121" s="45">
        <f>_xlfn.AGGREGATE(2,5,LineærRegression_Valg[[#This Row],[Tabel ID]])</f>
        <v>1</v>
      </c>
    </row>
    <row r="2122" spans="1:8" x14ac:dyDescent="0.2">
      <c r="A2122">
        <f>ROW(LineærRegression_Valg[[#This Row],[Tabel ID]])-ROW(LineærRegression_Valg[[#Headers],[Tabel ID]])</f>
        <v>2112</v>
      </c>
      <c r="B2122" s="45">
        <f>ROUNDDOWN((LineærRegression_Valg[[#This Row],[Tabel ID]]-1)/$B$5,0)+1</f>
        <v>528</v>
      </c>
      <c r="C2122" s="45">
        <f t="shared" si="32"/>
        <v>4</v>
      </c>
      <c r="D2122" s="45" t="b">
        <f>LineærRegression_Valg[[#This Row],[Afhængig variabel ID]]&lt;&gt;LineærRegression_Valg[[#This Row],[Uafhængig variabel ID]]</f>
        <v>1</v>
      </c>
      <c r="E2122" s="45" t="b">
        <f>LineærRegression_Valg[[#This Row],[Afhængig variabel ID]]&lt;=$B$5</f>
        <v>0</v>
      </c>
      <c r="F2122" t="str" cm="1">
        <f t="array" ref="F2122">IF(LineærRegression_Valg[[#This Row],[Indenfor range]],INDEX(DataTitel_liste,LineærRegression_Valg[[#This Row],[Afhængig variabel ID]]),INDEX(DataTitel_liste,1))</f>
        <v>Eksempel 1 (interval)</v>
      </c>
      <c r="G2122" s="45" t="str" cm="1">
        <f t="array" ref="G2122">IF(LineærRegression_Valg[[#This Row],[Indenfor range]],IF(LineærRegression_Valg[[#This Row],[Intet overlap]],INDEX(DataTitel_liste,LineærRegression_Valg[[#This Row],[Uafhængig variabel ID]]),INDEX(DataTitel_liste,IF(LineærRegression_Valg[[#This Row],[Afhængig variabel ID]]=1,2,1))),$B$7)</f>
        <v>Eksempel 2 (interval)</v>
      </c>
      <c r="H2122" s="45">
        <f>_xlfn.AGGREGATE(2,5,LineærRegression_Valg[[#This Row],[Tabel ID]])</f>
        <v>1</v>
      </c>
    </row>
    <row r="2123" spans="1:8" x14ac:dyDescent="0.2">
      <c r="A2123">
        <f>ROW(LineærRegression_Valg[[#This Row],[Tabel ID]])-ROW(LineærRegression_Valg[[#Headers],[Tabel ID]])</f>
        <v>2113</v>
      </c>
      <c r="B2123" s="45">
        <f>ROUNDDOWN((LineærRegression_Valg[[#This Row],[Tabel ID]]-1)/$B$5,0)+1</f>
        <v>529</v>
      </c>
      <c r="C2123" s="45">
        <f t="shared" ref="C2123:C2186" si="33">MOD(A2123-1,$B$5)+1</f>
        <v>1</v>
      </c>
      <c r="D2123" s="45" t="b">
        <f>LineærRegression_Valg[[#This Row],[Afhængig variabel ID]]&lt;&gt;LineærRegression_Valg[[#This Row],[Uafhængig variabel ID]]</f>
        <v>1</v>
      </c>
      <c r="E2123" s="45" t="b">
        <f>LineærRegression_Valg[[#This Row],[Afhængig variabel ID]]&lt;=$B$5</f>
        <v>0</v>
      </c>
      <c r="F2123" t="str" cm="1">
        <f t="array" ref="F2123">IF(LineærRegression_Valg[[#This Row],[Indenfor range]],INDEX(DataTitel_liste,LineærRegression_Valg[[#This Row],[Afhængig variabel ID]]),INDEX(DataTitel_liste,1))</f>
        <v>Eksempel 1 (interval)</v>
      </c>
      <c r="G2123" s="45" t="str" cm="1">
        <f t="array" ref="G2123">IF(LineærRegression_Valg[[#This Row],[Indenfor range]],IF(LineærRegression_Valg[[#This Row],[Intet overlap]],INDEX(DataTitel_liste,LineærRegression_Valg[[#This Row],[Uafhængig variabel ID]]),INDEX(DataTitel_liste,IF(LineærRegression_Valg[[#This Row],[Afhængig variabel ID]]=1,2,1))),$B$7)</f>
        <v>Eksempel 2 (interval)</v>
      </c>
      <c r="H2123" s="45">
        <f>_xlfn.AGGREGATE(2,5,LineærRegression_Valg[[#This Row],[Tabel ID]])</f>
        <v>1</v>
      </c>
    </row>
    <row r="2124" spans="1:8" x14ac:dyDescent="0.2">
      <c r="A2124">
        <f>ROW(LineærRegression_Valg[[#This Row],[Tabel ID]])-ROW(LineærRegression_Valg[[#Headers],[Tabel ID]])</f>
        <v>2114</v>
      </c>
      <c r="B2124" s="45">
        <f>ROUNDDOWN((LineærRegression_Valg[[#This Row],[Tabel ID]]-1)/$B$5,0)+1</f>
        <v>529</v>
      </c>
      <c r="C2124" s="45">
        <f t="shared" si="33"/>
        <v>2</v>
      </c>
      <c r="D2124" s="45" t="b">
        <f>LineærRegression_Valg[[#This Row],[Afhængig variabel ID]]&lt;&gt;LineærRegression_Valg[[#This Row],[Uafhængig variabel ID]]</f>
        <v>1</v>
      </c>
      <c r="E2124" s="45" t="b">
        <f>LineærRegression_Valg[[#This Row],[Afhængig variabel ID]]&lt;=$B$5</f>
        <v>0</v>
      </c>
      <c r="F2124" t="str" cm="1">
        <f t="array" ref="F2124">IF(LineærRegression_Valg[[#This Row],[Indenfor range]],INDEX(DataTitel_liste,LineærRegression_Valg[[#This Row],[Afhængig variabel ID]]),INDEX(DataTitel_liste,1))</f>
        <v>Eksempel 1 (interval)</v>
      </c>
      <c r="G2124" s="45" t="str" cm="1">
        <f t="array" ref="G2124">IF(LineærRegression_Valg[[#This Row],[Indenfor range]],IF(LineærRegression_Valg[[#This Row],[Intet overlap]],INDEX(DataTitel_liste,LineærRegression_Valg[[#This Row],[Uafhængig variabel ID]]),INDEX(DataTitel_liste,IF(LineærRegression_Valg[[#This Row],[Afhængig variabel ID]]=1,2,1))),$B$7)</f>
        <v>Eksempel 2 (interval)</v>
      </c>
      <c r="H2124" s="45">
        <f>_xlfn.AGGREGATE(2,5,LineærRegression_Valg[[#This Row],[Tabel ID]])</f>
        <v>1</v>
      </c>
    </row>
    <row r="2125" spans="1:8" x14ac:dyDescent="0.2">
      <c r="A2125">
        <f>ROW(LineærRegression_Valg[[#This Row],[Tabel ID]])-ROW(LineærRegression_Valg[[#Headers],[Tabel ID]])</f>
        <v>2115</v>
      </c>
      <c r="B2125" s="45">
        <f>ROUNDDOWN((LineærRegression_Valg[[#This Row],[Tabel ID]]-1)/$B$5,0)+1</f>
        <v>529</v>
      </c>
      <c r="C2125" s="45">
        <f t="shared" si="33"/>
        <v>3</v>
      </c>
      <c r="D2125" s="45" t="b">
        <f>LineærRegression_Valg[[#This Row],[Afhængig variabel ID]]&lt;&gt;LineærRegression_Valg[[#This Row],[Uafhængig variabel ID]]</f>
        <v>1</v>
      </c>
      <c r="E2125" s="45" t="b">
        <f>LineærRegression_Valg[[#This Row],[Afhængig variabel ID]]&lt;=$B$5</f>
        <v>0</v>
      </c>
      <c r="F2125" t="str" cm="1">
        <f t="array" ref="F2125">IF(LineærRegression_Valg[[#This Row],[Indenfor range]],INDEX(DataTitel_liste,LineærRegression_Valg[[#This Row],[Afhængig variabel ID]]),INDEX(DataTitel_liste,1))</f>
        <v>Eksempel 1 (interval)</v>
      </c>
      <c r="G2125" s="45" t="str" cm="1">
        <f t="array" ref="G2125">IF(LineærRegression_Valg[[#This Row],[Indenfor range]],IF(LineærRegression_Valg[[#This Row],[Intet overlap]],INDEX(DataTitel_liste,LineærRegression_Valg[[#This Row],[Uafhængig variabel ID]]),INDEX(DataTitel_liste,IF(LineærRegression_Valg[[#This Row],[Afhængig variabel ID]]=1,2,1))),$B$7)</f>
        <v>Eksempel 2 (interval)</v>
      </c>
      <c r="H2125" s="45">
        <f>_xlfn.AGGREGATE(2,5,LineærRegression_Valg[[#This Row],[Tabel ID]])</f>
        <v>1</v>
      </c>
    </row>
    <row r="2126" spans="1:8" x14ac:dyDescent="0.2">
      <c r="A2126">
        <f>ROW(LineærRegression_Valg[[#This Row],[Tabel ID]])-ROW(LineærRegression_Valg[[#Headers],[Tabel ID]])</f>
        <v>2116</v>
      </c>
      <c r="B2126" s="45">
        <f>ROUNDDOWN((LineærRegression_Valg[[#This Row],[Tabel ID]]-1)/$B$5,0)+1</f>
        <v>529</v>
      </c>
      <c r="C2126" s="45">
        <f t="shared" si="33"/>
        <v>4</v>
      </c>
      <c r="D2126" s="45" t="b">
        <f>LineærRegression_Valg[[#This Row],[Afhængig variabel ID]]&lt;&gt;LineærRegression_Valg[[#This Row],[Uafhængig variabel ID]]</f>
        <v>1</v>
      </c>
      <c r="E2126" s="45" t="b">
        <f>LineærRegression_Valg[[#This Row],[Afhængig variabel ID]]&lt;=$B$5</f>
        <v>0</v>
      </c>
      <c r="F2126" t="str" cm="1">
        <f t="array" ref="F2126">IF(LineærRegression_Valg[[#This Row],[Indenfor range]],INDEX(DataTitel_liste,LineærRegression_Valg[[#This Row],[Afhængig variabel ID]]),INDEX(DataTitel_liste,1))</f>
        <v>Eksempel 1 (interval)</v>
      </c>
      <c r="G2126" s="45" t="str" cm="1">
        <f t="array" ref="G2126">IF(LineærRegression_Valg[[#This Row],[Indenfor range]],IF(LineærRegression_Valg[[#This Row],[Intet overlap]],INDEX(DataTitel_liste,LineærRegression_Valg[[#This Row],[Uafhængig variabel ID]]),INDEX(DataTitel_liste,IF(LineærRegression_Valg[[#This Row],[Afhængig variabel ID]]=1,2,1))),$B$7)</f>
        <v>Eksempel 2 (interval)</v>
      </c>
      <c r="H2126" s="45">
        <f>_xlfn.AGGREGATE(2,5,LineærRegression_Valg[[#This Row],[Tabel ID]])</f>
        <v>1</v>
      </c>
    </row>
    <row r="2127" spans="1:8" x14ac:dyDescent="0.2">
      <c r="A2127">
        <f>ROW(LineærRegression_Valg[[#This Row],[Tabel ID]])-ROW(LineærRegression_Valg[[#Headers],[Tabel ID]])</f>
        <v>2117</v>
      </c>
      <c r="B2127" s="45">
        <f>ROUNDDOWN((LineærRegression_Valg[[#This Row],[Tabel ID]]-1)/$B$5,0)+1</f>
        <v>530</v>
      </c>
      <c r="C2127" s="45">
        <f t="shared" si="33"/>
        <v>1</v>
      </c>
      <c r="D2127" s="45" t="b">
        <f>LineærRegression_Valg[[#This Row],[Afhængig variabel ID]]&lt;&gt;LineærRegression_Valg[[#This Row],[Uafhængig variabel ID]]</f>
        <v>1</v>
      </c>
      <c r="E2127" s="45" t="b">
        <f>LineærRegression_Valg[[#This Row],[Afhængig variabel ID]]&lt;=$B$5</f>
        <v>0</v>
      </c>
      <c r="F2127" t="str" cm="1">
        <f t="array" ref="F2127">IF(LineærRegression_Valg[[#This Row],[Indenfor range]],INDEX(DataTitel_liste,LineærRegression_Valg[[#This Row],[Afhængig variabel ID]]),INDEX(DataTitel_liste,1))</f>
        <v>Eksempel 1 (interval)</v>
      </c>
      <c r="G2127" s="45" t="str" cm="1">
        <f t="array" ref="G2127">IF(LineærRegression_Valg[[#This Row],[Indenfor range]],IF(LineærRegression_Valg[[#This Row],[Intet overlap]],INDEX(DataTitel_liste,LineærRegression_Valg[[#This Row],[Uafhængig variabel ID]]),INDEX(DataTitel_liste,IF(LineærRegression_Valg[[#This Row],[Afhængig variabel ID]]=1,2,1))),$B$7)</f>
        <v>Eksempel 2 (interval)</v>
      </c>
      <c r="H2127" s="45">
        <f>_xlfn.AGGREGATE(2,5,LineærRegression_Valg[[#This Row],[Tabel ID]])</f>
        <v>1</v>
      </c>
    </row>
    <row r="2128" spans="1:8" x14ac:dyDescent="0.2">
      <c r="A2128">
        <f>ROW(LineærRegression_Valg[[#This Row],[Tabel ID]])-ROW(LineærRegression_Valg[[#Headers],[Tabel ID]])</f>
        <v>2118</v>
      </c>
      <c r="B2128" s="45">
        <f>ROUNDDOWN((LineærRegression_Valg[[#This Row],[Tabel ID]]-1)/$B$5,0)+1</f>
        <v>530</v>
      </c>
      <c r="C2128" s="45">
        <f t="shared" si="33"/>
        <v>2</v>
      </c>
      <c r="D2128" s="45" t="b">
        <f>LineærRegression_Valg[[#This Row],[Afhængig variabel ID]]&lt;&gt;LineærRegression_Valg[[#This Row],[Uafhængig variabel ID]]</f>
        <v>1</v>
      </c>
      <c r="E2128" s="45" t="b">
        <f>LineærRegression_Valg[[#This Row],[Afhængig variabel ID]]&lt;=$B$5</f>
        <v>0</v>
      </c>
      <c r="F2128" t="str" cm="1">
        <f t="array" ref="F2128">IF(LineærRegression_Valg[[#This Row],[Indenfor range]],INDEX(DataTitel_liste,LineærRegression_Valg[[#This Row],[Afhængig variabel ID]]),INDEX(DataTitel_liste,1))</f>
        <v>Eksempel 1 (interval)</v>
      </c>
      <c r="G2128" s="45" t="str" cm="1">
        <f t="array" ref="G2128">IF(LineærRegression_Valg[[#This Row],[Indenfor range]],IF(LineærRegression_Valg[[#This Row],[Intet overlap]],INDEX(DataTitel_liste,LineærRegression_Valg[[#This Row],[Uafhængig variabel ID]]),INDEX(DataTitel_liste,IF(LineærRegression_Valg[[#This Row],[Afhængig variabel ID]]=1,2,1))),$B$7)</f>
        <v>Eksempel 2 (interval)</v>
      </c>
      <c r="H2128" s="45">
        <f>_xlfn.AGGREGATE(2,5,LineærRegression_Valg[[#This Row],[Tabel ID]])</f>
        <v>1</v>
      </c>
    </row>
    <row r="2129" spans="1:8" x14ac:dyDescent="0.2">
      <c r="A2129">
        <f>ROW(LineærRegression_Valg[[#This Row],[Tabel ID]])-ROW(LineærRegression_Valg[[#Headers],[Tabel ID]])</f>
        <v>2119</v>
      </c>
      <c r="B2129" s="45">
        <f>ROUNDDOWN((LineærRegression_Valg[[#This Row],[Tabel ID]]-1)/$B$5,0)+1</f>
        <v>530</v>
      </c>
      <c r="C2129" s="45">
        <f t="shared" si="33"/>
        <v>3</v>
      </c>
      <c r="D2129" s="45" t="b">
        <f>LineærRegression_Valg[[#This Row],[Afhængig variabel ID]]&lt;&gt;LineærRegression_Valg[[#This Row],[Uafhængig variabel ID]]</f>
        <v>1</v>
      </c>
      <c r="E2129" s="45" t="b">
        <f>LineærRegression_Valg[[#This Row],[Afhængig variabel ID]]&lt;=$B$5</f>
        <v>0</v>
      </c>
      <c r="F2129" t="str" cm="1">
        <f t="array" ref="F2129">IF(LineærRegression_Valg[[#This Row],[Indenfor range]],INDEX(DataTitel_liste,LineærRegression_Valg[[#This Row],[Afhængig variabel ID]]),INDEX(DataTitel_liste,1))</f>
        <v>Eksempel 1 (interval)</v>
      </c>
      <c r="G2129" s="45" t="str" cm="1">
        <f t="array" ref="G2129">IF(LineærRegression_Valg[[#This Row],[Indenfor range]],IF(LineærRegression_Valg[[#This Row],[Intet overlap]],INDEX(DataTitel_liste,LineærRegression_Valg[[#This Row],[Uafhængig variabel ID]]),INDEX(DataTitel_liste,IF(LineærRegression_Valg[[#This Row],[Afhængig variabel ID]]=1,2,1))),$B$7)</f>
        <v>Eksempel 2 (interval)</v>
      </c>
      <c r="H2129" s="45">
        <f>_xlfn.AGGREGATE(2,5,LineærRegression_Valg[[#This Row],[Tabel ID]])</f>
        <v>1</v>
      </c>
    </row>
    <row r="2130" spans="1:8" x14ac:dyDescent="0.2">
      <c r="A2130">
        <f>ROW(LineærRegression_Valg[[#This Row],[Tabel ID]])-ROW(LineærRegression_Valg[[#Headers],[Tabel ID]])</f>
        <v>2120</v>
      </c>
      <c r="B2130" s="45">
        <f>ROUNDDOWN((LineærRegression_Valg[[#This Row],[Tabel ID]]-1)/$B$5,0)+1</f>
        <v>530</v>
      </c>
      <c r="C2130" s="45">
        <f t="shared" si="33"/>
        <v>4</v>
      </c>
      <c r="D2130" s="45" t="b">
        <f>LineærRegression_Valg[[#This Row],[Afhængig variabel ID]]&lt;&gt;LineærRegression_Valg[[#This Row],[Uafhængig variabel ID]]</f>
        <v>1</v>
      </c>
      <c r="E2130" s="45" t="b">
        <f>LineærRegression_Valg[[#This Row],[Afhængig variabel ID]]&lt;=$B$5</f>
        <v>0</v>
      </c>
      <c r="F2130" t="str" cm="1">
        <f t="array" ref="F2130">IF(LineærRegression_Valg[[#This Row],[Indenfor range]],INDEX(DataTitel_liste,LineærRegression_Valg[[#This Row],[Afhængig variabel ID]]),INDEX(DataTitel_liste,1))</f>
        <v>Eksempel 1 (interval)</v>
      </c>
      <c r="G2130" s="45" t="str" cm="1">
        <f t="array" ref="G2130">IF(LineærRegression_Valg[[#This Row],[Indenfor range]],IF(LineærRegression_Valg[[#This Row],[Intet overlap]],INDEX(DataTitel_liste,LineærRegression_Valg[[#This Row],[Uafhængig variabel ID]]),INDEX(DataTitel_liste,IF(LineærRegression_Valg[[#This Row],[Afhængig variabel ID]]=1,2,1))),$B$7)</f>
        <v>Eksempel 2 (interval)</v>
      </c>
      <c r="H2130" s="45">
        <f>_xlfn.AGGREGATE(2,5,LineærRegression_Valg[[#This Row],[Tabel ID]])</f>
        <v>1</v>
      </c>
    </row>
    <row r="2131" spans="1:8" x14ac:dyDescent="0.2">
      <c r="A2131">
        <f>ROW(LineærRegression_Valg[[#This Row],[Tabel ID]])-ROW(LineærRegression_Valg[[#Headers],[Tabel ID]])</f>
        <v>2121</v>
      </c>
      <c r="B2131" s="45">
        <f>ROUNDDOWN((LineærRegression_Valg[[#This Row],[Tabel ID]]-1)/$B$5,0)+1</f>
        <v>531</v>
      </c>
      <c r="C2131" s="45">
        <f t="shared" si="33"/>
        <v>1</v>
      </c>
      <c r="D2131" s="45" t="b">
        <f>LineærRegression_Valg[[#This Row],[Afhængig variabel ID]]&lt;&gt;LineærRegression_Valg[[#This Row],[Uafhængig variabel ID]]</f>
        <v>1</v>
      </c>
      <c r="E2131" s="45" t="b">
        <f>LineærRegression_Valg[[#This Row],[Afhængig variabel ID]]&lt;=$B$5</f>
        <v>0</v>
      </c>
      <c r="F2131" t="str" cm="1">
        <f t="array" ref="F2131">IF(LineærRegression_Valg[[#This Row],[Indenfor range]],INDEX(DataTitel_liste,LineærRegression_Valg[[#This Row],[Afhængig variabel ID]]),INDEX(DataTitel_liste,1))</f>
        <v>Eksempel 1 (interval)</v>
      </c>
      <c r="G2131" s="45" t="str" cm="1">
        <f t="array" ref="G2131">IF(LineærRegression_Valg[[#This Row],[Indenfor range]],IF(LineærRegression_Valg[[#This Row],[Intet overlap]],INDEX(DataTitel_liste,LineærRegression_Valg[[#This Row],[Uafhængig variabel ID]]),INDEX(DataTitel_liste,IF(LineærRegression_Valg[[#This Row],[Afhængig variabel ID]]=1,2,1))),$B$7)</f>
        <v>Eksempel 2 (interval)</v>
      </c>
      <c r="H2131" s="45">
        <f>_xlfn.AGGREGATE(2,5,LineærRegression_Valg[[#This Row],[Tabel ID]])</f>
        <v>1</v>
      </c>
    </row>
    <row r="2132" spans="1:8" x14ac:dyDescent="0.2">
      <c r="A2132">
        <f>ROW(LineærRegression_Valg[[#This Row],[Tabel ID]])-ROW(LineærRegression_Valg[[#Headers],[Tabel ID]])</f>
        <v>2122</v>
      </c>
      <c r="B2132" s="45">
        <f>ROUNDDOWN((LineærRegression_Valg[[#This Row],[Tabel ID]]-1)/$B$5,0)+1</f>
        <v>531</v>
      </c>
      <c r="C2132" s="45">
        <f t="shared" si="33"/>
        <v>2</v>
      </c>
      <c r="D2132" s="45" t="b">
        <f>LineærRegression_Valg[[#This Row],[Afhængig variabel ID]]&lt;&gt;LineærRegression_Valg[[#This Row],[Uafhængig variabel ID]]</f>
        <v>1</v>
      </c>
      <c r="E2132" s="45" t="b">
        <f>LineærRegression_Valg[[#This Row],[Afhængig variabel ID]]&lt;=$B$5</f>
        <v>0</v>
      </c>
      <c r="F2132" t="str" cm="1">
        <f t="array" ref="F2132">IF(LineærRegression_Valg[[#This Row],[Indenfor range]],INDEX(DataTitel_liste,LineærRegression_Valg[[#This Row],[Afhængig variabel ID]]),INDEX(DataTitel_liste,1))</f>
        <v>Eksempel 1 (interval)</v>
      </c>
      <c r="G2132" s="45" t="str" cm="1">
        <f t="array" ref="G2132">IF(LineærRegression_Valg[[#This Row],[Indenfor range]],IF(LineærRegression_Valg[[#This Row],[Intet overlap]],INDEX(DataTitel_liste,LineærRegression_Valg[[#This Row],[Uafhængig variabel ID]]),INDEX(DataTitel_liste,IF(LineærRegression_Valg[[#This Row],[Afhængig variabel ID]]=1,2,1))),$B$7)</f>
        <v>Eksempel 2 (interval)</v>
      </c>
      <c r="H2132" s="45">
        <f>_xlfn.AGGREGATE(2,5,LineærRegression_Valg[[#This Row],[Tabel ID]])</f>
        <v>1</v>
      </c>
    </row>
    <row r="2133" spans="1:8" x14ac:dyDescent="0.2">
      <c r="A2133">
        <f>ROW(LineærRegression_Valg[[#This Row],[Tabel ID]])-ROW(LineærRegression_Valg[[#Headers],[Tabel ID]])</f>
        <v>2123</v>
      </c>
      <c r="B2133" s="45">
        <f>ROUNDDOWN((LineærRegression_Valg[[#This Row],[Tabel ID]]-1)/$B$5,0)+1</f>
        <v>531</v>
      </c>
      <c r="C2133" s="45">
        <f t="shared" si="33"/>
        <v>3</v>
      </c>
      <c r="D2133" s="45" t="b">
        <f>LineærRegression_Valg[[#This Row],[Afhængig variabel ID]]&lt;&gt;LineærRegression_Valg[[#This Row],[Uafhængig variabel ID]]</f>
        <v>1</v>
      </c>
      <c r="E2133" s="45" t="b">
        <f>LineærRegression_Valg[[#This Row],[Afhængig variabel ID]]&lt;=$B$5</f>
        <v>0</v>
      </c>
      <c r="F2133" t="str" cm="1">
        <f t="array" ref="F2133">IF(LineærRegression_Valg[[#This Row],[Indenfor range]],INDEX(DataTitel_liste,LineærRegression_Valg[[#This Row],[Afhængig variabel ID]]),INDEX(DataTitel_liste,1))</f>
        <v>Eksempel 1 (interval)</v>
      </c>
      <c r="G2133" s="45" t="str" cm="1">
        <f t="array" ref="G2133">IF(LineærRegression_Valg[[#This Row],[Indenfor range]],IF(LineærRegression_Valg[[#This Row],[Intet overlap]],INDEX(DataTitel_liste,LineærRegression_Valg[[#This Row],[Uafhængig variabel ID]]),INDEX(DataTitel_liste,IF(LineærRegression_Valg[[#This Row],[Afhængig variabel ID]]=1,2,1))),$B$7)</f>
        <v>Eksempel 2 (interval)</v>
      </c>
      <c r="H2133" s="45">
        <f>_xlfn.AGGREGATE(2,5,LineærRegression_Valg[[#This Row],[Tabel ID]])</f>
        <v>1</v>
      </c>
    </row>
    <row r="2134" spans="1:8" x14ac:dyDescent="0.2">
      <c r="A2134">
        <f>ROW(LineærRegression_Valg[[#This Row],[Tabel ID]])-ROW(LineærRegression_Valg[[#Headers],[Tabel ID]])</f>
        <v>2124</v>
      </c>
      <c r="B2134" s="45">
        <f>ROUNDDOWN((LineærRegression_Valg[[#This Row],[Tabel ID]]-1)/$B$5,0)+1</f>
        <v>531</v>
      </c>
      <c r="C2134" s="45">
        <f t="shared" si="33"/>
        <v>4</v>
      </c>
      <c r="D2134" s="45" t="b">
        <f>LineærRegression_Valg[[#This Row],[Afhængig variabel ID]]&lt;&gt;LineærRegression_Valg[[#This Row],[Uafhængig variabel ID]]</f>
        <v>1</v>
      </c>
      <c r="E2134" s="45" t="b">
        <f>LineærRegression_Valg[[#This Row],[Afhængig variabel ID]]&lt;=$B$5</f>
        <v>0</v>
      </c>
      <c r="F2134" t="str" cm="1">
        <f t="array" ref="F2134">IF(LineærRegression_Valg[[#This Row],[Indenfor range]],INDEX(DataTitel_liste,LineærRegression_Valg[[#This Row],[Afhængig variabel ID]]),INDEX(DataTitel_liste,1))</f>
        <v>Eksempel 1 (interval)</v>
      </c>
      <c r="G2134" s="45" t="str" cm="1">
        <f t="array" ref="G2134">IF(LineærRegression_Valg[[#This Row],[Indenfor range]],IF(LineærRegression_Valg[[#This Row],[Intet overlap]],INDEX(DataTitel_liste,LineærRegression_Valg[[#This Row],[Uafhængig variabel ID]]),INDEX(DataTitel_liste,IF(LineærRegression_Valg[[#This Row],[Afhængig variabel ID]]=1,2,1))),$B$7)</f>
        <v>Eksempel 2 (interval)</v>
      </c>
      <c r="H2134" s="45">
        <f>_xlfn.AGGREGATE(2,5,LineærRegression_Valg[[#This Row],[Tabel ID]])</f>
        <v>1</v>
      </c>
    </row>
    <row r="2135" spans="1:8" x14ac:dyDescent="0.2">
      <c r="A2135">
        <f>ROW(LineærRegression_Valg[[#This Row],[Tabel ID]])-ROW(LineærRegression_Valg[[#Headers],[Tabel ID]])</f>
        <v>2125</v>
      </c>
      <c r="B2135" s="45">
        <f>ROUNDDOWN((LineærRegression_Valg[[#This Row],[Tabel ID]]-1)/$B$5,0)+1</f>
        <v>532</v>
      </c>
      <c r="C2135" s="45">
        <f t="shared" si="33"/>
        <v>1</v>
      </c>
      <c r="D2135" s="45" t="b">
        <f>LineærRegression_Valg[[#This Row],[Afhængig variabel ID]]&lt;&gt;LineærRegression_Valg[[#This Row],[Uafhængig variabel ID]]</f>
        <v>1</v>
      </c>
      <c r="E2135" s="45" t="b">
        <f>LineærRegression_Valg[[#This Row],[Afhængig variabel ID]]&lt;=$B$5</f>
        <v>0</v>
      </c>
      <c r="F2135" t="str" cm="1">
        <f t="array" ref="F2135">IF(LineærRegression_Valg[[#This Row],[Indenfor range]],INDEX(DataTitel_liste,LineærRegression_Valg[[#This Row],[Afhængig variabel ID]]),INDEX(DataTitel_liste,1))</f>
        <v>Eksempel 1 (interval)</v>
      </c>
      <c r="G2135" s="45" t="str" cm="1">
        <f t="array" ref="G2135">IF(LineærRegression_Valg[[#This Row],[Indenfor range]],IF(LineærRegression_Valg[[#This Row],[Intet overlap]],INDEX(DataTitel_liste,LineærRegression_Valg[[#This Row],[Uafhængig variabel ID]]),INDEX(DataTitel_liste,IF(LineærRegression_Valg[[#This Row],[Afhængig variabel ID]]=1,2,1))),$B$7)</f>
        <v>Eksempel 2 (interval)</v>
      </c>
      <c r="H2135" s="45">
        <f>_xlfn.AGGREGATE(2,5,LineærRegression_Valg[[#This Row],[Tabel ID]])</f>
        <v>1</v>
      </c>
    </row>
    <row r="2136" spans="1:8" x14ac:dyDescent="0.2">
      <c r="A2136">
        <f>ROW(LineærRegression_Valg[[#This Row],[Tabel ID]])-ROW(LineærRegression_Valg[[#Headers],[Tabel ID]])</f>
        <v>2126</v>
      </c>
      <c r="B2136" s="45">
        <f>ROUNDDOWN((LineærRegression_Valg[[#This Row],[Tabel ID]]-1)/$B$5,0)+1</f>
        <v>532</v>
      </c>
      <c r="C2136" s="45">
        <f t="shared" si="33"/>
        <v>2</v>
      </c>
      <c r="D2136" s="45" t="b">
        <f>LineærRegression_Valg[[#This Row],[Afhængig variabel ID]]&lt;&gt;LineærRegression_Valg[[#This Row],[Uafhængig variabel ID]]</f>
        <v>1</v>
      </c>
      <c r="E2136" s="45" t="b">
        <f>LineærRegression_Valg[[#This Row],[Afhængig variabel ID]]&lt;=$B$5</f>
        <v>0</v>
      </c>
      <c r="F2136" t="str" cm="1">
        <f t="array" ref="F2136">IF(LineærRegression_Valg[[#This Row],[Indenfor range]],INDEX(DataTitel_liste,LineærRegression_Valg[[#This Row],[Afhængig variabel ID]]),INDEX(DataTitel_liste,1))</f>
        <v>Eksempel 1 (interval)</v>
      </c>
      <c r="G2136" s="45" t="str" cm="1">
        <f t="array" ref="G2136">IF(LineærRegression_Valg[[#This Row],[Indenfor range]],IF(LineærRegression_Valg[[#This Row],[Intet overlap]],INDEX(DataTitel_liste,LineærRegression_Valg[[#This Row],[Uafhængig variabel ID]]),INDEX(DataTitel_liste,IF(LineærRegression_Valg[[#This Row],[Afhængig variabel ID]]=1,2,1))),$B$7)</f>
        <v>Eksempel 2 (interval)</v>
      </c>
      <c r="H2136" s="45">
        <f>_xlfn.AGGREGATE(2,5,LineærRegression_Valg[[#This Row],[Tabel ID]])</f>
        <v>1</v>
      </c>
    </row>
    <row r="2137" spans="1:8" x14ac:dyDescent="0.2">
      <c r="A2137">
        <f>ROW(LineærRegression_Valg[[#This Row],[Tabel ID]])-ROW(LineærRegression_Valg[[#Headers],[Tabel ID]])</f>
        <v>2127</v>
      </c>
      <c r="B2137" s="45">
        <f>ROUNDDOWN((LineærRegression_Valg[[#This Row],[Tabel ID]]-1)/$B$5,0)+1</f>
        <v>532</v>
      </c>
      <c r="C2137" s="45">
        <f t="shared" si="33"/>
        <v>3</v>
      </c>
      <c r="D2137" s="45" t="b">
        <f>LineærRegression_Valg[[#This Row],[Afhængig variabel ID]]&lt;&gt;LineærRegression_Valg[[#This Row],[Uafhængig variabel ID]]</f>
        <v>1</v>
      </c>
      <c r="E2137" s="45" t="b">
        <f>LineærRegression_Valg[[#This Row],[Afhængig variabel ID]]&lt;=$B$5</f>
        <v>0</v>
      </c>
      <c r="F2137" t="str" cm="1">
        <f t="array" ref="F2137">IF(LineærRegression_Valg[[#This Row],[Indenfor range]],INDEX(DataTitel_liste,LineærRegression_Valg[[#This Row],[Afhængig variabel ID]]),INDEX(DataTitel_liste,1))</f>
        <v>Eksempel 1 (interval)</v>
      </c>
      <c r="G2137" s="45" t="str" cm="1">
        <f t="array" ref="G2137">IF(LineærRegression_Valg[[#This Row],[Indenfor range]],IF(LineærRegression_Valg[[#This Row],[Intet overlap]],INDEX(DataTitel_liste,LineærRegression_Valg[[#This Row],[Uafhængig variabel ID]]),INDEX(DataTitel_liste,IF(LineærRegression_Valg[[#This Row],[Afhængig variabel ID]]=1,2,1))),$B$7)</f>
        <v>Eksempel 2 (interval)</v>
      </c>
      <c r="H2137" s="45">
        <f>_xlfn.AGGREGATE(2,5,LineærRegression_Valg[[#This Row],[Tabel ID]])</f>
        <v>1</v>
      </c>
    </row>
    <row r="2138" spans="1:8" x14ac:dyDescent="0.2">
      <c r="A2138">
        <f>ROW(LineærRegression_Valg[[#This Row],[Tabel ID]])-ROW(LineærRegression_Valg[[#Headers],[Tabel ID]])</f>
        <v>2128</v>
      </c>
      <c r="B2138" s="45">
        <f>ROUNDDOWN((LineærRegression_Valg[[#This Row],[Tabel ID]]-1)/$B$5,0)+1</f>
        <v>532</v>
      </c>
      <c r="C2138" s="45">
        <f t="shared" si="33"/>
        <v>4</v>
      </c>
      <c r="D2138" s="45" t="b">
        <f>LineærRegression_Valg[[#This Row],[Afhængig variabel ID]]&lt;&gt;LineærRegression_Valg[[#This Row],[Uafhængig variabel ID]]</f>
        <v>1</v>
      </c>
      <c r="E2138" s="45" t="b">
        <f>LineærRegression_Valg[[#This Row],[Afhængig variabel ID]]&lt;=$B$5</f>
        <v>0</v>
      </c>
      <c r="F2138" t="str" cm="1">
        <f t="array" ref="F2138">IF(LineærRegression_Valg[[#This Row],[Indenfor range]],INDEX(DataTitel_liste,LineærRegression_Valg[[#This Row],[Afhængig variabel ID]]),INDEX(DataTitel_liste,1))</f>
        <v>Eksempel 1 (interval)</v>
      </c>
      <c r="G2138" s="45" t="str" cm="1">
        <f t="array" ref="G2138">IF(LineærRegression_Valg[[#This Row],[Indenfor range]],IF(LineærRegression_Valg[[#This Row],[Intet overlap]],INDEX(DataTitel_liste,LineærRegression_Valg[[#This Row],[Uafhængig variabel ID]]),INDEX(DataTitel_liste,IF(LineærRegression_Valg[[#This Row],[Afhængig variabel ID]]=1,2,1))),$B$7)</f>
        <v>Eksempel 2 (interval)</v>
      </c>
      <c r="H2138" s="45">
        <f>_xlfn.AGGREGATE(2,5,LineærRegression_Valg[[#This Row],[Tabel ID]])</f>
        <v>1</v>
      </c>
    </row>
    <row r="2139" spans="1:8" x14ac:dyDescent="0.2">
      <c r="A2139">
        <f>ROW(LineærRegression_Valg[[#This Row],[Tabel ID]])-ROW(LineærRegression_Valg[[#Headers],[Tabel ID]])</f>
        <v>2129</v>
      </c>
      <c r="B2139" s="45">
        <f>ROUNDDOWN((LineærRegression_Valg[[#This Row],[Tabel ID]]-1)/$B$5,0)+1</f>
        <v>533</v>
      </c>
      <c r="C2139" s="45">
        <f t="shared" si="33"/>
        <v>1</v>
      </c>
      <c r="D2139" s="45" t="b">
        <f>LineærRegression_Valg[[#This Row],[Afhængig variabel ID]]&lt;&gt;LineærRegression_Valg[[#This Row],[Uafhængig variabel ID]]</f>
        <v>1</v>
      </c>
      <c r="E2139" s="45" t="b">
        <f>LineærRegression_Valg[[#This Row],[Afhængig variabel ID]]&lt;=$B$5</f>
        <v>0</v>
      </c>
      <c r="F2139" t="str" cm="1">
        <f t="array" ref="F2139">IF(LineærRegression_Valg[[#This Row],[Indenfor range]],INDEX(DataTitel_liste,LineærRegression_Valg[[#This Row],[Afhængig variabel ID]]),INDEX(DataTitel_liste,1))</f>
        <v>Eksempel 1 (interval)</v>
      </c>
      <c r="G2139" s="45" t="str" cm="1">
        <f t="array" ref="G2139">IF(LineærRegression_Valg[[#This Row],[Indenfor range]],IF(LineærRegression_Valg[[#This Row],[Intet overlap]],INDEX(DataTitel_liste,LineærRegression_Valg[[#This Row],[Uafhængig variabel ID]]),INDEX(DataTitel_liste,IF(LineærRegression_Valg[[#This Row],[Afhængig variabel ID]]=1,2,1))),$B$7)</f>
        <v>Eksempel 2 (interval)</v>
      </c>
      <c r="H2139" s="45">
        <f>_xlfn.AGGREGATE(2,5,LineærRegression_Valg[[#This Row],[Tabel ID]])</f>
        <v>1</v>
      </c>
    </row>
    <row r="2140" spans="1:8" x14ac:dyDescent="0.2">
      <c r="A2140">
        <f>ROW(LineærRegression_Valg[[#This Row],[Tabel ID]])-ROW(LineærRegression_Valg[[#Headers],[Tabel ID]])</f>
        <v>2130</v>
      </c>
      <c r="B2140" s="45">
        <f>ROUNDDOWN((LineærRegression_Valg[[#This Row],[Tabel ID]]-1)/$B$5,0)+1</f>
        <v>533</v>
      </c>
      <c r="C2140" s="45">
        <f t="shared" si="33"/>
        <v>2</v>
      </c>
      <c r="D2140" s="45" t="b">
        <f>LineærRegression_Valg[[#This Row],[Afhængig variabel ID]]&lt;&gt;LineærRegression_Valg[[#This Row],[Uafhængig variabel ID]]</f>
        <v>1</v>
      </c>
      <c r="E2140" s="45" t="b">
        <f>LineærRegression_Valg[[#This Row],[Afhængig variabel ID]]&lt;=$B$5</f>
        <v>0</v>
      </c>
      <c r="F2140" t="str" cm="1">
        <f t="array" ref="F2140">IF(LineærRegression_Valg[[#This Row],[Indenfor range]],INDEX(DataTitel_liste,LineærRegression_Valg[[#This Row],[Afhængig variabel ID]]),INDEX(DataTitel_liste,1))</f>
        <v>Eksempel 1 (interval)</v>
      </c>
      <c r="G2140" s="45" t="str" cm="1">
        <f t="array" ref="G2140">IF(LineærRegression_Valg[[#This Row],[Indenfor range]],IF(LineærRegression_Valg[[#This Row],[Intet overlap]],INDEX(DataTitel_liste,LineærRegression_Valg[[#This Row],[Uafhængig variabel ID]]),INDEX(DataTitel_liste,IF(LineærRegression_Valg[[#This Row],[Afhængig variabel ID]]=1,2,1))),$B$7)</f>
        <v>Eksempel 2 (interval)</v>
      </c>
      <c r="H2140" s="45">
        <f>_xlfn.AGGREGATE(2,5,LineærRegression_Valg[[#This Row],[Tabel ID]])</f>
        <v>1</v>
      </c>
    </row>
    <row r="2141" spans="1:8" x14ac:dyDescent="0.2">
      <c r="A2141">
        <f>ROW(LineærRegression_Valg[[#This Row],[Tabel ID]])-ROW(LineærRegression_Valg[[#Headers],[Tabel ID]])</f>
        <v>2131</v>
      </c>
      <c r="B2141" s="45">
        <f>ROUNDDOWN((LineærRegression_Valg[[#This Row],[Tabel ID]]-1)/$B$5,0)+1</f>
        <v>533</v>
      </c>
      <c r="C2141" s="45">
        <f t="shared" si="33"/>
        <v>3</v>
      </c>
      <c r="D2141" s="45" t="b">
        <f>LineærRegression_Valg[[#This Row],[Afhængig variabel ID]]&lt;&gt;LineærRegression_Valg[[#This Row],[Uafhængig variabel ID]]</f>
        <v>1</v>
      </c>
      <c r="E2141" s="45" t="b">
        <f>LineærRegression_Valg[[#This Row],[Afhængig variabel ID]]&lt;=$B$5</f>
        <v>0</v>
      </c>
      <c r="F2141" t="str" cm="1">
        <f t="array" ref="F2141">IF(LineærRegression_Valg[[#This Row],[Indenfor range]],INDEX(DataTitel_liste,LineærRegression_Valg[[#This Row],[Afhængig variabel ID]]),INDEX(DataTitel_liste,1))</f>
        <v>Eksempel 1 (interval)</v>
      </c>
      <c r="G2141" s="45" t="str" cm="1">
        <f t="array" ref="G2141">IF(LineærRegression_Valg[[#This Row],[Indenfor range]],IF(LineærRegression_Valg[[#This Row],[Intet overlap]],INDEX(DataTitel_liste,LineærRegression_Valg[[#This Row],[Uafhængig variabel ID]]),INDEX(DataTitel_liste,IF(LineærRegression_Valg[[#This Row],[Afhængig variabel ID]]=1,2,1))),$B$7)</f>
        <v>Eksempel 2 (interval)</v>
      </c>
      <c r="H2141" s="45">
        <f>_xlfn.AGGREGATE(2,5,LineærRegression_Valg[[#This Row],[Tabel ID]])</f>
        <v>1</v>
      </c>
    </row>
    <row r="2142" spans="1:8" x14ac:dyDescent="0.2">
      <c r="A2142">
        <f>ROW(LineærRegression_Valg[[#This Row],[Tabel ID]])-ROW(LineærRegression_Valg[[#Headers],[Tabel ID]])</f>
        <v>2132</v>
      </c>
      <c r="B2142" s="45">
        <f>ROUNDDOWN((LineærRegression_Valg[[#This Row],[Tabel ID]]-1)/$B$5,0)+1</f>
        <v>533</v>
      </c>
      <c r="C2142" s="45">
        <f t="shared" si="33"/>
        <v>4</v>
      </c>
      <c r="D2142" s="45" t="b">
        <f>LineærRegression_Valg[[#This Row],[Afhængig variabel ID]]&lt;&gt;LineærRegression_Valg[[#This Row],[Uafhængig variabel ID]]</f>
        <v>1</v>
      </c>
      <c r="E2142" s="45" t="b">
        <f>LineærRegression_Valg[[#This Row],[Afhængig variabel ID]]&lt;=$B$5</f>
        <v>0</v>
      </c>
      <c r="F2142" t="str" cm="1">
        <f t="array" ref="F2142">IF(LineærRegression_Valg[[#This Row],[Indenfor range]],INDEX(DataTitel_liste,LineærRegression_Valg[[#This Row],[Afhængig variabel ID]]),INDEX(DataTitel_liste,1))</f>
        <v>Eksempel 1 (interval)</v>
      </c>
      <c r="G2142" s="45" t="str" cm="1">
        <f t="array" ref="G2142">IF(LineærRegression_Valg[[#This Row],[Indenfor range]],IF(LineærRegression_Valg[[#This Row],[Intet overlap]],INDEX(DataTitel_liste,LineærRegression_Valg[[#This Row],[Uafhængig variabel ID]]),INDEX(DataTitel_liste,IF(LineærRegression_Valg[[#This Row],[Afhængig variabel ID]]=1,2,1))),$B$7)</f>
        <v>Eksempel 2 (interval)</v>
      </c>
      <c r="H2142" s="45">
        <f>_xlfn.AGGREGATE(2,5,LineærRegression_Valg[[#This Row],[Tabel ID]])</f>
        <v>1</v>
      </c>
    </row>
    <row r="2143" spans="1:8" x14ac:dyDescent="0.2">
      <c r="A2143">
        <f>ROW(LineærRegression_Valg[[#This Row],[Tabel ID]])-ROW(LineærRegression_Valg[[#Headers],[Tabel ID]])</f>
        <v>2133</v>
      </c>
      <c r="B2143" s="45">
        <f>ROUNDDOWN((LineærRegression_Valg[[#This Row],[Tabel ID]]-1)/$B$5,0)+1</f>
        <v>534</v>
      </c>
      <c r="C2143" s="45">
        <f t="shared" si="33"/>
        <v>1</v>
      </c>
      <c r="D2143" s="45" t="b">
        <f>LineærRegression_Valg[[#This Row],[Afhængig variabel ID]]&lt;&gt;LineærRegression_Valg[[#This Row],[Uafhængig variabel ID]]</f>
        <v>1</v>
      </c>
      <c r="E2143" s="45" t="b">
        <f>LineærRegression_Valg[[#This Row],[Afhængig variabel ID]]&lt;=$B$5</f>
        <v>0</v>
      </c>
      <c r="F2143" t="str" cm="1">
        <f t="array" ref="F2143">IF(LineærRegression_Valg[[#This Row],[Indenfor range]],INDEX(DataTitel_liste,LineærRegression_Valg[[#This Row],[Afhængig variabel ID]]),INDEX(DataTitel_liste,1))</f>
        <v>Eksempel 1 (interval)</v>
      </c>
      <c r="G2143" s="45" t="str" cm="1">
        <f t="array" ref="G2143">IF(LineærRegression_Valg[[#This Row],[Indenfor range]],IF(LineærRegression_Valg[[#This Row],[Intet overlap]],INDEX(DataTitel_liste,LineærRegression_Valg[[#This Row],[Uafhængig variabel ID]]),INDEX(DataTitel_liste,IF(LineærRegression_Valg[[#This Row],[Afhængig variabel ID]]=1,2,1))),$B$7)</f>
        <v>Eksempel 2 (interval)</v>
      </c>
      <c r="H2143" s="45">
        <f>_xlfn.AGGREGATE(2,5,LineærRegression_Valg[[#This Row],[Tabel ID]])</f>
        <v>1</v>
      </c>
    </row>
    <row r="2144" spans="1:8" x14ac:dyDescent="0.2">
      <c r="A2144">
        <f>ROW(LineærRegression_Valg[[#This Row],[Tabel ID]])-ROW(LineærRegression_Valg[[#Headers],[Tabel ID]])</f>
        <v>2134</v>
      </c>
      <c r="B2144" s="45">
        <f>ROUNDDOWN((LineærRegression_Valg[[#This Row],[Tabel ID]]-1)/$B$5,0)+1</f>
        <v>534</v>
      </c>
      <c r="C2144" s="45">
        <f t="shared" si="33"/>
        <v>2</v>
      </c>
      <c r="D2144" s="45" t="b">
        <f>LineærRegression_Valg[[#This Row],[Afhængig variabel ID]]&lt;&gt;LineærRegression_Valg[[#This Row],[Uafhængig variabel ID]]</f>
        <v>1</v>
      </c>
      <c r="E2144" s="45" t="b">
        <f>LineærRegression_Valg[[#This Row],[Afhængig variabel ID]]&lt;=$B$5</f>
        <v>0</v>
      </c>
      <c r="F2144" t="str" cm="1">
        <f t="array" ref="F2144">IF(LineærRegression_Valg[[#This Row],[Indenfor range]],INDEX(DataTitel_liste,LineærRegression_Valg[[#This Row],[Afhængig variabel ID]]),INDEX(DataTitel_liste,1))</f>
        <v>Eksempel 1 (interval)</v>
      </c>
      <c r="G2144" s="45" t="str" cm="1">
        <f t="array" ref="G2144">IF(LineærRegression_Valg[[#This Row],[Indenfor range]],IF(LineærRegression_Valg[[#This Row],[Intet overlap]],INDEX(DataTitel_liste,LineærRegression_Valg[[#This Row],[Uafhængig variabel ID]]),INDEX(DataTitel_liste,IF(LineærRegression_Valg[[#This Row],[Afhængig variabel ID]]=1,2,1))),$B$7)</f>
        <v>Eksempel 2 (interval)</v>
      </c>
      <c r="H2144" s="45">
        <f>_xlfn.AGGREGATE(2,5,LineærRegression_Valg[[#This Row],[Tabel ID]])</f>
        <v>1</v>
      </c>
    </row>
    <row r="2145" spans="1:8" x14ac:dyDescent="0.2">
      <c r="A2145">
        <f>ROW(LineærRegression_Valg[[#This Row],[Tabel ID]])-ROW(LineærRegression_Valg[[#Headers],[Tabel ID]])</f>
        <v>2135</v>
      </c>
      <c r="B2145" s="45">
        <f>ROUNDDOWN((LineærRegression_Valg[[#This Row],[Tabel ID]]-1)/$B$5,0)+1</f>
        <v>534</v>
      </c>
      <c r="C2145" s="45">
        <f t="shared" si="33"/>
        <v>3</v>
      </c>
      <c r="D2145" s="45" t="b">
        <f>LineærRegression_Valg[[#This Row],[Afhængig variabel ID]]&lt;&gt;LineærRegression_Valg[[#This Row],[Uafhængig variabel ID]]</f>
        <v>1</v>
      </c>
      <c r="E2145" s="45" t="b">
        <f>LineærRegression_Valg[[#This Row],[Afhængig variabel ID]]&lt;=$B$5</f>
        <v>0</v>
      </c>
      <c r="F2145" t="str" cm="1">
        <f t="array" ref="F2145">IF(LineærRegression_Valg[[#This Row],[Indenfor range]],INDEX(DataTitel_liste,LineærRegression_Valg[[#This Row],[Afhængig variabel ID]]),INDEX(DataTitel_liste,1))</f>
        <v>Eksempel 1 (interval)</v>
      </c>
      <c r="G2145" s="45" t="str" cm="1">
        <f t="array" ref="G2145">IF(LineærRegression_Valg[[#This Row],[Indenfor range]],IF(LineærRegression_Valg[[#This Row],[Intet overlap]],INDEX(DataTitel_liste,LineærRegression_Valg[[#This Row],[Uafhængig variabel ID]]),INDEX(DataTitel_liste,IF(LineærRegression_Valg[[#This Row],[Afhængig variabel ID]]=1,2,1))),$B$7)</f>
        <v>Eksempel 2 (interval)</v>
      </c>
      <c r="H2145" s="45">
        <f>_xlfn.AGGREGATE(2,5,LineærRegression_Valg[[#This Row],[Tabel ID]])</f>
        <v>1</v>
      </c>
    </row>
    <row r="2146" spans="1:8" x14ac:dyDescent="0.2">
      <c r="A2146">
        <f>ROW(LineærRegression_Valg[[#This Row],[Tabel ID]])-ROW(LineærRegression_Valg[[#Headers],[Tabel ID]])</f>
        <v>2136</v>
      </c>
      <c r="B2146" s="45">
        <f>ROUNDDOWN((LineærRegression_Valg[[#This Row],[Tabel ID]]-1)/$B$5,0)+1</f>
        <v>534</v>
      </c>
      <c r="C2146" s="45">
        <f t="shared" si="33"/>
        <v>4</v>
      </c>
      <c r="D2146" s="45" t="b">
        <f>LineærRegression_Valg[[#This Row],[Afhængig variabel ID]]&lt;&gt;LineærRegression_Valg[[#This Row],[Uafhængig variabel ID]]</f>
        <v>1</v>
      </c>
      <c r="E2146" s="45" t="b">
        <f>LineærRegression_Valg[[#This Row],[Afhængig variabel ID]]&lt;=$B$5</f>
        <v>0</v>
      </c>
      <c r="F2146" t="str" cm="1">
        <f t="array" ref="F2146">IF(LineærRegression_Valg[[#This Row],[Indenfor range]],INDEX(DataTitel_liste,LineærRegression_Valg[[#This Row],[Afhængig variabel ID]]),INDEX(DataTitel_liste,1))</f>
        <v>Eksempel 1 (interval)</v>
      </c>
      <c r="G2146" s="45" t="str" cm="1">
        <f t="array" ref="G2146">IF(LineærRegression_Valg[[#This Row],[Indenfor range]],IF(LineærRegression_Valg[[#This Row],[Intet overlap]],INDEX(DataTitel_liste,LineærRegression_Valg[[#This Row],[Uafhængig variabel ID]]),INDEX(DataTitel_liste,IF(LineærRegression_Valg[[#This Row],[Afhængig variabel ID]]=1,2,1))),$B$7)</f>
        <v>Eksempel 2 (interval)</v>
      </c>
      <c r="H2146" s="45">
        <f>_xlfn.AGGREGATE(2,5,LineærRegression_Valg[[#This Row],[Tabel ID]])</f>
        <v>1</v>
      </c>
    </row>
    <row r="2147" spans="1:8" x14ac:dyDescent="0.2">
      <c r="A2147">
        <f>ROW(LineærRegression_Valg[[#This Row],[Tabel ID]])-ROW(LineærRegression_Valg[[#Headers],[Tabel ID]])</f>
        <v>2137</v>
      </c>
      <c r="B2147" s="45">
        <f>ROUNDDOWN((LineærRegression_Valg[[#This Row],[Tabel ID]]-1)/$B$5,0)+1</f>
        <v>535</v>
      </c>
      <c r="C2147" s="45">
        <f t="shared" si="33"/>
        <v>1</v>
      </c>
      <c r="D2147" s="45" t="b">
        <f>LineærRegression_Valg[[#This Row],[Afhængig variabel ID]]&lt;&gt;LineærRegression_Valg[[#This Row],[Uafhængig variabel ID]]</f>
        <v>1</v>
      </c>
      <c r="E2147" s="45" t="b">
        <f>LineærRegression_Valg[[#This Row],[Afhængig variabel ID]]&lt;=$B$5</f>
        <v>0</v>
      </c>
      <c r="F2147" t="str" cm="1">
        <f t="array" ref="F2147">IF(LineærRegression_Valg[[#This Row],[Indenfor range]],INDEX(DataTitel_liste,LineærRegression_Valg[[#This Row],[Afhængig variabel ID]]),INDEX(DataTitel_liste,1))</f>
        <v>Eksempel 1 (interval)</v>
      </c>
      <c r="G2147" s="45" t="str" cm="1">
        <f t="array" ref="G2147">IF(LineærRegression_Valg[[#This Row],[Indenfor range]],IF(LineærRegression_Valg[[#This Row],[Intet overlap]],INDEX(DataTitel_liste,LineærRegression_Valg[[#This Row],[Uafhængig variabel ID]]),INDEX(DataTitel_liste,IF(LineærRegression_Valg[[#This Row],[Afhængig variabel ID]]=1,2,1))),$B$7)</f>
        <v>Eksempel 2 (interval)</v>
      </c>
      <c r="H2147" s="45">
        <f>_xlfn.AGGREGATE(2,5,LineærRegression_Valg[[#This Row],[Tabel ID]])</f>
        <v>1</v>
      </c>
    </row>
    <row r="2148" spans="1:8" x14ac:dyDescent="0.2">
      <c r="A2148">
        <f>ROW(LineærRegression_Valg[[#This Row],[Tabel ID]])-ROW(LineærRegression_Valg[[#Headers],[Tabel ID]])</f>
        <v>2138</v>
      </c>
      <c r="B2148" s="45">
        <f>ROUNDDOWN((LineærRegression_Valg[[#This Row],[Tabel ID]]-1)/$B$5,0)+1</f>
        <v>535</v>
      </c>
      <c r="C2148" s="45">
        <f t="shared" si="33"/>
        <v>2</v>
      </c>
      <c r="D2148" s="45" t="b">
        <f>LineærRegression_Valg[[#This Row],[Afhængig variabel ID]]&lt;&gt;LineærRegression_Valg[[#This Row],[Uafhængig variabel ID]]</f>
        <v>1</v>
      </c>
      <c r="E2148" s="45" t="b">
        <f>LineærRegression_Valg[[#This Row],[Afhængig variabel ID]]&lt;=$B$5</f>
        <v>0</v>
      </c>
      <c r="F2148" t="str" cm="1">
        <f t="array" ref="F2148">IF(LineærRegression_Valg[[#This Row],[Indenfor range]],INDEX(DataTitel_liste,LineærRegression_Valg[[#This Row],[Afhængig variabel ID]]),INDEX(DataTitel_liste,1))</f>
        <v>Eksempel 1 (interval)</v>
      </c>
      <c r="G2148" s="45" t="str" cm="1">
        <f t="array" ref="G2148">IF(LineærRegression_Valg[[#This Row],[Indenfor range]],IF(LineærRegression_Valg[[#This Row],[Intet overlap]],INDEX(DataTitel_liste,LineærRegression_Valg[[#This Row],[Uafhængig variabel ID]]),INDEX(DataTitel_liste,IF(LineærRegression_Valg[[#This Row],[Afhængig variabel ID]]=1,2,1))),$B$7)</f>
        <v>Eksempel 2 (interval)</v>
      </c>
      <c r="H2148" s="45">
        <f>_xlfn.AGGREGATE(2,5,LineærRegression_Valg[[#This Row],[Tabel ID]])</f>
        <v>1</v>
      </c>
    </row>
    <row r="2149" spans="1:8" x14ac:dyDescent="0.2">
      <c r="A2149">
        <f>ROW(LineærRegression_Valg[[#This Row],[Tabel ID]])-ROW(LineærRegression_Valg[[#Headers],[Tabel ID]])</f>
        <v>2139</v>
      </c>
      <c r="B2149" s="45">
        <f>ROUNDDOWN((LineærRegression_Valg[[#This Row],[Tabel ID]]-1)/$B$5,0)+1</f>
        <v>535</v>
      </c>
      <c r="C2149" s="45">
        <f t="shared" si="33"/>
        <v>3</v>
      </c>
      <c r="D2149" s="45" t="b">
        <f>LineærRegression_Valg[[#This Row],[Afhængig variabel ID]]&lt;&gt;LineærRegression_Valg[[#This Row],[Uafhængig variabel ID]]</f>
        <v>1</v>
      </c>
      <c r="E2149" s="45" t="b">
        <f>LineærRegression_Valg[[#This Row],[Afhængig variabel ID]]&lt;=$B$5</f>
        <v>0</v>
      </c>
      <c r="F2149" t="str" cm="1">
        <f t="array" ref="F2149">IF(LineærRegression_Valg[[#This Row],[Indenfor range]],INDEX(DataTitel_liste,LineærRegression_Valg[[#This Row],[Afhængig variabel ID]]),INDEX(DataTitel_liste,1))</f>
        <v>Eksempel 1 (interval)</v>
      </c>
      <c r="G2149" s="45" t="str" cm="1">
        <f t="array" ref="G2149">IF(LineærRegression_Valg[[#This Row],[Indenfor range]],IF(LineærRegression_Valg[[#This Row],[Intet overlap]],INDEX(DataTitel_liste,LineærRegression_Valg[[#This Row],[Uafhængig variabel ID]]),INDEX(DataTitel_liste,IF(LineærRegression_Valg[[#This Row],[Afhængig variabel ID]]=1,2,1))),$B$7)</f>
        <v>Eksempel 2 (interval)</v>
      </c>
      <c r="H2149" s="45">
        <f>_xlfn.AGGREGATE(2,5,LineærRegression_Valg[[#This Row],[Tabel ID]])</f>
        <v>1</v>
      </c>
    </row>
    <row r="2150" spans="1:8" x14ac:dyDescent="0.2">
      <c r="A2150">
        <f>ROW(LineærRegression_Valg[[#This Row],[Tabel ID]])-ROW(LineærRegression_Valg[[#Headers],[Tabel ID]])</f>
        <v>2140</v>
      </c>
      <c r="B2150" s="45">
        <f>ROUNDDOWN((LineærRegression_Valg[[#This Row],[Tabel ID]]-1)/$B$5,0)+1</f>
        <v>535</v>
      </c>
      <c r="C2150" s="45">
        <f t="shared" si="33"/>
        <v>4</v>
      </c>
      <c r="D2150" s="45" t="b">
        <f>LineærRegression_Valg[[#This Row],[Afhængig variabel ID]]&lt;&gt;LineærRegression_Valg[[#This Row],[Uafhængig variabel ID]]</f>
        <v>1</v>
      </c>
      <c r="E2150" s="45" t="b">
        <f>LineærRegression_Valg[[#This Row],[Afhængig variabel ID]]&lt;=$B$5</f>
        <v>0</v>
      </c>
      <c r="F2150" t="str" cm="1">
        <f t="array" ref="F2150">IF(LineærRegression_Valg[[#This Row],[Indenfor range]],INDEX(DataTitel_liste,LineærRegression_Valg[[#This Row],[Afhængig variabel ID]]),INDEX(DataTitel_liste,1))</f>
        <v>Eksempel 1 (interval)</v>
      </c>
      <c r="G2150" s="45" t="str" cm="1">
        <f t="array" ref="G2150">IF(LineærRegression_Valg[[#This Row],[Indenfor range]],IF(LineærRegression_Valg[[#This Row],[Intet overlap]],INDEX(DataTitel_liste,LineærRegression_Valg[[#This Row],[Uafhængig variabel ID]]),INDEX(DataTitel_liste,IF(LineærRegression_Valg[[#This Row],[Afhængig variabel ID]]=1,2,1))),$B$7)</f>
        <v>Eksempel 2 (interval)</v>
      </c>
      <c r="H2150" s="45">
        <f>_xlfn.AGGREGATE(2,5,LineærRegression_Valg[[#This Row],[Tabel ID]])</f>
        <v>1</v>
      </c>
    </row>
    <row r="2151" spans="1:8" x14ac:dyDescent="0.2">
      <c r="A2151">
        <f>ROW(LineærRegression_Valg[[#This Row],[Tabel ID]])-ROW(LineærRegression_Valg[[#Headers],[Tabel ID]])</f>
        <v>2141</v>
      </c>
      <c r="B2151" s="45">
        <f>ROUNDDOWN((LineærRegression_Valg[[#This Row],[Tabel ID]]-1)/$B$5,0)+1</f>
        <v>536</v>
      </c>
      <c r="C2151" s="45">
        <f t="shared" si="33"/>
        <v>1</v>
      </c>
      <c r="D2151" s="45" t="b">
        <f>LineærRegression_Valg[[#This Row],[Afhængig variabel ID]]&lt;&gt;LineærRegression_Valg[[#This Row],[Uafhængig variabel ID]]</f>
        <v>1</v>
      </c>
      <c r="E2151" s="45" t="b">
        <f>LineærRegression_Valg[[#This Row],[Afhængig variabel ID]]&lt;=$B$5</f>
        <v>0</v>
      </c>
      <c r="F2151" t="str" cm="1">
        <f t="array" ref="F2151">IF(LineærRegression_Valg[[#This Row],[Indenfor range]],INDEX(DataTitel_liste,LineærRegression_Valg[[#This Row],[Afhængig variabel ID]]),INDEX(DataTitel_liste,1))</f>
        <v>Eksempel 1 (interval)</v>
      </c>
      <c r="G2151" s="45" t="str" cm="1">
        <f t="array" ref="G2151">IF(LineærRegression_Valg[[#This Row],[Indenfor range]],IF(LineærRegression_Valg[[#This Row],[Intet overlap]],INDEX(DataTitel_liste,LineærRegression_Valg[[#This Row],[Uafhængig variabel ID]]),INDEX(DataTitel_liste,IF(LineærRegression_Valg[[#This Row],[Afhængig variabel ID]]=1,2,1))),$B$7)</f>
        <v>Eksempel 2 (interval)</v>
      </c>
      <c r="H2151" s="45">
        <f>_xlfn.AGGREGATE(2,5,LineærRegression_Valg[[#This Row],[Tabel ID]])</f>
        <v>1</v>
      </c>
    </row>
    <row r="2152" spans="1:8" x14ac:dyDescent="0.2">
      <c r="A2152">
        <f>ROW(LineærRegression_Valg[[#This Row],[Tabel ID]])-ROW(LineærRegression_Valg[[#Headers],[Tabel ID]])</f>
        <v>2142</v>
      </c>
      <c r="B2152" s="45">
        <f>ROUNDDOWN((LineærRegression_Valg[[#This Row],[Tabel ID]]-1)/$B$5,0)+1</f>
        <v>536</v>
      </c>
      <c r="C2152" s="45">
        <f t="shared" si="33"/>
        <v>2</v>
      </c>
      <c r="D2152" s="45" t="b">
        <f>LineærRegression_Valg[[#This Row],[Afhængig variabel ID]]&lt;&gt;LineærRegression_Valg[[#This Row],[Uafhængig variabel ID]]</f>
        <v>1</v>
      </c>
      <c r="E2152" s="45" t="b">
        <f>LineærRegression_Valg[[#This Row],[Afhængig variabel ID]]&lt;=$B$5</f>
        <v>0</v>
      </c>
      <c r="F2152" t="str" cm="1">
        <f t="array" ref="F2152">IF(LineærRegression_Valg[[#This Row],[Indenfor range]],INDEX(DataTitel_liste,LineærRegression_Valg[[#This Row],[Afhængig variabel ID]]),INDEX(DataTitel_liste,1))</f>
        <v>Eksempel 1 (interval)</v>
      </c>
      <c r="G2152" s="45" t="str" cm="1">
        <f t="array" ref="G2152">IF(LineærRegression_Valg[[#This Row],[Indenfor range]],IF(LineærRegression_Valg[[#This Row],[Intet overlap]],INDEX(DataTitel_liste,LineærRegression_Valg[[#This Row],[Uafhængig variabel ID]]),INDEX(DataTitel_liste,IF(LineærRegression_Valg[[#This Row],[Afhængig variabel ID]]=1,2,1))),$B$7)</f>
        <v>Eksempel 2 (interval)</v>
      </c>
      <c r="H2152" s="45">
        <f>_xlfn.AGGREGATE(2,5,LineærRegression_Valg[[#This Row],[Tabel ID]])</f>
        <v>1</v>
      </c>
    </row>
    <row r="2153" spans="1:8" x14ac:dyDescent="0.2">
      <c r="A2153">
        <f>ROW(LineærRegression_Valg[[#This Row],[Tabel ID]])-ROW(LineærRegression_Valg[[#Headers],[Tabel ID]])</f>
        <v>2143</v>
      </c>
      <c r="B2153" s="45">
        <f>ROUNDDOWN((LineærRegression_Valg[[#This Row],[Tabel ID]]-1)/$B$5,0)+1</f>
        <v>536</v>
      </c>
      <c r="C2153" s="45">
        <f t="shared" si="33"/>
        <v>3</v>
      </c>
      <c r="D2153" s="45" t="b">
        <f>LineærRegression_Valg[[#This Row],[Afhængig variabel ID]]&lt;&gt;LineærRegression_Valg[[#This Row],[Uafhængig variabel ID]]</f>
        <v>1</v>
      </c>
      <c r="E2153" s="45" t="b">
        <f>LineærRegression_Valg[[#This Row],[Afhængig variabel ID]]&lt;=$B$5</f>
        <v>0</v>
      </c>
      <c r="F2153" t="str" cm="1">
        <f t="array" ref="F2153">IF(LineærRegression_Valg[[#This Row],[Indenfor range]],INDEX(DataTitel_liste,LineærRegression_Valg[[#This Row],[Afhængig variabel ID]]),INDEX(DataTitel_liste,1))</f>
        <v>Eksempel 1 (interval)</v>
      </c>
      <c r="G2153" s="45" t="str" cm="1">
        <f t="array" ref="G2153">IF(LineærRegression_Valg[[#This Row],[Indenfor range]],IF(LineærRegression_Valg[[#This Row],[Intet overlap]],INDEX(DataTitel_liste,LineærRegression_Valg[[#This Row],[Uafhængig variabel ID]]),INDEX(DataTitel_liste,IF(LineærRegression_Valg[[#This Row],[Afhængig variabel ID]]=1,2,1))),$B$7)</f>
        <v>Eksempel 2 (interval)</v>
      </c>
      <c r="H2153" s="45">
        <f>_xlfn.AGGREGATE(2,5,LineærRegression_Valg[[#This Row],[Tabel ID]])</f>
        <v>1</v>
      </c>
    </row>
    <row r="2154" spans="1:8" x14ac:dyDescent="0.2">
      <c r="A2154">
        <f>ROW(LineærRegression_Valg[[#This Row],[Tabel ID]])-ROW(LineærRegression_Valg[[#Headers],[Tabel ID]])</f>
        <v>2144</v>
      </c>
      <c r="B2154" s="45">
        <f>ROUNDDOWN((LineærRegression_Valg[[#This Row],[Tabel ID]]-1)/$B$5,0)+1</f>
        <v>536</v>
      </c>
      <c r="C2154" s="45">
        <f t="shared" si="33"/>
        <v>4</v>
      </c>
      <c r="D2154" s="45" t="b">
        <f>LineærRegression_Valg[[#This Row],[Afhængig variabel ID]]&lt;&gt;LineærRegression_Valg[[#This Row],[Uafhængig variabel ID]]</f>
        <v>1</v>
      </c>
      <c r="E2154" s="45" t="b">
        <f>LineærRegression_Valg[[#This Row],[Afhængig variabel ID]]&lt;=$B$5</f>
        <v>0</v>
      </c>
      <c r="F2154" t="str" cm="1">
        <f t="array" ref="F2154">IF(LineærRegression_Valg[[#This Row],[Indenfor range]],INDEX(DataTitel_liste,LineærRegression_Valg[[#This Row],[Afhængig variabel ID]]),INDEX(DataTitel_liste,1))</f>
        <v>Eksempel 1 (interval)</v>
      </c>
      <c r="G2154" s="45" t="str" cm="1">
        <f t="array" ref="G2154">IF(LineærRegression_Valg[[#This Row],[Indenfor range]],IF(LineærRegression_Valg[[#This Row],[Intet overlap]],INDEX(DataTitel_liste,LineærRegression_Valg[[#This Row],[Uafhængig variabel ID]]),INDEX(DataTitel_liste,IF(LineærRegression_Valg[[#This Row],[Afhængig variabel ID]]=1,2,1))),$B$7)</f>
        <v>Eksempel 2 (interval)</v>
      </c>
      <c r="H2154" s="45">
        <f>_xlfn.AGGREGATE(2,5,LineærRegression_Valg[[#This Row],[Tabel ID]])</f>
        <v>1</v>
      </c>
    </row>
    <row r="2155" spans="1:8" x14ac:dyDescent="0.2">
      <c r="A2155">
        <f>ROW(LineærRegression_Valg[[#This Row],[Tabel ID]])-ROW(LineærRegression_Valg[[#Headers],[Tabel ID]])</f>
        <v>2145</v>
      </c>
      <c r="B2155" s="45">
        <f>ROUNDDOWN((LineærRegression_Valg[[#This Row],[Tabel ID]]-1)/$B$5,0)+1</f>
        <v>537</v>
      </c>
      <c r="C2155" s="45">
        <f t="shared" si="33"/>
        <v>1</v>
      </c>
      <c r="D2155" s="45" t="b">
        <f>LineærRegression_Valg[[#This Row],[Afhængig variabel ID]]&lt;&gt;LineærRegression_Valg[[#This Row],[Uafhængig variabel ID]]</f>
        <v>1</v>
      </c>
      <c r="E2155" s="45" t="b">
        <f>LineærRegression_Valg[[#This Row],[Afhængig variabel ID]]&lt;=$B$5</f>
        <v>0</v>
      </c>
      <c r="F2155" t="str" cm="1">
        <f t="array" ref="F2155">IF(LineærRegression_Valg[[#This Row],[Indenfor range]],INDEX(DataTitel_liste,LineærRegression_Valg[[#This Row],[Afhængig variabel ID]]),INDEX(DataTitel_liste,1))</f>
        <v>Eksempel 1 (interval)</v>
      </c>
      <c r="G2155" s="45" t="str" cm="1">
        <f t="array" ref="G2155">IF(LineærRegression_Valg[[#This Row],[Indenfor range]],IF(LineærRegression_Valg[[#This Row],[Intet overlap]],INDEX(DataTitel_liste,LineærRegression_Valg[[#This Row],[Uafhængig variabel ID]]),INDEX(DataTitel_liste,IF(LineærRegression_Valg[[#This Row],[Afhængig variabel ID]]=1,2,1))),$B$7)</f>
        <v>Eksempel 2 (interval)</v>
      </c>
      <c r="H2155" s="45">
        <f>_xlfn.AGGREGATE(2,5,LineærRegression_Valg[[#This Row],[Tabel ID]])</f>
        <v>1</v>
      </c>
    </row>
    <row r="2156" spans="1:8" x14ac:dyDescent="0.2">
      <c r="A2156">
        <f>ROW(LineærRegression_Valg[[#This Row],[Tabel ID]])-ROW(LineærRegression_Valg[[#Headers],[Tabel ID]])</f>
        <v>2146</v>
      </c>
      <c r="B2156" s="45">
        <f>ROUNDDOWN((LineærRegression_Valg[[#This Row],[Tabel ID]]-1)/$B$5,0)+1</f>
        <v>537</v>
      </c>
      <c r="C2156" s="45">
        <f t="shared" si="33"/>
        <v>2</v>
      </c>
      <c r="D2156" s="45" t="b">
        <f>LineærRegression_Valg[[#This Row],[Afhængig variabel ID]]&lt;&gt;LineærRegression_Valg[[#This Row],[Uafhængig variabel ID]]</f>
        <v>1</v>
      </c>
      <c r="E2156" s="45" t="b">
        <f>LineærRegression_Valg[[#This Row],[Afhængig variabel ID]]&lt;=$B$5</f>
        <v>0</v>
      </c>
      <c r="F2156" t="str" cm="1">
        <f t="array" ref="F2156">IF(LineærRegression_Valg[[#This Row],[Indenfor range]],INDEX(DataTitel_liste,LineærRegression_Valg[[#This Row],[Afhængig variabel ID]]),INDEX(DataTitel_liste,1))</f>
        <v>Eksempel 1 (interval)</v>
      </c>
      <c r="G2156" s="45" t="str" cm="1">
        <f t="array" ref="G2156">IF(LineærRegression_Valg[[#This Row],[Indenfor range]],IF(LineærRegression_Valg[[#This Row],[Intet overlap]],INDEX(DataTitel_liste,LineærRegression_Valg[[#This Row],[Uafhængig variabel ID]]),INDEX(DataTitel_liste,IF(LineærRegression_Valg[[#This Row],[Afhængig variabel ID]]=1,2,1))),$B$7)</f>
        <v>Eksempel 2 (interval)</v>
      </c>
      <c r="H2156" s="45">
        <f>_xlfn.AGGREGATE(2,5,LineærRegression_Valg[[#This Row],[Tabel ID]])</f>
        <v>1</v>
      </c>
    </row>
    <row r="2157" spans="1:8" x14ac:dyDescent="0.2">
      <c r="A2157">
        <f>ROW(LineærRegression_Valg[[#This Row],[Tabel ID]])-ROW(LineærRegression_Valg[[#Headers],[Tabel ID]])</f>
        <v>2147</v>
      </c>
      <c r="B2157" s="45">
        <f>ROUNDDOWN((LineærRegression_Valg[[#This Row],[Tabel ID]]-1)/$B$5,0)+1</f>
        <v>537</v>
      </c>
      <c r="C2157" s="45">
        <f t="shared" si="33"/>
        <v>3</v>
      </c>
      <c r="D2157" s="45" t="b">
        <f>LineærRegression_Valg[[#This Row],[Afhængig variabel ID]]&lt;&gt;LineærRegression_Valg[[#This Row],[Uafhængig variabel ID]]</f>
        <v>1</v>
      </c>
      <c r="E2157" s="45" t="b">
        <f>LineærRegression_Valg[[#This Row],[Afhængig variabel ID]]&lt;=$B$5</f>
        <v>0</v>
      </c>
      <c r="F2157" t="str" cm="1">
        <f t="array" ref="F2157">IF(LineærRegression_Valg[[#This Row],[Indenfor range]],INDEX(DataTitel_liste,LineærRegression_Valg[[#This Row],[Afhængig variabel ID]]),INDEX(DataTitel_liste,1))</f>
        <v>Eksempel 1 (interval)</v>
      </c>
      <c r="G2157" s="45" t="str" cm="1">
        <f t="array" ref="G2157">IF(LineærRegression_Valg[[#This Row],[Indenfor range]],IF(LineærRegression_Valg[[#This Row],[Intet overlap]],INDEX(DataTitel_liste,LineærRegression_Valg[[#This Row],[Uafhængig variabel ID]]),INDEX(DataTitel_liste,IF(LineærRegression_Valg[[#This Row],[Afhængig variabel ID]]=1,2,1))),$B$7)</f>
        <v>Eksempel 2 (interval)</v>
      </c>
      <c r="H2157" s="45">
        <f>_xlfn.AGGREGATE(2,5,LineærRegression_Valg[[#This Row],[Tabel ID]])</f>
        <v>1</v>
      </c>
    </row>
    <row r="2158" spans="1:8" x14ac:dyDescent="0.2">
      <c r="A2158">
        <f>ROW(LineærRegression_Valg[[#This Row],[Tabel ID]])-ROW(LineærRegression_Valg[[#Headers],[Tabel ID]])</f>
        <v>2148</v>
      </c>
      <c r="B2158" s="45">
        <f>ROUNDDOWN((LineærRegression_Valg[[#This Row],[Tabel ID]]-1)/$B$5,0)+1</f>
        <v>537</v>
      </c>
      <c r="C2158" s="45">
        <f t="shared" si="33"/>
        <v>4</v>
      </c>
      <c r="D2158" s="45" t="b">
        <f>LineærRegression_Valg[[#This Row],[Afhængig variabel ID]]&lt;&gt;LineærRegression_Valg[[#This Row],[Uafhængig variabel ID]]</f>
        <v>1</v>
      </c>
      <c r="E2158" s="45" t="b">
        <f>LineærRegression_Valg[[#This Row],[Afhængig variabel ID]]&lt;=$B$5</f>
        <v>0</v>
      </c>
      <c r="F2158" t="str" cm="1">
        <f t="array" ref="F2158">IF(LineærRegression_Valg[[#This Row],[Indenfor range]],INDEX(DataTitel_liste,LineærRegression_Valg[[#This Row],[Afhængig variabel ID]]),INDEX(DataTitel_liste,1))</f>
        <v>Eksempel 1 (interval)</v>
      </c>
      <c r="G2158" s="45" t="str" cm="1">
        <f t="array" ref="G2158">IF(LineærRegression_Valg[[#This Row],[Indenfor range]],IF(LineærRegression_Valg[[#This Row],[Intet overlap]],INDEX(DataTitel_liste,LineærRegression_Valg[[#This Row],[Uafhængig variabel ID]]),INDEX(DataTitel_liste,IF(LineærRegression_Valg[[#This Row],[Afhængig variabel ID]]=1,2,1))),$B$7)</f>
        <v>Eksempel 2 (interval)</v>
      </c>
      <c r="H2158" s="45">
        <f>_xlfn.AGGREGATE(2,5,LineærRegression_Valg[[#This Row],[Tabel ID]])</f>
        <v>1</v>
      </c>
    </row>
    <row r="2159" spans="1:8" x14ac:dyDescent="0.2">
      <c r="A2159">
        <f>ROW(LineærRegression_Valg[[#This Row],[Tabel ID]])-ROW(LineærRegression_Valg[[#Headers],[Tabel ID]])</f>
        <v>2149</v>
      </c>
      <c r="B2159" s="45">
        <f>ROUNDDOWN((LineærRegression_Valg[[#This Row],[Tabel ID]]-1)/$B$5,0)+1</f>
        <v>538</v>
      </c>
      <c r="C2159" s="45">
        <f t="shared" si="33"/>
        <v>1</v>
      </c>
      <c r="D2159" s="45" t="b">
        <f>LineærRegression_Valg[[#This Row],[Afhængig variabel ID]]&lt;&gt;LineærRegression_Valg[[#This Row],[Uafhængig variabel ID]]</f>
        <v>1</v>
      </c>
      <c r="E2159" s="45" t="b">
        <f>LineærRegression_Valg[[#This Row],[Afhængig variabel ID]]&lt;=$B$5</f>
        <v>0</v>
      </c>
      <c r="F2159" t="str" cm="1">
        <f t="array" ref="F2159">IF(LineærRegression_Valg[[#This Row],[Indenfor range]],INDEX(DataTitel_liste,LineærRegression_Valg[[#This Row],[Afhængig variabel ID]]),INDEX(DataTitel_liste,1))</f>
        <v>Eksempel 1 (interval)</v>
      </c>
      <c r="G2159" s="45" t="str" cm="1">
        <f t="array" ref="G2159">IF(LineærRegression_Valg[[#This Row],[Indenfor range]],IF(LineærRegression_Valg[[#This Row],[Intet overlap]],INDEX(DataTitel_liste,LineærRegression_Valg[[#This Row],[Uafhængig variabel ID]]),INDEX(DataTitel_liste,IF(LineærRegression_Valg[[#This Row],[Afhængig variabel ID]]=1,2,1))),$B$7)</f>
        <v>Eksempel 2 (interval)</v>
      </c>
      <c r="H2159" s="45">
        <f>_xlfn.AGGREGATE(2,5,LineærRegression_Valg[[#This Row],[Tabel ID]])</f>
        <v>1</v>
      </c>
    </row>
    <row r="2160" spans="1:8" x14ac:dyDescent="0.2">
      <c r="A2160">
        <f>ROW(LineærRegression_Valg[[#This Row],[Tabel ID]])-ROW(LineærRegression_Valg[[#Headers],[Tabel ID]])</f>
        <v>2150</v>
      </c>
      <c r="B2160" s="45">
        <f>ROUNDDOWN((LineærRegression_Valg[[#This Row],[Tabel ID]]-1)/$B$5,0)+1</f>
        <v>538</v>
      </c>
      <c r="C2160" s="45">
        <f t="shared" si="33"/>
        <v>2</v>
      </c>
      <c r="D2160" s="45" t="b">
        <f>LineærRegression_Valg[[#This Row],[Afhængig variabel ID]]&lt;&gt;LineærRegression_Valg[[#This Row],[Uafhængig variabel ID]]</f>
        <v>1</v>
      </c>
      <c r="E2160" s="45" t="b">
        <f>LineærRegression_Valg[[#This Row],[Afhængig variabel ID]]&lt;=$B$5</f>
        <v>0</v>
      </c>
      <c r="F2160" t="str" cm="1">
        <f t="array" ref="F2160">IF(LineærRegression_Valg[[#This Row],[Indenfor range]],INDEX(DataTitel_liste,LineærRegression_Valg[[#This Row],[Afhængig variabel ID]]),INDEX(DataTitel_liste,1))</f>
        <v>Eksempel 1 (interval)</v>
      </c>
      <c r="G2160" s="45" t="str" cm="1">
        <f t="array" ref="G2160">IF(LineærRegression_Valg[[#This Row],[Indenfor range]],IF(LineærRegression_Valg[[#This Row],[Intet overlap]],INDEX(DataTitel_liste,LineærRegression_Valg[[#This Row],[Uafhængig variabel ID]]),INDEX(DataTitel_liste,IF(LineærRegression_Valg[[#This Row],[Afhængig variabel ID]]=1,2,1))),$B$7)</f>
        <v>Eksempel 2 (interval)</v>
      </c>
      <c r="H2160" s="45">
        <f>_xlfn.AGGREGATE(2,5,LineærRegression_Valg[[#This Row],[Tabel ID]])</f>
        <v>1</v>
      </c>
    </row>
    <row r="2161" spans="1:8" x14ac:dyDescent="0.2">
      <c r="A2161">
        <f>ROW(LineærRegression_Valg[[#This Row],[Tabel ID]])-ROW(LineærRegression_Valg[[#Headers],[Tabel ID]])</f>
        <v>2151</v>
      </c>
      <c r="B2161" s="45">
        <f>ROUNDDOWN((LineærRegression_Valg[[#This Row],[Tabel ID]]-1)/$B$5,0)+1</f>
        <v>538</v>
      </c>
      <c r="C2161" s="45">
        <f t="shared" si="33"/>
        <v>3</v>
      </c>
      <c r="D2161" s="45" t="b">
        <f>LineærRegression_Valg[[#This Row],[Afhængig variabel ID]]&lt;&gt;LineærRegression_Valg[[#This Row],[Uafhængig variabel ID]]</f>
        <v>1</v>
      </c>
      <c r="E2161" s="45" t="b">
        <f>LineærRegression_Valg[[#This Row],[Afhængig variabel ID]]&lt;=$B$5</f>
        <v>0</v>
      </c>
      <c r="F2161" t="str" cm="1">
        <f t="array" ref="F2161">IF(LineærRegression_Valg[[#This Row],[Indenfor range]],INDEX(DataTitel_liste,LineærRegression_Valg[[#This Row],[Afhængig variabel ID]]),INDEX(DataTitel_liste,1))</f>
        <v>Eksempel 1 (interval)</v>
      </c>
      <c r="G2161" s="45" t="str" cm="1">
        <f t="array" ref="G2161">IF(LineærRegression_Valg[[#This Row],[Indenfor range]],IF(LineærRegression_Valg[[#This Row],[Intet overlap]],INDEX(DataTitel_liste,LineærRegression_Valg[[#This Row],[Uafhængig variabel ID]]),INDEX(DataTitel_liste,IF(LineærRegression_Valg[[#This Row],[Afhængig variabel ID]]=1,2,1))),$B$7)</f>
        <v>Eksempel 2 (interval)</v>
      </c>
      <c r="H2161" s="45">
        <f>_xlfn.AGGREGATE(2,5,LineærRegression_Valg[[#This Row],[Tabel ID]])</f>
        <v>1</v>
      </c>
    </row>
    <row r="2162" spans="1:8" x14ac:dyDescent="0.2">
      <c r="A2162">
        <f>ROW(LineærRegression_Valg[[#This Row],[Tabel ID]])-ROW(LineærRegression_Valg[[#Headers],[Tabel ID]])</f>
        <v>2152</v>
      </c>
      <c r="B2162" s="45">
        <f>ROUNDDOWN((LineærRegression_Valg[[#This Row],[Tabel ID]]-1)/$B$5,0)+1</f>
        <v>538</v>
      </c>
      <c r="C2162" s="45">
        <f t="shared" si="33"/>
        <v>4</v>
      </c>
      <c r="D2162" s="45" t="b">
        <f>LineærRegression_Valg[[#This Row],[Afhængig variabel ID]]&lt;&gt;LineærRegression_Valg[[#This Row],[Uafhængig variabel ID]]</f>
        <v>1</v>
      </c>
      <c r="E2162" s="45" t="b">
        <f>LineærRegression_Valg[[#This Row],[Afhængig variabel ID]]&lt;=$B$5</f>
        <v>0</v>
      </c>
      <c r="F2162" t="str" cm="1">
        <f t="array" ref="F2162">IF(LineærRegression_Valg[[#This Row],[Indenfor range]],INDEX(DataTitel_liste,LineærRegression_Valg[[#This Row],[Afhængig variabel ID]]),INDEX(DataTitel_liste,1))</f>
        <v>Eksempel 1 (interval)</v>
      </c>
      <c r="G2162" s="45" t="str" cm="1">
        <f t="array" ref="G2162">IF(LineærRegression_Valg[[#This Row],[Indenfor range]],IF(LineærRegression_Valg[[#This Row],[Intet overlap]],INDEX(DataTitel_liste,LineærRegression_Valg[[#This Row],[Uafhængig variabel ID]]),INDEX(DataTitel_liste,IF(LineærRegression_Valg[[#This Row],[Afhængig variabel ID]]=1,2,1))),$B$7)</f>
        <v>Eksempel 2 (interval)</v>
      </c>
      <c r="H2162" s="45">
        <f>_xlfn.AGGREGATE(2,5,LineærRegression_Valg[[#This Row],[Tabel ID]])</f>
        <v>1</v>
      </c>
    </row>
    <row r="2163" spans="1:8" x14ac:dyDescent="0.2">
      <c r="A2163">
        <f>ROW(LineærRegression_Valg[[#This Row],[Tabel ID]])-ROW(LineærRegression_Valg[[#Headers],[Tabel ID]])</f>
        <v>2153</v>
      </c>
      <c r="B2163" s="45">
        <f>ROUNDDOWN((LineærRegression_Valg[[#This Row],[Tabel ID]]-1)/$B$5,0)+1</f>
        <v>539</v>
      </c>
      <c r="C2163" s="45">
        <f t="shared" si="33"/>
        <v>1</v>
      </c>
      <c r="D2163" s="45" t="b">
        <f>LineærRegression_Valg[[#This Row],[Afhængig variabel ID]]&lt;&gt;LineærRegression_Valg[[#This Row],[Uafhængig variabel ID]]</f>
        <v>1</v>
      </c>
      <c r="E2163" s="45" t="b">
        <f>LineærRegression_Valg[[#This Row],[Afhængig variabel ID]]&lt;=$B$5</f>
        <v>0</v>
      </c>
      <c r="F2163" t="str" cm="1">
        <f t="array" ref="F2163">IF(LineærRegression_Valg[[#This Row],[Indenfor range]],INDEX(DataTitel_liste,LineærRegression_Valg[[#This Row],[Afhængig variabel ID]]),INDEX(DataTitel_liste,1))</f>
        <v>Eksempel 1 (interval)</v>
      </c>
      <c r="G2163" s="45" t="str" cm="1">
        <f t="array" ref="G2163">IF(LineærRegression_Valg[[#This Row],[Indenfor range]],IF(LineærRegression_Valg[[#This Row],[Intet overlap]],INDEX(DataTitel_liste,LineærRegression_Valg[[#This Row],[Uafhængig variabel ID]]),INDEX(DataTitel_liste,IF(LineærRegression_Valg[[#This Row],[Afhængig variabel ID]]=1,2,1))),$B$7)</f>
        <v>Eksempel 2 (interval)</v>
      </c>
      <c r="H2163" s="45">
        <f>_xlfn.AGGREGATE(2,5,LineærRegression_Valg[[#This Row],[Tabel ID]])</f>
        <v>1</v>
      </c>
    </row>
    <row r="2164" spans="1:8" x14ac:dyDescent="0.2">
      <c r="A2164">
        <f>ROW(LineærRegression_Valg[[#This Row],[Tabel ID]])-ROW(LineærRegression_Valg[[#Headers],[Tabel ID]])</f>
        <v>2154</v>
      </c>
      <c r="B2164" s="45">
        <f>ROUNDDOWN((LineærRegression_Valg[[#This Row],[Tabel ID]]-1)/$B$5,0)+1</f>
        <v>539</v>
      </c>
      <c r="C2164" s="45">
        <f t="shared" si="33"/>
        <v>2</v>
      </c>
      <c r="D2164" s="45" t="b">
        <f>LineærRegression_Valg[[#This Row],[Afhængig variabel ID]]&lt;&gt;LineærRegression_Valg[[#This Row],[Uafhængig variabel ID]]</f>
        <v>1</v>
      </c>
      <c r="E2164" s="45" t="b">
        <f>LineærRegression_Valg[[#This Row],[Afhængig variabel ID]]&lt;=$B$5</f>
        <v>0</v>
      </c>
      <c r="F2164" t="str" cm="1">
        <f t="array" ref="F2164">IF(LineærRegression_Valg[[#This Row],[Indenfor range]],INDEX(DataTitel_liste,LineærRegression_Valg[[#This Row],[Afhængig variabel ID]]),INDEX(DataTitel_liste,1))</f>
        <v>Eksempel 1 (interval)</v>
      </c>
      <c r="G2164" s="45" t="str" cm="1">
        <f t="array" ref="G2164">IF(LineærRegression_Valg[[#This Row],[Indenfor range]],IF(LineærRegression_Valg[[#This Row],[Intet overlap]],INDEX(DataTitel_liste,LineærRegression_Valg[[#This Row],[Uafhængig variabel ID]]),INDEX(DataTitel_liste,IF(LineærRegression_Valg[[#This Row],[Afhængig variabel ID]]=1,2,1))),$B$7)</f>
        <v>Eksempel 2 (interval)</v>
      </c>
      <c r="H2164" s="45">
        <f>_xlfn.AGGREGATE(2,5,LineærRegression_Valg[[#This Row],[Tabel ID]])</f>
        <v>1</v>
      </c>
    </row>
    <row r="2165" spans="1:8" x14ac:dyDescent="0.2">
      <c r="A2165">
        <f>ROW(LineærRegression_Valg[[#This Row],[Tabel ID]])-ROW(LineærRegression_Valg[[#Headers],[Tabel ID]])</f>
        <v>2155</v>
      </c>
      <c r="B2165" s="45">
        <f>ROUNDDOWN((LineærRegression_Valg[[#This Row],[Tabel ID]]-1)/$B$5,0)+1</f>
        <v>539</v>
      </c>
      <c r="C2165" s="45">
        <f t="shared" si="33"/>
        <v>3</v>
      </c>
      <c r="D2165" s="45" t="b">
        <f>LineærRegression_Valg[[#This Row],[Afhængig variabel ID]]&lt;&gt;LineærRegression_Valg[[#This Row],[Uafhængig variabel ID]]</f>
        <v>1</v>
      </c>
      <c r="E2165" s="45" t="b">
        <f>LineærRegression_Valg[[#This Row],[Afhængig variabel ID]]&lt;=$B$5</f>
        <v>0</v>
      </c>
      <c r="F2165" t="str" cm="1">
        <f t="array" ref="F2165">IF(LineærRegression_Valg[[#This Row],[Indenfor range]],INDEX(DataTitel_liste,LineærRegression_Valg[[#This Row],[Afhængig variabel ID]]),INDEX(DataTitel_liste,1))</f>
        <v>Eksempel 1 (interval)</v>
      </c>
      <c r="G2165" s="45" t="str" cm="1">
        <f t="array" ref="G2165">IF(LineærRegression_Valg[[#This Row],[Indenfor range]],IF(LineærRegression_Valg[[#This Row],[Intet overlap]],INDEX(DataTitel_liste,LineærRegression_Valg[[#This Row],[Uafhængig variabel ID]]),INDEX(DataTitel_liste,IF(LineærRegression_Valg[[#This Row],[Afhængig variabel ID]]=1,2,1))),$B$7)</f>
        <v>Eksempel 2 (interval)</v>
      </c>
      <c r="H2165" s="45">
        <f>_xlfn.AGGREGATE(2,5,LineærRegression_Valg[[#This Row],[Tabel ID]])</f>
        <v>1</v>
      </c>
    </row>
    <row r="2166" spans="1:8" x14ac:dyDescent="0.2">
      <c r="A2166">
        <f>ROW(LineærRegression_Valg[[#This Row],[Tabel ID]])-ROW(LineærRegression_Valg[[#Headers],[Tabel ID]])</f>
        <v>2156</v>
      </c>
      <c r="B2166" s="45">
        <f>ROUNDDOWN((LineærRegression_Valg[[#This Row],[Tabel ID]]-1)/$B$5,0)+1</f>
        <v>539</v>
      </c>
      <c r="C2166" s="45">
        <f t="shared" si="33"/>
        <v>4</v>
      </c>
      <c r="D2166" s="45" t="b">
        <f>LineærRegression_Valg[[#This Row],[Afhængig variabel ID]]&lt;&gt;LineærRegression_Valg[[#This Row],[Uafhængig variabel ID]]</f>
        <v>1</v>
      </c>
      <c r="E2166" s="45" t="b">
        <f>LineærRegression_Valg[[#This Row],[Afhængig variabel ID]]&lt;=$B$5</f>
        <v>0</v>
      </c>
      <c r="F2166" t="str" cm="1">
        <f t="array" ref="F2166">IF(LineærRegression_Valg[[#This Row],[Indenfor range]],INDEX(DataTitel_liste,LineærRegression_Valg[[#This Row],[Afhængig variabel ID]]),INDEX(DataTitel_liste,1))</f>
        <v>Eksempel 1 (interval)</v>
      </c>
      <c r="G2166" s="45" t="str" cm="1">
        <f t="array" ref="G2166">IF(LineærRegression_Valg[[#This Row],[Indenfor range]],IF(LineærRegression_Valg[[#This Row],[Intet overlap]],INDEX(DataTitel_liste,LineærRegression_Valg[[#This Row],[Uafhængig variabel ID]]),INDEX(DataTitel_liste,IF(LineærRegression_Valg[[#This Row],[Afhængig variabel ID]]=1,2,1))),$B$7)</f>
        <v>Eksempel 2 (interval)</v>
      </c>
      <c r="H2166" s="45">
        <f>_xlfn.AGGREGATE(2,5,LineærRegression_Valg[[#This Row],[Tabel ID]])</f>
        <v>1</v>
      </c>
    </row>
    <row r="2167" spans="1:8" x14ac:dyDescent="0.2">
      <c r="A2167">
        <f>ROW(LineærRegression_Valg[[#This Row],[Tabel ID]])-ROW(LineærRegression_Valg[[#Headers],[Tabel ID]])</f>
        <v>2157</v>
      </c>
      <c r="B2167" s="45">
        <f>ROUNDDOWN((LineærRegression_Valg[[#This Row],[Tabel ID]]-1)/$B$5,0)+1</f>
        <v>540</v>
      </c>
      <c r="C2167" s="45">
        <f t="shared" si="33"/>
        <v>1</v>
      </c>
      <c r="D2167" s="45" t="b">
        <f>LineærRegression_Valg[[#This Row],[Afhængig variabel ID]]&lt;&gt;LineærRegression_Valg[[#This Row],[Uafhængig variabel ID]]</f>
        <v>1</v>
      </c>
      <c r="E2167" s="45" t="b">
        <f>LineærRegression_Valg[[#This Row],[Afhængig variabel ID]]&lt;=$B$5</f>
        <v>0</v>
      </c>
      <c r="F2167" t="str" cm="1">
        <f t="array" ref="F2167">IF(LineærRegression_Valg[[#This Row],[Indenfor range]],INDEX(DataTitel_liste,LineærRegression_Valg[[#This Row],[Afhængig variabel ID]]),INDEX(DataTitel_liste,1))</f>
        <v>Eksempel 1 (interval)</v>
      </c>
      <c r="G2167" s="45" t="str" cm="1">
        <f t="array" ref="G2167">IF(LineærRegression_Valg[[#This Row],[Indenfor range]],IF(LineærRegression_Valg[[#This Row],[Intet overlap]],INDEX(DataTitel_liste,LineærRegression_Valg[[#This Row],[Uafhængig variabel ID]]),INDEX(DataTitel_liste,IF(LineærRegression_Valg[[#This Row],[Afhængig variabel ID]]=1,2,1))),$B$7)</f>
        <v>Eksempel 2 (interval)</v>
      </c>
      <c r="H2167" s="45">
        <f>_xlfn.AGGREGATE(2,5,LineærRegression_Valg[[#This Row],[Tabel ID]])</f>
        <v>1</v>
      </c>
    </row>
    <row r="2168" spans="1:8" x14ac:dyDescent="0.2">
      <c r="A2168">
        <f>ROW(LineærRegression_Valg[[#This Row],[Tabel ID]])-ROW(LineærRegression_Valg[[#Headers],[Tabel ID]])</f>
        <v>2158</v>
      </c>
      <c r="B2168" s="45">
        <f>ROUNDDOWN((LineærRegression_Valg[[#This Row],[Tabel ID]]-1)/$B$5,0)+1</f>
        <v>540</v>
      </c>
      <c r="C2168" s="45">
        <f t="shared" si="33"/>
        <v>2</v>
      </c>
      <c r="D2168" s="45" t="b">
        <f>LineærRegression_Valg[[#This Row],[Afhængig variabel ID]]&lt;&gt;LineærRegression_Valg[[#This Row],[Uafhængig variabel ID]]</f>
        <v>1</v>
      </c>
      <c r="E2168" s="45" t="b">
        <f>LineærRegression_Valg[[#This Row],[Afhængig variabel ID]]&lt;=$B$5</f>
        <v>0</v>
      </c>
      <c r="F2168" t="str" cm="1">
        <f t="array" ref="F2168">IF(LineærRegression_Valg[[#This Row],[Indenfor range]],INDEX(DataTitel_liste,LineærRegression_Valg[[#This Row],[Afhængig variabel ID]]),INDEX(DataTitel_liste,1))</f>
        <v>Eksempel 1 (interval)</v>
      </c>
      <c r="G2168" s="45" t="str" cm="1">
        <f t="array" ref="G2168">IF(LineærRegression_Valg[[#This Row],[Indenfor range]],IF(LineærRegression_Valg[[#This Row],[Intet overlap]],INDEX(DataTitel_liste,LineærRegression_Valg[[#This Row],[Uafhængig variabel ID]]),INDEX(DataTitel_liste,IF(LineærRegression_Valg[[#This Row],[Afhængig variabel ID]]=1,2,1))),$B$7)</f>
        <v>Eksempel 2 (interval)</v>
      </c>
      <c r="H2168" s="45">
        <f>_xlfn.AGGREGATE(2,5,LineærRegression_Valg[[#This Row],[Tabel ID]])</f>
        <v>1</v>
      </c>
    </row>
    <row r="2169" spans="1:8" x14ac:dyDescent="0.2">
      <c r="A2169">
        <f>ROW(LineærRegression_Valg[[#This Row],[Tabel ID]])-ROW(LineærRegression_Valg[[#Headers],[Tabel ID]])</f>
        <v>2159</v>
      </c>
      <c r="B2169" s="45">
        <f>ROUNDDOWN((LineærRegression_Valg[[#This Row],[Tabel ID]]-1)/$B$5,0)+1</f>
        <v>540</v>
      </c>
      <c r="C2169" s="45">
        <f t="shared" si="33"/>
        <v>3</v>
      </c>
      <c r="D2169" s="45" t="b">
        <f>LineærRegression_Valg[[#This Row],[Afhængig variabel ID]]&lt;&gt;LineærRegression_Valg[[#This Row],[Uafhængig variabel ID]]</f>
        <v>1</v>
      </c>
      <c r="E2169" s="45" t="b">
        <f>LineærRegression_Valg[[#This Row],[Afhængig variabel ID]]&lt;=$B$5</f>
        <v>0</v>
      </c>
      <c r="F2169" t="str" cm="1">
        <f t="array" ref="F2169">IF(LineærRegression_Valg[[#This Row],[Indenfor range]],INDEX(DataTitel_liste,LineærRegression_Valg[[#This Row],[Afhængig variabel ID]]),INDEX(DataTitel_liste,1))</f>
        <v>Eksempel 1 (interval)</v>
      </c>
      <c r="G2169" s="45" t="str" cm="1">
        <f t="array" ref="G2169">IF(LineærRegression_Valg[[#This Row],[Indenfor range]],IF(LineærRegression_Valg[[#This Row],[Intet overlap]],INDEX(DataTitel_liste,LineærRegression_Valg[[#This Row],[Uafhængig variabel ID]]),INDEX(DataTitel_liste,IF(LineærRegression_Valg[[#This Row],[Afhængig variabel ID]]=1,2,1))),$B$7)</f>
        <v>Eksempel 2 (interval)</v>
      </c>
      <c r="H2169" s="45">
        <f>_xlfn.AGGREGATE(2,5,LineærRegression_Valg[[#This Row],[Tabel ID]])</f>
        <v>1</v>
      </c>
    </row>
    <row r="2170" spans="1:8" x14ac:dyDescent="0.2">
      <c r="A2170">
        <f>ROW(LineærRegression_Valg[[#This Row],[Tabel ID]])-ROW(LineærRegression_Valg[[#Headers],[Tabel ID]])</f>
        <v>2160</v>
      </c>
      <c r="B2170" s="45">
        <f>ROUNDDOWN((LineærRegression_Valg[[#This Row],[Tabel ID]]-1)/$B$5,0)+1</f>
        <v>540</v>
      </c>
      <c r="C2170" s="45">
        <f t="shared" si="33"/>
        <v>4</v>
      </c>
      <c r="D2170" s="45" t="b">
        <f>LineærRegression_Valg[[#This Row],[Afhængig variabel ID]]&lt;&gt;LineærRegression_Valg[[#This Row],[Uafhængig variabel ID]]</f>
        <v>1</v>
      </c>
      <c r="E2170" s="45" t="b">
        <f>LineærRegression_Valg[[#This Row],[Afhængig variabel ID]]&lt;=$B$5</f>
        <v>0</v>
      </c>
      <c r="F2170" t="str" cm="1">
        <f t="array" ref="F2170">IF(LineærRegression_Valg[[#This Row],[Indenfor range]],INDEX(DataTitel_liste,LineærRegression_Valg[[#This Row],[Afhængig variabel ID]]),INDEX(DataTitel_liste,1))</f>
        <v>Eksempel 1 (interval)</v>
      </c>
      <c r="G2170" s="45" t="str" cm="1">
        <f t="array" ref="G2170">IF(LineærRegression_Valg[[#This Row],[Indenfor range]],IF(LineærRegression_Valg[[#This Row],[Intet overlap]],INDEX(DataTitel_liste,LineærRegression_Valg[[#This Row],[Uafhængig variabel ID]]),INDEX(DataTitel_liste,IF(LineærRegression_Valg[[#This Row],[Afhængig variabel ID]]=1,2,1))),$B$7)</f>
        <v>Eksempel 2 (interval)</v>
      </c>
      <c r="H2170" s="45">
        <f>_xlfn.AGGREGATE(2,5,LineærRegression_Valg[[#This Row],[Tabel ID]])</f>
        <v>1</v>
      </c>
    </row>
    <row r="2171" spans="1:8" x14ac:dyDescent="0.2">
      <c r="A2171">
        <f>ROW(LineærRegression_Valg[[#This Row],[Tabel ID]])-ROW(LineærRegression_Valg[[#Headers],[Tabel ID]])</f>
        <v>2161</v>
      </c>
      <c r="B2171" s="45">
        <f>ROUNDDOWN((LineærRegression_Valg[[#This Row],[Tabel ID]]-1)/$B$5,0)+1</f>
        <v>541</v>
      </c>
      <c r="C2171" s="45">
        <f t="shared" si="33"/>
        <v>1</v>
      </c>
      <c r="D2171" s="45" t="b">
        <f>LineærRegression_Valg[[#This Row],[Afhængig variabel ID]]&lt;&gt;LineærRegression_Valg[[#This Row],[Uafhængig variabel ID]]</f>
        <v>1</v>
      </c>
      <c r="E2171" s="45" t="b">
        <f>LineærRegression_Valg[[#This Row],[Afhængig variabel ID]]&lt;=$B$5</f>
        <v>0</v>
      </c>
      <c r="F2171" t="str" cm="1">
        <f t="array" ref="F2171">IF(LineærRegression_Valg[[#This Row],[Indenfor range]],INDEX(DataTitel_liste,LineærRegression_Valg[[#This Row],[Afhængig variabel ID]]),INDEX(DataTitel_liste,1))</f>
        <v>Eksempel 1 (interval)</v>
      </c>
      <c r="G2171" s="45" t="str" cm="1">
        <f t="array" ref="G2171">IF(LineærRegression_Valg[[#This Row],[Indenfor range]],IF(LineærRegression_Valg[[#This Row],[Intet overlap]],INDEX(DataTitel_liste,LineærRegression_Valg[[#This Row],[Uafhængig variabel ID]]),INDEX(DataTitel_liste,IF(LineærRegression_Valg[[#This Row],[Afhængig variabel ID]]=1,2,1))),$B$7)</f>
        <v>Eksempel 2 (interval)</v>
      </c>
      <c r="H2171" s="45">
        <f>_xlfn.AGGREGATE(2,5,LineærRegression_Valg[[#This Row],[Tabel ID]])</f>
        <v>1</v>
      </c>
    </row>
    <row r="2172" spans="1:8" x14ac:dyDescent="0.2">
      <c r="A2172">
        <f>ROW(LineærRegression_Valg[[#This Row],[Tabel ID]])-ROW(LineærRegression_Valg[[#Headers],[Tabel ID]])</f>
        <v>2162</v>
      </c>
      <c r="B2172" s="45">
        <f>ROUNDDOWN((LineærRegression_Valg[[#This Row],[Tabel ID]]-1)/$B$5,0)+1</f>
        <v>541</v>
      </c>
      <c r="C2172" s="45">
        <f t="shared" si="33"/>
        <v>2</v>
      </c>
      <c r="D2172" s="45" t="b">
        <f>LineærRegression_Valg[[#This Row],[Afhængig variabel ID]]&lt;&gt;LineærRegression_Valg[[#This Row],[Uafhængig variabel ID]]</f>
        <v>1</v>
      </c>
      <c r="E2172" s="45" t="b">
        <f>LineærRegression_Valg[[#This Row],[Afhængig variabel ID]]&lt;=$B$5</f>
        <v>0</v>
      </c>
      <c r="F2172" t="str" cm="1">
        <f t="array" ref="F2172">IF(LineærRegression_Valg[[#This Row],[Indenfor range]],INDEX(DataTitel_liste,LineærRegression_Valg[[#This Row],[Afhængig variabel ID]]),INDEX(DataTitel_liste,1))</f>
        <v>Eksempel 1 (interval)</v>
      </c>
      <c r="G2172" s="45" t="str" cm="1">
        <f t="array" ref="G2172">IF(LineærRegression_Valg[[#This Row],[Indenfor range]],IF(LineærRegression_Valg[[#This Row],[Intet overlap]],INDEX(DataTitel_liste,LineærRegression_Valg[[#This Row],[Uafhængig variabel ID]]),INDEX(DataTitel_liste,IF(LineærRegression_Valg[[#This Row],[Afhængig variabel ID]]=1,2,1))),$B$7)</f>
        <v>Eksempel 2 (interval)</v>
      </c>
      <c r="H2172" s="45">
        <f>_xlfn.AGGREGATE(2,5,LineærRegression_Valg[[#This Row],[Tabel ID]])</f>
        <v>1</v>
      </c>
    </row>
    <row r="2173" spans="1:8" x14ac:dyDescent="0.2">
      <c r="A2173">
        <f>ROW(LineærRegression_Valg[[#This Row],[Tabel ID]])-ROW(LineærRegression_Valg[[#Headers],[Tabel ID]])</f>
        <v>2163</v>
      </c>
      <c r="B2173" s="45">
        <f>ROUNDDOWN((LineærRegression_Valg[[#This Row],[Tabel ID]]-1)/$B$5,0)+1</f>
        <v>541</v>
      </c>
      <c r="C2173" s="45">
        <f t="shared" si="33"/>
        <v>3</v>
      </c>
      <c r="D2173" s="45" t="b">
        <f>LineærRegression_Valg[[#This Row],[Afhængig variabel ID]]&lt;&gt;LineærRegression_Valg[[#This Row],[Uafhængig variabel ID]]</f>
        <v>1</v>
      </c>
      <c r="E2173" s="45" t="b">
        <f>LineærRegression_Valg[[#This Row],[Afhængig variabel ID]]&lt;=$B$5</f>
        <v>0</v>
      </c>
      <c r="F2173" t="str" cm="1">
        <f t="array" ref="F2173">IF(LineærRegression_Valg[[#This Row],[Indenfor range]],INDEX(DataTitel_liste,LineærRegression_Valg[[#This Row],[Afhængig variabel ID]]),INDEX(DataTitel_liste,1))</f>
        <v>Eksempel 1 (interval)</v>
      </c>
      <c r="G2173" s="45" t="str" cm="1">
        <f t="array" ref="G2173">IF(LineærRegression_Valg[[#This Row],[Indenfor range]],IF(LineærRegression_Valg[[#This Row],[Intet overlap]],INDEX(DataTitel_liste,LineærRegression_Valg[[#This Row],[Uafhængig variabel ID]]),INDEX(DataTitel_liste,IF(LineærRegression_Valg[[#This Row],[Afhængig variabel ID]]=1,2,1))),$B$7)</f>
        <v>Eksempel 2 (interval)</v>
      </c>
      <c r="H2173" s="45">
        <f>_xlfn.AGGREGATE(2,5,LineærRegression_Valg[[#This Row],[Tabel ID]])</f>
        <v>1</v>
      </c>
    </row>
    <row r="2174" spans="1:8" x14ac:dyDescent="0.2">
      <c r="A2174">
        <f>ROW(LineærRegression_Valg[[#This Row],[Tabel ID]])-ROW(LineærRegression_Valg[[#Headers],[Tabel ID]])</f>
        <v>2164</v>
      </c>
      <c r="B2174" s="45">
        <f>ROUNDDOWN((LineærRegression_Valg[[#This Row],[Tabel ID]]-1)/$B$5,0)+1</f>
        <v>541</v>
      </c>
      <c r="C2174" s="45">
        <f t="shared" si="33"/>
        <v>4</v>
      </c>
      <c r="D2174" s="45" t="b">
        <f>LineærRegression_Valg[[#This Row],[Afhængig variabel ID]]&lt;&gt;LineærRegression_Valg[[#This Row],[Uafhængig variabel ID]]</f>
        <v>1</v>
      </c>
      <c r="E2174" s="45" t="b">
        <f>LineærRegression_Valg[[#This Row],[Afhængig variabel ID]]&lt;=$B$5</f>
        <v>0</v>
      </c>
      <c r="F2174" t="str" cm="1">
        <f t="array" ref="F2174">IF(LineærRegression_Valg[[#This Row],[Indenfor range]],INDEX(DataTitel_liste,LineærRegression_Valg[[#This Row],[Afhængig variabel ID]]),INDEX(DataTitel_liste,1))</f>
        <v>Eksempel 1 (interval)</v>
      </c>
      <c r="G2174" s="45" t="str" cm="1">
        <f t="array" ref="G2174">IF(LineærRegression_Valg[[#This Row],[Indenfor range]],IF(LineærRegression_Valg[[#This Row],[Intet overlap]],INDEX(DataTitel_liste,LineærRegression_Valg[[#This Row],[Uafhængig variabel ID]]),INDEX(DataTitel_liste,IF(LineærRegression_Valg[[#This Row],[Afhængig variabel ID]]=1,2,1))),$B$7)</f>
        <v>Eksempel 2 (interval)</v>
      </c>
      <c r="H2174" s="45">
        <f>_xlfn.AGGREGATE(2,5,LineærRegression_Valg[[#This Row],[Tabel ID]])</f>
        <v>1</v>
      </c>
    </row>
    <row r="2175" spans="1:8" x14ac:dyDescent="0.2">
      <c r="A2175">
        <f>ROW(LineærRegression_Valg[[#This Row],[Tabel ID]])-ROW(LineærRegression_Valg[[#Headers],[Tabel ID]])</f>
        <v>2165</v>
      </c>
      <c r="B2175" s="45">
        <f>ROUNDDOWN((LineærRegression_Valg[[#This Row],[Tabel ID]]-1)/$B$5,0)+1</f>
        <v>542</v>
      </c>
      <c r="C2175" s="45">
        <f t="shared" si="33"/>
        <v>1</v>
      </c>
      <c r="D2175" s="45" t="b">
        <f>LineærRegression_Valg[[#This Row],[Afhængig variabel ID]]&lt;&gt;LineærRegression_Valg[[#This Row],[Uafhængig variabel ID]]</f>
        <v>1</v>
      </c>
      <c r="E2175" s="45" t="b">
        <f>LineærRegression_Valg[[#This Row],[Afhængig variabel ID]]&lt;=$B$5</f>
        <v>0</v>
      </c>
      <c r="F2175" t="str" cm="1">
        <f t="array" ref="F2175">IF(LineærRegression_Valg[[#This Row],[Indenfor range]],INDEX(DataTitel_liste,LineærRegression_Valg[[#This Row],[Afhængig variabel ID]]),INDEX(DataTitel_liste,1))</f>
        <v>Eksempel 1 (interval)</v>
      </c>
      <c r="G2175" s="45" t="str" cm="1">
        <f t="array" ref="G2175">IF(LineærRegression_Valg[[#This Row],[Indenfor range]],IF(LineærRegression_Valg[[#This Row],[Intet overlap]],INDEX(DataTitel_liste,LineærRegression_Valg[[#This Row],[Uafhængig variabel ID]]),INDEX(DataTitel_liste,IF(LineærRegression_Valg[[#This Row],[Afhængig variabel ID]]=1,2,1))),$B$7)</f>
        <v>Eksempel 2 (interval)</v>
      </c>
      <c r="H2175" s="45">
        <f>_xlfn.AGGREGATE(2,5,LineærRegression_Valg[[#This Row],[Tabel ID]])</f>
        <v>1</v>
      </c>
    </row>
    <row r="2176" spans="1:8" x14ac:dyDescent="0.2">
      <c r="A2176">
        <f>ROW(LineærRegression_Valg[[#This Row],[Tabel ID]])-ROW(LineærRegression_Valg[[#Headers],[Tabel ID]])</f>
        <v>2166</v>
      </c>
      <c r="B2176" s="45">
        <f>ROUNDDOWN((LineærRegression_Valg[[#This Row],[Tabel ID]]-1)/$B$5,0)+1</f>
        <v>542</v>
      </c>
      <c r="C2176" s="45">
        <f t="shared" si="33"/>
        <v>2</v>
      </c>
      <c r="D2176" s="45" t="b">
        <f>LineærRegression_Valg[[#This Row],[Afhængig variabel ID]]&lt;&gt;LineærRegression_Valg[[#This Row],[Uafhængig variabel ID]]</f>
        <v>1</v>
      </c>
      <c r="E2176" s="45" t="b">
        <f>LineærRegression_Valg[[#This Row],[Afhængig variabel ID]]&lt;=$B$5</f>
        <v>0</v>
      </c>
      <c r="F2176" t="str" cm="1">
        <f t="array" ref="F2176">IF(LineærRegression_Valg[[#This Row],[Indenfor range]],INDEX(DataTitel_liste,LineærRegression_Valg[[#This Row],[Afhængig variabel ID]]),INDEX(DataTitel_liste,1))</f>
        <v>Eksempel 1 (interval)</v>
      </c>
      <c r="G2176" s="45" t="str" cm="1">
        <f t="array" ref="G2176">IF(LineærRegression_Valg[[#This Row],[Indenfor range]],IF(LineærRegression_Valg[[#This Row],[Intet overlap]],INDEX(DataTitel_liste,LineærRegression_Valg[[#This Row],[Uafhængig variabel ID]]),INDEX(DataTitel_liste,IF(LineærRegression_Valg[[#This Row],[Afhængig variabel ID]]=1,2,1))),$B$7)</f>
        <v>Eksempel 2 (interval)</v>
      </c>
      <c r="H2176" s="45">
        <f>_xlfn.AGGREGATE(2,5,LineærRegression_Valg[[#This Row],[Tabel ID]])</f>
        <v>1</v>
      </c>
    </row>
    <row r="2177" spans="1:8" x14ac:dyDescent="0.2">
      <c r="A2177">
        <f>ROW(LineærRegression_Valg[[#This Row],[Tabel ID]])-ROW(LineærRegression_Valg[[#Headers],[Tabel ID]])</f>
        <v>2167</v>
      </c>
      <c r="B2177" s="45">
        <f>ROUNDDOWN((LineærRegression_Valg[[#This Row],[Tabel ID]]-1)/$B$5,0)+1</f>
        <v>542</v>
      </c>
      <c r="C2177" s="45">
        <f t="shared" si="33"/>
        <v>3</v>
      </c>
      <c r="D2177" s="45" t="b">
        <f>LineærRegression_Valg[[#This Row],[Afhængig variabel ID]]&lt;&gt;LineærRegression_Valg[[#This Row],[Uafhængig variabel ID]]</f>
        <v>1</v>
      </c>
      <c r="E2177" s="45" t="b">
        <f>LineærRegression_Valg[[#This Row],[Afhængig variabel ID]]&lt;=$B$5</f>
        <v>0</v>
      </c>
      <c r="F2177" t="str" cm="1">
        <f t="array" ref="F2177">IF(LineærRegression_Valg[[#This Row],[Indenfor range]],INDEX(DataTitel_liste,LineærRegression_Valg[[#This Row],[Afhængig variabel ID]]),INDEX(DataTitel_liste,1))</f>
        <v>Eksempel 1 (interval)</v>
      </c>
      <c r="G2177" s="45" t="str" cm="1">
        <f t="array" ref="G2177">IF(LineærRegression_Valg[[#This Row],[Indenfor range]],IF(LineærRegression_Valg[[#This Row],[Intet overlap]],INDEX(DataTitel_liste,LineærRegression_Valg[[#This Row],[Uafhængig variabel ID]]),INDEX(DataTitel_liste,IF(LineærRegression_Valg[[#This Row],[Afhængig variabel ID]]=1,2,1))),$B$7)</f>
        <v>Eksempel 2 (interval)</v>
      </c>
      <c r="H2177" s="45">
        <f>_xlfn.AGGREGATE(2,5,LineærRegression_Valg[[#This Row],[Tabel ID]])</f>
        <v>1</v>
      </c>
    </row>
    <row r="2178" spans="1:8" x14ac:dyDescent="0.2">
      <c r="A2178">
        <f>ROW(LineærRegression_Valg[[#This Row],[Tabel ID]])-ROW(LineærRegression_Valg[[#Headers],[Tabel ID]])</f>
        <v>2168</v>
      </c>
      <c r="B2178" s="45">
        <f>ROUNDDOWN((LineærRegression_Valg[[#This Row],[Tabel ID]]-1)/$B$5,0)+1</f>
        <v>542</v>
      </c>
      <c r="C2178" s="45">
        <f t="shared" si="33"/>
        <v>4</v>
      </c>
      <c r="D2178" s="45" t="b">
        <f>LineærRegression_Valg[[#This Row],[Afhængig variabel ID]]&lt;&gt;LineærRegression_Valg[[#This Row],[Uafhængig variabel ID]]</f>
        <v>1</v>
      </c>
      <c r="E2178" s="45" t="b">
        <f>LineærRegression_Valg[[#This Row],[Afhængig variabel ID]]&lt;=$B$5</f>
        <v>0</v>
      </c>
      <c r="F2178" t="str" cm="1">
        <f t="array" ref="F2178">IF(LineærRegression_Valg[[#This Row],[Indenfor range]],INDEX(DataTitel_liste,LineærRegression_Valg[[#This Row],[Afhængig variabel ID]]),INDEX(DataTitel_liste,1))</f>
        <v>Eksempel 1 (interval)</v>
      </c>
      <c r="G2178" s="45" t="str" cm="1">
        <f t="array" ref="G2178">IF(LineærRegression_Valg[[#This Row],[Indenfor range]],IF(LineærRegression_Valg[[#This Row],[Intet overlap]],INDEX(DataTitel_liste,LineærRegression_Valg[[#This Row],[Uafhængig variabel ID]]),INDEX(DataTitel_liste,IF(LineærRegression_Valg[[#This Row],[Afhængig variabel ID]]=1,2,1))),$B$7)</f>
        <v>Eksempel 2 (interval)</v>
      </c>
      <c r="H2178" s="45">
        <f>_xlfn.AGGREGATE(2,5,LineærRegression_Valg[[#This Row],[Tabel ID]])</f>
        <v>1</v>
      </c>
    </row>
    <row r="2179" spans="1:8" x14ac:dyDescent="0.2">
      <c r="A2179">
        <f>ROW(LineærRegression_Valg[[#This Row],[Tabel ID]])-ROW(LineærRegression_Valg[[#Headers],[Tabel ID]])</f>
        <v>2169</v>
      </c>
      <c r="B2179" s="45">
        <f>ROUNDDOWN((LineærRegression_Valg[[#This Row],[Tabel ID]]-1)/$B$5,0)+1</f>
        <v>543</v>
      </c>
      <c r="C2179" s="45">
        <f t="shared" si="33"/>
        <v>1</v>
      </c>
      <c r="D2179" s="45" t="b">
        <f>LineærRegression_Valg[[#This Row],[Afhængig variabel ID]]&lt;&gt;LineærRegression_Valg[[#This Row],[Uafhængig variabel ID]]</f>
        <v>1</v>
      </c>
      <c r="E2179" s="45" t="b">
        <f>LineærRegression_Valg[[#This Row],[Afhængig variabel ID]]&lt;=$B$5</f>
        <v>0</v>
      </c>
      <c r="F2179" t="str" cm="1">
        <f t="array" ref="F2179">IF(LineærRegression_Valg[[#This Row],[Indenfor range]],INDEX(DataTitel_liste,LineærRegression_Valg[[#This Row],[Afhængig variabel ID]]),INDEX(DataTitel_liste,1))</f>
        <v>Eksempel 1 (interval)</v>
      </c>
      <c r="G2179" s="45" t="str" cm="1">
        <f t="array" ref="G2179">IF(LineærRegression_Valg[[#This Row],[Indenfor range]],IF(LineærRegression_Valg[[#This Row],[Intet overlap]],INDEX(DataTitel_liste,LineærRegression_Valg[[#This Row],[Uafhængig variabel ID]]),INDEX(DataTitel_liste,IF(LineærRegression_Valg[[#This Row],[Afhængig variabel ID]]=1,2,1))),$B$7)</f>
        <v>Eksempel 2 (interval)</v>
      </c>
      <c r="H2179" s="45">
        <f>_xlfn.AGGREGATE(2,5,LineærRegression_Valg[[#This Row],[Tabel ID]])</f>
        <v>1</v>
      </c>
    </row>
    <row r="2180" spans="1:8" x14ac:dyDescent="0.2">
      <c r="A2180">
        <f>ROW(LineærRegression_Valg[[#This Row],[Tabel ID]])-ROW(LineærRegression_Valg[[#Headers],[Tabel ID]])</f>
        <v>2170</v>
      </c>
      <c r="B2180" s="45">
        <f>ROUNDDOWN((LineærRegression_Valg[[#This Row],[Tabel ID]]-1)/$B$5,0)+1</f>
        <v>543</v>
      </c>
      <c r="C2180" s="45">
        <f t="shared" si="33"/>
        <v>2</v>
      </c>
      <c r="D2180" s="45" t="b">
        <f>LineærRegression_Valg[[#This Row],[Afhængig variabel ID]]&lt;&gt;LineærRegression_Valg[[#This Row],[Uafhængig variabel ID]]</f>
        <v>1</v>
      </c>
      <c r="E2180" s="45" t="b">
        <f>LineærRegression_Valg[[#This Row],[Afhængig variabel ID]]&lt;=$B$5</f>
        <v>0</v>
      </c>
      <c r="F2180" t="str" cm="1">
        <f t="array" ref="F2180">IF(LineærRegression_Valg[[#This Row],[Indenfor range]],INDEX(DataTitel_liste,LineærRegression_Valg[[#This Row],[Afhængig variabel ID]]),INDEX(DataTitel_liste,1))</f>
        <v>Eksempel 1 (interval)</v>
      </c>
      <c r="G2180" s="45" t="str" cm="1">
        <f t="array" ref="G2180">IF(LineærRegression_Valg[[#This Row],[Indenfor range]],IF(LineærRegression_Valg[[#This Row],[Intet overlap]],INDEX(DataTitel_liste,LineærRegression_Valg[[#This Row],[Uafhængig variabel ID]]),INDEX(DataTitel_liste,IF(LineærRegression_Valg[[#This Row],[Afhængig variabel ID]]=1,2,1))),$B$7)</f>
        <v>Eksempel 2 (interval)</v>
      </c>
      <c r="H2180" s="45">
        <f>_xlfn.AGGREGATE(2,5,LineærRegression_Valg[[#This Row],[Tabel ID]])</f>
        <v>1</v>
      </c>
    </row>
    <row r="2181" spans="1:8" x14ac:dyDescent="0.2">
      <c r="A2181">
        <f>ROW(LineærRegression_Valg[[#This Row],[Tabel ID]])-ROW(LineærRegression_Valg[[#Headers],[Tabel ID]])</f>
        <v>2171</v>
      </c>
      <c r="B2181" s="45">
        <f>ROUNDDOWN((LineærRegression_Valg[[#This Row],[Tabel ID]]-1)/$B$5,0)+1</f>
        <v>543</v>
      </c>
      <c r="C2181" s="45">
        <f t="shared" si="33"/>
        <v>3</v>
      </c>
      <c r="D2181" s="45" t="b">
        <f>LineærRegression_Valg[[#This Row],[Afhængig variabel ID]]&lt;&gt;LineærRegression_Valg[[#This Row],[Uafhængig variabel ID]]</f>
        <v>1</v>
      </c>
      <c r="E2181" s="45" t="b">
        <f>LineærRegression_Valg[[#This Row],[Afhængig variabel ID]]&lt;=$B$5</f>
        <v>0</v>
      </c>
      <c r="F2181" t="str" cm="1">
        <f t="array" ref="F2181">IF(LineærRegression_Valg[[#This Row],[Indenfor range]],INDEX(DataTitel_liste,LineærRegression_Valg[[#This Row],[Afhængig variabel ID]]),INDEX(DataTitel_liste,1))</f>
        <v>Eksempel 1 (interval)</v>
      </c>
      <c r="G2181" s="45" t="str" cm="1">
        <f t="array" ref="G2181">IF(LineærRegression_Valg[[#This Row],[Indenfor range]],IF(LineærRegression_Valg[[#This Row],[Intet overlap]],INDEX(DataTitel_liste,LineærRegression_Valg[[#This Row],[Uafhængig variabel ID]]),INDEX(DataTitel_liste,IF(LineærRegression_Valg[[#This Row],[Afhængig variabel ID]]=1,2,1))),$B$7)</f>
        <v>Eksempel 2 (interval)</v>
      </c>
      <c r="H2181" s="45">
        <f>_xlfn.AGGREGATE(2,5,LineærRegression_Valg[[#This Row],[Tabel ID]])</f>
        <v>1</v>
      </c>
    </row>
    <row r="2182" spans="1:8" x14ac:dyDescent="0.2">
      <c r="A2182">
        <f>ROW(LineærRegression_Valg[[#This Row],[Tabel ID]])-ROW(LineærRegression_Valg[[#Headers],[Tabel ID]])</f>
        <v>2172</v>
      </c>
      <c r="B2182" s="45">
        <f>ROUNDDOWN((LineærRegression_Valg[[#This Row],[Tabel ID]]-1)/$B$5,0)+1</f>
        <v>543</v>
      </c>
      <c r="C2182" s="45">
        <f t="shared" si="33"/>
        <v>4</v>
      </c>
      <c r="D2182" s="45" t="b">
        <f>LineærRegression_Valg[[#This Row],[Afhængig variabel ID]]&lt;&gt;LineærRegression_Valg[[#This Row],[Uafhængig variabel ID]]</f>
        <v>1</v>
      </c>
      <c r="E2182" s="45" t="b">
        <f>LineærRegression_Valg[[#This Row],[Afhængig variabel ID]]&lt;=$B$5</f>
        <v>0</v>
      </c>
      <c r="F2182" t="str" cm="1">
        <f t="array" ref="F2182">IF(LineærRegression_Valg[[#This Row],[Indenfor range]],INDEX(DataTitel_liste,LineærRegression_Valg[[#This Row],[Afhængig variabel ID]]),INDEX(DataTitel_liste,1))</f>
        <v>Eksempel 1 (interval)</v>
      </c>
      <c r="G2182" s="45" t="str" cm="1">
        <f t="array" ref="G2182">IF(LineærRegression_Valg[[#This Row],[Indenfor range]],IF(LineærRegression_Valg[[#This Row],[Intet overlap]],INDEX(DataTitel_liste,LineærRegression_Valg[[#This Row],[Uafhængig variabel ID]]),INDEX(DataTitel_liste,IF(LineærRegression_Valg[[#This Row],[Afhængig variabel ID]]=1,2,1))),$B$7)</f>
        <v>Eksempel 2 (interval)</v>
      </c>
      <c r="H2182" s="45">
        <f>_xlfn.AGGREGATE(2,5,LineærRegression_Valg[[#This Row],[Tabel ID]])</f>
        <v>1</v>
      </c>
    </row>
    <row r="2183" spans="1:8" x14ac:dyDescent="0.2">
      <c r="A2183">
        <f>ROW(LineærRegression_Valg[[#This Row],[Tabel ID]])-ROW(LineærRegression_Valg[[#Headers],[Tabel ID]])</f>
        <v>2173</v>
      </c>
      <c r="B2183" s="45">
        <f>ROUNDDOWN((LineærRegression_Valg[[#This Row],[Tabel ID]]-1)/$B$5,0)+1</f>
        <v>544</v>
      </c>
      <c r="C2183" s="45">
        <f t="shared" si="33"/>
        <v>1</v>
      </c>
      <c r="D2183" s="45" t="b">
        <f>LineærRegression_Valg[[#This Row],[Afhængig variabel ID]]&lt;&gt;LineærRegression_Valg[[#This Row],[Uafhængig variabel ID]]</f>
        <v>1</v>
      </c>
      <c r="E2183" s="45" t="b">
        <f>LineærRegression_Valg[[#This Row],[Afhængig variabel ID]]&lt;=$B$5</f>
        <v>0</v>
      </c>
      <c r="F2183" t="str" cm="1">
        <f t="array" ref="F2183">IF(LineærRegression_Valg[[#This Row],[Indenfor range]],INDEX(DataTitel_liste,LineærRegression_Valg[[#This Row],[Afhængig variabel ID]]),INDEX(DataTitel_liste,1))</f>
        <v>Eksempel 1 (interval)</v>
      </c>
      <c r="G2183" s="45" t="str" cm="1">
        <f t="array" ref="G2183">IF(LineærRegression_Valg[[#This Row],[Indenfor range]],IF(LineærRegression_Valg[[#This Row],[Intet overlap]],INDEX(DataTitel_liste,LineærRegression_Valg[[#This Row],[Uafhængig variabel ID]]),INDEX(DataTitel_liste,IF(LineærRegression_Valg[[#This Row],[Afhængig variabel ID]]=1,2,1))),$B$7)</f>
        <v>Eksempel 2 (interval)</v>
      </c>
      <c r="H2183" s="45">
        <f>_xlfn.AGGREGATE(2,5,LineærRegression_Valg[[#This Row],[Tabel ID]])</f>
        <v>1</v>
      </c>
    </row>
    <row r="2184" spans="1:8" x14ac:dyDescent="0.2">
      <c r="A2184">
        <f>ROW(LineærRegression_Valg[[#This Row],[Tabel ID]])-ROW(LineærRegression_Valg[[#Headers],[Tabel ID]])</f>
        <v>2174</v>
      </c>
      <c r="B2184" s="45">
        <f>ROUNDDOWN((LineærRegression_Valg[[#This Row],[Tabel ID]]-1)/$B$5,0)+1</f>
        <v>544</v>
      </c>
      <c r="C2184" s="45">
        <f t="shared" si="33"/>
        <v>2</v>
      </c>
      <c r="D2184" s="45" t="b">
        <f>LineærRegression_Valg[[#This Row],[Afhængig variabel ID]]&lt;&gt;LineærRegression_Valg[[#This Row],[Uafhængig variabel ID]]</f>
        <v>1</v>
      </c>
      <c r="E2184" s="45" t="b">
        <f>LineærRegression_Valg[[#This Row],[Afhængig variabel ID]]&lt;=$B$5</f>
        <v>0</v>
      </c>
      <c r="F2184" t="str" cm="1">
        <f t="array" ref="F2184">IF(LineærRegression_Valg[[#This Row],[Indenfor range]],INDEX(DataTitel_liste,LineærRegression_Valg[[#This Row],[Afhængig variabel ID]]),INDEX(DataTitel_liste,1))</f>
        <v>Eksempel 1 (interval)</v>
      </c>
      <c r="G2184" s="45" t="str" cm="1">
        <f t="array" ref="G2184">IF(LineærRegression_Valg[[#This Row],[Indenfor range]],IF(LineærRegression_Valg[[#This Row],[Intet overlap]],INDEX(DataTitel_liste,LineærRegression_Valg[[#This Row],[Uafhængig variabel ID]]),INDEX(DataTitel_liste,IF(LineærRegression_Valg[[#This Row],[Afhængig variabel ID]]=1,2,1))),$B$7)</f>
        <v>Eksempel 2 (interval)</v>
      </c>
      <c r="H2184" s="45">
        <f>_xlfn.AGGREGATE(2,5,LineærRegression_Valg[[#This Row],[Tabel ID]])</f>
        <v>1</v>
      </c>
    </row>
    <row r="2185" spans="1:8" x14ac:dyDescent="0.2">
      <c r="A2185">
        <f>ROW(LineærRegression_Valg[[#This Row],[Tabel ID]])-ROW(LineærRegression_Valg[[#Headers],[Tabel ID]])</f>
        <v>2175</v>
      </c>
      <c r="B2185" s="45">
        <f>ROUNDDOWN((LineærRegression_Valg[[#This Row],[Tabel ID]]-1)/$B$5,0)+1</f>
        <v>544</v>
      </c>
      <c r="C2185" s="45">
        <f t="shared" si="33"/>
        <v>3</v>
      </c>
      <c r="D2185" s="45" t="b">
        <f>LineærRegression_Valg[[#This Row],[Afhængig variabel ID]]&lt;&gt;LineærRegression_Valg[[#This Row],[Uafhængig variabel ID]]</f>
        <v>1</v>
      </c>
      <c r="E2185" s="45" t="b">
        <f>LineærRegression_Valg[[#This Row],[Afhængig variabel ID]]&lt;=$B$5</f>
        <v>0</v>
      </c>
      <c r="F2185" t="str" cm="1">
        <f t="array" ref="F2185">IF(LineærRegression_Valg[[#This Row],[Indenfor range]],INDEX(DataTitel_liste,LineærRegression_Valg[[#This Row],[Afhængig variabel ID]]),INDEX(DataTitel_liste,1))</f>
        <v>Eksempel 1 (interval)</v>
      </c>
      <c r="G2185" s="45" t="str" cm="1">
        <f t="array" ref="G2185">IF(LineærRegression_Valg[[#This Row],[Indenfor range]],IF(LineærRegression_Valg[[#This Row],[Intet overlap]],INDEX(DataTitel_liste,LineærRegression_Valg[[#This Row],[Uafhængig variabel ID]]),INDEX(DataTitel_liste,IF(LineærRegression_Valg[[#This Row],[Afhængig variabel ID]]=1,2,1))),$B$7)</f>
        <v>Eksempel 2 (interval)</v>
      </c>
      <c r="H2185" s="45">
        <f>_xlfn.AGGREGATE(2,5,LineærRegression_Valg[[#This Row],[Tabel ID]])</f>
        <v>1</v>
      </c>
    </row>
    <row r="2186" spans="1:8" x14ac:dyDescent="0.2">
      <c r="A2186">
        <f>ROW(LineærRegression_Valg[[#This Row],[Tabel ID]])-ROW(LineærRegression_Valg[[#Headers],[Tabel ID]])</f>
        <v>2176</v>
      </c>
      <c r="B2186" s="45">
        <f>ROUNDDOWN((LineærRegression_Valg[[#This Row],[Tabel ID]]-1)/$B$5,0)+1</f>
        <v>544</v>
      </c>
      <c r="C2186" s="45">
        <f t="shared" si="33"/>
        <v>4</v>
      </c>
      <c r="D2186" s="45" t="b">
        <f>LineærRegression_Valg[[#This Row],[Afhængig variabel ID]]&lt;&gt;LineærRegression_Valg[[#This Row],[Uafhængig variabel ID]]</f>
        <v>1</v>
      </c>
      <c r="E2186" s="45" t="b">
        <f>LineærRegression_Valg[[#This Row],[Afhængig variabel ID]]&lt;=$B$5</f>
        <v>0</v>
      </c>
      <c r="F2186" t="str" cm="1">
        <f t="array" ref="F2186">IF(LineærRegression_Valg[[#This Row],[Indenfor range]],INDEX(DataTitel_liste,LineærRegression_Valg[[#This Row],[Afhængig variabel ID]]),INDEX(DataTitel_liste,1))</f>
        <v>Eksempel 1 (interval)</v>
      </c>
      <c r="G2186" s="45" t="str" cm="1">
        <f t="array" ref="G2186">IF(LineærRegression_Valg[[#This Row],[Indenfor range]],IF(LineærRegression_Valg[[#This Row],[Intet overlap]],INDEX(DataTitel_liste,LineærRegression_Valg[[#This Row],[Uafhængig variabel ID]]),INDEX(DataTitel_liste,IF(LineærRegression_Valg[[#This Row],[Afhængig variabel ID]]=1,2,1))),$B$7)</f>
        <v>Eksempel 2 (interval)</v>
      </c>
      <c r="H2186" s="45">
        <f>_xlfn.AGGREGATE(2,5,LineærRegression_Valg[[#This Row],[Tabel ID]])</f>
        <v>1</v>
      </c>
    </row>
    <row r="2187" spans="1:8" x14ac:dyDescent="0.2">
      <c r="A2187">
        <f>ROW(LineærRegression_Valg[[#This Row],[Tabel ID]])-ROW(LineærRegression_Valg[[#Headers],[Tabel ID]])</f>
        <v>2177</v>
      </c>
      <c r="B2187" s="45">
        <f>ROUNDDOWN((LineærRegression_Valg[[#This Row],[Tabel ID]]-1)/$B$5,0)+1</f>
        <v>545</v>
      </c>
      <c r="C2187" s="45">
        <f t="shared" ref="C2187:C2250" si="34">MOD(A2187-1,$B$5)+1</f>
        <v>1</v>
      </c>
      <c r="D2187" s="45" t="b">
        <f>LineærRegression_Valg[[#This Row],[Afhængig variabel ID]]&lt;&gt;LineærRegression_Valg[[#This Row],[Uafhængig variabel ID]]</f>
        <v>1</v>
      </c>
      <c r="E2187" s="45" t="b">
        <f>LineærRegression_Valg[[#This Row],[Afhængig variabel ID]]&lt;=$B$5</f>
        <v>0</v>
      </c>
      <c r="F2187" t="str" cm="1">
        <f t="array" ref="F2187">IF(LineærRegression_Valg[[#This Row],[Indenfor range]],INDEX(DataTitel_liste,LineærRegression_Valg[[#This Row],[Afhængig variabel ID]]),INDEX(DataTitel_liste,1))</f>
        <v>Eksempel 1 (interval)</v>
      </c>
      <c r="G2187" s="45" t="str" cm="1">
        <f t="array" ref="G2187">IF(LineærRegression_Valg[[#This Row],[Indenfor range]],IF(LineærRegression_Valg[[#This Row],[Intet overlap]],INDEX(DataTitel_liste,LineærRegression_Valg[[#This Row],[Uafhængig variabel ID]]),INDEX(DataTitel_liste,IF(LineærRegression_Valg[[#This Row],[Afhængig variabel ID]]=1,2,1))),$B$7)</f>
        <v>Eksempel 2 (interval)</v>
      </c>
      <c r="H2187" s="45">
        <f>_xlfn.AGGREGATE(2,5,LineærRegression_Valg[[#This Row],[Tabel ID]])</f>
        <v>1</v>
      </c>
    </row>
    <row r="2188" spans="1:8" x14ac:dyDescent="0.2">
      <c r="A2188">
        <f>ROW(LineærRegression_Valg[[#This Row],[Tabel ID]])-ROW(LineærRegression_Valg[[#Headers],[Tabel ID]])</f>
        <v>2178</v>
      </c>
      <c r="B2188" s="45">
        <f>ROUNDDOWN((LineærRegression_Valg[[#This Row],[Tabel ID]]-1)/$B$5,0)+1</f>
        <v>545</v>
      </c>
      <c r="C2188" s="45">
        <f t="shared" si="34"/>
        <v>2</v>
      </c>
      <c r="D2188" s="45" t="b">
        <f>LineærRegression_Valg[[#This Row],[Afhængig variabel ID]]&lt;&gt;LineærRegression_Valg[[#This Row],[Uafhængig variabel ID]]</f>
        <v>1</v>
      </c>
      <c r="E2188" s="45" t="b">
        <f>LineærRegression_Valg[[#This Row],[Afhængig variabel ID]]&lt;=$B$5</f>
        <v>0</v>
      </c>
      <c r="F2188" t="str" cm="1">
        <f t="array" ref="F2188">IF(LineærRegression_Valg[[#This Row],[Indenfor range]],INDEX(DataTitel_liste,LineærRegression_Valg[[#This Row],[Afhængig variabel ID]]),INDEX(DataTitel_liste,1))</f>
        <v>Eksempel 1 (interval)</v>
      </c>
      <c r="G2188" s="45" t="str" cm="1">
        <f t="array" ref="G2188">IF(LineærRegression_Valg[[#This Row],[Indenfor range]],IF(LineærRegression_Valg[[#This Row],[Intet overlap]],INDEX(DataTitel_liste,LineærRegression_Valg[[#This Row],[Uafhængig variabel ID]]),INDEX(DataTitel_liste,IF(LineærRegression_Valg[[#This Row],[Afhængig variabel ID]]=1,2,1))),$B$7)</f>
        <v>Eksempel 2 (interval)</v>
      </c>
      <c r="H2188" s="45">
        <f>_xlfn.AGGREGATE(2,5,LineærRegression_Valg[[#This Row],[Tabel ID]])</f>
        <v>1</v>
      </c>
    </row>
    <row r="2189" spans="1:8" x14ac:dyDescent="0.2">
      <c r="A2189">
        <f>ROW(LineærRegression_Valg[[#This Row],[Tabel ID]])-ROW(LineærRegression_Valg[[#Headers],[Tabel ID]])</f>
        <v>2179</v>
      </c>
      <c r="B2189" s="45">
        <f>ROUNDDOWN((LineærRegression_Valg[[#This Row],[Tabel ID]]-1)/$B$5,0)+1</f>
        <v>545</v>
      </c>
      <c r="C2189" s="45">
        <f t="shared" si="34"/>
        <v>3</v>
      </c>
      <c r="D2189" s="45" t="b">
        <f>LineærRegression_Valg[[#This Row],[Afhængig variabel ID]]&lt;&gt;LineærRegression_Valg[[#This Row],[Uafhængig variabel ID]]</f>
        <v>1</v>
      </c>
      <c r="E2189" s="45" t="b">
        <f>LineærRegression_Valg[[#This Row],[Afhængig variabel ID]]&lt;=$B$5</f>
        <v>0</v>
      </c>
      <c r="F2189" t="str" cm="1">
        <f t="array" ref="F2189">IF(LineærRegression_Valg[[#This Row],[Indenfor range]],INDEX(DataTitel_liste,LineærRegression_Valg[[#This Row],[Afhængig variabel ID]]),INDEX(DataTitel_liste,1))</f>
        <v>Eksempel 1 (interval)</v>
      </c>
      <c r="G2189" s="45" t="str" cm="1">
        <f t="array" ref="G2189">IF(LineærRegression_Valg[[#This Row],[Indenfor range]],IF(LineærRegression_Valg[[#This Row],[Intet overlap]],INDEX(DataTitel_liste,LineærRegression_Valg[[#This Row],[Uafhængig variabel ID]]),INDEX(DataTitel_liste,IF(LineærRegression_Valg[[#This Row],[Afhængig variabel ID]]=1,2,1))),$B$7)</f>
        <v>Eksempel 2 (interval)</v>
      </c>
      <c r="H2189" s="45">
        <f>_xlfn.AGGREGATE(2,5,LineærRegression_Valg[[#This Row],[Tabel ID]])</f>
        <v>1</v>
      </c>
    </row>
    <row r="2190" spans="1:8" x14ac:dyDescent="0.2">
      <c r="A2190">
        <f>ROW(LineærRegression_Valg[[#This Row],[Tabel ID]])-ROW(LineærRegression_Valg[[#Headers],[Tabel ID]])</f>
        <v>2180</v>
      </c>
      <c r="B2190" s="45">
        <f>ROUNDDOWN((LineærRegression_Valg[[#This Row],[Tabel ID]]-1)/$B$5,0)+1</f>
        <v>545</v>
      </c>
      <c r="C2190" s="45">
        <f t="shared" si="34"/>
        <v>4</v>
      </c>
      <c r="D2190" s="45" t="b">
        <f>LineærRegression_Valg[[#This Row],[Afhængig variabel ID]]&lt;&gt;LineærRegression_Valg[[#This Row],[Uafhængig variabel ID]]</f>
        <v>1</v>
      </c>
      <c r="E2190" s="45" t="b">
        <f>LineærRegression_Valg[[#This Row],[Afhængig variabel ID]]&lt;=$B$5</f>
        <v>0</v>
      </c>
      <c r="F2190" t="str" cm="1">
        <f t="array" ref="F2190">IF(LineærRegression_Valg[[#This Row],[Indenfor range]],INDEX(DataTitel_liste,LineærRegression_Valg[[#This Row],[Afhængig variabel ID]]),INDEX(DataTitel_liste,1))</f>
        <v>Eksempel 1 (interval)</v>
      </c>
      <c r="G2190" s="45" t="str" cm="1">
        <f t="array" ref="G2190">IF(LineærRegression_Valg[[#This Row],[Indenfor range]],IF(LineærRegression_Valg[[#This Row],[Intet overlap]],INDEX(DataTitel_liste,LineærRegression_Valg[[#This Row],[Uafhængig variabel ID]]),INDEX(DataTitel_liste,IF(LineærRegression_Valg[[#This Row],[Afhængig variabel ID]]=1,2,1))),$B$7)</f>
        <v>Eksempel 2 (interval)</v>
      </c>
      <c r="H2190" s="45">
        <f>_xlfn.AGGREGATE(2,5,LineærRegression_Valg[[#This Row],[Tabel ID]])</f>
        <v>1</v>
      </c>
    </row>
    <row r="2191" spans="1:8" x14ac:dyDescent="0.2">
      <c r="A2191">
        <f>ROW(LineærRegression_Valg[[#This Row],[Tabel ID]])-ROW(LineærRegression_Valg[[#Headers],[Tabel ID]])</f>
        <v>2181</v>
      </c>
      <c r="B2191" s="45">
        <f>ROUNDDOWN((LineærRegression_Valg[[#This Row],[Tabel ID]]-1)/$B$5,0)+1</f>
        <v>546</v>
      </c>
      <c r="C2191" s="45">
        <f t="shared" si="34"/>
        <v>1</v>
      </c>
      <c r="D2191" s="45" t="b">
        <f>LineærRegression_Valg[[#This Row],[Afhængig variabel ID]]&lt;&gt;LineærRegression_Valg[[#This Row],[Uafhængig variabel ID]]</f>
        <v>1</v>
      </c>
      <c r="E2191" s="45" t="b">
        <f>LineærRegression_Valg[[#This Row],[Afhængig variabel ID]]&lt;=$B$5</f>
        <v>0</v>
      </c>
      <c r="F2191" t="str" cm="1">
        <f t="array" ref="F2191">IF(LineærRegression_Valg[[#This Row],[Indenfor range]],INDEX(DataTitel_liste,LineærRegression_Valg[[#This Row],[Afhængig variabel ID]]),INDEX(DataTitel_liste,1))</f>
        <v>Eksempel 1 (interval)</v>
      </c>
      <c r="G2191" s="45" t="str" cm="1">
        <f t="array" ref="G2191">IF(LineærRegression_Valg[[#This Row],[Indenfor range]],IF(LineærRegression_Valg[[#This Row],[Intet overlap]],INDEX(DataTitel_liste,LineærRegression_Valg[[#This Row],[Uafhængig variabel ID]]),INDEX(DataTitel_liste,IF(LineærRegression_Valg[[#This Row],[Afhængig variabel ID]]=1,2,1))),$B$7)</f>
        <v>Eksempel 2 (interval)</v>
      </c>
      <c r="H2191" s="45">
        <f>_xlfn.AGGREGATE(2,5,LineærRegression_Valg[[#This Row],[Tabel ID]])</f>
        <v>1</v>
      </c>
    </row>
    <row r="2192" spans="1:8" x14ac:dyDescent="0.2">
      <c r="A2192">
        <f>ROW(LineærRegression_Valg[[#This Row],[Tabel ID]])-ROW(LineærRegression_Valg[[#Headers],[Tabel ID]])</f>
        <v>2182</v>
      </c>
      <c r="B2192" s="45">
        <f>ROUNDDOWN((LineærRegression_Valg[[#This Row],[Tabel ID]]-1)/$B$5,0)+1</f>
        <v>546</v>
      </c>
      <c r="C2192" s="45">
        <f t="shared" si="34"/>
        <v>2</v>
      </c>
      <c r="D2192" s="45" t="b">
        <f>LineærRegression_Valg[[#This Row],[Afhængig variabel ID]]&lt;&gt;LineærRegression_Valg[[#This Row],[Uafhængig variabel ID]]</f>
        <v>1</v>
      </c>
      <c r="E2192" s="45" t="b">
        <f>LineærRegression_Valg[[#This Row],[Afhængig variabel ID]]&lt;=$B$5</f>
        <v>0</v>
      </c>
      <c r="F2192" t="str" cm="1">
        <f t="array" ref="F2192">IF(LineærRegression_Valg[[#This Row],[Indenfor range]],INDEX(DataTitel_liste,LineærRegression_Valg[[#This Row],[Afhængig variabel ID]]),INDEX(DataTitel_liste,1))</f>
        <v>Eksempel 1 (interval)</v>
      </c>
      <c r="G2192" s="45" t="str" cm="1">
        <f t="array" ref="G2192">IF(LineærRegression_Valg[[#This Row],[Indenfor range]],IF(LineærRegression_Valg[[#This Row],[Intet overlap]],INDEX(DataTitel_liste,LineærRegression_Valg[[#This Row],[Uafhængig variabel ID]]),INDEX(DataTitel_liste,IF(LineærRegression_Valg[[#This Row],[Afhængig variabel ID]]=1,2,1))),$B$7)</f>
        <v>Eksempel 2 (interval)</v>
      </c>
      <c r="H2192" s="45">
        <f>_xlfn.AGGREGATE(2,5,LineærRegression_Valg[[#This Row],[Tabel ID]])</f>
        <v>1</v>
      </c>
    </row>
    <row r="2193" spans="1:8" x14ac:dyDescent="0.2">
      <c r="A2193">
        <f>ROW(LineærRegression_Valg[[#This Row],[Tabel ID]])-ROW(LineærRegression_Valg[[#Headers],[Tabel ID]])</f>
        <v>2183</v>
      </c>
      <c r="B2193" s="45">
        <f>ROUNDDOWN((LineærRegression_Valg[[#This Row],[Tabel ID]]-1)/$B$5,0)+1</f>
        <v>546</v>
      </c>
      <c r="C2193" s="45">
        <f t="shared" si="34"/>
        <v>3</v>
      </c>
      <c r="D2193" s="45" t="b">
        <f>LineærRegression_Valg[[#This Row],[Afhængig variabel ID]]&lt;&gt;LineærRegression_Valg[[#This Row],[Uafhængig variabel ID]]</f>
        <v>1</v>
      </c>
      <c r="E2193" s="45" t="b">
        <f>LineærRegression_Valg[[#This Row],[Afhængig variabel ID]]&lt;=$B$5</f>
        <v>0</v>
      </c>
      <c r="F2193" t="str" cm="1">
        <f t="array" ref="F2193">IF(LineærRegression_Valg[[#This Row],[Indenfor range]],INDEX(DataTitel_liste,LineærRegression_Valg[[#This Row],[Afhængig variabel ID]]),INDEX(DataTitel_liste,1))</f>
        <v>Eksempel 1 (interval)</v>
      </c>
      <c r="G2193" s="45" t="str" cm="1">
        <f t="array" ref="G2193">IF(LineærRegression_Valg[[#This Row],[Indenfor range]],IF(LineærRegression_Valg[[#This Row],[Intet overlap]],INDEX(DataTitel_liste,LineærRegression_Valg[[#This Row],[Uafhængig variabel ID]]),INDEX(DataTitel_liste,IF(LineærRegression_Valg[[#This Row],[Afhængig variabel ID]]=1,2,1))),$B$7)</f>
        <v>Eksempel 2 (interval)</v>
      </c>
      <c r="H2193" s="45">
        <f>_xlfn.AGGREGATE(2,5,LineærRegression_Valg[[#This Row],[Tabel ID]])</f>
        <v>1</v>
      </c>
    </row>
    <row r="2194" spans="1:8" x14ac:dyDescent="0.2">
      <c r="A2194">
        <f>ROW(LineærRegression_Valg[[#This Row],[Tabel ID]])-ROW(LineærRegression_Valg[[#Headers],[Tabel ID]])</f>
        <v>2184</v>
      </c>
      <c r="B2194" s="45">
        <f>ROUNDDOWN((LineærRegression_Valg[[#This Row],[Tabel ID]]-1)/$B$5,0)+1</f>
        <v>546</v>
      </c>
      <c r="C2194" s="45">
        <f t="shared" si="34"/>
        <v>4</v>
      </c>
      <c r="D2194" s="45" t="b">
        <f>LineærRegression_Valg[[#This Row],[Afhængig variabel ID]]&lt;&gt;LineærRegression_Valg[[#This Row],[Uafhængig variabel ID]]</f>
        <v>1</v>
      </c>
      <c r="E2194" s="45" t="b">
        <f>LineærRegression_Valg[[#This Row],[Afhængig variabel ID]]&lt;=$B$5</f>
        <v>0</v>
      </c>
      <c r="F2194" t="str" cm="1">
        <f t="array" ref="F2194">IF(LineærRegression_Valg[[#This Row],[Indenfor range]],INDEX(DataTitel_liste,LineærRegression_Valg[[#This Row],[Afhængig variabel ID]]),INDEX(DataTitel_liste,1))</f>
        <v>Eksempel 1 (interval)</v>
      </c>
      <c r="G2194" s="45" t="str" cm="1">
        <f t="array" ref="G2194">IF(LineærRegression_Valg[[#This Row],[Indenfor range]],IF(LineærRegression_Valg[[#This Row],[Intet overlap]],INDEX(DataTitel_liste,LineærRegression_Valg[[#This Row],[Uafhængig variabel ID]]),INDEX(DataTitel_liste,IF(LineærRegression_Valg[[#This Row],[Afhængig variabel ID]]=1,2,1))),$B$7)</f>
        <v>Eksempel 2 (interval)</v>
      </c>
      <c r="H2194" s="45">
        <f>_xlfn.AGGREGATE(2,5,LineærRegression_Valg[[#This Row],[Tabel ID]])</f>
        <v>1</v>
      </c>
    </row>
    <row r="2195" spans="1:8" x14ac:dyDescent="0.2">
      <c r="A2195">
        <f>ROW(LineærRegression_Valg[[#This Row],[Tabel ID]])-ROW(LineærRegression_Valg[[#Headers],[Tabel ID]])</f>
        <v>2185</v>
      </c>
      <c r="B2195" s="45">
        <f>ROUNDDOWN((LineærRegression_Valg[[#This Row],[Tabel ID]]-1)/$B$5,0)+1</f>
        <v>547</v>
      </c>
      <c r="C2195" s="45">
        <f t="shared" si="34"/>
        <v>1</v>
      </c>
      <c r="D2195" s="45" t="b">
        <f>LineærRegression_Valg[[#This Row],[Afhængig variabel ID]]&lt;&gt;LineærRegression_Valg[[#This Row],[Uafhængig variabel ID]]</f>
        <v>1</v>
      </c>
      <c r="E2195" s="45" t="b">
        <f>LineærRegression_Valg[[#This Row],[Afhængig variabel ID]]&lt;=$B$5</f>
        <v>0</v>
      </c>
      <c r="F2195" t="str" cm="1">
        <f t="array" ref="F2195">IF(LineærRegression_Valg[[#This Row],[Indenfor range]],INDEX(DataTitel_liste,LineærRegression_Valg[[#This Row],[Afhængig variabel ID]]),INDEX(DataTitel_liste,1))</f>
        <v>Eksempel 1 (interval)</v>
      </c>
      <c r="G2195" s="45" t="str" cm="1">
        <f t="array" ref="G2195">IF(LineærRegression_Valg[[#This Row],[Indenfor range]],IF(LineærRegression_Valg[[#This Row],[Intet overlap]],INDEX(DataTitel_liste,LineærRegression_Valg[[#This Row],[Uafhængig variabel ID]]),INDEX(DataTitel_liste,IF(LineærRegression_Valg[[#This Row],[Afhængig variabel ID]]=1,2,1))),$B$7)</f>
        <v>Eksempel 2 (interval)</v>
      </c>
      <c r="H2195" s="45">
        <f>_xlfn.AGGREGATE(2,5,LineærRegression_Valg[[#This Row],[Tabel ID]])</f>
        <v>1</v>
      </c>
    </row>
    <row r="2196" spans="1:8" x14ac:dyDescent="0.2">
      <c r="A2196">
        <f>ROW(LineærRegression_Valg[[#This Row],[Tabel ID]])-ROW(LineærRegression_Valg[[#Headers],[Tabel ID]])</f>
        <v>2186</v>
      </c>
      <c r="B2196" s="45">
        <f>ROUNDDOWN((LineærRegression_Valg[[#This Row],[Tabel ID]]-1)/$B$5,0)+1</f>
        <v>547</v>
      </c>
      <c r="C2196" s="45">
        <f t="shared" si="34"/>
        <v>2</v>
      </c>
      <c r="D2196" s="45" t="b">
        <f>LineærRegression_Valg[[#This Row],[Afhængig variabel ID]]&lt;&gt;LineærRegression_Valg[[#This Row],[Uafhængig variabel ID]]</f>
        <v>1</v>
      </c>
      <c r="E2196" s="45" t="b">
        <f>LineærRegression_Valg[[#This Row],[Afhængig variabel ID]]&lt;=$B$5</f>
        <v>0</v>
      </c>
      <c r="F2196" t="str" cm="1">
        <f t="array" ref="F2196">IF(LineærRegression_Valg[[#This Row],[Indenfor range]],INDEX(DataTitel_liste,LineærRegression_Valg[[#This Row],[Afhængig variabel ID]]),INDEX(DataTitel_liste,1))</f>
        <v>Eksempel 1 (interval)</v>
      </c>
      <c r="G2196" s="45" t="str" cm="1">
        <f t="array" ref="G2196">IF(LineærRegression_Valg[[#This Row],[Indenfor range]],IF(LineærRegression_Valg[[#This Row],[Intet overlap]],INDEX(DataTitel_liste,LineærRegression_Valg[[#This Row],[Uafhængig variabel ID]]),INDEX(DataTitel_liste,IF(LineærRegression_Valg[[#This Row],[Afhængig variabel ID]]=1,2,1))),$B$7)</f>
        <v>Eksempel 2 (interval)</v>
      </c>
      <c r="H2196" s="45">
        <f>_xlfn.AGGREGATE(2,5,LineærRegression_Valg[[#This Row],[Tabel ID]])</f>
        <v>1</v>
      </c>
    </row>
    <row r="2197" spans="1:8" x14ac:dyDescent="0.2">
      <c r="A2197">
        <f>ROW(LineærRegression_Valg[[#This Row],[Tabel ID]])-ROW(LineærRegression_Valg[[#Headers],[Tabel ID]])</f>
        <v>2187</v>
      </c>
      <c r="B2197" s="45">
        <f>ROUNDDOWN((LineærRegression_Valg[[#This Row],[Tabel ID]]-1)/$B$5,0)+1</f>
        <v>547</v>
      </c>
      <c r="C2197" s="45">
        <f t="shared" si="34"/>
        <v>3</v>
      </c>
      <c r="D2197" s="45" t="b">
        <f>LineærRegression_Valg[[#This Row],[Afhængig variabel ID]]&lt;&gt;LineærRegression_Valg[[#This Row],[Uafhængig variabel ID]]</f>
        <v>1</v>
      </c>
      <c r="E2197" s="45" t="b">
        <f>LineærRegression_Valg[[#This Row],[Afhængig variabel ID]]&lt;=$B$5</f>
        <v>0</v>
      </c>
      <c r="F2197" t="str" cm="1">
        <f t="array" ref="F2197">IF(LineærRegression_Valg[[#This Row],[Indenfor range]],INDEX(DataTitel_liste,LineærRegression_Valg[[#This Row],[Afhængig variabel ID]]),INDEX(DataTitel_liste,1))</f>
        <v>Eksempel 1 (interval)</v>
      </c>
      <c r="G2197" s="45" t="str" cm="1">
        <f t="array" ref="G2197">IF(LineærRegression_Valg[[#This Row],[Indenfor range]],IF(LineærRegression_Valg[[#This Row],[Intet overlap]],INDEX(DataTitel_liste,LineærRegression_Valg[[#This Row],[Uafhængig variabel ID]]),INDEX(DataTitel_liste,IF(LineærRegression_Valg[[#This Row],[Afhængig variabel ID]]=1,2,1))),$B$7)</f>
        <v>Eksempel 2 (interval)</v>
      </c>
      <c r="H2197" s="45">
        <f>_xlfn.AGGREGATE(2,5,LineærRegression_Valg[[#This Row],[Tabel ID]])</f>
        <v>1</v>
      </c>
    </row>
    <row r="2198" spans="1:8" x14ac:dyDescent="0.2">
      <c r="A2198">
        <f>ROW(LineærRegression_Valg[[#This Row],[Tabel ID]])-ROW(LineærRegression_Valg[[#Headers],[Tabel ID]])</f>
        <v>2188</v>
      </c>
      <c r="B2198" s="45">
        <f>ROUNDDOWN((LineærRegression_Valg[[#This Row],[Tabel ID]]-1)/$B$5,0)+1</f>
        <v>547</v>
      </c>
      <c r="C2198" s="45">
        <f t="shared" si="34"/>
        <v>4</v>
      </c>
      <c r="D2198" s="45" t="b">
        <f>LineærRegression_Valg[[#This Row],[Afhængig variabel ID]]&lt;&gt;LineærRegression_Valg[[#This Row],[Uafhængig variabel ID]]</f>
        <v>1</v>
      </c>
      <c r="E2198" s="45" t="b">
        <f>LineærRegression_Valg[[#This Row],[Afhængig variabel ID]]&lt;=$B$5</f>
        <v>0</v>
      </c>
      <c r="F2198" t="str" cm="1">
        <f t="array" ref="F2198">IF(LineærRegression_Valg[[#This Row],[Indenfor range]],INDEX(DataTitel_liste,LineærRegression_Valg[[#This Row],[Afhængig variabel ID]]),INDEX(DataTitel_liste,1))</f>
        <v>Eksempel 1 (interval)</v>
      </c>
      <c r="G2198" s="45" t="str" cm="1">
        <f t="array" ref="G2198">IF(LineærRegression_Valg[[#This Row],[Indenfor range]],IF(LineærRegression_Valg[[#This Row],[Intet overlap]],INDEX(DataTitel_liste,LineærRegression_Valg[[#This Row],[Uafhængig variabel ID]]),INDEX(DataTitel_liste,IF(LineærRegression_Valg[[#This Row],[Afhængig variabel ID]]=1,2,1))),$B$7)</f>
        <v>Eksempel 2 (interval)</v>
      </c>
      <c r="H2198" s="45">
        <f>_xlfn.AGGREGATE(2,5,LineærRegression_Valg[[#This Row],[Tabel ID]])</f>
        <v>1</v>
      </c>
    </row>
    <row r="2199" spans="1:8" x14ac:dyDescent="0.2">
      <c r="A2199">
        <f>ROW(LineærRegression_Valg[[#This Row],[Tabel ID]])-ROW(LineærRegression_Valg[[#Headers],[Tabel ID]])</f>
        <v>2189</v>
      </c>
      <c r="B2199" s="45">
        <f>ROUNDDOWN((LineærRegression_Valg[[#This Row],[Tabel ID]]-1)/$B$5,0)+1</f>
        <v>548</v>
      </c>
      <c r="C2199" s="45">
        <f t="shared" si="34"/>
        <v>1</v>
      </c>
      <c r="D2199" s="45" t="b">
        <f>LineærRegression_Valg[[#This Row],[Afhængig variabel ID]]&lt;&gt;LineærRegression_Valg[[#This Row],[Uafhængig variabel ID]]</f>
        <v>1</v>
      </c>
      <c r="E2199" s="45" t="b">
        <f>LineærRegression_Valg[[#This Row],[Afhængig variabel ID]]&lt;=$B$5</f>
        <v>0</v>
      </c>
      <c r="F2199" t="str" cm="1">
        <f t="array" ref="F2199">IF(LineærRegression_Valg[[#This Row],[Indenfor range]],INDEX(DataTitel_liste,LineærRegression_Valg[[#This Row],[Afhængig variabel ID]]),INDEX(DataTitel_liste,1))</f>
        <v>Eksempel 1 (interval)</v>
      </c>
      <c r="G2199" s="45" t="str" cm="1">
        <f t="array" ref="G2199">IF(LineærRegression_Valg[[#This Row],[Indenfor range]],IF(LineærRegression_Valg[[#This Row],[Intet overlap]],INDEX(DataTitel_liste,LineærRegression_Valg[[#This Row],[Uafhængig variabel ID]]),INDEX(DataTitel_liste,IF(LineærRegression_Valg[[#This Row],[Afhængig variabel ID]]=1,2,1))),$B$7)</f>
        <v>Eksempel 2 (interval)</v>
      </c>
      <c r="H2199" s="45">
        <f>_xlfn.AGGREGATE(2,5,LineærRegression_Valg[[#This Row],[Tabel ID]])</f>
        <v>1</v>
      </c>
    </row>
    <row r="2200" spans="1:8" x14ac:dyDescent="0.2">
      <c r="A2200">
        <f>ROW(LineærRegression_Valg[[#This Row],[Tabel ID]])-ROW(LineærRegression_Valg[[#Headers],[Tabel ID]])</f>
        <v>2190</v>
      </c>
      <c r="B2200" s="45">
        <f>ROUNDDOWN((LineærRegression_Valg[[#This Row],[Tabel ID]]-1)/$B$5,0)+1</f>
        <v>548</v>
      </c>
      <c r="C2200" s="45">
        <f t="shared" si="34"/>
        <v>2</v>
      </c>
      <c r="D2200" s="45" t="b">
        <f>LineærRegression_Valg[[#This Row],[Afhængig variabel ID]]&lt;&gt;LineærRegression_Valg[[#This Row],[Uafhængig variabel ID]]</f>
        <v>1</v>
      </c>
      <c r="E2200" s="45" t="b">
        <f>LineærRegression_Valg[[#This Row],[Afhængig variabel ID]]&lt;=$B$5</f>
        <v>0</v>
      </c>
      <c r="F2200" t="str" cm="1">
        <f t="array" ref="F2200">IF(LineærRegression_Valg[[#This Row],[Indenfor range]],INDEX(DataTitel_liste,LineærRegression_Valg[[#This Row],[Afhængig variabel ID]]),INDEX(DataTitel_liste,1))</f>
        <v>Eksempel 1 (interval)</v>
      </c>
      <c r="G2200" s="45" t="str" cm="1">
        <f t="array" ref="G2200">IF(LineærRegression_Valg[[#This Row],[Indenfor range]],IF(LineærRegression_Valg[[#This Row],[Intet overlap]],INDEX(DataTitel_liste,LineærRegression_Valg[[#This Row],[Uafhængig variabel ID]]),INDEX(DataTitel_liste,IF(LineærRegression_Valg[[#This Row],[Afhængig variabel ID]]=1,2,1))),$B$7)</f>
        <v>Eksempel 2 (interval)</v>
      </c>
      <c r="H2200" s="45">
        <f>_xlfn.AGGREGATE(2,5,LineærRegression_Valg[[#This Row],[Tabel ID]])</f>
        <v>1</v>
      </c>
    </row>
    <row r="2201" spans="1:8" x14ac:dyDescent="0.2">
      <c r="A2201">
        <f>ROW(LineærRegression_Valg[[#This Row],[Tabel ID]])-ROW(LineærRegression_Valg[[#Headers],[Tabel ID]])</f>
        <v>2191</v>
      </c>
      <c r="B2201" s="45">
        <f>ROUNDDOWN((LineærRegression_Valg[[#This Row],[Tabel ID]]-1)/$B$5,0)+1</f>
        <v>548</v>
      </c>
      <c r="C2201" s="45">
        <f t="shared" si="34"/>
        <v>3</v>
      </c>
      <c r="D2201" s="45" t="b">
        <f>LineærRegression_Valg[[#This Row],[Afhængig variabel ID]]&lt;&gt;LineærRegression_Valg[[#This Row],[Uafhængig variabel ID]]</f>
        <v>1</v>
      </c>
      <c r="E2201" s="45" t="b">
        <f>LineærRegression_Valg[[#This Row],[Afhængig variabel ID]]&lt;=$B$5</f>
        <v>0</v>
      </c>
      <c r="F2201" t="str" cm="1">
        <f t="array" ref="F2201">IF(LineærRegression_Valg[[#This Row],[Indenfor range]],INDEX(DataTitel_liste,LineærRegression_Valg[[#This Row],[Afhængig variabel ID]]),INDEX(DataTitel_liste,1))</f>
        <v>Eksempel 1 (interval)</v>
      </c>
      <c r="G2201" s="45" t="str" cm="1">
        <f t="array" ref="G2201">IF(LineærRegression_Valg[[#This Row],[Indenfor range]],IF(LineærRegression_Valg[[#This Row],[Intet overlap]],INDEX(DataTitel_liste,LineærRegression_Valg[[#This Row],[Uafhængig variabel ID]]),INDEX(DataTitel_liste,IF(LineærRegression_Valg[[#This Row],[Afhængig variabel ID]]=1,2,1))),$B$7)</f>
        <v>Eksempel 2 (interval)</v>
      </c>
      <c r="H2201" s="45">
        <f>_xlfn.AGGREGATE(2,5,LineærRegression_Valg[[#This Row],[Tabel ID]])</f>
        <v>1</v>
      </c>
    </row>
    <row r="2202" spans="1:8" x14ac:dyDescent="0.2">
      <c r="A2202">
        <f>ROW(LineærRegression_Valg[[#This Row],[Tabel ID]])-ROW(LineærRegression_Valg[[#Headers],[Tabel ID]])</f>
        <v>2192</v>
      </c>
      <c r="B2202" s="45">
        <f>ROUNDDOWN((LineærRegression_Valg[[#This Row],[Tabel ID]]-1)/$B$5,0)+1</f>
        <v>548</v>
      </c>
      <c r="C2202" s="45">
        <f t="shared" si="34"/>
        <v>4</v>
      </c>
      <c r="D2202" s="45" t="b">
        <f>LineærRegression_Valg[[#This Row],[Afhængig variabel ID]]&lt;&gt;LineærRegression_Valg[[#This Row],[Uafhængig variabel ID]]</f>
        <v>1</v>
      </c>
      <c r="E2202" s="45" t="b">
        <f>LineærRegression_Valg[[#This Row],[Afhængig variabel ID]]&lt;=$B$5</f>
        <v>0</v>
      </c>
      <c r="F2202" t="str" cm="1">
        <f t="array" ref="F2202">IF(LineærRegression_Valg[[#This Row],[Indenfor range]],INDEX(DataTitel_liste,LineærRegression_Valg[[#This Row],[Afhængig variabel ID]]),INDEX(DataTitel_liste,1))</f>
        <v>Eksempel 1 (interval)</v>
      </c>
      <c r="G2202" s="45" t="str" cm="1">
        <f t="array" ref="G2202">IF(LineærRegression_Valg[[#This Row],[Indenfor range]],IF(LineærRegression_Valg[[#This Row],[Intet overlap]],INDEX(DataTitel_liste,LineærRegression_Valg[[#This Row],[Uafhængig variabel ID]]),INDEX(DataTitel_liste,IF(LineærRegression_Valg[[#This Row],[Afhængig variabel ID]]=1,2,1))),$B$7)</f>
        <v>Eksempel 2 (interval)</v>
      </c>
      <c r="H2202" s="45">
        <f>_xlfn.AGGREGATE(2,5,LineærRegression_Valg[[#This Row],[Tabel ID]])</f>
        <v>1</v>
      </c>
    </row>
    <row r="2203" spans="1:8" x14ac:dyDescent="0.2">
      <c r="A2203">
        <f>ROW(LineærRegression_Valg[[#This Row],[Tabel ID]])-ROW(LineærRegression_Valg[[#Headers],[Tabel ID]])</f>
        <v>2193</v>
      </c>
      <c r="B2203" s="45">
        <f>ROUNDDOWN((LineærRegression_Valg[[#This Row],[Tabel ID]]-1)/$B$5,0)+1</f>
        <v>549</v>
      </c>
      <c r="C2203" s="45">
        <f t="shared" si="34"/>
        <v>1</v>
      </c>
      <c r="D2203" s="45" t="b">
        <f>LineærRegression_Valg[[#This Row],[Afhængig variabel ID]]&lt;&gt;LineærRegression_Valg[[#This Row],[Uafhængig variabel ID]]</f>
        <v>1</v>
      </c>
      <c r="E2203" s="45" t="b">
        <f>LineærRegression_Valg[[#This Row],[Afhængig variabel ID]]&lt;=$B$5</f>
        <v>0</v>
      </c>
      <c r="F2203" t="str" cm="1">
        <f t="array" ref="F2203">IF(LineærRegression_Valg[[#This Row],[Indenfor range]],INDEX(DataTitel_liste,LineærRegression_Valg[[#This Row],[Afhængig variabel ID]]),INDEX(DataTitel_liste,1))</f>
        <v>Eksempel 1 (interval)</v>
      </c>
      <c r="G2203" s="45" t="str" cm="1">
        <f t="array" ref="G2203">IF(LineærRegression_Valg[[#This Row],[Indenfor range]],IF(LineærRegression_Valg[[#This Row],[Intet overlap]],INDEX(DataTitel_liste,LineærRegression_Valg[[#This Row],[Uafhængig variabel ID]]),INDEX(DataTitel_liste,IF(LineærRegression_Valg[[#This Row],[Afhængig variabel ID]]=1,2,1))),$B$7)</f>
        <v>Eksempel 2 (interval)</v>
      </c>
      <c r="H2203" s="45">
        <f>_xlfn.AGGREGATE(2,5,LineærRegression_Valg[[#This Row],[Tabel ID]])</f>
        <v>1</v>
      </c>
    </row>
    <row r="2204" spans="1:8" x14ac:dyDescent="0.2">
      <c r="A2204">
        <f>ROW(LineærRegression_Valg[[#This Row],[Tabel ID]])-ROW(LineærRegression_Valg[[#Headers],[Tabel ID]])</f>
        <v>2194</v>
      </c>
      <c r="B2204" s="45">
        <f>ROUNDDOWN((LineærRegression_Valg[[#This Row],[Tabel ID]]-1)/$B$5,0)+1</f>
        <v>549</v>
      </c>
      <c r="C2204" s="45">
        <f t="shared" si="34"/>
        <v>2</v>
      </c>
      <c r="D2204" s="45" t="b">
        <f>LineærRegression_Valg[[#This Row],[Afhængig variabel ID]]&lt;&gt;LineærRegression_Valg[[#This Row],[Uafhængig variabel ID]]</f>
        <v>1</v>
      </c>
      <c r="E2204" s="45" t="b">
        <f>LineærRegression_Valg[[#This Row],[Afhængig variabel ID]]&lt;=$B$5</f>
        <v>0</v>
      </c>
      <c r="F2204" t="str" cm="1">
        <f t="array" ref="F2204">IF(LineærRegression_Valg[[#This Row],[Indenfor range]],INDEX(DataTitel_liste,LineærRegression_Valg[[#This Row],[Afhængig variabel ID]]),INDEX(DataTitel_liste,1))</f>
        <v>Eksempel 1 (interval)</v>
      </c>
      <c r="G2204" s="45" t="str" cm="1">
        <f t="array" ref="G2204">IF(LineærRegression_Valg[[#This Row],[Indenfor range]],IF(LineærRegression_Valg[[#This Row],[Intet overlap]],INDEX(DataTitel_liste,LineærRegression_Valg[[#This Row],[Uafhængig variabel ID]]),INDEX(DataTitel_liste,IF(LineærRegression_Valg[[#This Row],[Afhængig variabel ID]]=1,2,1))),$B$7)</f>
        <v>Eksempel 2 (interval)</v>
      </c>
      <c r="H2204" s="45">
        <f>_xlfn.AGGREGATE(2,5,LineærRegression_Valg[[#This Row],[Tabel ID]])</f>
        <v>1</v>
      </c>
    </row>
    <row r="2205" spans="1:8" x14ac:dyDescent="0.2">
      <c r="A2205">
        <f>ROW(LineærRegression_Valg[[#This Row],[Tabel ID]])-ROW(LineærRegression_Valg[[#Headers],[Tabel ID]])</f>
        <v>2195</v>
      </c>
      <c r="B2205" s="45">
        <f>ROUNDDOWN((LineærRegression_Valg[[#This Row],[Tabel ID]]-1)/$B$5,0)+1</f>
        <v>549</v>
      </c>
      <c r="C2205" s="45">
        <f t="shared" si="34"/>
        <v>3</v>
      </c>
      <c r="D2205" s="45" t="b">
        <f>LineærRegression_Valg[[#This Row],[Afhængig variabel ID]]&lt;&gt;LineærRegression_Valg[[#This Row],[Uafhængig variabel ID]]</f>
        <v>1</v>
      </c>
      <c r="E2205" s="45" t="b">
        <f>LineærRegression_Valg[[#This Row],[Afhængig variabel ID]]&lt;=$B$5</f>
        <v>0</v>
      </c>
      <c r="F2205" t="str" cm="1">
        <f t="array" ref="F2205">IF(LineærRegression_Valg[[#This Row],[Indenfor range]],INDEX(DataTitel_liste,LineærRegression_Valg[[#This Row],[Afhængig variabel ID]]),INDEX(DataTitel_liste,1))</f>
        <v>Eksempel 1 (interval)</v>
      </c>
      <c r="G2205" s="45" t="str" cm="1">
        <f t="array" ref="G2205">IF(LineærRegression_Valg[[#This Row],[Indenfor range]],IF(LineærRegression_Valg[[#This Row],[Intet overlap]],INDEX(DataTitel_liste,LineærRegression_Valg[[#This Row],[Uafhængig variabel ID]]),INDEX(DataTitel_liste,IF(LineærRegression_Valg[[#This Row],[Afhængig variabel ID]]=1,2,1))),$B$7)</f>
        <v>Eksempel 2 (interval)</v>
      </c>
      <c r="H2205" s="45">
        <f>_xlfn.AGGREGATE(2,5,LineærRegression_Valg[[#This Row],[Tabel ID]])</f>
        <v>1</v>
      </c>
    </row>
    <row r="2206" spans="1:8" x14ac:dyDescent="0.2">
      <c r="A2206">
        <f>ROW(LineærRegression_Valg[[#This Row],[Tabel ID]])-ROW(LineærRegression_Valg[[#Headers],[Tabel ID]])</f>
        <v>2196</v>
      </c>
      <c r="B2206" s="45">
        <f>ROUNDDOWN((LineærRegression_Valg[[#This Row],[Tabel ID]]-1)/$B$5,0)+1</f>
        <v>549</v>
      </c>
      <c r="C2206" s="45">
        <f t="shared" si="34"/>
        <v>4</v>
      </c>
      <c r="D2206" s="45" t="b">
        <f>LineærRegression_Valg[[#This Row],[Afhængig variabel ID]]&lt;&gt;LineærRegression_Valg[[#This Row],[Uafhængig variabel ID]]</f>
        <v>1</v>
      </c>
      <c r="E2206" s="45" t="b">
        <f>LineærRegression_Valg[[#This Row],[Afhængig variabel ID]]&lt;=$B$5</f>
        <v>0</v>
      </c>
      <c r="F2206" t="str" cm="1">
        <f t="array" ref="F2206">IF(LineærRegression_Valg[[#This Row],[Indenfor range]],INDEX(DataTitel_liste,LineærRegression_Valg[[#This Row],[Afhængig variabel ID]]),INDEX(DataTitel_liste,1))</f>
        <v>Eksempel 1 (interval)</v>
      </c>
      <c r="G2206" s="45" t="str" cm="1">
        <f t="array" ref="G2206">IF(LineærRegression_Valg[[#This Row],[Indenfor range]],IF(LineærRegression_Valg[[#This Row],[Intet overlap]],INDEX(DataTitel_liste,LineærRegression_Valg[[#This Row],[Uafhængig variabel ID]]),INDEX(DataTitel_liste,IF(LineærRegression_Valg[[#This Row],[Afhængig variabel ID]]=1,2,1))),$B$7)</f>
        <v>Eksempel 2 (interval)</v>
      </c>
      <c r="H2206" s="45">
        <f>_xlfn.AGGREGATE(2,5,LineærRegression_Valg[[#This Row],[Tabel ID]])</f>
        <v>1</v>
      </c>
    </row>
    <row r="2207" spans="1:8" x14ac:dyDescent="0.2">
      <c r="A2207">
        <f>ROW(LineærRegression_Valg[[#This Row],[Tabel ID]])-ROW(LineærRegression_Valg[[#Headers],[Tabel ID]])</f>
        <v>2197</v>
      </c>
      <c r="B2207" s="45">
        <f>ROUNDDOWN((LineærRegression_Valg[[#This Row],[Tabel ID]]-1)/$B$5,0)+1</f>
        <v>550</v>
      </c>
      <c r="C2207" s="45">
        <f t="shared" si="34"/>
        <v>1</v>
      </c>
      <c r="D2207" s="45" t="b">
        <f>LineærRegression_Valg[[#This Row],[Afhængig variabel ID]]&lt;&gt;LineærRegression_Valg[[#This Row],[Uafhængig variabel ID]]</f>
        <v>1</v>
      </c>
      <c r="E2207" s="45" t="b">
        <f>LineærRegression_Valg[[#This Row],[Afhængig variabel ID]]&lt;=$B$5</f>
        <v>0</v>
      </c>
      <c r="F2207" t="str" cm="1">
        <f t="array" ref="F2207">IF(LineærRegression_Valg[[#This Row],[Indenfor range]],INDEX(DataTitel_liste,LineærRegression_Valg[[#This Row],[Afhængig variabel ID]]),INDEX(DataTitel_liste,1))</f>
        <v>Eksempel 1 (interval)</v>
      </c>
      <c r="G2207" s="45" t="str" cm="1">
        <f t="array" ref="G2207">IF(LineærRegression_Valg[[#This Row],[Indenfor range]],IF(LineærRegression_Valg[[#This Row],[Intet overlap]],INDEX(DataTitel_liste,LineærRegression_Valg[[#This Row],[Uafhængig variabel ID]]),INDEX(DataTitel_liste,IF(LineærRegression_Valg[[#This Row],[Afhængig variabel ID]]=1,2,1))),$B$7)</f>
        <v>Eksempel 2 (interval)</v>
      </c>
      <c r="H2207" s="45">
        <f>_xlfn.AGGREGATE(2,5,LineærRegression_Valg[[#This Row],[Tabel ID]])</f>
        <v>1</v>
      </c>
    </row>
    <row r="2208" spans="1:8" x14ac:dyDescent="0.2">
      <c r="A2208">
        <f>ROW(LineærRegression_Valg[[#This Row],[Tabel ID]])-ROW(LineærRegression_Valg[[#Headers],[Tabel ID]])</f>
        <v>2198</v>
      </c>
      <c r="B2208" s="45">
        <f>ROUNDDOWN((LineærRegression_Valg[[#This Row],[Tabel ID]]-1)/$B$5,0)+1</f>
        <v>550</v>
      </c>
      <c r="C2208" s="45">
        <f t="shared" si="34"/>
        <v>2</v>
      </c>
      <c r="D2208" s="45" t="b">
        <f>LineærRegression_Valg[[#This Row],[Afhængig variabel ID]]&lt;&gt;LineærRegression_Valg[[#This Row],[Uafhængig variabel ID]]</f>
        <v>1</v>
      </c>
      <c r="E2208" s="45" t="b">
        <f>LineærRegression_Valg[[#This Row],[Afhængig variabel ID]]&lt;=$B$5</f>
        <v>0</v>
      </c>
      <c r="F2208" t="str" cm="1">
        <f t="array" ref="F2208">IF(LineærRegression_Valg[[#This Row],[Indenfor range]],INDEX(DataTitel_liste,LineærRegression_Valg[[#This Row],[Afhængig variabel ID]]),INDEX(DataTitel_liste,1))</f>
        <v>Eksempel 1 (interval)</v>
      </c>
      <c r="G2208" s="45" t="str" cm="1">
        <f t="array" ref="G2208">IF(LineærRegression_Valg[[#This Row],[Indenfor range]],IF(LineærRegression_Valg[[#This Row],[Intet overlap]],INDEX(DataTitel_liste,LineærRegression_Valg[[#This Row],[Uafhængig variabel ID]]),INDEX(DataTitel_liste,IF(LineærRegression_Valg[[#This Row],[Afhængig variabel ID]]=1,2,1))),$B$7)</f>
        <v>Eksempel 2 (interval)</v>
      </c>
      <c r="H2208" s="45">
        <f>_xlfn.AGGREGATE(2,5,LineærRegression_Valg[[#This Row],[Tabel ID]])</f>
        <v>1</v>
      </c>
    </row>
    <row r="2209" spans="1:8" x14ac:dyDescent="0.2">
      <c r="A2209">
        <f>ROW(LineærRegression_Valg[[#This Row],[Tabel ID]])-ROW(LineærRegression_Valg[[#Headers],[Tabel ID]])</f>
        <v>2199</v>
      </c>
      <c r="B2209" s="45">
        <f>ROUNDDOWN((LineærRegression_Valg[[#This Row],[Tabel ID]]-1)/$B$5,0)+1</f>
        <v>550</v>
      </c>
      <c r="C2209" s="45">
        <f t="shared" si="34"/>
        <v>3</v>
      </c>
      <c r="D2209" s="45" t="b">
        <f>LineærRegression_Valg[[#This Row],[Afhængig variabel ID]]&lt;&gt;LineærRegression_Valg[[#This Row],[Uafhængig variabel ID]]</f>
        <v>1</v>
      </c>
      <c r="E2209" s="45" t="b">
        <f>LineærRegression_Valg[[#This Row],[Afhængig variabel ID]]&lt;=$B$5</f>
        <v>0</v>
      </c>
      <c r="F2209" t="str" cm="1">
        <f t="array" ref="F2209">IF(LineærRegression_Valg[[#This Row],[Indenfor range]],INDEX(DataTitel_liste,LineærRegression_Valg[[#This Row],[Afhængig variabel ID]]),INDEX(DataTitel_liste,1))</f>
        <v>Eksempel 1 (interval)</v>
      </c>
      <c r="G2209" s="45" t="str" cm="1">
        <f t="array" ref="G2209">IF(LineærRegression_Valg[[#This Row],[Indenfor range]],IF(LineærRegression_Valg[[#This Row],[Intet overlap]],INDEX(DataTitel_liste,LineærRegression_Valg[[#This Row],[Uafhængig variabel ID]]),INDEX(DataTitel_liste,IF(LineærRegression_Valg[[#This Row],[Afhængig variabel ID]]=1,2,1))),$B$7)</f>
        <v>Eksempel 2 (interval)</v>
      </c>
      <c r="H2209" s="45">
        <f>_xlfn.AGGREGATE(2,5,LineærRegression_Valg[[#This Row],[Tabel ID]])</f>
        <v>1</v>
      </c>
    </row>
    <row r="2210" spans="1:8" x14ac:dyDescent="0.2">
      <c r="A2210">
        <f>ROW(LineærRegression_Valg[[#This Row],[Tabel ID]])-ROW(LineærRegression_Valg[[#Headers],[Tabel ID]])</f>
        <v>2200</v>
      </c>
      <c r="B2210" s="45">
        <f>ROUNDDOWN((LineærRegression_Valg[[#This Row],[Tabel ID]]-1)/$B$5,0)+1</f>
        <v>550</v>
      </c>
      <c r="C2210" s="45">
        <f t="shared" si="34"/>
        <v>4</v>
      </c>
      <c r="D2210" s="45" t="b">
        <f>LineærRegression_Valg[[#This Row],[Afhængig variabel ID]]&lt;&gt;LineærRegression_Valg[[#This Row],[Uafhængig variabel ID]]</f>
        <v>1</v>
      </c>
      <c r="E2210" s="45" t="b">
        <f>LineærRegression_Valg[[#This Row],[Afhængig variabel ID]]&lt;=$B$5</f>
        <v>0</v>
      </c>
      <c r="F2210" t="str" cm="1">
        <f t="array" ref="F2210">IF(LineærRegression_Valg[[#This Row],[Indenfor range]],INDEX(DataTitel_liste,LineærRegression_Valg[[#This Row],[Afhængig variabel ID]]),INDEX(DataTitel_liste,1))</f>
        <v>Eksempel 1 (interval)</v>
      </c>
      <c r="G2210" s="45" t="str" cm="1">
        <f t="array" ref="G2210">IF(LineærRegression_Valg[[#This Row],[Indenfor range]],IF(LineærRegression_Valg[[#This Row],[Intet overlap]],INDEX(DataTitel_liste,LineærRegression_Valg[[#This Row],[Uafhængig variabel ID]]),INDEX(DataTitel_liste,IF(LineærRegression_Valg[[#This Row],[Afhængig variabel ID]]=1,2,1))),$B$7)</f>
        <v>Eksempel 2 (interval)</v>
      </c>
      <c r="H2210" s="45">
        <f>_xlfn.AGGREGATE(2,5,LineærRegression_Valg[[#This Row],[Tabel ID]])</f>
        <v>1</v>
      </c>
    </row>
    <row r="2211" spans="1:8" x14ac:dyDescent="0.2">
      <c r="A2211">
        <f>ROW(LineærRegression_Valg[[#This Row],[Tabel ID]])-ROW(LineærRegression_Valg[[#Headers],[Tabel ID]])</f>
        <v>2201</v>
      </c>
      <c r="B2211" s="45">
        <f>ROUNDDOWN((LineærRegression_Valg[[#This Row],[Tabel ID]]-1)/$B$5,0)+1</f>
        <v>551</v>
      </c>
      <c r="C2211" s="45">
        <f t="shared" si="34"/>
        <v>1</v>
      </c>
      <c r="D2211" s="45" t="b">
        <f>LineærRegression_Valg[[#This Row],[Afhængig variabel ID]]&lt;&gt;LineærRegression_Valg[[#This Row],[Uafhængig variabel ID]]</f>
        <v>1</v>
      </c>
      <c r="E2211" s="45" t="b">
        <f>LineærRegression_Valg[[#This Row],[Afhængig variabel ID]]&lt;=$B$5</f>
        <v>0</v>
      </c>
      <c r="F2211" t="str" cm="1">
        <f t="array" ref="F2211">IF(LineærRegression_Valg[[#This Row],[Indenfor range]],INDEX(DataTitel_liste,LineærRegression_Valg[[#This Row],[Afhængig variabel ID]]),INDEX(DataTitel_liste,1))</f>
        <v>Eksempel 1 (interval)</v>
      </c>
      <c r="G2211" s="45" t="str" cm="1">
        <f t="array" ref="G2211">IF(LineærRegression_Valg[[#This Row],[Indenfor range]],IF(LineærRegression_Valg[[#This Row],[Intet overlap]],INDEX(DataTitel_liste,LineærRegression_Valg[[#This Row],[Uafhængig variabel ID]]),INDEX(DataTitel_liste,IF(LineærRegression_Valg[[#This Row],[Afhængig variabel ID]]=1,2,1))),$B$7)</f>
        <v>Eksempel 2 (interval)</v>
      </c>
      <c r="H2211" s="45">
        <f>_xlfn.AGGREGATE(2,5,LineærRegression_Valg[[#This Row],[Tabel ID]])</f>
        <v>1</v>
      </c>
    </row>
    <row r="2212" spans="1:8" x14ac:dyDescent="0.2">
      <c r="A2212">
        <f>ROW(LineærRegression_Valg[[#This Row],[Tabel ID]])-ROW(LineærRegression_Valg[[#Headers],[Tabel ID]])</f>
        <v>2202</v>
      </c>
      <c r="B2212" s="45">
        <f>ROUNDDOWN((LineærRegression_Valg[[#This Row],[Tabel ID]]-1)/$B$5,0)+1</f>
        <v>551</v>
      </c>
      <c r="C2212" s="45">
        <f t="shared" si="34"/>
        <v>2</v>
      </c>
      <c r="D2212" s="45" t="b">
        <f>LineærRegression_Valg[[#This Row],[Afhængig variabel ID]]&lt;&gt;LineærRegression_Valg[[#This Row],[Uafhængig variabel ID]]</f>
        <v>1</v>
      </c>
      <c r="E2212" s="45" t="b">
        <f>LineærRegression_Valg[[#This Row],[Afhængig variabel ID]]&lt;=$B$5</f>
        <v>0</v>
      </c>
      <c r="F2212" t="str" cm="1">
        <f t="array" ref="F2212">IF(LineærRegression_Valg[[#This Row],[Indenfor range]],INDEX(DataTitel_liste,LineærRegression_Valg[[#This Row],[Afhængig variabel ID]]),INDEX(DataTitel_liste,1))</f>
        <v>Eksempel 1 (interval)</v>
      </c>
      <c r="G2212" s="45" t="str" cm="1">
        <f t="array" ref="G2212">IF(LineærRegression_Valg[[#This Row],[Indenfor range]],IF(LineærRegression_Valg[[#This Row],[Intet overlap]],INDEX(DataTitel_liste,LineærRegression_Valg[[#This Row],[Uafhængig variabel ID]]),INDEX(DataTitel_liste,IF(LineærRegression_Valg[[#This Row],[Afhængig variabel ID]]=1,2,1))),$B$7)</f>
        <v>Eksempel 2 (interval)</v>
      </c>
      <c r="H2212" s="45">
        <f>_xlfn.AGGREGATE(2,5,LineærRegression_Valg[[#This Row],[Tabel ID]])</f>
        <v>1</v>
      </c>
    </row>
    <row r="2213" spans="1:8" x14ac:dyDescent="0.2">
      <c r="A2213">
        <f>ROW(LineærRegression_Valg[[#This Row],[Tabel ID]])-ROW(LineærRegression_Valg[[#Headers],[Tabel ID]])</f>
        <v>2203</v>
      </c>
      <c r="B2213" s="45">
        <f>ROUNDDOWN((LineærRegression_Valg[[#This Row],[Tabel ID]]-1)/$B$5,0)+1</f>
        <v>551</v>
      </c>
      <c r="C2213" s="45">
        <f t="shared" si="34"/>
        <v>3</v>
      </c>
      <c r="D2213" s="45" t="b">
        <f>LineærRegression_Valg[[#This Row],[Afhængig variabel ID]]&lt;&gt;LineærRegression_Valg[[#This Row],[Uafhængig variabel ID]]</f>
        <v>1</v>
      </c>
      <c r="E2213" s="45" t="b">
        <f>LineærRegression_Valg[[#This Row],[Afhængig variabel ID]]&lt;=$B$5</f>
        <v>0</v>
      </c>
      <c r="F2213" t="str" cm="1">
        <f t="array" ref="F2213">IF(LineærRegression_Valg[[#This Row],[Indenfor range]],INDEX(DataTitel_liste,LineærRegression_Valg[[#This Row],[Afhængig variabel ID]]),INDEX(DataTitel_liste,1))</f>
        <v>Eksempel 1 (interval)</v>
      </c>
      <c r="G2213" s="45" t="str" cm="1">
        <f t="array" ref="G2213">IF(LineærRegression_Valg[[#This Row],[Indenfor range]],IF(LineærRegression_Valg[[#This Row],[Intet overlap]],INDEX(DataTitel_liste,LineærRegression_Valg[[#This Row],[Uafhængig variabel ID]]),INDEX(DataTitel_liste,IF(LineærRegression_Valg[[#This Row],[Afhængig variabel ID]]=1,2,1))),$B$7)</f>
        <v>Eksempel 2 (interval)</v>
      </c>
      <c r="H2213" s="45">
        <f>_xlfn.AGGREGATE(2,5,LineærRegression_Valg[[#This Row],[Tabel ID]])</f>
        <v>1</v>
      </c>
    </row>
    <row r="2214" spans="1:8" x14ac:dyDescent="0.2">
      <c r="A2214">
        <f>ROW(LineærRegression_Valg[[#This Row],[Tabel ID]])-ROW(LineærRegression_Valg[[#Headers],[Tabel ID]])</f>
        <v>2204</v>
      </c>
      <c r="B2214" s="45">
        <f>ROUNDDOWN((LineærRegression_Valg[[#This Row],[Tabel ID]]-1)/$B$5,0)+1</f>
        <v>551</v>
      </c>
      <c r="C2214" s="45">
        <f t="shared" si="34"/>
        <v>4</v>
      </c>
      <c r="D2214" s="45" t="b">
        <f>LineærRegression_Valg[[#This Row],[Afhængig variabel ID]]&lt;&gt;LineærRegression_Valg[[#This Row],[Uafhængig variabel ID]]</f>
        <v>1</v>
      </c>
      <c r="E2214" s="45" t="b">
        <f>LineærRegression_Valg[[#This Row],[Afhængig variabel ID]]&lt;=$B$5</f>
        <v>0</v>
      </c>
      <c r="F2214" t="str" cm="1">
        <f t="array" ref="F2214">IF(LineærRegression_Valg[[#This Row],[Indenfor range]],INDEX(DataTitel_liste,LineærRegression_Valg[[#This Row],[Afhængig variabel ID]]),INDEX(DataTitel_liste,1))</f>
        <v>Eksempel 1 (interval)</v>
      </c>
      <c r="G2214" s="45" t="str" cm="1">
        <f t="array" ref="G2214">IF(LineærRegression_Valg[[#This Row],[Indenfor range]],IF(LineærRegression_Valg[[#This Row],[Intet overlap]],INDEX(DataTitel_liste,LineærRegression_Valg[[#This Row],[Uafhængig variabel ID]]),INDEX(DataTitel_liste,IF(LineærRegression_Valg[[#This Row],[Afhængig variabel ID]]=1,2,1))),$B$7)</f>
        <v>Eksempel 2 (interval)</v>
      </c>
      <c r="H2214" s="45">
        <f>_xlfn.AGGREGATE(2,5,LineærRegression_Valg[[#This Row],[Tabel ID]])</f>
        <v>1</v>
      </c>
    </row>
    <row r="2215" spans="1:8" x14ac:dyDescent="0.2">
      <c r="A2215">
        <f>ROW(LineærRegression_Valg[[#This Row],[Tabel ID]])-ROW(LineærRegression_Valg[[#Headers],[Tabel ID]])</f>
        <v>2205</v>
      </c>
      <c r="B2215" s="45">
        <f>ROUNDDOWN((LineærRegression_Valg[[#This Row],[Tabel ID]]-1)/$B$5,0)+1</f>
        <v>552</v>
      </c>
      <c r="C2215" s="45">
        <f t="shared" si="34"/>
        <v>1</v>
      </c>
      <c r="D2215" s="45" t="b">
        <f>LineærRegression_Valg[[#This Row],[Afhængig variabel ID]]&lt;&gt;LineærRegression_Valg[[#This Row],[Uafhængig variabel ID]]</f>
        <v>1</v>
      </c>
      <c r="E2215" s="45" t="b">
        <f>LineærRegression_Valg[[#This Row],[Afhængig variabel ID]]&lt;=$B$5</f>
        <v>0</v>
      </c>
      <c r="F2215" t="str" cm="1">
        <f t="array" ref="F2215">IF(LineærRegression_Valg[[#This Row],[Indenfor range]],INDEX(DataTitel_liste,LineærRegression_Valg[[#This Row],[Afhængig variabel ID]]),INDEX(DataTitel_liste,1))</f>
        <v>Eksempel 1 (interval)</v>
      </c>
      <c r="G2215" s="45" t="str" cm="1">
        <f t="array" ref="G2215">IF(LineærRegression_Valg[[#This Row],[Indenfor range]],IF(LineærRegression_Valg[[#This Row],[Intet overlap]],INDEX(DataTitel_liste,LineærRegression_Valg[[#This Row],[Uafhængig variabel ID]]),INDEX(DataTitel_liste,IF(LineærRegression_Valg[[#This Row],[Afhængig variabel ID]]=1,2,1))),$B$7)</f>
        <v>Eksempel 2 (interval)</v>
      </c>
      <c r="H2215" s="45">
        <f>_xlfn.AGGREGATE(2,5,LineærRegression_Valg[[#This Row],[Tabel ID]])</f>
        <v>1</v>
      </c>
    </row>
    <row r="2216" spans="1:8" x14ac:dyDescent="0.2">
      <c r="A2216">
        <f>ROW(LineærRegression_Valg[[#This Row],[Tabel ID]])-ROW(LineærRegression_Valg[[#Headers],[Tabel ID]])</f>
        <v>2206</v>
      </c>
      <c r="B2216" s="45">
        <f>ROUNDDOWN((LineærRegression_Valg[[#This Row],[Tabel ID]]-1)/$B$5,0)+1</f>
        <v>552</v>
      </c>
      <c r="C2216" s="45">
        <f t="shared" si="34"/>
        <v>2</v>
      </c>
      <c r="D2216" s="45" t="b">
        <f>LineærRegression_Valg[[#This Row],[Afhængig variabel ID]]&lt;&gt;LineærRegression_Valg[[#This Row],[Uafhængig variabel ID]]</f>
        <v>1</v>
      </c>
      <c r="E2216" s="45" t="b">
        <f>LineærRegression_Valg[[#This Row],[Afhængig variabel ID]]&lt;=$B$5</f>
        <v>0</v>
      </c>
      <c r="F2216" t="str" cm="1">
        <f t="array" ref="F2216">IF(LineærRegression_Valg[[#This Row],[Indenfor range]],INDEX(DataTitel_liste,LineærRegression_Valg[[#This Row],[Afhængig variabel ID]]),INDEX(DataTitel_liste,1))</f>
        <v>Eksempel 1 (interval)</v>
      </c>
      <c r="G2216" s="45" t="str" cm="1">
        <f t="array" ref="G2216">IF(LineærRegression_Valg[[#This Row],[Indenfor range]],IF(LineærRegression_Valg[[#This Row],[Intet overlap]],INDEX(DataTitel_liste,LineærRegression_Valg[[#This Row],[Uafhængig variabel ID]]),INDEX(DataTitel_liste,IF(LineærRegression_Valg[[#This Row],[Afhængig variabel ID]]=1,2,1))),$B$7)</f>
        <v>Eksempel 2 (interval)</v>
      </c>
      <c r="H2216" s="45">
        <f>_xlfn.AGGREGATE(2,5,LineærRegression_Valg[[#This Row],[Tabel ID]])</f>
        <v>1</v>
      </c>
    </row>
    <row r="2217" spans="1:8" x14ac:dyDescent="0.2">
      <c r="A2217">
        <f>ROW(LineærRegression_Valg[[#This Row],[Tabel ID]])-ROW(LineærRegression_Valg[[#Headers],[Tabel ID]])</f>
        <v>2207</v>
      </c>
      <c r="B2217" s="45">
        <f>ROUNDDOWN((LineærRegression_Valg[[#This Row],[Tabel ID]]-1)/$B$5,0)+1</f>
        <v>552</v>
      </c>
      <c r="C2217" s="45">
        <f t="shared" si="34"/>
        <v>3</v>
      </c>
      <c r="D2217" s="45" t="b">
        <f>LineærRegression_Valg[[#This Row],[Afhængig variabel ID]]&lt;&gt;LineærRegression_Valg[[#This Row],[Uafhængig variabel ID]]</f>
        <v>1</v>
      </c>
      <c r="E2217" s="45" t="b">
        <f>LineærRegression_Valg[[#This Row],[Afhængig variabel ID]]&lt;=$B$5</f>
        <v>0</v>
      </c>
      <c r="F2217" t="str" cm="1">
        <f t="array" ref="F2217">IF(LineærRegression_Valg[[#This Row],[Indenfor range]],INDEX(DataTitel_liste,LineærRegression_Valg[[#This Row],[Afhængig variabel ID]]),INDEX(DataTitel_liste,1))</f>
        <v>Eksempel 1 (interval)</v>
      </c>
      <c r="G2217" s="45" t="str" cm="1">
        <f t="array" ref="G2217">IF(LineærRegression_Valg[[#This Row],[Indenfor range]],IF(LineærRegression_Valg[[#This Row],[Intet overlap]],INDEX(DataTitel_liste,LineærRegression_Valg[[#This Row],[Uafhængig variabel ID]]),INDEX(DataTitel_liste,IF(LineærRegression_Valg[[#This Row],[Afhængig variabel ID]]=1,2,1))),$B$7)</f>
        <v>Eksempel 2 (interval)</v>
      </c>
      <c r="H2217" s="45">
        <f>_xlfn.AGGREGATE(2,5,LineærRegression_Valg[[#This Row],[Tabel ID]])</f>
        <v>1</v>
      </c>
    </row>
    <row r="2218" spans="1:8" x14ac:dyDescent="0.2">
      <c r="A2218">
        <f>ROW(LineærRegression_Valg[[#This Row],[Tabel ID]])-ROW(LineærRegression_Valg[[#Headers],[Tabel ID]])</f>
        <v>2208</v>
      </c>
      <c r="B2218" s="45">
        <f>ROUNDDOWN((LineærRegression_Valg[[#This Row],[Tabel ID]]-1)/$B$5,0)+1</f>
        <v>552</v>
      </c>
      <c r="C2218" s="45">
        <f t="shared" si="34"/>
        <v>4</v>
      </c>
      <c r="D2218" s="45" t="b">
        <f>LineærRegression_Valg[[#This Row],[Afhængig variabel ID]]&lt;&gt;LineærRegression_Valg[[#This Row],[Uafhængig variabel ID]]</f>
        <v>1</v>
      </c>
      <c r="E2218" s="45" t="b">
        <f>LineærRegression_Valg[[#This Row],[Afhængig variabel ID]]&lt;=$B$5</f>
        <v>0</v>
      </c>
      <c r="F2218" t="str" cm="1">
        <f t="array" ref="F2218">IF(LineærRegression_Valg[[#This Row],[Indenfor range]],INDEX(DataTitel_liste,LineærRegression_Valg[[#This Row],[Afhængig variabel ID]]),INDEX(DataTitel_liste,1))</f>
        <v>Eksempel 1 (interval)</v>
      </c>
      <c r="G2218" s="45" t="str" cm="1">
        <f t="array" ref="G2218">IF(LineærRegression_Valg[[#This Row],[Indenfor range]],IF(LineærRegression_Valg[[#This Row],[Intet overlap]],INDEX(DataTitel_liste,LineærRegression_Valg[[#This Row],[Uafhængig variabel ID]]),INDEX(DataTitel_liste,IF(LineærRegression_Valg[[#This Row],[Afhængig variabel ID]]=1,2,1))),$B$7)</f>
        <v>Eksempel 2 (interval)</v>
      </c>
      <c r="H2218" s="45">
        <f>_xlfn.AGGREGATE(2,5,LineærRegression_Valg[[#This Row],[Tabel ID]])</f>
        <v>1</v>
      </c>
    </row>
    <row r="2219" spans="1:8" x14ac:dyDescent="0.2">
      <c r="A2219">
        <f>ROW(LineærRegression_Valg[[#This Row],[Tabel ID]])-ROW(LineærRegression_Valg[[#Headers],[Tabel ID]])</f>
        <v>2209</v>
      </c>
      <c r="B2219" s="45">
        <f>ROUNDDOWN((LineærRegression_Valg[[#This Row],[Tabel ID]]-1)/$B$5,0)+1</f>
        <v>553</v>
      </c>
      <c r="C2219" s="45">
        <f t="shared" si="34"/>
        <v>1</v>
      </c>
      <c r="D2219" s="45" t="b">
        <f>LineærRegression_Valg[[#This Row],[Afhængig variabel ID]]&lt;&gt;LineærRegression_Valg[[#This Row],[Uafhængig variabel ID]]</f>
        <v>1</v>
      </c>
      <c r="E2219" s="45" t="b">
        <f>LineærRegression_Valg[[#This Row],[Afhængig variabel ID]]&lt;=$B$5</f>
        <v>0</v>
      </c>
      <c r="F2219" t="str" cm="1">
        <f t="array" ref="F2219">IF(LineærRegression_Valg[[#This Row],[Indenfor range]],INDEX(DataTitel_liste,LineærRegression_Valg[[#This Row],[Afhængig variabel ID]]),INDEX(DataTitel_liste,1))</f>
        <v>Eksempel 1 (interval)</v>
      </c>
      <c r="G2219" s="45" t="str" cm="1">
        <f t="array" ref="G2219">IF(LineærRegression_Valg[[#This Row],[Indenfor range]],IF(LineærRegression_Valg[[#This Row],[Intet overlap]],INDEX(DataTitel_liste,LineærRegression_Valg[[#This Row],[Uafhængig variabel ID]]),INDEX(DataTitel_liste,IF(LineærRegression_Valg[[#This Row],[Afhængig variabel ID]]=1,2,1))),$B$7)</f>
        <v>Eksempel 2 (interval)</v>
      </c>
      <c r="H2219" s="45">
        <f>_xlfn.AGGREGATE(2,5,LineærRegression_Valg[[#This Row],[Tabel ID]])</f>
        <v>1</v>
      </c>
    </row>
    <row r="2220" spans="1:8" x14ac:dyDescent="0.2">
      <c r="A2220">
        <f>ROW(LineærRegression_Valg[[#This Row],[Tabel ID]])-ROW(LineærRegression_Valg[[#Headers],[Tabel ID]])</f>
        <v>2210</v>
      </c>
      <c r="B2220" s="45">
        <f>ROUNDDOWN((LineærRegression_Valg[[#This Row],[Tabel ID]]-1)/$B$5,0)+1</f>
        <v>553</v>
      </c>
      <c r="C2220" s="45">
        <f t="shared" si="34"/>
        <v>2</v>
      </c>
      <c r="D2220" s="45" t="b">
        <f>LineærRegression_Valg[[#This Row],[Afhængig variabel ID]]&lt;&gt;LineærRegression_Valg[[#This Row],[Uafhængig variabel ID]]</f>
        <v>1</v>
      </c>
      <c r="E2220" s="45" t="b">
        <f>LineærRegression_Valg[[#This Row],[Afhængig variabel ID]]&lt;=$B$5</f>
        <v>0</v>
      </c>
      <c r="F2220" t="str" cm="1">
        <f t="array" ref="F2220">IF(LineærRegression_Valg[[#This Row],[Indenfor range]],INDEX(DataTitel_liste,LineærRegression_Valg[[#This Row],[Afhængig variabel ID]]),INDEX(DataTitel_liste,1))</f>
        <v>Eksempel 1 (interval)</v>
      </c>
      <c r="G2220" s="45" t="str" cm="1">
        <f t="array" ref="G2220">IF(LineærRegression_Valg[[#This Row],[Indenfor range]],IF(LineærRegression_Valg[[#This Row],[Intet overlap]],INDEX(DataTitel_liste,LineærRegression_Valg[[#This Row],[Uafhængig variabel ID]]),INDEX(DataTitel_liste,IF(LineærRegression_Valg[[#This Row],[Afhængig variabel ID]]=1,2,1))),$B$7)</f>
        <v>Eksempel 2 (interval)</v>
      </c>
      <c r="H2220" s="45">
        <f>_xlfn.AGGREGATE(2,5,LineærRegression_Valg[[#This Row],[Tabel ID]])</f>
        <v>1</v>
      </c>
    </row>
    <row r="2221" spans="1:8" x14ac:dyDescent="0.2">
      <c r="A2221">
        <f>ROW(LineærRegression_Valg[[#This Row],[Tabel ID]])-ROW(LineærRegression_Valg[[#Headers],[Tabel ID]])</f>
        <v>2211</v>
      </c>
      <c r="B2221" s="45">
        <f>ROUNDDOWN((LineærRegression_Valg[[#This Row],[Tabel ID]]-1)/$B$5,0)+1</f>
        <v>553</v>
      </c>
      <c r="C2221" s="45">
        <f t="shared" si="34"/>
        <v>3</v>
      </c>
      <c r="D2221" s="45" t="b">
        <f>LineærRegression_Valg[[#This Row],[Afhængig variabel ID]]&lt;&gt;LineærRegression_Valg[[#This Row],[Uafhængig variabel ID]]</f>
        <v>1</v>
      </c>
      <c r="E2221" s="45" t="b">
        <f>LineærRegression_Valg[[#This Row],[Afhængig variabel ID]]&lt;=$B$5</f>
        <v>0</v>
      </c>
      <c r="F2221" t="str" cm="1">
        <f t="array" ref="F2221">IF(LineærRegression_Valg[[#This Row],[Indenfor range]],INDEX(DataTitel_liste,LineærRegression_Valg[[#This Row],[Afhængig variabel ID]]),INDEX(DataTitel_liste,1))</f>
        <v>Eksempel 1 (interval)</v>
      </c>
      <c r="G2221" s="45" t="str" cm="1">
        <f t="array" ref="G2221">IF(LineærRegression_Valg[[#This Row],[Indenfor range]],IF(LineærRegression_Valg[[#This Row],[Intet overlap]],INDEX(DataTitel_liste,LineærRegression_Valg[[#This Row],[Uafhængig variabel ID]]),INDEX(DataTitel_liste,IF(LineærRegression_Valg[[#This Row],[Afhængig variabel ID]]=1,2,1))),$B$7)</f>
        <v>Eksempel 2 (interval)</v>
      </c>
      <c r="H2221" s="45">
        <f>_xlfn.AGGREGATE(2,5,LineærRegression_Valg[[#This Row],[Tabel ID]])</f>
        <v>1</v>
      </c>
    </row>
    <row r="2222" spans="1:8" x14ac:dyDescent="0.2">
      <c r="A2222">
        <f>ROW(LineærRegression_Valg[[#This Row],[Tabel ID]])-ROW(LineærRegression_Valg[[#Headers],[Tabel ID]])</f>
        <v>2212</v>
      </c>
      <c r="B2222" s="45">
        <f>ROUNDDOWN((LineærRegression_Valg[[#This Row],[Tabel ID]]-1)/$B$5,0)+1</f>
        <v>553</v>
      </c>
      <c r="C2222" s="45">
        <f t="shared" si="34"/>
        <v>4</v>
      </c>
      <c r="D2222" s="45" t="b">
        <f>LineærRegression_Valg[[#This Row],[Afhængig variabel ID]]&lt;&gt;LineærRegression_Valg[[#This Row],[Uafhængig variabel ID]]</f>
        <v>1</v>
      </c>
      <c r="E2222" s="45" t="b">
        <f>LineærRegression_Valg[[#This Row],[Afhængig variabel ID]]&lt;=$B$5</f>
        <v>0</v>
      </c>
      <c r="F2222" t="str" cm="1">
        <f t="array" ref="F2222">IF(LineærRegression_Valg[[#This Row],[Indenfor range]],INDEX(DataTitel_liste,LineærRegression_Valg[[#This Row],[Afhængig variabel ID]]),INDEX(DataTitel_liste,1))</f>
        <v>Eksempel 1 (interval)</v>
      </c>
      <c r="G2222" s="45" t="str" cm="1">
        <f t="array" ref="G2222">IF(LineærRegression_Valg[[#This Row],[Indenfor range]],IF(LineærRegression_Valg[[#This Row],[Intet overlap]],INDEX(DataTitel_liste,LineærRegression_Valg[[#This Row],[Uafhængig variabel ID]]),INDEX(DataTitel_liste,IF(LineærRegression_Valg[[#This Row],[Afhængig variabel ID]]=1,2,1))),$B$7)</f>
        <v>Eksempel 2 (interval)</v>
      </c>
      <c r="H2222" s="45">
        <f>_xlfn.AGGREGATE(2,5,LineærRegression_Valg[[#This Row],[Tabel ID]])</f>
        <v>1</v>
      </c>
    </row>
    <row r="2223" spans="1:8" x14ac:dyDescent="0.2">
      <c r="A2223">
        <f>ROW(LineærRegression_Valg[[#This Row],[Tabel ID]])-ROW(LineærRegression_Valg[[#Headers],[Tabel ID]])</f>
        <v>2213</v>
      </c>
      <c r="B2223" s="45">
        <f>ROUNDDOWN((LineærRegression_Valg[[#This Row],[Tabel ID]]-1)/$B$5,0)+1</f>
        <v>554</v>
      </c>
      <c r="C2223" s="45">
        <f t="shared" si="34"/>
        <v>1</v>
      </c>
      <c r="D2223" s="45" t="b">
        <f>LineærRegression_Valg[[#This Row],[Afhængig variabel ID]]&lt;&gt;LineærRegression_Valg[[#This Row],[Uafhængig variabel ID]]</f>
        <v>1</v>
      </c>
      <c r="E2223" s="45" t="b">
        <f>LineærRegression_Valg[[#This Row],[Afhængig variabel ID]]&lt;=$B$5</f>
        <v>0</v>
      </c>
      <c r="F2223" t="str" cm="1">
        <f t="array" ref="F2223">IF(LineærRegression_Valg[[#This Row],[Indenfor range]],INDEX(DataTitel_liste,LineærRegression_Valg[[#This Row],[Afhængig variabel ID]]),INDEX(DataTitel_liste,1))</f>
        <v>Eksempel 1 (interval)</v>
      </c>
      <c r="G2223" s="45" t="str" cm="1">
        <f t="array" ref="G2223">IF(LineærRegression_Valg[[#This Row],[Indenfor range]],IF(LineærRegression_Valg[[#This Row],[Intet overlap]],INDEX(DataTitel_liste,LineærRegression_Valg[[#This Row],[Uafhængig variabel ID]]),INDEX(DataTitel_liste,IF(LineærRegression_Valg[[#This Row],[Afhængig variabel ID]]=1,2,1))),$B$7)</f>
        <v>Eksempel 2 (interval)</v>
      </c>
      <c r="H2223" s="45">
        <f>_xlfn.AGGREGATE(2,5,LineærRegression_Valg[[#This Row],[Tabel ID]])</f>
        <v>1</v>
      </c>
    </row>
    <row r="2224" spans="1:8" x14ac:dyDescent="0.2">
      <c r="A2224">
        <f>ROW(LineærRegression_Valg[[#This Row],[Tabel ID]])-ROW(LineærRegression_Valg[[#Headers],[Tabel ID]])</f>
        <v>2214</v>
      </c>
      <c r="B2224" s="45">
        <f>ROUNDDOWN((LineærRegression_Valg[[#This Row],[Tabel ID]]-1)/$B$5,0)+1</f>
        <v>554</v>
      </c>
      <c r="C2224" s="45">
        <f t="shared" si="34"/>
        <v>2</v>
      </c>
      <c r="D2224" s="45" t="b">
        <f>LineærRegression_Valg[[#This Row],[Afhængig variabel ID]]&lt;&gt;LineærRegression_Valg[[#This Row],[Uafhængig variabel ID]]</f>
        <v>1</v>
      </c>
      <c r="E2224" s="45" t="b">
        <f>LineærRegression_Valg[[#This Row],[Afhængig variabel ID]]&lt;=$B$5</f>
        <v>0</v>
      </c>
      <c r="F2224" t="str" cm="1">
        <f t="array" ref="F2224">IF(LineærRegression_Valg[[#This Row],[Indenfor range]],INDEX(DataTitel_liste,LineærRegression_Valg[[#This Row],[Afhængig variabel ID]]),INDEX(DataTitel_liste,1))</f>
        <v>Eksempel 1 (interval)</v>
      </c>
      <c r="G2224" s="45" t="str" cm="1">
        <f t="array" ref="G2224">IF(LineærRegression_Valg[[#This Row],[Indenfor range]],IF(LineærRegression_Valg[[#This Row],[Intet overlap]],INDEX(DataTitel_liste,LineærRegression_Valg[[#This Row],[Uafhængig variabel ID]]),INDEX(DataTitel_liste,IF(LineærRegression_Valg[[#This Row],[Afhængig variabel ID]]=1,2,1))),$B$7)</f>
        <v>Eksempel 2 (interval)</v>
      </c>
      <c r="H2224" s="45">
        <f>_xlfn.AGGREGATE(2,5,LineærRegression_Valg[[#This Row],[Tabel ID]])</f>
        <v>1</v>
      </c>
    </row>
    <row r="2225" spans="1:8" x14ac:dyDescent="0.2">
      <c r="A2225">
        <f>ROW(LineærRegression_Valg[[#This Row],[Tabel ID]])-ROW(LineærRegression_Valg[[#Headers],[Tabel ID]])</f>
        <v>2215</v>
      </c>
      <c r="B2225" s="45">
        <f>ROUNDDOWN((LineærRegression_Valg[[#This Row],[Tabel ID]]-1)/$B$5,0)+1</f>
        <v>554</v>
      </c>
      <c r="C2225" s="45">
        <f t="shared" si="34"/>
        <v>3</v>
      </c>
      <c r="D2225" s="45" t="b">
        <f>LineærRegression_Valg[[#This Row],[Afhængig variabel ID]]&lt;&gt;LineærRegression_Valg[[#This Row],[Uafhængig variabel ID]]</f>
        <v>1</v>
      </c>
      <c r="E2225" s="45" t="b">
        <f>LineærRegression_Valg[[#This Row],[Afhængig variabel ID]]&lt;=$B$5</f>
        <v>0</v>
      </c>
      <c r="F2225" t="str" cm="1">
        <f t="array" ref="F2225">IF(LineærRegression_Valg[[#This Row],[Indenfor range]],INDEX(DataTitel_liste,LineærRegression_Valg[[#This Row],[Afhængig variabel ID]]),INDEX(DataTitel_liste,1))</f>
        <v>Eksempel 1 (interval)</v>
      </c>
      <c r="G2225" s="45" t="str" cm="1">
        <f t="array" ref="G2225">IF(LineærRegression_Valg[[#This Row],[Indenfor range]],IF(LineærRegression_Valg[[#This Row],[Intet overlap]],INDEX(DataTitel_liste,LineærRegression_Valg[[#This Row],[Uafhængig variabel ID]]),INDEX(DataTitel_liste,IF(LineærRegression_Valg[[#This Row],[Afhængig variabel ID]]=1,2,1))),$B$7)</f>
        <v>Eksempel 2 (interval)</v>
      </c>
      <c r="H2225" s="45">
        <f>_xlfn.AGGREGATE(2,5,LineærRegression_Valg[[#This Row],[Tabel ID]])</f>
        <v>1</v>
      </c>
    </row>
    <row r="2226" spans="1:8" x14ac:dyDescent="0.2">
      <c r="A2226">
        <f>ROW(LineærRegression_Valg[[#This Row],[Tabel ID]])-ROW(LineærRegression_Valg[[#Headers],[Tabel ID]])</f>
        <v>2216</v>
      </c>
      <c r="B2226" s="45">
        <f>ROUNDDOWN((LineærRegression_Valg[[#This Row],[Tabel ID]]-1)/$B$5,0)+1</f>
        <v>554</v>
      </c>
      <c r="C2226" s="45">
        <f t="shared" si="34"/>
        <v>4</v>
      </c>
      <c r="D2226" s="45" t="b">
        <f>LineærRegression_Valg[[#This Row],[Afhængig variabel ID]]&lt;&gt;LineærRegression_Valg[[#This Row],[Uafhængig variabel ID]]</f>
        <v>1</v>
      </c>
      <c r="E2226" s="45" t="b">
        <f>LineærRegression_Valg[[#This Row],[Afhængig variabel ID]]&lt;=$B$5</f>
        <v>0</v>
      </c>
      <c r="F2226" t="str" cm="1">
        <f t="array" ref="F2226">IF(LineærRegression_Valg[[#This Row],[Indenfor range]],INDEX(DataTitel_liste,LineærRegression_Valg[[#This Row],[Afhængig variabel ID]]),INDEX(DataTitel_liste,1))</f>
        <v>Eksempel 1 (interval)</v>
      </c>
      <c r="G2226" s="45" t="str" cm="1">
        <f t="array" ref="G2226">IF(LineærRegression_Valg[[#This Row],[Indenfor range]],IF(LineærRegression_Valg[[#This Row],[Intet overlap]],INDEX(DataTitel_liste,LineærRegression_Valg[[#This Row],[Uafhængig variabel ID]]),INDEX(DataTitel_liste,IF(LineærRegression_Valg[[#This Row],[Afhængig variabel ID]]=1,2,1))),$B$7)</f>
        <v>Eksempel 2 (interval)</v>
      </c>
      <c r="H2226" s="45">
        <f>_xlfn.AGGREGATE(2,5,LineærRegression_Valg[[#This Row],[Tabel ID]])</f>
        <v>1</v>
      </c>
    </row>
    <row r="2227" spans="1:8" x14ac:dyDescent="0.2">
      <c r="A2227">
        <f>ROW(LineærRegression_Valg[[#This Row],[Tabel ID]])-ROW(LineærRegression_Valg[[#Headers],[Tabel ID]])</f>
        <v>2217</v>
      </c>
      <c r="B2227" s="45">
        <f>ROUNDDOWN((LineærRegression_Valg[[#This Row],[Tabel ID]]-1)/$B$5,0)+1</f>
        <v>555</v>
      </c>
      <c r="C2227" s="45">
        <f t="shared" si="34"/>
        <v>1</v>
      </c>
      <c r="D2227" s="45" t="b">
        <f>LineærRegression_Valg[[#This Row],[Afhængig variabel ID]]&lt;&gt;LineærRegression_Valg[[#This Row],[Uafhængig variabel ID]]</f>
        <v>1</v>
      </c>
      <c r="E2227" s="45" t="b">
        <f>LineærRegression_Valg[[#This Row],[Afhængig variabel ID]]&lt;=$B$5</f>
        <v>0</v>
      </c>
      <c r="F2227" t="str" cm="1">
        <f t="array" ref="F2227">IF(LineærRegression_Valg[[#This Row],[Indenfor range]],INDEX(DataTitel_liste,LineærRegression_Valg[[#This Row],[Afhængig variabel ID]]),INDEX(DataTitel_liste,1))</f>
        <v>Eksempel 1 (interval)</v>
      </c>
      <c r="G2227" s="45" t="str" cm="1">
        <f t="array" ref="G2227">IF(LineærRegression_Valg[[#This Row],[Indenfor range]],IF(LineærRegression_Valg[[#This Row],[Intet overlap]],INDEX(DataTitel_liste,LineærRegression_Valg[[#This Row],[Uafhængig variabel ID]]),INDEX(DataTitel_liste,IF(LineærRegression_Valg[[#This Row],[Afhængig variabel ID]]=1,2,1))),$B$7)</f>
        <v>Eksempel 2 (interval)</v>
      </c>
      <c r="H2227" s="45">
        <f>_xlfn.AGGREGATE(2,5,LineærRegression_Valg[[#This Row],[Tabel ID]])</f>
        <v>1</v>
      </c>
    </row>
    <row r="2228" spans="1:8" x14ac:dyDescent="0.2">
      <c r="A2228">
        <f>ROW(LineærRegression_Valg[[#This Row],[Tabel ID]])-ROW(LineærRegression_Valg[[#Headers],[Tabel ID]])</f>
        <v>2218</v>
      </c>
      <c r="B2228" s="45">
        <f>ROUNDDOWN((LineærRegression_Valg[[#This Row],[Tabel ID]]-1)/$B$5,0)+1</f>
        <v>555</v>
      </c>
      <c r="C2228" s="45">
        <f t="shared" si="34"/>
        <v>2</v>
      </c>
      <c r="D2228" s="45" t="b">
        <f>LineærRegression_Valg[[#This Row],[Afhængig variabel ID]]&lt;&gt;LineærRegression_Valg[[#This Row],[Uafhængig variabel ID]]</f>
        <v>1</v>
      </c>
      <c r="E2228" s="45" t="b">
        <f>LineærRegression_Valg[[#This Row],[Afhængig variabel ID]]&lt;=$B$5</f>
        <v>0</v>
      </c>
      <c r="F2228" t="str" cm="1">
        <f t="array" ref="F2228">IF(LineærRegression_Valg[[#This Row],[Indenfor range]],INDEX(DataTitel_liste,LineærRegression_Valg[[#This Row],[Afhængig variabel ID]]),INDEX(DataTitel_liste,1))</f>
        <v>Eksempel 1 (interval)</v>
      </c>
      <c r="G2228" s="45" t="str" cm="1">
        <f t="array" ref="G2228">IF(LineærRegression_Valg[[#This Row],[Indenfor range]],IF(LineærRegression_Valg[[#This Row],[Intet overlap]],INDEX(DataTitel_liste,LineærRegression_Valg[[#This Row],[Uafhængig variabel ID]]),INDEX(DataTitel_liste,IF(LineærRegression_Valg[[#This Row],[Afhængig variabel ID]]=1,2,1))),$B$7)</f>
        <v>Eksempel 2 (interval)</v>
      </c>
      <c r="H2228" s="45">
        <f>_xlfn.AGGREGATE(2,5,LineærRegression_Valg[[#This Row],[Tabel ID]])</f>
        <v>1</v>
      </c>
    </row>
    <row r="2229" spans="1:8" x14ac:dyDescent="0.2">
      <c r="A2229">
        <f>ROW(LineærRegression_Valg[[#This Row],[Tabel ID]])-ROW(LineærRegression_Valg[[#Headers],[Tabel ID]])</f>
        <v>2219</v>
      </c>
      <c r="B2229" s="45">
        <f>ROUNDDOWN((LineærRegression_Valg[[#This Row],[Tabel ID]]-1)/$B$5,0)+1</f>
        <v>555</v>
      </c>
      <c r="C2229" s="45">
        <f t="shared" si="34"/>
        <v>3</v>
      </c>
      <c r="D2229" s="45" t="b">
        <f>LineærRegression_Valg[[#This Row],[Afhængig variabel ID]]&lt;&gt;LineærRegression_Valg[[#This Row],[Uafhængig variabel ID]]</f>
        <v>1</v>
      </c>
      <c r="E2229" s="45" t="b">
        <f>LineærRegression_Valg[[#This Row],[Afhængig variabel ID]]&lt;=$B$5</f>
        <v>0</v>
      </c>
      <c r="F2229" t="str" cm="1">
        <f t="array" ref="F2229">IF(LineærRegression_Valg[[#This Row],[Indenfor range]],INDEX(DataTitel_liste,LineærRegression_Valg[[#This Row],[Afhængig variabel ID]]),INDEX(DataTitel_liste,1))</f>
        <v>Eksempel 1 (interval)</v>
      </c>
      <c r="G2229" s="45" t="str" cm="1">
        <f t="array" ref="G2229">IF(LineærRegression_Valg[[#This Row],[Indenfor range]],IF(LineærRegression_Valg[[#This Row],[Intet overlap]],INDEX(DataTitel_liste,LineærRegression_Valg[[#This Row],[Uafhængig variabel ID]]),INDEX(DataTitel_liste,IF(LineærRegression_Valg[[#This Row],[Afhængig variabel ID]]=1,2,1))),$B$7)</f>
        <v>Eksempel 2 (interval)</v>
      </c>
      <c r="H2229" s="45">
        <f>_xlfn.AGGREGATE(2,5,LineærRegression_Valg[[#This Row],[Tabel ID]])</f>
        <v>1</v>
      </c>
    </row>
    <row r="2230" spans="1:8" x14ac:dyDescent="0.2">
      <c r="A2230">
        <f>ROW(LineærRegression_Valg[[#This Row],[Tabel ID]])-ROW(LineærRegression_Valg[[#Headers],[Tabel ID]])</f>
        <v>2220</v>
      </c>
      <c r="B2230" s="45">
        <f>ROUNDDOWN((LineærRegression_Valg[[#This Row],[Tabel ID]]-1)/$B$5,0)+1</f>
        <v>555</v>
      </c>
      <c r="C2230" s="45">
        <f t="shared" si="34"/>
        <v>4</v>
      </c>
      <c r="D2230" s="45" t="b">
        <f>LineærRegression_Valg[[#This Row],[Afhængig variabel ID]]&lt;&gt;LineærRegression_Valg[[#This Row],[Uafhængig variabel ID]]</f>
        <v>1</v>
      </c>
      <c r="E2230" s="45" t="b">
        <f>LineærRegression_Valg[[#This Row],[Afhængig variabel ID]]&lt;=$B$5</f>
        <v>0</v>
      </c>
      <c r="F2230" t="str" cm="1">
        <f t="array" ref="F2230">IF(LineærRegression_Valg[[#This Row],[Indenfor range]],INDEX(DataTitel_liste,LineærRegression_Valg[[#This Row],[Afhængig variabel ID]]),INDEX(DataTitel_liste,1))</f>
        <v>Eksempel 1 (interval)</v>
      </c>
      <c r="G2230" s="45" t="str" cm="1">
        <f t="array" ref="G2230">IF(LineærRegression_Valg[[#This Row],[Indenfor range]],IF(LineærRegression_Valg[[#This Row],[Intet overlap]],INDEX(DataTitel_liste,LineærRegression_Valg[[#This Row],[Uafhængig variabel ID]]),INDEX(DataTitel_liste,IF(LineærRegression_Valg[[#This Row],[Afhængig variabel ID]]=1,2,1))),$B$7)</f>
        <v>Eksempel 2 (interval)</v>
      </c>
      <c r="H2230" s="45">
        <f>_xlfn.AGGREGATE(2,5,LineærRegression_Valg[[#This Row],[Tabel ID]])</f>
        <v>1</v>
      </c>
    </row>
    <row r="2231" spans="1:8" x14ac:dyDescent="0.2">
      <c r="A2231">
        <f>ROW(LineærRegression_Valg[[#This Row],[Tabel ID]])-ROW(LineærRegression_Valg[[#Headers],[Tabel ID]])</f>
        <v>2221</v>
      </c>
      <c r="B2231" s="45">
        <f>ROUNDDOWN((LineærRegression_Valg[[#This Row],[Tabel ID]]-1)/$B$5,0)+1</f>
        <v>556</v>
      </c>
      <c r="C2231" s="45">
        <f t="shared" si="34"/>
        <v>1</v>
      </c>
      <c r="D2231" s="45" t="b">
        <f>LineærRegression_Valg[[#This Row],[Afhængig variabel ID]]&lt;&gt;LineærRegression_Valg[[#This Row],[Uafhængig variabel ID]]</f>
        <v>1</v>
      </c>
      <c r="E2231" s="45" t="b">
        <f>LineærRegression_Valg[[#This Row],[Afhængig variabel ID]]&lt;=$B$5</f>
        <v>0</v>
      </c>
      <c r="F2231" t="str" cm="1">
        <f t="array" ref="F2231">IF(LineærRegression_Valg[[#This Row],[Indenfor range]],INDEX(DataTitel_liste,LineærRegression_Valg[[#This Row],[Afhængig variabel ID]]),INDEX(DataTitel_liste,1))</f>
        <v>Eksempel 1 (interval)</v>
      </c>
      <c r="G2231" s="45" t="str" cm="1">
        <f t="array" ref="G2231">IF(LineærRegression_Valg[[#This Row],[Indenfor range]],IF(LineærRegression_Valg[[#This Row],[Intet overlap]],INDEX(DataTitel_liste,LineærRegression_Valg[[#This Row],[Uafhængig variabel ID]]),INDEX(DataTitel_liste,IF(LineærRegression_Valg[[#This Row],[Afhængig variabel ID]]=1,2,1))),$B$7)</f>
        <v>Eksempel 2 (interval)</v>
      </c>
      <c r="H2231" s="45">
        <f>_xlfn.AGGREGATE(2,5,LineærRegression_Valg[[#This Row],[Tabel ID]])</f>
        <v>1</v>
      </c>
    </row>
    <row r="2232" spans="1:8" x14ac:dyDescent="0.2">
      <c r="A2232">
        <f>ROW(LineærRegression_Valg[[#This Row],[Tabel ID]])-ROW(LineærRegression_Valg[[#Headers],[Tabel ID]])</f>
        <v>2222</v>
      </c>
      <c r="B2232" s="45">
        <f>ROUNDDOWN((LineærRegression_Valg[[#This Row],[Tabel ID]]-1)/$B$5,0)+1</f>
        <v>556</v>
      </c>
      <c r="C2232" s="45">
        <f t="shared" si="34"/>
        <v>2</v>
      </c>
      <c r="D2232" s="45" t="b">
        <f>LineærRegression_Valg[[#This Row],[Afhængig variabel ID]]&lt;&gt;LineærRegression_Valg[[#This Row],[Uafhængig variabel ID]]</f>
        <v>1</v>
      </c>
      <c r="E2232" s="45" t="b">
        <f>LineærRegression_Valg[[#This Row],[Afhængig variabel ID]]&lt;=$B$5</f>
        <v>0</v>
      </c>
      <c r="F2232" t="str" cm="1">
        <f t="array" ref="F2232">IF(LineærRegression_Valg[[#This Row],[Indenfor range]],INDEX(DataTitel_liste,LineærRegression_Valg[[#This Row],[Afhængig variabel ID]]),INDEX(DataTitel_liste,1))</f>
        <v>Eksempel 1 (interval)</v>
      </c>
      <c r="G2232" s="45" t="str" cm="1">
        <f t="array" ref="G2232">IF(LineærRegression_Valg[[#This Row],[Indenfor range]],IF(LineærRegression_Valg[[#This Row],[Intet overlap]],INDEX(DataTitel_liste,LineærRegression_Valg[[#This Row],[Uafhængig variabel ID]]),INDEX(DataTitel_liste,IF(LineærRegression_Valg[[#This Row],[Afhængig variabel ID]]=1,2,1))),$B$7)</f>
        <v>Eksempel 2 (interval)</v>
      </c>
      <c r="H2232" s="45">
        <f>_xlfn.AGGREGATE(2,5,LineærRegression_Valg[[#This Row],[Tabel ID]])</f>
        <v>1</v>
      </c>
    </row>
    <row r="2233" spans="1:8" x14ac:dyDescent="0.2">
      <c r="A2233">
        <f>ROW(LineærRegression_Valg[[#This Row],[Tabel ID]])-ROW(LineærRegression_Valg[[#Headers],[Tabel ID]])</f>
        <v>2223</v>
      </c>
      <c r="B2233" s="45">
        <f>ROUNDDOWN((LineærRegression_Valg[[#This Row],[Tabel ID]]-1)/$B$5,0)+1</f>
        <v>556</v>
      </c>
      <c r="C2233" s="45">
        <f t="shared" si="34"/>
        <v>3</v>
      </c>
      <c r="D2233" s="45" t="b">
        <f>LineærRegression_Valg[[#This Row],[Afhængig variabel ID]]&lt;&gt;LineærRegression_Valg[[#This Row],[Uafhængig variabel ID]]</f>
        <v>1</v>
      </c>
      <c r="E2233" s="45" t="b">
        <f>LineærRegression_Valg[[#This Row],[Afhængig variabel ID]]&lt;=$B$5</f>
        <v>0</v>
      </c>
      <c r="F2233" t="str" cm="1">
        <f t="array" ref="F2233">IF(LineærRegression_Valg[[#This Row],[Indenfor range]],INDEX(DataTitel_liste,LineærRegression_Valg[[#This Row],[Afhængig variabel ID]]),INDEX(DataTitel_liste,1))</f>
        <v>Eksempel 1 (interval)</v>
      </c>
      <c r="G2233" s="45" t="str" cm="1">
        <f t="array" ref="G2233">IF(LineærRegression_Valg[[#This Row],[Indenfor range]],IF(LineærRegression_Valg[[#This Row],[Intet overlap]],INDEX(DataTitel_liste,LineærRegression_Valg[[#This Row],[Uafhængig variabel ID]]),INDEX(DataTitel_liste,IF(LineærRegression_Valg[[#This Row],[Afhængig variabel ID]]=1,2,1))),$B$7)</f>
        <v>Eksempel 2 (interval)</v>
      </c>
      <c r="H2233" s="45">
        <f>_xlfn.AGGREGATE(2,5,LineærRegression_Valg[[#This Row],[Tabel ID]])</f>
        <v>1</v>
      </c>
    </row>
    <row r="2234" spans="1:8" x14ac:dyDescent="0.2">
      <c r="A2234">
        <f>ROW(LineærRegression_Valg[[#This Row],[Tabel ID]])-ROW(LineærRegression_Valg[[#Headers],[Tabel ID]])</f>
        <v>2224</v>
      </c>
      <c r="B2234" s="45">
        <f>ROUNDDOWN((LineærRegression_Valg[[#This Row],[Tabel ID]]-1)/$B$5,0)+1</f>
        <v>556</v>
      </c>
      <c r="C2234" s="45">
        <f t="shared" si="34"/>
        <v>4</v>
      </c>
      <c r="D2234" s="45" t="b">
        <f>LineærRegression_Valg[[#This Row],[Afhængig variabel ID]]&lt;&gt;LineærRegression_Valg[[#This Row],[Uafhængig variabel ID]]</f>
        <v>1</v>
      </c>
      <c r="E2234" s="45" t="b">
        <f>LineærRegression_Valg[[#This Row],[Afhængig variabel ID]]&lt;=$B$5</f>
        <v>0</v>
      </c>
      <c r="F2234" t="str" cm="1">
        <f t="array" ref="F2234">IF(LineærRegression_Valg[[#This Row],[Indenfor range]],INDEX(DataTitel_liste,LineærRegression_Valg[[#This Row],[Afhængig variabel ID]]),INDEX(DataTitel_liste,1))</f>
        <v>Eksempel 1 (interval)</v>
      </c>
      <c r="G2234" s="45" t="str" cm="1">
        <f t="array" ref="G2234">IF(LineærRegression_Valg[[#This Row],[Indenfor range]],IF(LineærRegression_Valg[[#This Row],[Intet overlap]],INDEX(DataTitel_liste,LineærRegression_Valg[[#This Row],[Uafhængig variabel ID]]),INDEX(DataTitel_liste,IF(LineærRegression_Valg[[#This Row],[Afhængig variabel ID]]=1,2,1))),$B$7)</f>
        <v>Eksempel 2 (interval)</v>
      </c>
      <c r="H2234" s="45">
        <f>_xlfn.AGGREGATE(2,5,LineærRegression_Valg[[#This Row],[Tabel ID]])</f>
        <v>1</v>
      </c>
    </row>
    <row r="2235" spans="1:8" x14ac:dyDescent="0.2">
      <c r="A2235">
        <f>ROW(LineærRegression_Valg[[#This Row],[Tabel ID]])-ROW(LineærRegression_Valg[[#Headers],[Tabel ID]])</f>
        <v>2225</v>
      </c>
      <c r="B2235" s="45">
        <f>ROUNDDOWN((LineærRegression_Valg[[#This Row],[Tabel ID]]-1)/$B$5,0)+1</f>
        <v>557</v>
      </c>
      <c r="C2235" s="45">
        <f t="shared" si="34"/>
        <v>1</v>
      </c>
      <c r="D2235" s="45" t="b">
        <f>LineærRegression_Valg[[#This Row],[Afhængig variabel ID]]&lt;&gt;LineærRegression_Valg[[#This Row],[Uafhængig variabel ID]]</f>
        <v>1</v>
      </c>
      <c r="E2235" s="45" t="b">
        <f>LineærRegression_Valg[[#This Row],[Afhængig variabel ID]]&lt;=$B$5</f>
        <v>0</v>
      </c>
      <c r="F2235" t="str" cm="1">
        <f t="array" ref="F2235">IF(LineærRegression_Valg[[#This Row],[Indenfor range]],INDEX(DataTitel_liste,LineærRegression_Valg[[#This Row],[Afhængig variabel ID]]),INDEX(DataTitel_liste,1))</f>
        <v>Eksempel 1 (interval)</v>
      </c>
      <c r="G2235" s="45" t="str" cm="1">
        <f t="array" ref="G2235">IF(LineærRegression_Valg[[#This Row],[Indenfor range]],IF(LineærRegression_Valg[[#This Row],[Intet overlap]],INDEX(DataTitel_liste,LineærRegression_Valg[[#This Row],[Uafhængig variabel ID]]),INDEX(DataTitel_liste,IF(LineærRegression_Valg[[#This Row],[Afhængig variabel ID]]=1,2,1))),$B$7)</f>
        <v>Eksempel 2 (interval)</v>
      </c>
      <c r="H2235" s="45">
        <f>_xlfn.AGGREGATE(2,5,LineærRegression_Valg[[#This Row],[Tabel ID]])</f>
        <v>1</v>
      </c>
    </row>
    <row r="2236" spans="1:8" x14ac:dyDescent="0.2">
      <c r="A2236">
        <f>ROW(LineærRegression_Valg[[#This Row],[Tabel ID]])-ROW(LineærRegression_Valg[[#Headers],[Tabel ID]])</f>
        <v>2226</v>
      </c>
      <c r="B2236" s="45">
        <f>ROUNDDOWN((LineærRegression_Valg[[#This Row],[Tabel ID]]-1)/$B$5,0)+1</f>
        <v>557</v>
      </c>
      <c r="C2236" s="45">
        <f t="shared" si="34"/>
        <v>2</v>
      </c>
      <c r="D2236" s="45" t="b">
        <f>LineærRegression_Valg[[#This Row],[Afhængig variabel ID]]&lt;&gt;LineærRegression_Valg[[#This Row],[Uafhængig variabel ID]]</f>
        <v>1</v>
      </c>
      <c r="E2236" s="45" t="b">
        <f>LineærRegression_Valg[[#This Row],[Afhængig variabel ID]]&lt;=$B$5</f>
        <v>0</v>
      </c>
      <c r="F2236" t="str" cm="1">
        <f t="array" ref="F2236">IF(LineærRegression_Valg[[#This Row],[Indenfor range]],INDEX(DataTitel_liste,LineærRegression_Valg[[#This Row],[Afhængig variabel ID]]),INDEX(DataTitel_liste,1))</f>
        <v>Eksempel 1 (interval)</v>
      </c>
      <c r="G2236" s="45" t="str" cm="1">
        <f t="array" ref="G2236">IF(LineærRegression_Valg[[#This Row],[Indenfor range]],IF(LineærRegression_Valg[[#This Row],[Intet overlap]],INDEX(DataTitel_liste,LineærRegression_Valg[[#This Row],[Uafhængig variabel ID]]),INDEX(DataTitel_liste,IF(LineærRegression_Valg[[#This Row],[Afhængig variabel ID]]=1,2,1))),$B$7)</f>
        <v>Eksempel 2 (interval)</v>
      </c>
      <c r="H2236" s="45">
        <f>_xlfn.AGGREGATE(2,5,LineærRegression_Valg[[#This Row],[Tabel ID]])</f>
        <v>1</v>
      </c>
    </row>
    <row r="2237" spans="1:8" x14ac:dyDescent="0.2">
      <c r="A2237">
        <f>ROW(LineærRegression_Valg[[#This Row],[Tabel ID]])-ROW(LineærRegression_Valg[[#Headers],[Tabel ID]])</f>
        <v>2227</v>
      </c>
      <c r="B2237" s="45">
        <f>ROUNDDOWN((LineærRegression_Valg[[#This Row],[Tabel ID]]-1)/$B$5,0)+1</f>
        <v>557</v>
      </c>
      <c r="C2237" s="45">
        <f t="shared" si="34"/>
        <v>3</v>
      </c>
      <c r="D2237" s="45" t="b">
        <f>LineærRegression_Valg[[#This Row],[Afhængig variabel ID]]&lt;&gt;LineærRegression_Valg[[#This Row],[Uafhængig variabel ID]]</f>
        <v>1</v>
      </c>
      <c r="E2237" s="45" t="b">
        <f>LineærRegression_Valg[[#This Row],[Afhængig variabel ID]]&lt;=$B$5</f>
        <v>0</v>
      </c>
      <c r="F2237" t="str" cm="1">
        <f t="array" ref="F2237">IF(LineærRegression_Valg[[#This Row],[Indenfor range]],INDEX(DataTitel_liste,LineærRegression_Valg[[#This Row],[Afhængig variabel ID]]),INDEX(DataTitel_liste,1))</f>
        <v>Eksempel 1 (interval)</v>
      </c>
      <c r="G2237" s="45" t="str" cm="1">
        <f t="array" ref="G2237">IF(LineærRegression_Valg[[#This Row],[Indenfor range]],IF(LineærRegression_Valg[[#This Row],[Intet overlap]],INDEX(DataTitel_liste,LineærRegression_Valg[[#This Row],[Uafhængig variabel ID]]),INDEX(DataTitel_liste,IF(LineærRegression_Valg[[#This Row],[Afhængig variabel ID]]=1,2,1))),$B$7)</f>
        <v>Eksempel 2 (interval)</v>
      </c>
      <c r="H2237" s="45">
        <f>_xlfn.AGGREGATE(2,5,LineærRegression_Valg[[#This Row],[Tabel ID]])</f>
        <v>1</v>
      </c>
    </row>
    <row r="2238" spans="1:8" x14ac:dyDescent="0.2">
      <c r="A2238">
        <f>ROW(LineærRegression_Valg[[#This Row],[Tabel ID]])-ROW(LineærRegression_Valg[[#Headers],[Tabel ID]])</f>
        <v>2228</v>
      </c>
      <c r="B2238" s="45">
        <f>ROUNDDOWN((LineærRegression_Valg[[#This Row],[Tabel ID]]-1)/$B$5,0)+1</f>
        <v>557</v>
      </c>
      <c r="C2238" s="45">
        <f t="shared" si="34"/>
        <v>4</v>
      </c>
      <c r="D2238" s="45" t="b">
        <f>LineærRegression_Valg[[#This Row],[Afhængig variabel ID]]&lt;&gt;LineærRegression_Valg[[#This Row],[Uafhængig variabel ID]]</f>
        <v>1</v>
      </c>
      <c r="E2238" s="45" t="b">
        <f>LineærRegression_Valg[[#This Row],[Afhængig variabel ID]]&lt;=$B$5</f>
        <v>0</v>
      </c>
      <c r="F2238" t="str" cm="1">
        <f t="array" ref="F2238">IF(LineærRegression_Valg[[#This Row],[Indenfor range]],INDEX(DataTitel_liste,LineærRegression_Valg[[#This Row],[Afhængig variabel ID]]),INDEX(DataTitel_liste,1))</f>
        <v>Eksempel 1 (interval)</v>
      </c>
      <c r="G2238" s="45" t="str" cm="1">
        <f t="array" ref="G2238">IF(LineærRegression_Valg[[#This Row],[Indenfor range]],IF(LineærRegression_Valg[[#This Row],[Intet overlap]],INDEX(DataTitel_liste,LineærRegression_Valg[[#This Row],[Uafhængig variabel ID]]),INDEX(DataTitel_liste,IF(LineærRegression_Valg[[#This Row],[Afhængig variabel ID]]=1,2,1))),$B$7)</f>
        <v>Eksempel 2 (interval)</v>
      </c>
      <c r="H2238" s="45">
        <f>_xlfn.AGGREGATE(2,5,LineærRegression_Valg[[#This Row],[Tabel ID]])</f>
        <v>1</v>
      </c>
    </row>
    <row r="2239" spans="1:8" x14ac:dyDescent="0.2">
      <c r="A2239">
        <f>ROW(LineærRegression_Valg[[#This Row],[Tabel ID]])-ROW(LineærRegression_Valg[[#Headers],[Tabel ID]])</f>
        <v>2229</v>
      </c>
      <c r="B2239" s="45">
        <f>ROUNDDOWN((LineærRegression_Valg[[#This Row],[Tabel ID]]-1)/$B$5,0)+1</f>
        <v>558</v>
      </c>
      <c r="C2239" s="45">
        <f t="shared" si="34"/>
        <v>1</v>
      </c>
      <c r="D2239" s="45" t="b">
        <f>LineærRegression_Valg[[#This Row],[Afhængig variabel ID]]&lt;&gt;LineærRegression_Valg[[#This Row],[Uafhængig variabel ID]]</f>
        <v>1</v>
      </c>
      <c r="E2239" s="45" t="b">
        <f>LineærRegression_Valg[[#This Row],[Afhængig variabel ID]]&lt;=$B$5</f>
        <v>0</v>
      </c>
      <c r="F2239" t="str" cm="1">
        <f t="array" ref="F2239">IF(LineærRegression_Valg[[#This Row],[Indenfor range]],INDEX(DataTitel_liste,LineærRegression_Valg[[#This Row],[Afhængig variabel ID]]),INDEX(DataTitel_liste,1))</f>
        <v>Eksempel 1 (interval)</v>
      </c>
      <c r="G2239" s="45" t="str" cm="1">
        <f t="array" ref="G2239">IF(LineærRegression_Valg[[#This Row],[Indenfor range]],IF(LineærRegression_Valg[[#This Row],[Intet overlap]],INDEX(DataTitel_liste,LineærRegression_Valg[[#This Row],[Uafhængig variabel ID]]),INDEX(DataTitel_liste,IF(LineærRegression_Valg[[#This Row],[Afhængig variabel ID]]=1,2,1))),$B$7)</f>
        <v>Eksempel 2 (interval)</v>
      </c>
      <c r="H2239" s="45">
        <f>_xlfn.AGGREGATE(2,5,LineærRegression_Valg[[#This Row],[Tabel ID]])</f>
        <v>1</v>
      </c>
    </row>
    <row r="2240" spans="1:8" x14ac:dyDescent="0.2">
      <c r="A2240">
        <f>ROW(LineærRegression_Valg[[#This Row],[Tabel ID]])-ROW(LineærRegression_Valg[[#Headers],[Tabel ID]])</f>
        <v>2230</v>
      </c>
      <c r="B2240" s="45">
        <f>ROUNDDOWN((LineærRegression_Valg[[#This Row],[Tabel ID]]-1)/$B$5,0)+1</f>
        <v>558</v>
      </c>
      <c r="C2240" s="45">
        <f t="shared" si="34"/>
        <v>2</v>
      </c>
      <c r="D2240" s="45" t="b">
        <f>LineærRegression_Valg[[#This Row],[Afhængig variabel ID]]&lt;&gt;LineærRegression_Valg[[#This Row],[Uafhængig variabel ID]]</f>
        <v>1</v>
      </c>
      <c r="E2240" s="45" t="b">
        <f>LineærRegression_Valg[[#This Row],[Afhængig variabel ID]]&lt;=$B$5</f>
        <v>0</v>
      </c>
      <c r="F2240" t="str" cm="1">
        <f t="array" ref="F2240">IF(LineærRegression_Valg[[#This Row],[Indenfor range]],INDEX(DataTitel_liste,LineærRegression_Valg[[#This Row],[Afhængig variabel ID]]),INDEX(DataTitel_liste,1))</f>
        <v>Eksempel 1 (interval)</v>
      </c>
      <c r="G2240" s="45" t="str" cm="1">
        <f t="array" ref="G2240">IF(LineærRegression_Valg[[#This Row],[Indenfor range]],IF(LineærRegression_Valg[[#This Row],[Intet overlap]],INDEX(DataTitel_liste,LineærRegression_Valg[[#This Row],[Uafhængig variabel ID]]),INDEX(DataTitel_liste,IF(LineærRegression_Valg[[#This Row],[Afhængig variabel ID]]=1,2,1))),$B$7)</f>
        <v>Eksempel 2 (interval)</v>
      </c>
      <c r="H2240" s="45">
        <f>_xlfn.AGGREGATE(2,5,LineærRegression_Valg[[#This Row],[Tabel ID]])</f>
        <v>1</v>
      </c>
    </row>
    <row r="2241" spans="1:8" x14ac:dyDescent="0.2">
      <c r="A2241">
        <f>ROW(LineærRegression_Valg[[#This Row],[Tabel ID]])-ROW(LineærRegression_Valg[[#Headers],[Tabel ID]])</f>
        <v>2231</v>
      </c>
      <c r="B2241" s="45">
        <f>ROUNDDOWN((LineærRegression_Valg[[#This Row],[Tabel ID]]-1)/$B$5,0)+1</f>
        <v>558</v>
      </c>
      <c r="C2241" s="45">
        <f t="shared" si="34"/>
        <v>3</v>
      </c>
      <c r="D2241" s="45" t="b">
        <f>LineærRegression_Valg[[#This Row],[Afhængig variabel ID]]&lt;&gt;LineærRegression_Valg[[#This Row],[Uafhængig variabel ID]]</f>
        <v>1</v>
      </c>
      <c r="E2241" s="45" t="b">
        <f>LineærRegression_Valg[[#This Row],[Afhængig variabel ID]]&lt;=$B$5</f>
        <v>0</v>
      </c>
      <c r="F2241" t="str" cm="1">
        <f t="array" ref="F2241">IF(LineærRegression_Valg[[#This Row],[Indenfor range]],INDEX(DataTitel_liste,LineærRegression_Valg[[#This Row],[Afhængig variabel ID]]),INDEX(DataTitel_liste,1))</f>
        <v>Eksempel 1 (interval)</v>
      </c>
      <c r="G2241" s="45" t="str" cm="1">
        <f t="array" ref="G2241">IF(LineærRegression_Valg[[#This Row],[Indenfor range]],IF(LineærRegression_Valg[[#This Row],[Intet overlap]],INDEX(DataTitel_liste,LineærRegression_Valg[[#This Row],[Uafhængig variabel ID]]),INDEX(DataTitel_liste,IF(LineærRegression_Valg[[#This Row],[Afhængig variabel ID]]=1,2,1))),$B$7)</f>
        <v>Eksempel 2 (interval)</v>
      </c>
      <c r="H2241" s="45">
        <f>_xlfn.AGGREGATE(2,5,LineærRegression_Valg[[#This Row],[Tabel ID]])</f>
        <v>1</v>
      </c>
    </row>
    <row r="2242" spans="1:8" x14ac:dyDescent="0.2">
      <c r="A2242">
        <f>ROW(LineærRegression_Valg[[#This Row],[Tabel ID]])-ROW(LineærRegression_Valg[[#Headers],[Tabel ID]])</f>
        <v>2232</v>
      </c>
      <c r="B2242" s="45">
        <f>ROUNDDOWN((LineærRegression_Valg[[#This Row],[Tabel ID]]-1)/$B$5,0)+1</f>
        <v>558</v>
      </c>
      <c r="C2242" s="45">
        <f t="shared" si="34"/>
        <v>4</v>
      </c>
      <c r="D2242" s="45" t="b">
        <f>LineærRegression_Valg[[#This Row],[Afhængig variabel ID]]&lt;&gt;LineærRegression_Valg[[#This Row],[Uafhængig variabel ID]]</f>
        <v>1</v>
      </c>
      <c r="E2242" s="45" t="b">
        <f>LineærRegression_Valg[[#This Row],[Afhængig variabel ID]]&lt;=$B$5</f>
        <v>0</v>
      </c>
      <c r="F2242" t="str" cm="1">
        <f t="array" ref="F2242">IF(LineærRegression_Valg[[#This Row],[Indenfor range]],INDEX(DataTitel_liste,LineærRegression_Valg[[#This Row],[Afhængig variabel ID]]),INDEX(DataTitel_liste,1))</f>
        <v>Eksempel 1 (interval)</v>
      </c>
      <c r="G2242" s="45" t="str" cm="1">
        <f t="array" ref="G2242">IF(LineærRegression_Valg[[#This Row],[Indenfor range]],IF(LineærRegression_Valg[[#This Row],[Intet overlap]],INDEX(DataTitel_liste,LineærRegression_Valg[[#This Row],[Uafhængig variabel ID]]),INDEX(DataTitel_liste,IF(LineærRegression_Valg[[#This Row],[Afhængig variabel ID]]=1,2,1))),$B$7)</f>
        <v>Eksempel 2 (interval)</v>
      </c>
      <c r="H2242" s="45">
        <f>_xlfn.AGGREGATE(2,5,LineærRegression_Valg[[#This Row],[Tabel ID]])</f>
        <v>1</v>
      </c>
    </row>
    <row r="2243" spans="1:8" x14ac:dyDescent="0.2">
      <c r="A2243">
        <f>ROW(LineærRegression_Valg[[#This Row],[Tabel ID]])-ROW(LineærRegression_Valg[[#Headers],[Tabel ID]])</f>
        <v>2233</v>
      </c>
      <c r="B2243" s="45">
        <f>ROUNDDOWN((LineærRegression_Valg[[#This Row],[Tabel ID]]-1)/$B$5,0)+1</f>
        <v>559</v>
      </c>
      <c r="C2243" s="45">
        <f t="shared" si="34"/>
        <v>1</v>
      </c>
      <c r="D2243" s="45" t="b">
        <f>LineærRegression_Valg[[#This Row],[Afhængig variabel ID]]&lt;&gt;LineærRegression_Valg[[#This Row],[Uafhængig variabel ID]]</f>
        <v>1</v>
      </c>
      <c r="E2243" s="45" t="b">
        <f>LineærRegression_Valg[[#This Row],[Afhængig variabel ID]]&lt;=$B$5</f>
        <v>0</v>
      </c>
      <c r="F2243" t="str" cm="1">
        <f t="array" ref="F2243">IF(LineærRegression_Valg[[#This Row],[Indenfor range]],INDEX(DataTitel_liste,LineærRegression_Valg[[#This Row],[Afhængig variabel ID]]),INDEX(DataTitel_liste,1))</f>
        <v>Eksempel 1 (interval)</v>
      </c>
      <c r="G2243" s="45" t="str" cm="1">
        <f t="array" ref="G2243">IF(LineærRegression_Valg[[#This Row],[Indenfor range]],IF(LineærRegression_Valg[[#This Row],[Intet overlap]],INDEX(DataTitel_liste,LineærRegression_Valg[[#This Row],[Uafhængig variabel ID]]),INDEX(DataTitel_liste,IF(LineærRegression_Valg[[#This Row],[Afhængig variabel ID]]=1,2,1))),$B$7)</f>
        <v>Eksempel 2 (interval)</v>
      </c>
      <c r="H2243" s="45">
        <f>_xlfn.AGGREGATE(2,5,LineærRegression_Valg[[#This Row],[Tabel ID]])</f>
        <v>1</v>
      </c>
    </row>
    <row r="2244" spans="1:8" x14ac:dyDescent="0.2">
      <c r="A2244">
        <f>ROW(LineærRegression_Valg[[#This Row],[Tabel ID]])-ROW(LineærRegression_Valg[[#Headers],[Tabel ID]])</f>
        <v>2234</v>
      </c>
      <c r="B2244" s="45">
        <f>ROUNDDOWN((LineærRegression_Valg[[#This Row],[Tabel ID]]-1)/$B$5,0)+1</f>
        <v>559</v>
      </c>
      <c r="C2244" s="45">
        <f t="shared" si="34"/>
        <v>2</v>
      </c>
      <c r="D2244" s="45" t="b">
        <f>LineærRegression_Valg[[#This Row],[Afhængig variabel ID]]&lt;&gt;LineærRegression_Valg[[#This Row],[Uafhængig variabel ID]]</f>
        <v>1</v>
      </c>
      <c r="E2244" s="45" t="b">
        <f>LineærRegression_Valg[[#This Row],[Afhængig variabel ID]]&lt;=$B$5</f>
        <v>0</v>
      </c>
      <c r="F2244" t="str" cm="1">
        <f t="array" ref="F2244">IF(LineærRegression_Valg[[#This Row],[Indenfor range]],INDEX(DataTitel_liste,LineærRegression_Valg[[#This Row],[Afhængig variabel ID]]),INDEX(DataTitel_liste,1))</f>
        <v>Eksempel 1 (interval)</v>
      </c>
      <c r="G2244" s="45" t="str" cm="1">
        <f t="array" ref="G2244">IF(LineærRegression_Valg[[#This Row],[Indenfor range]],IF(LineærRegression_Valg[[#This Row],[Intet overlap]],INDEX(DataTitel_liste,LineærRegression_Valg[[#This Row],[Uafhængig variabel ID]]),INDEX(DataTitel_liste,IF(LineærRegression_Valg[[#This Row],[Afhængig variabel ID]]=1,2,1))),$B$7)</f>
        <v>Eksempel 2 (interval)</v>
      </c>
      <c r="H2244" s="45">
        <f>_xlfn.AGGREGATE(2,5,LineærRegression_Valg[[#This Row],[Tabel ID]])</f>
        <v>1</v>
      </c>
    </row>
    <row r="2245" spans="1:8" x14ac:dyDescent="0.2">
      <c r="A2245">
        <f>ROW(LineærRegression_Valg[[#This Row],[Tabel ID]])-ROW(LineærRegression_Valg[[#Headers],[Tabel ID]])</f>
        <v>2235</v>
      </c>
      <c r="B2245" s="45">
        <f>ROUNDDOWN((LineærRegression_Valg[[#This Row],[Tabel ID]]-1)/$B$5,0)+1</f>
        <v>559</v>
      </c>
      <c r="C2245" s="45">
        <f t="shared" si="34"/>
        <v>3</v>
      </c>
      <c r="D2245" s="45" t="b">
        <f>LineærRegression_Valg[[#This Row],[Afhængig variabel ID]]&lt;&gt;LineærRegression_Valg[[#This Row],[Uafhængig variabel ID]]</f>
        <v>1</v>
      </c>
      <c r="E2245" s="45" t="b">
        <f>LineærRegression_Valg[[#This Row],[Afhængig variabel ID]]&lt;=$B$5</f>
        <v>0</v>
      </c>
      <c r="F2245" t="str" cm="1">
        <f t="array" ref="F2245">IF(LineærRegression_Valg[[#This Row],[Indenfor range]],INDEX(DataTitel_liste,LineærRegression_Valg[[#This Row],[Afhængig variabel ID]]),INDEX(DataTitel_liste,1))</f>
        <v>Eksempel 1 (interval)</v>
      </c>
      <c r="G2245" s="45" t="str" cm="1">
        <f t="array" ref="G2245">IF(LineærRegression_Valg[[#This Row],[Indenfor range]],IF(LineærRegression_Valg[[#This Row],[Intet overlap]],INDEX(DataTitel_liste,LineærRegression_Valg[[#This Row],[Uafhængig variabel ID]]),INDEX(DataTitel_liste,IF(LineærRegression_Valg[[#This Row],[Afhængig variabel ID]]=1,2,1))),$B$7)</f>
        <v>Eksempel 2 (interval)</v>
      </c>
      <c r="H2245" s="45">
        <f>_xlfn.AGGREGATE(2,5,LineærRegression_Valg[[#This Row],[Tabel ID]])</f>
        <v>1</v>
      </c>
    </row>
    <row r="2246" spans="1:8" x14ac:dyDescent="0.2">
      <c r="A2246">
        <f>ROW(LineærRegression_Valg[[#This Row],[Tabel ID]])-ROW(LineærRegression_Valg[[#Headers],[Tabel ID]])</f>
        <v>2236</v>
      </c>
      <c r="B2246" s="45">
        <f>ROUNDDOWN((LineærRegression_Valg[[#This Row],[Tabel ID]]-1)/$B$5,0)+1</f>
        <v>559</v>
      </c>
      <c r="C2246" s="45">
        <f t="shared" si="34"/>
        <v>4</v>
      </c>
      <c r="D2246" s="45" t="b">
        <f>LineærRegression_Valg[[#This Row],[Afhængig variabel ID]]&lt;&gt;LineærRegression_Valg[[#This Row],[Uafhængig variabel ID]]</f>
        <v>1</v>
      </c>
      <c r="E2246" s="45" t="b">
        <f>LineærRegression_Valg[[#This Row],[Afhængig variabel ID]]&lt;=$B$5</f>
        <v>0</v>
      </c>
      <c r="F2246" t="str" cm="1">
        <f t="array" ref="F2246">IF(LineærRegression_Valg[[#This Row],[Indenfor range]],INDEX(DataTitel_liste,LineærRegression_Valg[[#This Row],[Afhængig variabel ID]]),INDEX(DataTitel_liste,1))</f>
        <v>Eksempel 1 (interval)</v>
      </c>
      <c r="G2246" s="45" t="str" cm="1">
        <f t="array" ref="G2246">IF(LineærRegression_Valg[[#This Row],[Indenfor range]],IF(LineærRegression_Valg[[#This Row],[Intet overlap]],INDEX(DataTitel_liste,LineærRegression_Valg[[#This Row],[Uafhængig variabel ID]]),INDEX(DataTitel_liste,IF(LineærRegression_Valg[[#This Row],[Afhængig variabel ID]]=1,2,1))),$B$7)</f>
        <v>Eksempel 2 (interval)</v>
      </c>
      <c r="H2246" s="45">
        <f>_xlfn.AGGREGATE(2,5,LineærRegression_Valg[[#This Row],[Tabel ID]])</f>
        <v>1</v>
      </c>
    </row>
    <row r="2247" spans="1:8" x14ac:dyDescent="0.2">
      <c r="A2247">
        <f>ROW(LineærRegression_Valg[[#This Row],[Tabel ID]])-ROW(LineærRegression_Valg[[#Headers],[Tabel ID]])</f>
        <v>2237</v>
      </c>
      <c r="B2247" s="45">
        <f>ROUNDDOWN((LineærRegression_Valg[[#This Row],[Tabel ID]]-1)/$B$5,0)+1</f>
        <v>560</v>
      </c>
      <c r="C2247" s="45">
        <f t="shared" si="34"/>
        <v>1</v>
      </c>
      <c r="D2247" s="45" t="b">
        <f>LineærRegression_Valg[[#This Row],[Afhængig variabel ID]]&lt;&gt;LineærRegression_Valg[[#This Row],[Uafhængig variabel ID]]</f>
        <v>1</v>
      </c>
      <c r="E2247" s="45" t="b">
        <f>LineærRegression_Valg[[#This Row],[Afhængig variabel ID]]&lt;=$B$5</f>
        <v>0</v>
      </c>
      <c r="F2247" t="str" cm="1">
        <f t="array" ref="F2247">IF(LineærRegression_Valg[[#This Row],[Indenfor range]],INDEX(DataTitel_liste,LineærRegression_Valg[[#This Row],[Afhængig variabel ID]]),INDEX(DataTitel_liste,1))</f>
        <v>Eksempel 1 (interval)</v>
      </c>
      <c r="G2247" s="45" t="str" cm="1">
        <f t="array" ref="G2247">IF(LineærRegression_Valg[[#This Row],[Indenfor range]],IF(LineærRegression_Valg[[#This Row],[Intet overlap]],INDEX(DataTitel_liste,LineærRegression_Valg[[#This Row],[Uafhængig variabel ID]]),INDEX(DataTitel_liste,IF(LineærRegression_Valg[[#This Row],[Afhængig variabel ID]]=1,2,1))),$B$7)</f>
        <v>Eksempel 2 (interval)</v>
      </c>
      <c r="H2247" s="45">
        <f>_xlfn.AGGREGATE(2,5,LineærRegression_Valg[[#This Row],[Tabel ID]])</f>
        <v>1</v>
      </c>
    </row>
    <row r="2248" spans="1:8" x14ac:dyDescent="0.2">
      <c r="A2248">
        <f>ROW(LineærRegression_Valg[[#This Row],[Tabel ID]])-ROW(LineærRegression_Valg[[#Headers],[Tabel ID]])</f>
        <v>2238</v>
      </c>
      <c r="B2248" s="45">
        <f>ROUNDDOWN((LineærRegression_Valg[[#This Row],[Tabel ID]]-1)/$B$5,0)+1</f>
        <v>560</v>
      </c>
      <c r="C2248" s="45">
        <f t="shared" si="34"/>
        <v>2</v>
      </c>
      <c r="D2248" s="45" t="b">
        <f>LineærRegression_Valg[[#This Row],[Afhængig variabel ID]]&lt;&gt;LineærRegression_Valg[[#This Row],[Uafhængig variabel ID]]</f>
        <v>1</v>
      </c>
      <c r="E2248" s="45" t="b">
        <f>LineærRegression_Valg[[#This Row],[Afhængig variabel ID]]&lt;=$B$5</f>
        <v>0</v>
      </c>
      <c r="F2248" t="str" cm="1">
        <f t="array" ref="F2248">IF(LineærRegression_Valg[[#This Row],[Indenfor range]],INDEX(DataTitel_liste,LineærRegression_Valg[[#This Row],[Afhængig variabel ID]]),INDEX(DataTitel_liste,1))</f>
        <v>Eksempel 1 (interval)</v>
      </c>
      <c r="G2248" s="45" t="str" cm="1">
        <f t="array" ref="G2248">IF(LineærRegression_Valg[[#This Row],[Indenfor range]],IF(LineærRegression_Valg[[#This Row],[Intet overlap]],INDEX(DataTitel_liste,LineærRegression_Valg[[#This Row],[Uafhængig variabel ID]]),INDEX(DataTitel_liste,IF(LineærRegression_Valg[[#This Row],[Afhængig variabel ID]]=1,2,1))),$B$7)</f>
        <v>Eksempel 2 (interval)</v>
      </c>
      <c r="H2248" s="45">
        <f>_xlfn.AGGREGATE(2,5,LineærRegression_Valg[[#This Row],[Tabel ID]])</f>
        <v>1</v>
      </c>
    </row>
    <row r="2249" spans="1:8" x14ac:dyDescent="0.2">
      <c r="A2249">
        <f>ROW(LineærRegression_Valg[[#This Row],[Tabel ID]])-ROW(LineærRegression_Valg[[#Headers],[Tabel ID]])</f>
        <v>2239</v>
      </c>
      <c r="B2249" s="45">
        <f>ROUNDDOWN((LineærRegression_Valg[[#This Row],[Tabel ID]]-1)/$B$5,0)+1</f>
        <v>560</v>
      </c>
      <c r="C2249" s="45">
        <f t="shared" si="34"/>
        <v>3</v>
      </c>
      <c r="D2249" s="45" t="b">
        <f>LineærRegression_Valg[[#This Row],[Afhængig variabel ID]]&lt;&gt;LineærRegression_Valg[[#This Row],[Uafhængig variabel ID]]</f>
        <v>1</v>
      </c>
      <c r="E2249" s="45" t="b">
        <f>LineærRegression_Valg[[#This Row],[Afhængig variabel ID]]&lt;=$B$5</f>
        <v>0</v>
      </c>
      <c r="F2249" t="str" cm="1">
        <f t="array" ref="F2249">IF(LineærRegression_Valg[[#This Row],[Indenfor range]],INDEX(DataTitel_liste,LineærRegression_Valg[[#This Row],[Afhængig variabel ID]]),INDEX(DataTitel_liste,1))</f>
        <v>Eksempel 1 (interval)</v>
      </c>
      <c r="G2249" s="45" t="str" cm="1">
        <f t="array" ref="G2249">IF(LineærRegression_Valg[[#This Row],[Indenfor range]],IF(LineærRegression_Valg[[#This Row],[Intet overlap]],INDEX(DataTitel_liste,LineærRegression_Valg[[#This Row],[Uafhængig variabel ID]]),INDEX(DataTitel_liste,IF(LineærRegression_Valg[[#This Row],[Afhængig variabel ID]]=1,2,1))),$B$7)</f>
        <v>Eksempel 2 (interval)</v>
      </c>
      <c r="H2249" s="45">
        <f>_xlfn.AGGREGATE(2,5,LineærRegression_Valg[[#This Row],[Tabel ID]])</f>
        <v>1</v>
      </c>
    </row>
    <row r="2250" spans="1:8" x14ac:dyDescent="0.2">
      <c r="A2250">
        <f>ROW(LineærRegression_Valg[[#This Row],[Tabel ID]])-ROW(LineærRegression_Valg[[#Headers],[Tabel ID]])</f>
        <v>2240</v>
      </c>
      <c r="B2250" s="45">
        <f>ROUNDDOWN((LineærRegression_Valg[[#This Row],[Tabel ID]]-1)/$B$5,0)+1</f>
        <v>560</v>
      </c>
      <c r="C2250" s="45">
        <f t="shared" si="34"/>
        <v>4</v>
      </c>
      <c r="D2250" s="45" t="b">
        <f>LineærRegression_Valg[[#This Row],[Afhængig variabel ID]]&lt;&gt;LineærRegression_Valg[[#This Row],[Uafhængig variabel ID]]</f>
        <v>1</v>
      </c>
      <c r="E2250" s="45" t="b">
        <f>LineærRegression_Valg[[#This Row],[Afhængig variabel ID]]&lt;=$B$5</f>
        <v>0</v>
      </c>
      <c r="F2250" t="str" cm="1">
        <f t="array" ref="F2250">IF(LineærRegression_Valg[[#This Row],[Indenfor range]],INDEX(DataTitel_liste,LineærRegression_Valg[[#This Row],[Afhængig variabel ID]]),INDEX(DataTitel_liste,1))</f>
        <v>Eksempel 1 (interval)</v>
      </c>
      <c r="G2250" s="45" t="str" cm="1">
        <f t="array" ref="G2250">IF(LineærRegression_Valg[[#This Row],[Indenfor range]],IF(LineærRegression_Valg[[#This Row],[Intet overlap]],INDEX(DataTitel_liste,LineærRegression_Valg[[#This Row],[Uafhængig variabel ID]]),INDEX(DataTitel_liste,IF(LineærRegression_Valg[[#This Row],[Afhængig variabel ID]]=1,2,1))),$B$7)</f>
        <v>Eksempel 2 (interval)</v>
      </c>
      <c r="H2250" s="45">
        <f>_xlfn.AGGREGATE(2,5,LineærRegression_Valg[[#This Row],[Tabel ID]])</f>
        <v>1</v>
      </c>
    </row>
    <row r="2251" spans="1:8" x14ac:dyDescent="0.2">
      <c r="A2251">
        <f>ROW(LineærRegression_Valg[[#This Row],[Tabel ID]])-ROW(LineærRegression_Valg[[#Headers],[Tabel ID]])</f>
        <v>2241</v>
      </c>
      <c r="B2251" s="45">
        <f>ROUNDDOWN((LineærRegression_Valg[[#This Row],[Tabel ID]]-1)/$B$5,0)+1</f>
        <v>561</v>
      </c>
      <c r="C2251" s="45">
        <f t="shared" ref="C2251:C2314" si="35">MOD(A2251-1,$B$5)+1</f>
        <v>1</v>
      </c>
      <c r="D2251" s="45" t="b">
        <f>LineærRegression_Valg[[#This Row],[Afhængig variabel ID]]&lt;&gt;LineærRegression_Valg[[#This Row],[Uafhængig variabel ID]]</f>
        <v>1</v>
      </c>
      <c r="E2251" s="45" t="b">
        <f>LineærRegression_Valg[[#This Row],[Afhængig variabel ID]]&lt;=$B$5</f>
        <v>0</v>
      </c>
      <c r="F2251" t="str" cm="1">
        <f t="array" ref="F2251">IF(LineærRegression_Valg[[#This Row],[Indenfor range]],INDEX(DataTitel_liste,LineærRegression_Valg[[#This Row],[Afhængig variabel ID]]),INDEX(DataTitel_liste,1))</f>
        <v>Eksempel 1 (interval)</v>
      </c>
      <c r="G2251" s="45" t="str" cm="1">
        <f t="array" ref="G2251">IF(LineærRegression_Valg[[#This Row],[Indenfor range]],IF(LineærRegression_Valg[[#This Row],[Intet overlap]],INDEX(DataTitel_liste,LineærRegression_Valg[[#This Row],[Uafhængig variabel ID]]),INDEX(DataTitel_liste,IF(LineærRegression_Valg[[#This Row],[Afhængig variabel ID]]=1,2,1))),$B$7)</f>
        <v>Eksempel 2 (interval)</v>
      </c>
      <c r="H2251" s="45">
        <f>_xlfn.AGGREGATE(2,5,LineærRegression_Valg[[#This Row],[Tabel ID]])</f>
        <v>1</v>
      </c>
    </row>
    <row r="2252" spans="1:8" x14ac:dyDescent="0.2">
      <c r="A2252">
        <f>ROW(LineærRegression_Valg[[#This Row],[Tabel ID]])-ROW(LineærRegression_Valg[[#Headers],[Tabel ID]])</f>
        <v>2242</v>
      </c>
      <c r="B2252" s="45">
        <f>ROUNDDOWN((LineærRegression_Valg[[#This Row],[Tabel ID]]-1)/$B$5,0)+1</f>
        <v>561</v>
      </c>
      <c r="C2252" s="45">
        <f t="shared" si="35"/>
        <v>2</v>
      </c>
      <c r="D2252" s="45" t="b">
        <f>LineærRegression_Valg[[#This Row],[Afhængig variabel ID]]&lt;&gt;LineærRegression_Valg[[#This Row],[Uafhængig variabel ID]]</f>
        <v>1</v>
      </c>
      <c r="E2252" s="45" t="b">
        <f>LineærRegression_Valg[[#This Row],[Afhængig variabel ID]]&lt;=$B$5</f>
        <v>0</v>
      </c>
      <c r="F2252" t="str" cm="1">
        <f t="array" ref="F2252">IF(LineærRegression_Valg[[#This Row],[Indenfor range]],INDEX(DataTitel_liste,LineærRegression_Valg[[#This Row],[Afhængig variabel ID]]),INDEX(DataTitel_liste,1))</f>
        <v>Eksempel 1 (interval)</v>
      </c>
      <c r="G2252" s="45" t="str" cm="1">
        <f t="array" ref="G2252">IF(LineærRegression_Valg[[#This Row],[Indenfor range]],IF(LineærRegression_Valg[[#This Row],[Intet overlap]],INDEX(DataTitel_liste,LineærRegression_Valg[[#This Row],[Uafhængig variabel ID]]),INDEX(DataTitel_liste,IF(LineærRegression_Valg[[#This Row],[Afhængig variabel ID]]=1,2,1))),$B$7)</f>
        <v>Eksempel 2 (interval)</v>
      </c>
      <c r="H2252" s="45">
        <f>_xlfn.AGGREGATE(2,5,LineærRegression_Valg[[#This Row],[Tabel ID]])</f>
        <v>1</v>
      </c>
    </row>
    <row r="2253" spans="1:8" x14ac:dyDescent="0.2">
      <c r="A2253">
        <f>ROW(LineærRegression_Valg[[#This Row],[Tabel ID]])-ROW(LineærRegression_Valg[[#Headers],[Tabel ID]])</f>
        <v>2243</v>
      </c>
      <c r="B2253" s="45">
        <f>ROUNDDOWN((LineærRegression_Valg[[#This Row],[Tabel ID]]-1)/$B$5,0)+1</f>
        <v>561</v>
      </c>
      <c r="C2253" s="45">
        <f t="shared" si="35"/>
        <v>3</v>
      </c>
      <c r="D2253" s="45" t="b">
        <f>LineærRegression_Valg[[#This Row],[Afhængig variabel ID]]&lt;&gt;LineærRegression_Valg[[#This Row],[Uafhængig variabel ID]]</f>
        <v>1</v>
      </c>
      <c r="E2253" s="45" t="b">
        <f>LineærRegression_Valg[[#This Row],[Afhængig variabel ID]]&lt;=$B$5</f>
        <v>0</v>
      </c>
      <c r="F2253" t="str" cm="1">
        <f t="array" ref="F2253">IF(LineærRegression_Valg[[#This Row],[Indenfor range]],INDEX(DataTitel_liste,LineærRegression_Valg[[#This Row],[Afhængig variabel ID]]),INDEX(DataTitel_liste,1))</f>
        <v>Eksempel 1 (interval)</v>
      </c>
      <c r="G2253" s="45" t="str" cm="1">
        <f t="array" ref="G2253">IF(LineærRegression_Valg[[#This Row],[Indenfor range]],IF(LineærRegression_Valg[[#This Row],[Intet overlap]],INDEX(DataTitel_liste,LineærRegression_Valg[[#This Row],[Uafhængig variabel ID]]),INDEX(DataTitel_liste,IF(LineærRegression_Valg[[#This Row],[Afhængig variabel ID]]=1,2,1))),$B$7)</f>
        <v>Eksempel 2 (interval)</v>
      </c>
      <c r="H2253" s="45">
        <f>_xlfn.AGGREGATE(2,5,LineærRegression_Valg[[#This Row],[Tabel ID]])</f>
        <v>1</v>
      </c>
    </row>
    <row r="2254" spans="1:8" x14ac:dyDescent="0.2">
      <c r="A2254">
        <f>ROW(LineærRegression_Valg[[#This Row],[Tabel ID]])-ROW(LineærRegression_Valg[[#Headers],[Tabel ID]])</f>
        <v>2244</v>
      </c>
      <c r="B2254" s="45">
        <f>ROUNDDOWN((LineærRegression_Valg[[#This Row],[Tabel ID]]-1)/$B$5,0)+1</f>
        <v>561</v>
      </c>
      <c r="C2254" s="45">
        <f t="shared" si="35"/>
        <v>4</v>
      </c>
      <c r="D2254" s="45" t="b">
        <f>LineærRegression_Valg[[#This Row],[Afhængig variabel ID]]&lt;&gt;LineærRegression_Valg[[#This Row],[Uafhængig variabel ID]]</f>
        <v>1</v>
      </c>
      <c r="E2254" s="45" t="b">
        <f>LineærRegression_Valg[[#This Row],[Afhængig variabel ID]]&lt;=$B$5</f>
        <v>0</v>
      </c>
      <c r="F2254" t="str" cm="1">
        <f t="array" ref="F2254">IF(LineærRegression_Valg[[#This Row],[Indenfor range]],INDEX(DataTitel_liste,LineærRegression_Valg[[#This Row],[Afhængig variabel ID]]),INDEX(DataTitel_liste,1))</f>
        <v>Eksempel 1 (interval)</v>
      </c>
      <c r="G2254" s="45" t="str" cm="1">
        <f t="array" ref="G2254">IF(LineærRegression_Valg[[#This Row],[Indenfor range]],IF(LineærRegression_Valg[[#This Row],[Intet overlap]],INDEX(DataTitel_liste,LineærRegression_Valg[[#This Row],[Uafhængig variabel ID]]),INDEX(DataTitel_liste,IF(LineærRegression_Valg[[#This Row],[Afhængig variabel ID]]=1,2,1))),$B$7)</f>
        <v>Eksempel 2 (interval)</v>
      </c>
      <c r="H2254" s="45">
        <f>_xlfn.AGGREGATE(2,5,LineærRegression_Valg[[#This Row],[Tabel ID]])</f>
        <v>1</v>
      </c>
    </row>
    <row r="2255" spans="1:8" x14ac:dyDescent="0.2">
      <c r="A2255">
        <f>ROW(LineærRegression_Valg[[#This Row],[Tabel ID]])-ROW(LineærRegression_Valg[[#Headers],[Tabel ID]])</f>
        <v>2245</v>
      </c>
      <c r="B2255" s="45">
        <f>ROUNDDOWN((LineærRegression_Valg[[#This Row],[Tabel ID]]-1)/$B$5,0)+1</f>
        <v>562</v>
      </c>
      <c r="C2255" s="45">
        <f t="shared" si="35"/>
        <v>1</v>
      </c>
      <c r="D2255" s="45" t="b">
        <f>LineærRegression_Valg[[#This Row],[Afhængig variabel ID]]&lt;&gt;LineærRegression_Valg[[#This Row],[Uafhængig variabel ID]]</f>
        <v>1</v>
      </c>
      <c r="E2255" s="45" t="b">
        <f>LineærRegression_Valg[[#This Row],[Afhængig variabel ID]]&lt;=$B$5</f>
        <v>0</v>
      </c>
      <c r="F2255" t="str" cm="1">
        <f t="array" ref="F2255">IF(LineærRegression_Valg[[#This Row],[Indenfor range]],INDEX(DataTitel_liste,LineærRegression_Valg[[#This Row],[Afhængig variabel ID]]),INDEX(DataTitel_liste,1))</f>
        <v>Eksempel 1 (interval)</v>
      </c>
      <c r="G2255" s="45" t="str" cm="1">
        <f t="array" ref="G2255">IF(LineærRegression_Valg[[#This Row],[Indenfor range]],IF(LineærRegression_Valg[[#This Row],[Intet overlap]],INDEX(DataTitel_liste,LineærRegression_Valg[[#This Row],[Uafhængig variabel ID]]),INDEX(DataTitel_liste,IF(LineærRegression_Valg[[#This Row],[Afhængig variabel ID]]=1,2,1))),$B$7)</f>
        <v>Eksempel 2 (interval)</v>
      </c>
      <c r="H2255" s="45">
        <f>_xlfn.AGGREGATE(2,5,LineærRegression_Valg[[#This Row],[Tabel ID]])</f>
        <v>1</v>
      </c>
    </row>
    <row r="2256" spans="1:8" x14ac:dyDescent="0.2">
      <c r="A2256">
        <f>ROW(LineærRegression_Valg[[#This Row],[Tabel ID]])-ROW(LineærRegression_Valg[[#Headers],[Tabel ID]])</f>
        <v>2246</v>
      </c>
      <c r="B2256" s="45">
        <f>ROUNDDOWN((LineærRegression_Valg[[#This Row],[Tabel ID]]-1)/$B$5,0)+1</f>
        <v>562</v>
      </c>
      <c r="C2256" s="45">
        <f t="shared" si="35"/>
        <v>2</v>
      </c>
      <c r="D2256" s="45" t="b">
        <f>LineærRegression_Valg[[#This Row],[Afhængig variabel ID]]&lt;&gt;LineærRegression_Valg[[#This Row],[Uafhængig variabel ID]]</f>
        <v>1</v>
      </c>
      <c r="E2256" s="45" t="b">
        <f>LineærRegression_Valg[[#This Row],[Afhængig variabel ID]]&lt;=$B$5</f>
        <v>0</v>
      </c>
      <c r="F2256" t="str" cm="1">
        <f t="array" ref="F2256">IF(LineærRegression_Valg[[#This Row],[Indenfor range]],INDEX(DataTitel_liste,LineærRegression_Valg[[#This Row],[Afhængig variabel ID]]),INDEX(DataTitel_liste,1))</f>
        <v>Eksempel 1 (interval)</v>
      </c>
      <c r="G2256" s="45" t="str" cm="1">
        <f t="array" ref="G2256">IF(LineærRegression_Valg[[#This Row],[Indenfor range]],IF(LineærRegression_Valg[[#This Row],[Intet overlap]],INDEX(DataTitel_liste,LineærRegression_Valg[[#This Row],[Uafhængig variabel ID]]),INDEX(DataTitel_liste,IF(LineærRegression_Valg[[#This Row],[Afhængig variabel ID]]=1,2,1))),$B$7)</f>
        <v>Eksempel 2 (interval)</v>
      </c>
      <c r="H2256" s="45">
        <f>_xlfn.AGGREGATE(2,5,LineærRegression_Valg[[#This Row],[Tabel ID]])</f>
        <v>1</v>
      </c>
    </row>
    <row r="2257" spans="1:8" x14ac:dyDescent="0.2">
      <c r="A2257">
        <f>ROW(LineærRegression_Valg[[#This Row],[Tabel ID]])-ROW(LineærRegression_Valg[[#Headers],[Tabel ID]])</f>
        <v>2247</v>
      </c>
      <c r="B2257" s="45">
        <f>ROUNDDOWN((LineærRegression_Valg[[#This Row],[Tabel ID]]-1)/$B$5,0)+1</f>
        <v>562</v>
      </c>
      <c r="C2257" s="45">
        <f t="shared" si="35"/>
        <v>3</v>
      </c>
      <c r="D2257" s="45" t="b">
        <f>LineærRegression_Valg[[#This Row],[Afhængig variabel ID]]&lt;&gt;LineærRegression_Valg[[#This Row],[Uafhængig variabel ID]]</f>
        <v>1</v>
      </c>
      <c r="E2257" s="45" t="b">
        <f>LineærRegression_Valg[[#This Row],[Afhængig variabel ID]]&lt;=$B$5</f>
        <v>0</v>
      </c>
      <c r="F2257" t="str" cm="1">
        <f t="array" ref="F2257">IF(LineærRegression_Valg[[#This Row],[Indenfor range]],INDEX(DataTitel_liste,LineærRegression_Valg[[#This Row],[Afhængig variabel ID]]),INDEX(DataTitel_liste,1))</f>
        <v>Eksempel 1 (interval)</v>
      </c>
      <c r="G2257" s="45" t="str" cm="1">
        <f t="array" ref="G2257">IF(LineærRegression_Valg[[#This Row],[Indenfor range]],IF(LineærRegression_Valg[[#This Row],[Intet overlap]],INDEX(DataTitel_liste,LineærRegression_Valg[[#This Row],[Uafhængig variabel ID]]),INDEX(DataTitel_liste,IF(LineærRegression_Valg[[#This Row],[Afhængig variabel ID]]=1,2,1))),$B$7)</f>
        <v>Eksempel 2 (interval)</v>
      </c>
      <c r="H2257" s="45">
        <f>_xlfn.AGGREGATE(2,5,LineærRegression_Valg[[#This Row],[Tabel ID]])</f>
        <v>1</v>
      </c>
    </row>
    <row r="2258" spans="1:8" x14ac:dyDescent="0.2">
      <c r="A2258">
        <f>ROW(LineærRegression_Valg[[#This Row],[Tabel ID]])-ROW(LineærRegression_Valg[[#Headers],[Tabel ID]])</f>
        <v>2248</v>
      </c>
      <c r="B2258" s="45">
        <f>ROUNDDOWN((LineærRegression_Valg[[#This Row],[Tabel ID]]-1)/$B$5,0)+1</f>
        <v>562</v>
      </c>
      <c r="C2258" s="45">
        <f t="shared" si="35"/>
        <v>4</v>
      </c>
      <c r="D2258" s="45" t="b">
        <f>LineærRegression_Valg[[#This Row],[Afhængig variabel ID]]&lt;&gt;LineærRegression_Valg[[#This Row],[Uafhængig variabel ID]]</f>
        <v>1</v>
      </c>
      <c r="E2258" s="45" t="b">
        <f>LineærRegression_Valg[[#This Row],[Afhængig variabel ID]]&lt;=$B$5</f>
        <v>0</v>
      </c>
      <c r="F2258" t="str" cm="1">
        <f t="array" ref="F2258">IF(LineærRegression_Valg[[#This Row],[Indenfor range]],INDEX(DataTitel_liste,LineærRegression_Valg[[#This Row],[Afhængig variabel ID]]),INDEX(DataTitel_liste,1))</f>
        <v>Eksempel 1 (interval)</v>
      </c>
      <c r="G2258" s="45" t="str" cm="1">
        <f t="array" ref="G2258">IF(LineærRegression_Valg[[#This Row],[Indenfor range]],IF(LineærRegression_Valg[[#This Row],[Intet overlap]],INDEX(DataTitel_liste,LineærRegression_Valg[[#This Row],[Uafhængig variabel ID]]),INDEX(DataTitel_liste,IF(LineærRegression_Valg[[#This Row],[Afhængig variabel ID]]=1,2,1))),$B$7)</f>
        <v>Eksempel 2 (interval)</v>
      </c>
      <c r="H2258" s="45">
        <f>_xlfn.AGGREGATE(2,5,LineærRegression_Valg[[#This Row],[Tabel ID]])</f>
        <v>1</v>
      </c>
    </row>
    <row r="2259" spans="1:8" x14ac:dyDescent="0.2">
      <c r="A2259">
        <f>ROW(LineærRegression_Valg[[#This Row],[Tabel ID]])-ROW(LineærRegression_Valg[[#Headers],[Tabel ID]])</f>
        <v>2249</v>
      </c>
      <c r="B2259" s="45">
        <f>ROUNDDOWN((LineærRegression_Valg[[#This Row],[Tabel ID]]-1)/$B$5,0)+1</f>
        <v>563</v>
      </c>
      <c r="C2259" s="45">
        <f t="shared" si="35"/>
        <v>1</v>
      </c>
      <c r="D2259" s="45" t="b">
        <f>LineærRegression_Valg[[#This Row],[Afhængig variabel ID]]&lt;&gt;LineærRegression_Valg[[#This Row],[Uafhængig variabel ID]]</f>
        <v>1</v>
      </c>
      <c r="E2259" s="45" t="b">
        <f>LineærRegression_Valg[[#This Row],[Afhængig variabel ID]]&lt;=$B$5</f>
        <v>0</v>
      </c>
      <c r="F2259" t="str" cm="1">
        <f t="array" ref="F2259">IF(LineærRegression_Valg[[#This Row],[Indenfor range]],INDEX(DataTitel_liste,LineærRegression_Valg[[#This Row],[Afhængig variabel ID]]),INDEX(DataTitel_liste,1))</f>
        <v>Eksempel 1 (interval)</v>
      </c>
      <c r="G2259" s="45" t="str" cm="1">
        <f t="array" ref="G2259">IF(LineærRegression_Valg[[#This Row],[Indenfor range]],IF(LineærRegression_Valg[[#This Row],[Intet overlap]],INDEX(DataTitel_liste,LineærRegression_Valg[[#This Row],[Uafhængig variabel ID]]),INDEX(DataTitel_liste,IF(LineærRegression_Valg[[#This Row],[Afhængig variabel ID]]=1,2,1))),$B$7)</f>
        <v>Eksempel 2 (interval)</v>
      </c>
      <c r="H2259" s="45">
        <f>_xlfn.AGGREGATE(2,5,LineærRegression_Valg[[#This Row],[Tabel ID]])</f>
        <v>1</v>
      </c>
    </row>
    <row r="2260" spans="1:8" x14ac:dyDescent="0.2">
      <c r="A2260">
        <f>ROW(LineærRegression_Valg[[#This Row],[Tabel ID]])-ROW(LineærRegression_Valg[[#Headers],[Tabel ID]])</f>
        <v>2250</v>
      </c>
      <c r="B2260" s="45">
        <f>ROUNDDOWN((LineærRegression_Valg[[#This Row],[Tabel ID]]-1)/$B$5,0)+1</f>
        <v>563</v>
      </c>
      <c r="C2260" s="45">
        <f t="shared" si="35"/>
        <v>2</v>
      </c>
      <c r="D2260" s="45" t="b">
        <f>LineærRegression_Valg[[#This Row],[Afhængig variabel ID]]&lt;&gt;LineærRegression_Valg[[#This Row],[Uafhængig variabel ID]]</f>
        <v>1</v>
      </c>
      <c r="E2260" s="45" t="b">
        <f>LineærRegression_Valg[[#This Row],[Afhængig variabel ID]]&lt;=$B$5</f>
        <v>0</v>
      </c>
      <c r="F2260" t="str" cm="1">
        <f t="array" ref="F2260">IF(LineærRegression_Valg[[#This Row],[Indenfor range]],INDEX(DataTitel_liste,LineærRegression_Valg[[#This Row],[Afhængig variabel ID]]),INDEX(DataTitel_liste,1))</f>
        <v>Eksempel 1 (interval)</v>
      </c>
      <c r="G2260" s="45" t="str" cm="1">
        <f t="array" ref="G2260">IF(LineærRegression_Valg[[#This Row],[Indenfor range]],IF(LineærRegression_Valg[[#This Row],[Intet overlap]],INDEX(DataTitel_liste,LineærRegression_Valg[[#This Row],[Uafhængig variabel ID]]),INDEX(DataTitel_liste,IF(LineærRegression_Valg[[#This Row],[Afhængig variabel ID]]=1,2,1))),$B$7)</f>
        <v>Eksempel 2 (interval)</v>
      </c>
      <c r="H2260" s="45">
        <f>_xlfn.AGGREGATE(2,5,LineærRegression_Valg[[#This Row],[Tabel ID]])</f>
        <v>1</v>
      </c>
    </row>
    <row r="2261" spans="1:8" x14ac:dyDescent="0.2">
      <c r="A2261">
        <f>ROW(LineærRegression_Valg[[#This Row],[Tabel ID]])-ROW(LineærRegression_Valg[[#Headers],[Tabel ID]])</f>
        <v>2251</v>
      </c>
      <c r="B2261" s="45">
        <f>ROUNDDOWN((LineærRegression_Valg[[#This Row],[Tabel ID]]-1)/$B$5,0)+1</f>
        <v>563</v>
      </c>
      <c r="C2261" s="45">
        <f t="shared" si="35"/>
        <v>3</v>
      </c>
      <c r="D2261" s="45" t="b">
        <f>LineærRegression_Valg[[#This Row],[Afhængig variabel ID]]&lt;&gt;LineærRegression_Valg[[#This Row],[Uafhængig variabel ID]]</f>
        <v>1</v>
      </c>
      <c r="E2261" s="45" t="b">
        <f>LineærRegression_Valg[[#This Row],[Afhængig variabel ID]]&lt;=$B$5</f>
        <v>0</v>
      </c>
      <c r="F2261" t="str" cm="1">
        <f t="array" ref="F2261">IF(LineærRegression_Valg[[#This Row],[Indenfor range]],INDEX(DataTitel_liste,LineærRegression_Valg[[#This Row],[Afhængig variabel ID]]),INDEX(DataTitel_liste,1))</f>
        <v>Eksempel 1 (interval)</v>
      </c>
      <c r="G2261" s="45" t="str" cm="1">
        <f t="array" ref="G2261">IF(LineærRegression_Valg[[#This Row],[Indenfor range]],IF(LineærRegression_Valg[[#This Row],[Intet overlap]],INDEX(DataTitel_liste,LineærRegression_Valg[[#This Row],[Uafhængig variabel ID]]),INDEX(DataTitel_liste,IF(LineærRegression_Valg[[#This Row],[Afhængig variabel ID]]=1,2,1))),$B$7)</f>
        <v>Eksempel 2 (interval)</v>
      </c>
      <c r="H2261" s="45">
        <f>_xlfn.AGGREGATE(2,5,LineærRegression_Valg[[#This Row],[Tabel ID]])</f>
        <v>1</v>
      </c>
    </row>
    <row r="2262" spans="1:8" x14ac:dyDescent="0.2">
      <c r="A2262">
        <f>ROW(LineærRegression_Valg[[#This Row],[Tabel ID]])-ROW(LineærRegression_Valg[[#Headers],[Tabel ID]])</f>
        <v>2252</v>
      </c>
      <c r="B2262" s="45">
        <f>ROUNDDOWN((LineærRegression_Valg[[#This Row],[Tabel ID]]-1)/$B$5,0)+1</f>
        <v>563</v>
      </c>
      <c r="C2262" s="45">
        <f t="shared" si="35"/>
        <v>4</v>
      </c>
      <c r="D2262" s="45" t="b">
        <f>LineærRegression_Valg[[#This Row],[Afhængig variabel ID]]&lt;&gt;LineærRegression_Valg[[#This Row],[Uafhængig variabel ID]]</f>
        <v>1</v>
      </c>
      <c r="E2262" s="45" t="b">
        <f>LineærRegression_Valg[[#This Row],[Afhængig variabel ID]]&lt;=$B$5</f>
        <v>0</v>
      </c>
      <c r="F2262" t="str" cm="1">
        <f t="array" ref="F2262">IF(LineærRegression_Valg[[#This Row],[Indenfor range]],INDEX(DataTitel_liste,LineærRegression_Valg[[#This Row],[Afhængig variabel ID]]),INDEX(DataTitel_liste,1))</f>
        <v>Eksempel 1 (interval)</v>
      </c>
      <c r="G2262" s="45" t="str" cm="1">
        <f t="array" ref="G2262">IF(LineærRegression_Valg[[#This Row],[Indenfor range]],IF(LineærRegression_Valg[[#This Row],[Intet overlap]],INDEX(DataTitel_liste,LineærRegression_Valg[[#This Row],[Uafhængig variabel ID]]),INDEX(DataTitel_liste,IF(LineærRegression_Valg[[#This Row],[Afhængig variabel ID]]=1,2,1))),$B$7)</f>
        <v>Eksempel 2 (interval)</v>
      </c>
      <c r="H2262" s="45">
        <f>_xlfn.AGGREGATE(2,5,LineærRegression_Valg[[#This Row],[Tabel ID]])</f>
        <v>1</v>
      </c>
    </row>
    <row r="2263" spans="1:8" x14ac:dyDescent="0.2">
      <c r="A2263">
        <f>ROW(LineærRegression_Valg[[#This Row],[Tabel ID]])-ROW(LineærRegression_Valg[[#Headers],[Tabel ID]])</f>
        <v>2253</v>
      </c>
      <c r="B2263" s="45">
        <f>ROUNDDOWN((LineærRegression_Valg[[#This Row],[Tabel ID]]-1)/$B$5,0)+1</f>
        <v>564</v>
      </c>
      <c r="C2263" s="45">
        <f t="shared" si="35"/>
        <v>1</v>
      </c>
      <c r="D2263" s="45" t="b">
        <f>LineærRegression_Valg[[#This Row],[Afhængig variabel ID]]&lt;&gt;LineærRegression_Valg[[#This Row],[Uafhængig variabel ID]]</f>
        <v>1</v>
      </c>
      <c r="E2263" s="45" t="b">
        <f>LineærRegression_Valg[[#This Row],[Afhængig variabel ID]]&lt;=$B$5</f>
        <v>0</v>
      </c>
      <c r="F2263" t="str" cm="1">
        <f t="array" ref="F2263">IF(LineærRegression_Valg[[#This Row],[Indenfor range]],INDEX(DataTitel_liste,LineærRegression_Valg[[#This Row],[Afhængig variabel ID]]),INDEX(DataTitel_liste,1))</f>
        <v>Eksempel 1 (interval)</v>
      </c>
      <c r="G2263" s="45" t="str" cm="1">
        <f t="array" ref="G2263">IF(LineærRegression_Valg[[#This Row],[Indenfor range]],IF(LineærRegression_Valg[[#This Row],[Intet overlap]],INDEX(DataTitel_liste,LineærRegression_Valg[[#This Row],[Uafhængig variabel ID]]),INDEX(DataTitel_liste,IF(LineærRegression_Valg[[#This Row],[Afhængig variabel ID]]=1,2,1))),$B$7)</f>
        <v>Eksempel 2 (interval)</v>
      </c>
      <c r="H2263" s="45">
        <f>_xlfn.AGGREGATE(2,5,LineærRegression_Valg[[#This Row],[Tabel ID]])</f>
        <v>1</v>
      </c>
    </row>
    <row r="2264" spans="1:8" x14ac:dyDescent="0.2">
      <c r="A2264">
        <f>ROW(LineærRegression_Valg[[#This Row],[Tabel ID]])-ROW(LineærRegression_Valg[[#Headers],[Tabel ID]])</f>
        <v>2254</v>
      </c>
      <c r="B2264" s="45">
        <f>ROUNDDOWN((LineærRegression_Valg[[#This Row],[Tabel ID]]-1)/$B$5,0)+1</f>
        <v>564</v>
      </c>
      <c r="C2264" s="45">
        <f t="shared" si="35"/>
        <v>2</v>
      </c>
      <c r="D2264" s="45" t="b">
        <f>LineærRegression_Valg[[#This Row],[Afhængig variabel ID]]&lt;&gt;LineærRegression_Valg[[#This Row],[Uafhængig variabel ID]]</f>
        <v>1</v>
      </c>
      <c r="E2264" s="45" t="b">
        <f>LineærRegression_Valg[[#This Row],[Afhængig variabel ID]]&lt;=$B$5</f>
        <v>0</v>
      </c>
      <c r="F2264" t="str" cm="1">
        <f t="array" ref="F2264">IF(LineærRegression_Valg[[#This Row],[Indenfor range]],INDEX(DataTitel_liste,LineærRegression_Valg[[#This Row],[Afhængig variabel ID]]),INDEX(DataTitel_liste,1))</f>
        <v>Eksempel 1 (interval)</v>
      </c>
      <c r="G2264" s="45" t="str" cm="1">
        <f t="array" ref="G2264">IF(LineærRegression_Valg[[#This Row],[Indenfor range]],IF(LineærRegression_Valg[[#This Row],[Intet overlap]],INDEX(DataTitel_liste,LineærRegression_Valg[[#This Row],[Uafhængig variabel ID]]),INDEX(DataTitel_liste,IF(LineærRegression_Valg[[#This Row],[Afhængig variabel ID]]=1,2,1))),$B$7)</f>
        <v>Eksempel 2 (interval)</v>
      </c>
      <c r="H2264" s="45">
        <f>_xlfn.AGGREGATE(2,5,LineærRegression_Valg[[#This Row],[Tabel ID]])</f>
        <v>1</v>
      </c>
    </row>
    <row r="2265" spans="1:8" x14ac:dyDescent="0.2">
      <c r="A2265">
        <f>ROW(LineærRegression_Valg[[#This Row],[Tabel ID]])-ROW(LineærRegression_Valg[[#Headers],[Tabel ID]])</f>
        <v>2255</v>
      </c>
      <c r="B2265" s="45">
        <f>ROUNDDOWN((LineærRegression_Valg[[#This Row],[Tabel ID]]-1)/$B$5,0)+1</f>
        <v>564</v>
      </c>
      <c r="C2265" s="45">
        <f t="shared" si="35"/>
        <v>3</v>
      </c>
      <c r="D2265" s="45" t="b">
        <f>LineærRegression_Valg[[#This Row],[Afhængig variabel ID]]&lt;&gt;LineærRegression_Valg[[#This Row],[Uafhængig variabel ID]]</f>
        <v>1</v>
      </c>
      <c r="E2265" s="45" t="b">
        <f>LineærRegression_Valg[[#This Row],[Afhængig variabel ID]]&lt;=$B$5</f>
        <v>0</v>
      </c>
      <c r="F2265" t="str" cm="1">
        <f t="array" ref="F2265">IF(LineærRegression_Valg[[#This Row],[Indenfor range]],INDEX(DataTitel_liste,LineærRegression_Valg[[#This Row],[Afhængig variabel ID]]),INDEX(DataTitel_liste,1))</f>
        <v>Eksempel 1 (interval)</v>
      </c>
      <c r="G2265" s="45" t="str" cm="1">
        <f t="array" ref="G2265">IF(LineærRegression_Valg[[#This Row],[Indenfor range]],IF(LineærRegression_Valg[[#This Row],[Intet overlap]],INDEX(DataTitel_liste,LineærRegression_Valg[[#This Row],[Uafhængig variabel ID]]),INDEX(DataTitel_liste,IF(LineærRegression_Valg[[#This Row],[Afhængig variabel ID]]=1,2,1))),$B$7)</f>
        <v>Eksempel 2 (interval)</v>
      </c>
      <c r="H2265" s="45">
        <f>_xlfn.AGGREGATE(2,5,LineærRegression_Valg[[#This Row],[Tabel ID]])</f>
        <v>1</v>
      </c>
    </row>
    <row r="2266" spans="1:8" x14ac:dyDescent="0.2">
      <c r="A2266">
        <f>ROW(LineærRegression_Valg[[#This Row],[Tabel ID]])-ROW(LineærRegression_Valg[[#Headers],[Tabel ID]])</f>
        <v>2256</v>
      </c>
      <c r="B2266" s="45">
        <f>ROUNDDOWN((LineærRegression_Valg[[#This Row],[Tabel ID]]-1)/$B$5,0)+1</f>
        <v>564</v>
      </c>
      <c r="C2266" s="45">
        <f t="shared" si="35"/>
        <v>4</v>
      </c>
      <c r="D2266" s="45" t="b">
        <f>LineærRegression_Valg[[#This Row],[Afhængig variabel ID]]&lt;&gt;LineærRegression_Valg[[#This Row],[Uafhængig variabel ID]]</f>
        <v>1</v>
      </c>
      <c r="E2266" s="45" t="b">
        <f>LineærRegression_Valg[[#This Row],[Afhængig variabel ID]]&lt;=$B$5</f>
        <v>0</v>
      </c>
      <c r="F2266" t="str" cm="1">
        <f t="array" ref="F2266">IF(LineærRegression_Valg[[#This Row],[Indenfor range]],INDEX(DataTitel_liste,LineærRegression_Valg[[#This Row],[Afhængig variabel ID]]),INDEX(DataTitel_liste,1))</f>
        <v>Eksempel 1 (interval)</v>
      </c>
      <c r="G2266" s="45" t="str" cm="1">
        <f t="array" ref="G2266">IF(LineærRegression_Valg[[#This Row],[Indenfor range]],IF(LineærRegression_Valg[[#This Row],[Intet overlap]],INDEX(DataTitel_liste,LineærRegression_Valg[[#This Row],[Uafhængig variabel ID]]),INDEX(DataTitel_liste,IF(LineærRegression_Valg[[#This Row],[Afhængig variabel ID]]=1,2,1))),$B$7)</f>
        <v>Eksempel 2 (interval)</v>
      </c>
      <c r="H2266" s="45">
        <f>_xlfn.AGGREGATE(2,5,LineærRegression_Valg[[#This Row],[Tabel ID]])</f>
        <v>1</v>
      </c>
    </row>
    <row r="2267" spans="1:8" x14ac:dyDescent="0.2">
      <c r="A2267">
        <f>ROW(LineærRegression_Valg[[#This Row],[Tabel ID]])-ROW(LineærRegression_Valg[[#Headers],[Tabel ID]])</f>
        <v>2257</v>
      </c>
      <c r="B2267" s="45">
        <f>ROUNDDOWN((LineærRegression_Valg[[#This Row],[Tabel ID]]-1)/$B$5,0)+1</f>
        <v>565</v>
      </c>
      <c r="C2267" s="45">
        <f t="shared" si="35"/>
        <v>1</v>
      </c>
      <c r="D2267" s="45" t="b">
        <f>LineærRegression_Valg[[#This Row],[Afhængig variabel ID]]&lt;&gt;LineærRegression_Valg[[#This Row],[Uafhængig variabel ID]]</f>
        <v>1</v>
      </c>
      <c r="E2267" s="45" t="b">
        <f>LineærRegression_Valg[[#This Row],[Afhængig variabel ID]]&lt;=$B$5</f>
        <v>0</v>
      </c>
      <c r="F2267" t="str" cm="1">
        <f t="array" ref="F2267">IF(LineærRegression_Valg[[#This Row],[Indenfor range]],INDEX(DataTitel_liste,LineærRegression_Valg[[#This Row],[Afhængig variabel ID]]),INDEX(DataTitel_liste,1))</f>
        <v>Eksempel 1 (interval)</v>
      </c>
      <c r="G2267" s="45" t="str" cm="1">
        <f t="array" ref="G2267">IF(LineærRegression_Valg[[#This Row],[Indenfor range]],IF(LineærRegression_Valg[[#This Row],[Intet overlap]],INDEX(DataTitel_liste,LineærRegression_Valg[[#This Row],[Uafhængig variabel ID]]),INDEX(DataTitel_liste,IF(LineærRegression_Valg[[#This Row],[Afhængig variabel ID]]=1,2,1))),$B$7)</f>
        <v>Eksempel 2 (interval)</v>
      </c>
      <c r="H2267" s="45">
        <f>_xlfn.AGGREGATE(2,5,LineærRegression_Valg[[#This Row],[Tabel ID]])</f>
        <v>1</v>
      </c>
    </row>
    <row r="2268" spans="1:8" x14ac:dyDescent="0.2">
      <c r="A2268">
        <f>ROW(LineærRegression_Valg[[#This Row],[Tabel ID]])-ROW(LineærRegression_Valg[[#Headers],[Tabel ID]])</f>
        <v>2258</v>
      </c>
      <c r="B2268" s="45">
        <f>ROUNDDOWN((LineærRegression_Valg[[#This Row],[Tabel ID]]-1)/$B$5,0)+1</f>
        <v>565</v>
      </c>
      <c r="C2268" s="45">
        <f t="shared" si="35"/>
        <v>2</v>
      </c>
      <c r="D2268" s="45" t="b">
        <f>LineærRegression_Valg[[#This Row],[Afhængig variabel ID]]&lt;&gt;LineærRegression_Valg[[#This Row],[Uafhængig variabel ID]]</f>
        <v>1</v>
      </c>
      <c r="E2268" s="45" t="b">
        <f>LineærRegression_Valg[[#This Row],[Afhængig variabel ID]]&lt;=$B$5</f>
        <v>0</v>
      </c>
      <c r="F2268" t="str" cm="1">
        <f t="array" ref="F2268">IF(LineærRegression_Valg[[#This Row],[Indenfor range]],INDEX(DataTitel_liste,LineærRegression_Valg[[#This Row],[Afhængig variabel ID]]),INDEX(DataTitel_liste,1))</f>
        <v>Eksempel 1 (interval)</v>
      </c>
      <c r="G2268" s="45" t="str" cm="1">
        <f t="array" ref="G2268">IF(LineærRegression_Valg[[#This Row],[Indenfor range]],IF(LineærRegression_Valg[[#This Row],[Intet overlap]],INDEX(DataTitel_liste,LineærRegression_Valg[[#This Row],[Uafhængig variabel ID]]),INDEX(DataTitel_liste,IF(LineærRegression_Valg[[#This Row],[Afhængig variabel ID]]=1,2,1))),$B$7)</f>
        <v>Eksempel 2 (interval)</v>
      </c>
      <c r="H2268" s="45">
        <f>_xlfn.AGGREGATE(2,5,LineærRegression_Valg[[#This Row],[Tabel ID]])</f>
        <v>1</v>
      </c>
    </row>
    <row r="2269" spans="1:8" x14ac:dyDescent="0.2">
      <c r="A2269">
        <f>ROW(LineærRegression_Valg[[#This Row],[Tabel ID]])-ROW(LineærRegression_Valg[[#Headers],[Tabel ID]])</f>
        <v>2259</v>
      </c>
      <c r="B2269" s="45">
        <f>ROUNDDOWN((LineærRegression_Valg[[#This Row],[Tabel ID]]-1)/$B$5,0)+1</f>
        <v>565</v>
      </c>
      <c r="C2269" s="45">
        <f t="shared" si="35"/>
        <v>3</v>
      </c>
      <c r="D2269" s="45" t="b">
        <f>LineærRegression_Valg[[#This Row],[Afhængig variabel ID]]&lt;&gt;LineærRegression_Valg[[#This Row],[Uafhængig variabel ID]]</f>
        <v>1</v>
      </c>
      <c r="E2269" s="45" t="b">
        <f>LineærRegression_Valg[[#This Row],[Afhængig variabel ID]]&lt;=$B$5</f>
        <v>0</v>
      </c>
      <c r="F2269" t="str" cm="1">
        <f t="array" ref="F2269">IF(LineærRegression_Valg[[#This Row],[Indenfor range]],INDEX(DataTitel_liste,LineærRegression_Valg[[#This Row],[Afhængig variabel ID]]),INDEX(DataTitel_liste,1))</f>
        <v>Eksempel 1 (interval)</v>
      </c>
      <c r="G2269" s="45" t="str" cm="1">
        <f t="array" ref="G2269">IF(LineærRegression_Valg[[#This Row],[Indenfor range]],IF(LineærRegression_Valg[[#This Row],[Intet overlap]],INDEX(DataTitel_liste,LineærRegression_Valg[[#This Row],[Uafhængig variabel ID]]),INDEX(DataTitel_liste,IF(LineærRegression_Valg[[#This Row],[Afhængig variabel ID]]=1,2,1))),$B$7)</f>
        <v>Eksempel 2 (interval)</v>
      </c>
      <c r="H2269" s="45">
        <f>_xlfn.AGGREGATE(2,5,LineærRegression_Valg[[#This Row],[Tabel ID]])</f>
        <v>1</v>
      </c>
    </row>
    <row r="2270" spans="1:8" x14ac:dyDescent="0.2">
      <c r="A2270">
        <f>ROW(LineærRegression_Valg[[#This Row],[Tabel ID]])-ROW(LineærRegression_Valg[[#Headers],[Tabel ID]])</f>
        <v>2260</v>
      </c>
      <c r="B2270" s="45">
        <f>ROUNDDOWN((LineærRegression_Valg[[#This Row],[Tabel ID]]-1)/$B$5,0)+1</f>
        <v>565</v>
      </c>
      <c r="C2270" s="45">
        <f t="shared" si="35"/>
        <v>4</v>
      </c>
      <c r="D2270" s="45" t="b">
        <f>LineærRegression_Valg[[#This Row],[Afhængig variabel ID]]&lt;&gt;LineærRegression_Valg[[#This Row],[Uafhængig variabel ID]]</f>
        <v>1</v>
      </c>
      <c r="E2270" s="45" t="b">
        <f>LineærRegression_Valg[[#This Row],[Afhængig variabel ID]]&lt;=$B$5</f>
        <v>0</v>
      </c>
      <c r="F2270" t="str" cm="1">
        <f t="array" ref="F2270">IF(LineærRegression_Valg[[#This Row],[Indenfor range]],INDEX(DataTitel_liste,LineærRegression_Valg[[#This Row],[Afhængig variabel ID]]),INDEX(DataTitel_liste,1))</f>
        <v>Eksempel 1 (interval)</v>
      </c>
      <c r="G2270" s="45" t="str" cm="1">
        <f t="array" ref="G2270">IF(LineærRegression_Valg[[#This Row],[Indenfor range]],IF(LineærRegression_Valg[[#This Row],[Intet overlap]],INDEX(DataTitel_liste,LineærRegression_Valg[[#This Row],[Uafhængig variabel ID]]),INDEX(DataTitel_liste,IF(LineærRegression_Valg[[#This Row],[Afhængig variabel ID]]=1,2,1))),$B$7)</f>
        <v>Eksempel 2 (interval)</v>
      </c>
      <c r="H2270" s="45">
        <f>_xlfn.AGGREGATE(2,5,LineærRegression_Valg[[#This Row],[Tabel ID]])</f>
        <v>1</v>
      </c>
    </row>
    <row r="2271" spans="1:8" x14ac:dyDescent="0.2">
      <c r="A2271">
        <f>ROW(LineærRegression_Valg[[#This Row],[Tabel ID]])-ROW(LineærRegression_Valg[[#Headers],[Tabel ID]])</f>
        <v>2261</v>
      </c>
      <c r="B2271" s="45">
        <f>ROUNDDOWN((LineærRegression_Valg[[#This Row],[Tabel ID]]-1)/$B$5,0)+1</f>
        <v>566</v>
      </c>
      <c r="C2271" s="45">
        <f t="shared" si="35"/>
        <v>1</v>
      </c>
      <c r="D2271" s="45" t="b">
        <f>LineærRegression_Valg[[#This Row],[Afhængig variabel ID]]&lt;&gt;LineærRegression_Valg[[#This Row],[Uafhængig variabel ID]]</f>
        <v>1</v>
      </c>
      <c r="E2271" s="45" t="b">
        <f>LineærRegression_Valg[[#This Row],[Afhængig variabel ID]]&lt;=$B$5</f>
        <v>0</v>
      </c>
      <c r="F2271" t="str" cm="1">
        <f t="array" ref="F2271">IF(LineærRegression_Valg[[#This Row],[Indenfor range]],INDEX(DataTitel_liste,LineærRegression_Valg[[#This Row],[Afhængig variabel ID]]),INDEX(DataTitel_liste,1))</f>
        <v>Eksempel 1 (interval)</v>
      </c>
      <c r="G2271" s="45" t="str" cm="1">
        <f t="array" ref="G2271">IF(LineærRegression_Valg[[#This Row],[Indenfor range]],IF(LineærRegression_Valg[[#This Row],[Intet overlap]],INDEX(DataTitel_liste,LineærRegression_Valg[[#This Row],[Uafhængig variabel ID]]),INDEX(DataTitel_liste,IF(LineærRegression_Valg[[#This Row],[Afhængig variabel ID]]=1,2,1))),$B$7)</f>
        <v>Eksempel 2 (interval)</v>
      </c>
      <c r="H2271" s="45">
        <f>_xlfn.AGGREGATE(2,5,LineærRegression_Valg[[#This Row],[Tabel ID]])</f>
        <v>1</v>
      </c>
    </row>
    <row r="2272" spans="1:8" x14ac:dyDescent="0.2">
      <c r="A2272">
        <f>ROW(LineærRegression_Valg[[#This Row],[Tabel ID]])-ROW(LineærRegression_Valg[[#Headers],[Tabel ID]])</f>
        <v>2262</v>
      </c>
      <c r="B2272" s="45">
        <f>ROUNDDOWN((LineærRegression_Valg[[#This Row],[Tabel ID]]-1)/$B$5,0)+1</f>
        <v>566</v>
      </c>
      <c r="C2272" s="45">
        <f t="shared" si="35"/>
        <v>2</v>
      </c>
      <c r="D2272" s="45" t="b">
        <f>LineærRegression_Valg[[#This Row],[Afhængig variabel ID]]&lt;&gt;LineærRegression_Valg[[#This Row],[Uafhængig variabel ID]]</f>
        <v>1</v>
      </c>
      <c r="E2272" s="45" t="b">
        <f>LineærRegression_Valg[[#This Row],[Afhængig variabel ID]]&lt;=$B$5</f>
        <v>0</v>
      </c>
      <c r="F2272" t="str" cm="1">
        <f t="array" ref="F2272">IF(LineærRegression_Valg[[#This Row],[Indenfor range]],INDEX(DataTitel_liste,LineærRegression_Valg[[#This Row],[Afhængig variabel ID]]),INDEX(DataTitel_liste,1))</f>
        <v>Eksempel 1 (interval)</v>
      </c>
      <c r="G2272" s="45" t="str" cm="1">
        <f t="array" ref="G2272">IF(LineærRegression_Valg[[#This Row],[Indenfor range]],IF(LineærRegression_Valg[[#This Row],[Intet overlap]],INDEX(DataTitel_liste,LineærRegression_Valg[[#This Row],[Uafhængig variabel ID]]),INDEX(DataTitel_liste,IF(LineærRegression_Valg[[#This Row],[Afhængig variabel ID]]=1,2,1))),$B$7)</f>
        <v>Eksempel 2 (interval)</v>
      </c>
      <c r="H2272" s="45">
        <f>_xlfn.AGGREGATE(2,5,LineærRegression_Valg[[#This Row],[Tabel ID]])</f>
        <v>1</v>
      </c>
    </row>
    <row r="2273" spans="1:8" x14ac:dyDescent="0.2">
      <c r="A2273">
        <f>ROW(LineærRegression_Valg[[#This Row],[Tabel ID]])-ROW(LineærRegression_Valg[[#Headers],[Tabel ID]])</f>
        <v>2263</v>
      </c>
      <c r="B2273" s="45">
        <f>ROUNDDOWN((LineærRegression_Valg[[#This Row],[Tabel ID]]-1)/$B$5,0)+1</f>
        <v>566</v>
      </c>
      <c r="C2273" s="45">
        <f t="shared" si="35"/>
        <v>3</v>
      </c>
      <c r="D2273" s="45" t="b">
        <f>LineærRegression_Valg[[#This Row],[Afhængig variabel ID]]&lt;&gt;LineærRegression_Valg[[#This Row],[Uafhængig variabel ID]]</f>
        <v>1</v>
      </c>
      <c r="E2273" s="45" t="b">
        <f>LineærRegression_Valg[[#This Row],[Afhængig variabel ID]]&lt;=$B$5</f>
        <v>0</v>
      </c>
      <c r="F2273" t="str" cm="1">
        <f t="array" ref="F2273">IF(LineærRegression_Valg[[#This Row],[Indenfor range]],INDEX(DataTitel_liste,LineærRegression_Valg[[#This Row],[Afhængig variabel ID]]),INDEX(DataTitel_liste,1))</f>
        <v>Eksempel 1 (interval)</v>
      </c>
      <c r="G2273" s="45" t="str" cm="1">
        <f t="array" ref="G2273">IF(LineærRegression_Valg[[#This Row],[Indenfor range]],IF(LineærRegression_Valg[[#This Row],[Intet overlap]],INDEX(DataTitel_liste,LineærRegression_Valg[[#This Row],[Uafhængig variabel ID]]),INDEX(DataTitel_liste,IF(LineærRegression_Valg[[#This Row],[Afhængig variabel ID]]=1,2,1))),$B$7)</f>
        <v>Eksempel 2 (interval)</v>
      </c>
      <c r="H2273" s="45">
        <f>_xlfn.AGGREGATE(2,5,LineærRegression_Valg[[#This Row],[Tabel ID]])</f>
        <v>1</v>
      </c>
    </row>
    <row r="2274" spans="1:8" x14ac:dyDescent="0.2">
      <c r="A2274">
        <f>ROW(LineærRegression_Valg[[#This Row],[Tabel ID]])-ROW(LineærRegression_Valg[[#Headers],[Tabel ID]])</f>
        <v>2264</v>
      </c>
      <c r="B2274" s="45">
        <f>ROUNDDOWN((LineærRegression_Valg[[#This Row],[Tabel ID]]-1)/$B$5,0)+1</f>
        <v>566</v>
      </c>
      <c r="C2274" s="45">
        <f t="shared" si="35"/>
        <v>4</v>
      </c>
      <c r="D2274" s="45" t="b">
        <f>LineærRegression_Valg[[#This Row],[Afhængig variabel ID]]&lt;&gt;LineærRegression_Valg[[#This Row],[Uafhængig variabel ID]]</f>
        <v>1</v>
      </c>
      <c r="E2274" s="45" t="b">
        <f>LineærRegression_Valg[[#This Row],[Afhængig variabel ID]]&lt;=$B$5</f>
        <v>0</v>
      </c>
      <c r="F2274" t="str" cm="1">
        <f t="array" ref="F2274">IF(LineærRegression_Valg[[#This Row],[Indenfor range]],INDEX(DataTitel_liste,LineærRegression_Valg[[#This Row],[Afhængig variabel ID]]),INDEX(DataTitel_liste,1))</f>
        <v>Eksempel 1 (interval)</v>
      </c>
      <c r="G2274" s="45" t="str" cm="1">
        <f t="array" ref="G2274">IF(LineærRegression_Valg[[#This Row],[Indenfor range]],IF(LineærRegression_Valg[[#This Row],[Intet overlap]],INDEX(DataTitel_liste,LineærRegression_Valg[[#This Row],[Uafhængig variabel ID]]),INDEX(DataTitel_liste,IF(LineærRegression_Valg[[#This Row],[Afhængig variabel ID]]=1,2,1))),$B$7)</f>
        <v>Eksempel 2 (interval)</v>
      </c>
      <c r="H2274" s="45">
        <f>_xlfn.AGGREGATE(2,5,LineærRegression_Valg[[#This Row],[Tabel ID]])</f>
        <v>1</v>
      </c>
    </row>
    <row r="2275" spans="1:8" x14ac:dyDescent="0.2">
      <c r="A2275">
        <f>ROW(LineærRegression_Valg[[#This Row],[Tabel ID]])-ROW(LineærRegression_Valg[[#Headers],[Tabel ID]])</f>
        <v>2265</v>
      </c>
      <c r="B2275" s="45">
        <f>ROUNDDOWN((LineærRegression_Valg[[#This Row],[Tabel ID]]-1)/$B$5,0)+1</f>
        <v>567</v>
      </c>
      <c r="C2275" s="45">
        <f t="shared" si="35"/>
        <v>1</v>
      </c>
      <c r="D2275" s="45" t="b">
        <f>LineærRegression_Valg[[#This Row],[Afhængig variabel ID]]&lt;&gt;LineærRegression_Valg[[#This Row],[Uafhængig variabel ID]]</f>
        <v>1</v>
      </c>
      <c r="E2275" s="45" t="b">
        <f>LineærRegression_Valg[[#This Row],[Afhængig variabel ID]]&lt;=$B$5</f>
        <v>0</v>
      </c>
      <c r="F2275" t="str" cm="1">
        <f t="array" ref="F2275">IF(LineærRegression_Valg[[#This Row],[Indenfor range]],INDEX(DataTitel_liste,LineærRegression_Valg[[#This Row],[Afhængig variabel ID]]),INDEX(DataTitel_liste,1))</f>
        <v>Eksempel 1 (interval)</v>
      </c>
      <c r="G2275" s="45" t="str" cm="1">
        <f t="array" ref="G2275">IF(LineærRegression_Valg[[#This Row],[Indenfor range]],IF(LineærRegression_Valg[[#This Row],[Intet overlap]],INDEX(DataTitel_liste,LineærRegression_Valg[[#This Row],[Uafhængig variabel ID]]),INDEX(DataTitel_liste,IF(LineærRegression_Valg[[#This Row],[Afhængig variabel ID]]=1,2,1))),$B$7)</f>
        <v>Eksempel 2 (interval)</v>
      </c>
      <c r="H2275" s="45">
        <f>_xlfn.AGGREGATE(2,5,LineærRegression_Valg[[#This Row],[Tabel ID]])</f>
        <v>1</v>
      </c>
    </row>
    <row r="2276" spans="1:8" x14ac:dyDescent="0.2">
      <c r="A2276">
        <f>ROW(LineærRegression_Valg[[#This Row],[Tabel ID]])-ROW(LineærRegression_Valg[[#Headers],[Tabel ID]])</f>
        <v>2266</v>
      </c>
      <c r="B2276" s="45">
        <f>ROUNDDOWN((LineærRegression_Valg[[#This Row],[Tabel ID]]-1)/$B$5,0)+1</f>
        <v>567</v>
      </c>
      <c r="C2276" s="45">
        <f t="shared" si="35"/>
        <v>2</v>
      </c>
      <c r="D2276" s="45" t="b">
        <f>LineærRegression_Valg[[#This Row],[Afhængig variabel ID]]&lt;&gt;LineærRegression_Valg[[#This Row],[Uafhængig variabel ID]]</f>
        <v>1</v>
      </c>
      <c r="E2276" s="45" t="b">
        <f>LineærRegression_Valg[[#This Row],[Afhængig variabel ID]]&lt;=$B$5</f>
        <v>0</v>
      </c>
      <c r="F2276" t="str" cm="1">
        <f t="array" ref="F2276">IF(LineærRegression_Valg[[#This Row],[Indenfor range]],INDEX(DataTitel_liste,LineærRegression_Valg[[#This Row],[Afhængig variabel ID]]),INDEX(DataTitel_liste,1))</f>
        <v>Eksempel 1 (interval)</v>
      </c>
      <c r="G2276" s="45" t="str" cm="1">
        <f t="array" ref="G2276">IF(LineærRegression_Valg[[#This Row],[Indenfor range]],IF(LineærRegression_Valg[[#This Row],[Intet overlap]],INDEX(DataTitel_liste,LineærRegression_Valg[[#This Row],[Uafhængig variabel ID]]),INDEX(DataTitel_liste,IF(LineærRegression_Valg[[#This Row],[Afhængig variabel ID]]=1,2,1))),$B$7)</f>
        <v>Eksempel 2 (interval)</v>
      </c>
      <c r="H2276" s="45">
        <f>_xlfn.AGGREGATE(2,5,LineærRegression_Valg[[#This Row],[Tabel ID]])</f>
        <v>1</v>
      </c>
    </row>
    <row r="2277" spans="1:8" x14ac:dyDescent="0.2">
      <c r="A2277">
        <f>ROW(LineærRegression_Valg[[#This Row],[Tabel ID]])-ROW(LineærRegression_Valg[[#Headers],[Tabel ID]])</f>
        <v>2267</v>
      </c>
      <c r="B2277" s="45">
        <f>ROUNDDOWN((LineærRegression_Valg[[#This Row],[Tabel ID]]-1)/$B$5,0)+1</f>
        <v>567</v>
      </c>
      <c r="C2277" s="45">
        <f t="shared" si="35"/>
        <v>3</v>
      </c>
      <c r="D2277" s="45" t="b">
        <f>LineærRegression_Valg[[#This Row],[Afhængig variabel ID]]&lt;&gt;LineærRegression_Valg[[#This Row],[Uafhængig variabel ID]]</f>
        <v>1</v>
      </c>
      <c r="E2277" s="45" t="b">
        <f>LineærRegression_Valg[[#This Row],[Afhængig variabel ID]]&lt;=$B$5</f>
        <v>0</v>
      </c>
      <c r="F2277" t="str" cm="1">
        <f t="array" ref="F2277">IF(LineærRegression_Valg[[#This Row],[Indenfor range]],INDEX(DataTitel_liste,LineærRegression_Valg[[#This Row],[Afhængig variabel ID]]),INDEX(DataTitel_liste,1))</f>
        <v>Eksempel 1 (interval)</v>
      </c>
      <c r="G2277" s="45" t="str" cm="1">
        <f t="array" ref="G2277">IF(LineærRegression_Valg[[#This Row],[Indenfor range]],IF(LineærRegression_Valg[[#This Row],[Intet overlap]],INDEX(DataTitel_liste,LineærRegression_Valg[[#This Row],[Uafhængig variabel ID]]),INDEX(DataTitel_liste,IF(LineærRegression_Valg[[#This Row],[Afhængig variabel ID]]=1,2,1))),$B$7)</f>
        <v>Eksempel 2 (interval)</v>
      </c>
      <c r="H2277" s="45">
        <f>_xlfn.AGGREGATE(2,5,LineærRegression_Valg[[#This Row],[Tabel ID]])</f>
        <v>1</v>
      </c>
    </row>
    <row r="2278" spans="1:8" x14ac:dyDescent="0.2">
      <c r="A2278">
        <f>ROW(LineærRegression_Valg[[#This Row],[Tabel ID]])-ROW(LineærRegression_Valg[[#Headers],[Tabel ID]])</f>
        <v>2268</v>
      </c>
      <c r="B2278" s="45">
        <f>ROUNDDOWN((LineærRegression_Valg[[#This Row],[Tabel ID]]-1)/$B$5,0)+1</f>
        <v>567</v>
      </c>
      <c r="C2278" s="45">
        <f t="shared" si="35"/>
        <v>4</v>
      </c>
      <c r="D2278" s="45" t="b">
        <f>LineærRegression_Valg[[#This Row],[Afhængig variabel ID]]&lt;&gt;LineærRegression_Valg[[#This Row],[Uafhængig variabel ID]]</f>
        <v>1</v>
      </c>
      <c r="E2278" s="45" t="b">
        <f>LineærRegression_Valg[[#This Row],[Afhængig variabel ID]]&lt;=$B$5</f>
        <v>0</v>
      </c>
      <c r="F2278" t="str" cm="1">
        <f t="array" ref="F2278">IF(LineærRegression_Valg[[#This Row],[Indenfor range]],INDEX(DataTitel_liste,LineærRegression_Valg[[#This Row],[Afhængig variabel ID]]),INDEX(DataTitel_liste,1))</f>
        <v>Eksempel 1 (interval)</v>
      </c>
      <c r="G2278" s="45" t="str" cm="1">
        <f t="array" ref="G2278">IF(LineærRegression_Valg[[#This Row],[Indenfor range]],IF(LineærRegression_Valg[[#This Row],[Intet overlap]],INDEX(DataTitel_liste,LineærRegression_Valg[[#This Row],[Uafhængig variabel ID]]),INDEX(DataTitel_liste,IF(LineærRegression_Valg[[#This Row],[Afhængig variabel ID]]=1,2,1))),$B$7)</f>
        <v>Eksempel 2 (interval)</v>
      </c>
      <c r="H2278" s="45">
        <f>_xlfn.AGGREGATE(2,5,LineærRegression_Valg[[#This Row],[Tabel ID]])</f>
        <v>1</v>
      </c>
    </row>
    <row r="2279" spans="1:8" x14ac:dyDescent="0.2">
      <c r="A2279">
        <f>ROW(LineærRegression_Valg[[#This Row],[Tabel ID]])-ROW(LineærRegression_Valg[[#Headers],[Tabel ID]])</f>
        <v>2269</v>
      </c>
      <c r="B2279" s="45">
        <f>ROUNDDOWN((LineærRegression_Valg[[#This Row],[Tabel ID]]-1)/$B$5,0)+1</f>
        <v>568</v>
      </c>
      <c r="C2279" s="45">
        <f t="shared" si="35"/>
        <v>1</v>
      </c>
      <c r="D2279" s="45" t="b">
        <f>LineærRegression_Valg[[#This Row],[Afhængig variabel ID]]&lt;&gt;LineærRegression_Valg[[#This Row],[Uafhængig variabel ID]]</f>
        <v>1</v>
      </c>
      <c r="E2279" s="45" t="b">
        <f>LineærRegression_Valg[[#This Row],[Afhængig variabel ID]]&lt;=$B$5</f>
        <v>0</v>
      </c>
      <c r="F2279" t="str" cm="1">
        <f t="array" ref="F2279">IF(LineærRegression_Valg[[#This Row],[Indenfor range]],INDEX(DataTitel_liste,LineærRegression_Valg[[#This Row],[Afhængig variabel ID]]),INDEX(DataTitel_liste,1))</f>
        <v>Eksempel 1 (interval)</v>
      </c>
      <c r="G2279" s="45" t="str" cm="1">
        <f t="array" ref="G2279">IF(LineærRegression_Valg[[#This Row],[Indenfor range]],IF(LineærRegression_Valg[[#This Row],[Intet overlap]],INDEX(DataTitel_liste,LineærRegression_Valg[[#This Row],[Uafhængig variabel ID]]),INDEX(DataTitel_liste,IF(LineærRegression_Valg[[#This Row],[Afhængig variabel ID]]=1,2,1))),$B$7)</f>
        <v>Eksempel 2 (interval)</v>
      </c>
      <c r="H2279" s="45">
        <f>_xlfn.AGGREGATE(2,5,LineærRegression_Valg[[#This Row],[Tabel ID]])</f>
        <v>1</v>
      </c>
    </row>
    <row r="2280" spans="1:8" x14ac:dyDescent="0.2">
      <c r="A2280">
        <f>ROW(LineærRegression_Valg[[#This Row],[Tabel ID]])-ROW(LineærRegression_Valg[[#Headers],[Tabel ID]])</f>
        <v>2270</v>
      </c>
      <c r="B2280" s="45">
        <f>ROUNDDOWN((LineærRegression_Valg[[#This Row],[Tabel ID]]-1)/$B$5,0)+1</f>
        <v>568</v>
      </c>
      <c r="C2280" s="45">
        <f t="shared" si="35"/>
        <v>2</v>
      </c>
      <c r="D2280" s="45" t="b">
        <f>LineærRegression_Valg[[#This Row],[Afhængig variabel ID]]&lt;&gt;LineærRegression_Valg[[#This Row],[Uafhængig variabel ID]]</f>
        <v>1</v>
      </c>
      <c r="E2280" s="45" t="b">
        <f>LineærRegression_Valg[[#This Row],[Afhængig variabel ID]]&lt;=$B$5</f>
        <v>0</v>
      </c>
      <c r="F2280" t="str" cm="1">
        <f t="array" ref="F2280">IF(LineærRegression_Valg[[#This Row],[Indenfor range]],INDEX(DataTitel_liste,LineærRegression_Valg[[#This Row],[Afhængig variabel ID]]),INDEX(DataTitel_liste,1))</f>
        <v>Eksempel 1 (interval)</v>
      </c>
      <c r="G2280" s="45" t="str" cm="1">
        <f t="array" ref="G2280">IF(LineærRegression_Valg[[#This Row],[Indenfor range]],IF(LineærRegression_Valg[[#This Row],[Intet overlap]],INDEX(DataTitel_liste,LineærRegression_Valg[[#This Row],[Uafhængig variabel ID]]),INDEX(DataTitel_liste,IF(LineærRegression_Valg[[#This Row],[Afhængig variabel ID]]=1,2,1))),$B$7)</f>
        <v>Eksempel 2 (interval)</v>
      </c>
      <c r="H2280" s="45">
        <f>_xlfn.AGGREGATE(2,5,LineærRegression_Valg[[#This Row],[Tabel ID]])</f>
        <v>1</v>
      </c>
    </row>
    <row r="2281" spans="1:8" x14ac:dyDescent="0.2">
      <c r="A2281">
        <f>ROW(LineærRegression_Valg[[#This Row],[Tabel ID]])-ROW(LineærRegression_Valg[[#Headers],[Tabel ID]])</f>
        <v>2271</v>
      </c>
      <c r="B2281" s="45">
        <f>ROUNDDOWN((LineærRegression_Valg[[#This Row],[Tabel ID]]-1)/$B$5,0)+1</f>
        <v>568</v>
      </c>
      <c r="C2281" s="45">
        <f t="shared" si="35"/>
        <v>3</v>
      </c>
      <c r="D2281" s="45" t="b">
        <f>LineærRegression_Valg[[#This Row],[Afhængig variabel ID]]&lt;&gt;LineærRegression_Valg[[#This Row],[Uafhængig variabel ID]]</f>
        <v>1</v>
      </c>
      <c r="E2281" s="45" t="b">
        <f>LineærRegression_Valg[[#This Row],[Afhængig variabel ID]]&lt;=$B$5</f>
        <v>0</v>
      </c>
      <c r="F2281" t="str" cm="1">
        <f t="array" ref="F2281">IF(LineærRegression_Valg[[#This Row],[Indenfor range]],INDEX(DataTitel_liste,LineærRegression_Valg[[#This Row],[Afhængig variabel ID]]),INDEX(DataTitel_liste,1))</f>
        <v>Eksempel 1 (interval)</v>
      </c>
      <c r="G2281" s="45" t="str" cm="1">
        <f t="array" ref="G2281">IF(LineærRegression_Valg[[#This Row],[Indenfor range]],IF(LineærRegression_Valg[[#This Row],[Intet overlap]],INDEX(DataTitel_liste,LineærRegression_Valg[[#This Row],[Uafhængig variabel ID]]),INDEX(DataTitel_liste,IF(LineærRegression_Valg[[#This Row],[Afhængig variabel ID]]=1,2,1))),$B$7)</f>
        <v>Eksempel 2 (interval)</v>
      </c>
      <c r="H2281" s="45">
        <f>_xlfn.AGGREGATE(2,5,LineærRegression_Valg[[#This Row],[Tabel ID]])</f>
        <v>1</v>
      </c>
    </row>
    <row r="2282" spans="1:8" x14ac:dyDescent="0.2">
      <c r="A2282">
        <f>ROW(LineærRegression_Valg[[#This Row],[Tabel ID]])-ROW(LineærRegression_Valg[[#Headers],[Tabel ID]])</f>
        <v>2272</v>
      </c>
      <c r="B2282" s="45">
        <f>ROUNDDOWN((LineærRegression_Valg[[#This Row],[Tabel ID]]-1)/$B$5,0)+1</f>
        <v>568</v>
      </c>
      <c r="C2282" s="45">
        <f t="shared" si="35"/>
        <v>4</v>
      </c>
      <c r="D2282" s="45" t="b">
        <f>LineærRegression_Valg[[#This Row],[Afhængig variabel ID]]&lt;&gt;LineærRegression_Valg[[#This Row],[Uafhængig variabel ID]]</f>
        <v>1</v>
      </c>
      <c r="E2282" s="45" t="b">
        <f>LineærRegression_Valg[[#This Row],[Afhængig variabel ID]]&lt;=$B$5</f>
        <v>0</v>
      </c>
      <c r="F2282" t="str" cm="1">
        <f t="array" ref="F2282">IF(LineærRegression_Valg[[#This Row],[Indenfor range]],INDEX(DataTitel_liste,LineærRegression_Valg[[#This Row],[Afhængig variabel ID]]),INDEX(DataTitel_liste,1))</f>
        <v>Eksempel 1 (interval)</v>
      </c>
      <c r="G2282" s="45" t="str" cm="1">
        <f t="array" ref="G2282">IF(LineærRegression_Valg[[#This Row],[Indenfor range]],IF(LineærRegression_Valg[[#This Row],[Intet overlap]],INDEX(DataTitel_liste,LineærRegression_Valg[[#This Row],[Uafhængig variabel ID]]),INDEX(DataTitel_liste,IF(LineærRegression_Valg[[#This Row],[Afhængig variabel ID]]=1,2,1))),$B$7)</f>
        <v>Eksempel 2 (interval)</v>
      </c>
      <c r="H2282" s="45">
        <f>_xlfn.AGGREGATE(2,5,LineærRegression_Valg[[#This Row],[Tabel ID]])</f>
        <v>1</v>
      </c>
    </row>
    <row r="2283" spans="1:8" x14ac:dyDescent="0.2">
      <c r="A2283">
        <f>ROW(LineærRegression_Valg[[#This Row],[Tabel ID]])-ROW(LineærRegression_Valg[[#Headers],[Tabel ID]])</f>
        <v>2273</v>
      </c>
      <c r="B2283" s="45">
        <f>ROUNDDOWN((LineærRegression_Valg[[#This Row],[Tabel ID]]-1)/$B$5,0)+1</f>
        <v>569</v>
      </c>
      <c r="C2283" s="45">
        <f t="shared" si="35"/>
        <v>1</v>
      </c>
      <c r="D2283" s="45" t="b">
        <f>LineærRegression_Valg[[#This Row],[Afhængig variabel ID]]&lt;&gt;LineærRegression_Valg[[#This Row],[Uafhængig variabel ID]]</f>
        <v>1</v>
      </c>
      <c r="E2283" s="45" t="b">
        <f>LineærRegression_Valg[[#This Row],[Afhængig variabel ID]]&lt;=$B$5</f>
        <v>0</v>
      </c>
      <c r="F2283" t="str" cm="1">
        <f t="array" ref="F2283">IF(LineærRegression_Valg[[#This Row],[Indenfor range]],INDEX(DataTitel_liste,LineærRegression_Valg[[#This Row],[Afhængig variabel ID]]),INDEX(DataTitel_liste,1))</f>
        <v>Eksempel 1 (interval)</v>
      </c>
      <c r="G2283" s="45" t="str" cm="1">
        <f t="array" ref="G2283">IF(LineærRegression_Valg[[#This Row],[Indenfor range]],IF(LineærRegression_Valg[[#This Row],[Intet overlap]],INDEX(DataTitel_liste,LineærRegression_Valg[[#This Row],[Uafhængig variabel ID]]),INDEX(DataTitel_liste,IF(LineærRegression_Valg[[#This Row],[Afhængig variabel ID]]=1,2,1))),$B$7)</f>
        <v>Eksempel 2 (interval)</v>
      </c>
      <c r="H2283" s="45">
        <f>_xlfn.AGGREGATE(2,5,LineærRegression_Valg[[#This Row],[Tabel ID]])</f>
        <v>1</v>
      </c>
    </row>
    <row r="2284" spans="1:8" x14ac:dyDescent="0.2">
      <c r="A2284">
        <f>ROW(LineærRegression_Valg[[#This Row],[Tabel ID]])-ROW(LineærRegression_Valg[[#Headers],[Tabel ID]])</f>
        <v>2274</v>
      </c>
      <c r="B2284" s="45">
        <f>ROUNDDOWN((LineærRegression_Valg[[#This Row],[Tabel ID]]-1)/$B$5,0)+1</f>
        <v>569</v>
      </c>
      <c r="C2284" s="45">
        <f t="shared" si="35"/>
        <v>2</v>
      </c>
      <c r="D2284" s="45" t="b">
        <f>LineærRegression_Valg[[#This Row],[Afhængig variabel ID]]&lt;&gt;LineærRegression_Valg[[#This Row],[Uafhængig variabel ID]]</f>
        <v>1</v>
      </c>
      <c r="E2284" s="45" t="b">
        <f>LineærRegression_Valg[[#This Row],[Afhængig variabel ID]]&lt;=$B$5</f>
        <v>0</v>
      </c>
      <c r="F2284" t="str" cm="1">
        <f t="array" ref="F2284">IF(LineærRegression_Valg[[#This Row],[Indenfor range]],INDEX(DataTitel_liste,LineærRegression_Valg[[#This Row],[Afhængig variabel ID]]),INDEX(DataTitel_liste,1))</f>
        <v>Eksempel 1 (interval)</v>
      </c>
      <c r="G2284" s="45" t="str" cm="1">
        <f t="array" ref="G2284">IF(LineærRegression_Valg[[#This Row],[Indenfor range]],IF(LineærRegression_Valg[[#This Row],[Intet overlap]],INDEX(DataTitel_liste,LineærRegression_Valg[[#This Row],[Uafhængig variabel ID]]),INDEX(DataTitel_liste,IF(LineærRegression_Valg[[#This Row],[Afhængig variabel ID]]=1,2,1))),$B$7)</f>
        <v>Eksempel 2 (interval)</v>
      </c>
      <c r="H2284" s="45">
        <f>_xlfn.AGGREGATE(2,5,LineærRegression_Valg[[#This Row],[Tabel ID]])</f>
        <v>1</v>
      </c>
    </row>
    <row r="2285" spans="1:8" x14ac:dyDescent="0.2">
      <c r="A2285">
        <f>ROW(LineærRegression_Valg[[#This Row],[Tabel ID]])-ROW(LineærRegression_Valg[[#Headers],[Tabel ID]])</f>
        <v>2275</v>
      </c>
      <c r="B2285" s="45">
        <f>ROUNDDOWN((LineærRegression_Valg[[#This Row],[Tabel ID]]-1)/$B$5,0)+1</f>
        <v>569</v>
      </c>
      <c r="C2285" s="45">
        <f t="shared" si="35"/>
        <v>3</v>
      </c>
      <c r="D2285" s="45" t="b">
        <f>LineærRegression_Valg[[#This Row],[Afhængig variabel ID]]&lt;&gt;LineærRegression_Valg[[#This Row],[Uafhængig variabel ID]]</f>
        <v>1</v>
      </c>
      <c r="E2285" s="45" t="b">
        <f>LineærRegression_Valg[[#This Row],[Afhængig variabel ID]]&lt;=$B$5</f>
        <v>0</v>
      </c>
      <c r="F2285" t="str" cm="1">
        <f t="array" ref="F2285">IF(LineærRegression_Valg[[#This Row],[Indenfor range]],INDEX(DataTitel_liste,LineærRegression_Valg[[#This Row],[Afhængig variabel ID]]),INDEX(DataTitel_liste,1))</f>
        <v>Eksempel 1 (interval)</v>
      </c>
      <c r="G2285" s="45" t="str" cm="1">
        <f t="array" ref="G2285">IF(LineærRegression_Valg[[#This Row],[Indenfor range]],IF(LineærRegression_Valg[[#This Row],[Intet overlap]],INDEX(DataTitel_liste,LineærRegression_Valg[[#This Row],[Uafhængig variabel ID]]),INDEX(DataTitel_liste,IF(LineærRegression_Valg[[#This Row],[Afhængig variabel ID]]=1,2,1))),$B$7)</f>
        <v>Eksempel 2 (interval)</v>
      </c>
      <c r="H2285" s="45">
        <f>_xlfn.AGGREGATE(2,5,LineærRegression_Valg[[#This Row],[Tabel ID]])</f>
        <v>1</v>
      </c>
    </row>
    <row r="2286" spans="1:8" x14ac:dyDescent="0.2">
      <c r="A2286">
        <f>ROW(LineærRegression_Valg[[#This Row],[Tabel ID]])-ROW(LineærRegression_Valg[[#Headers],[Tabel ID]])</f>
        <v>2276</v>
      </c>
      <c r="B2286" s="45">
        <f>ROUNDDOWN((LineærRegression_Valg[[#This Row],[Tabel ID]]-1)/$B$5,0)+1</f>
        <v>569</v>
      </c>
      <c r="C2286" s="45">
        <f t="shared" si="35"/>
        <v>4</v>
      </c>
      <c r="D2286" s="45" t="b">
        <f>LineærRegression_Valg[[#This Row],[Afhængig variabel ID]]&lt;&gt;LineærRegression_Valg[[#This Row],[Uafhængig variabel ID]]</f>
        <v>1</v>
      </c>
      <c r="E2286" s="45" t="b">
        <f>LineærRegression_Valg[[#This Row],[Afhængig variabel ID]]&lt;=$B$5</f>
        <v>0</v>
      </c>
      <c r="F2286" t="str" cm="1">
        <f t="array" ref="F2286">IF(LineærRegression_Valg[[#This Row],[Indenfor range]],INDEX(DataTitel_liste,LineærRegression_Valg[[#This Row],[Afhængig variabel ID]]),INDEX(DataTitel_liste,1))</f>
        <v>Eksempel 1 (interval)</v>
      </c>
      <c r="G2286" s="45" t="str" cm="1">
        <f t="array" ref="G2286">IF(LineærRegression_Valg[[#This Row],[Indenfor range]],IF(LineærRegression_Valg[[#This Row],[Intet overlap]],INDEX(DataTitel_liste,LineærRegression_Valg[[#This Row],[Uafhængig variabel ID]]),INDEX(DataTitel_liste,IF(LineærRegression_Valg[[#This Row],[Afhængig variabel ID]]=1,2,1))),$B$7)</f>
        <v>Eksempel 2 (interval)</v>
      </c>
      <c r="H2286" s="45">
        <f>_xlfn.AGGREGATE(2,5,LineærRegression_Valg[[#This Row],[Tabel ID]])</f>
        <v>1</v>
      </c>
    </row>
    <row r="2287" spans="1:8" x14ac:dyDescent="0.2">
      <c r="A2287">
        <f>ROW(LineærRegression_Valg[[#This Row],[Tabel ID]])-ROW(LineærRegression_Valg[[#Headers],[Tabel ID]])</f>
        <v>2277</v>
      </c>
      <c r="B2287" s="45">
        <f>ROUNDDOWN((LineærRegression_Valg[[#This Row],[Tabel ID]]-1)/$B$5,0)+1</f>
        <v>570</v>
      </c>
      <c r="C2287" s="45">
        <f t="shared" si="35"/>
        <v>1</v>
      </c>
      <c r="D2287" s="45" t="b">
        <f>LineærRegression_Valg[[#This Row],[Afhængig variabel ID]]&lt;&gt;LineærRegression_Valg[[#This Row],[Uafhængig variabel ID]]</f>
        <v>1</v>
      </c>
      <c r="E2287" s="45" t="b">
        <f>LineærRegression_Valg[[#This Row],[Afhængig variabel ID]]&lt;=$B$5</f>
        <v>0</v>
      </c>
      <c r="F2287" t="str" cm="1">
        <f t="array" ref="F2287">IF(LineærRegression_Valg[[#This Row],[Indenfor range]],INDEX(DataTitel_liste,LineærRegression_Valg[[#This Row],[Afhængig variabel ID]]),INDEX(DataTitel_liste,1))</f>
        <v>Eksempel 1 (interval)</v>
      </c>
      <c r="G2287" s="45" t="str" cm="1">
        <f t="array" ref="G2287">IF(LineærRegression_Valg[[#This Row],[Indenfor range]],IF(LineærRegression_Valg[[#This Row],[Intet overlap]],INDEX(DataTitel_liste,LineærRegression_Valg[[#This Row],[Uafhængig variabel ID]]),INDEX(DataTitel_liste,IF(LineærRegression_Valg[[#This Row],[Afhængig variabel ID]]=1,2,1))),$B$7)</f>
        <v>Eksempel 2 (interval)</v>
      </c>
      <c r="H2287" s="45">
        <f>_xlfn.AGGREGATE(2,5,LineærRegression_Valg[[#This Row],[Tabel ID]])</f>
        <v>1</v>
      </c>
    </row>
    <row r="2288" spans="1:8" x14ac:dyDescent="0.2">
      <c r="A2288">
        <f>ROW(LineærRegression_Valg[[#This Row],[Tabel ID]])-ROW(LineærRegression_Valg[[#Headers],[Tabel ID]])</f>
        <v>2278</v>
      </c>
      <c r="B2288" s="45">
        <f>ROUNDDOWN((LineærRegression_Valg[[#This Row],[Tabel ID]]-1)/$B$5,0)+1</f>
        <v>570</v>
      </c>
      <c r="C2288" s="45">
        <f t="shared" si="35"/>
        <v>2</v>
      </c>
      <c r="D2288" s="45" t="b">
        <f>LineærRegression_Valg[[#This Row],[Afhængig variabel ID]]&lt;&gt;LineærRegression_Valg[[#This Row],[Uafhængig variabel ID]]</f>
        <v>1</v>
      </c>
      <c r="E2288" s="45" t="b">
        <f>LineærRegression_Valg[[#This Row],[Afhængig variabel ID]]&lt;=$B$5</f>
        <v>0</v>
      </c>
      <c r="F2288" t="str" cm="1">
        <f t="array" ref="F2288">IF(LineærRegression_Valg[[#This Row],[Indenfor range]],INDEX(DataTitel_liste,LineærRegression_Valg[[#This Row],[Afhængig variabel ID]]),INDEX(DataTitel_liste,1))</f>
        <v>Eksempel 1 (interval)</v>
      </c>
      <c r="G2288" s="45" t="str" cm="1">
        <f t="array" ref="G2288">IF(LineærRegression_Valg[[#This Row],[Indenfor range]],IF(LineærRegression_Valg[[#This Row],[Intet overlap]],INDEX(DataTitel_liste,LineærRegression_Valg[[#This Row],[Uafhængig variabel ID]]),INDEX(DataTitel_liste,IF(LineærRegression_Valg[[#This Row],[Afhængig variabel ID]]=1,2,1))),$B$7)</f>
        <v>Eksempel 2 (interval)</v>
      </c>
      <c r="H2288" s="45">
        <f>_xlfn.AGGREGATE(2,5,LineærRegression_Valg[[#This Row],[Tabel ID]])</f>
        <v>1</v>
      </c>
    </row>
    <row r="2289" spans="1:8" x14ac:dyDescent="0.2">
      <c r="A2289">
        <f>ROW(LineærRegression_Valg[[#This Row],[Tabel ID]])-ROW(LineærRegression_Valg[[#Headers],[Tabel ID]])</f>
        <v>2279</v>
      </c>
      <c r="B2289" s="45">
        <f>ROUNDDOWN((LineærRegression_Valg[[#This Row],[Tabel ID]]-1)/$B$5,0)+1</f>
        <v>570</v>
      </c>
      <c r="C2289" s="45">
        <f t="shared" si="35"/>
        <v>3</v>
      </c>
      <c r="D2289" s="45" t="b">
        <f>LineærRegression_Valg[[#This Row],[Afhængig variabel ID]]&lt;&gt;LineærRegression_Valg[[#This Row],[Uafhængig variabel ID]]</f>
        <v>1</v>
      </c>
      <c r="E2289" s="45" t="b">
        <f>LineærRegression_Valg[[#This Row],[Afhængig variabel ID]]&lt;=$B$5</f>
        <v>0</v>
      </c>
      <c r="F2289" t="str" cm="1">
        <f t="array" ref="F2289">IF(LineærRegression_Valg[[#This Row],[Indenfor range]],INDEX(DataTitel_liste,LineærRegression_Valg[[#This Row],[Afhængig variabel ID]]),INDEX(DataTitel_liste,1))</f>
        <v>Eksempel 1 (interval)</v>
      </c>
      <c r="G2289" s="45" t="str" cm="1">
        <f t="array" ref="G2289">IF(LineærRegression_Valg[[#This Row],[Indenfor range]],IF(LineærRegression_Valg[[#This Row],[Intet overlap]],INDEX(DataTitel_liste,LineærRegression_Valg[[#This Row],[Uafhængig variabel ID]]),INDEX(DataTitel_liste,IF(LineærRegression_Valg[[#This Row],[Afhængig variabel ID]]=1,2,1))),$B$7)</f>
        <v>Eksempel 2 (interval)</v>
      </c>
      <c r="H2289" s="45">
        <f>_xlfn.AGGREGATE(2,5,LineærRegression_Valg[[#This Row],[Tabel ID]])</f>
        <v>1</v>
      </c>
    </row>
    <row r="2290" spans="1:8" x14ac:dyDescent="0.2">
      <c r="A2290">
        <f>ROW(LineærRegression_Valg[[#This Row],[Tabel ID]])-ROW(LineærRegression_Valg[[#Headers],[Tabel ID]])</f>
        <v>2280</v>
      </c>
      <c r="B2290" s="45">
        <f>ROUNDDOWN((LineærRegression_Valg[[#This Row],[Tabel ID]]-1)/$B$5,0)+1</f>
        <v>570</v>
      </c>
      <c r="C2290" s="45">
        <f t="shared" si="35"/>
        <v>4</v>
      </c>
      <c r="D2290" s="45" t="b">
        <f>LineærRegression_Valg[[#This Row],[Afhængig variabel ID]]&lt;&gt;LineærRegression_Valg[[#This Row],[Uafhængig variabel ID]]</f>
        <v>1</v>
      </c>
      <c r="E2290" s="45" t="b">
        <f>LineærRegression_Valg[[#This Row],[Afhængig variabel ID]]&lt;=$B$5</f>
        <v>0</v>
      </c>
      <c r="F2290" t="str" cm="1">
        <f t="array" ref="F2290">IF(LineærRegression_Valg[[#This Row],[Indenfor range]],INDEX(DataTitel_liste,LineærRegression_Valg[[#This Row],[Afhængig variabel ID]]),INDEX(DataTitel_liste,1))</f>
        <v>Eksempel 1 (interval)</v>
      </c>
      <c r="G2290" s="45" t="str" cm="1">
        <f t="array" ref="G2290">IF(LineærRegression_Valg[[#This Row],[Indenfor range]],IF(LineærRegression_Valg[[#This Row],[Intet overlap]],INDEX(DataTitel_liste,LineærRegression_Valg[[#This Row],[Uafhængig variabel ID]]),INDEX(DataTitel_liste,IF(LineærRegression_Valg[[#This Row],[Afhængig variabel ID]]=1,2,1))),$B$7)</f>
        <v>Eksempel 2 (interval)</v>
      </c>
      <c r="H2290" s="45">
        <f>_xlfn.AGGREGATE(2,5,LineærRegression_Valg[[#This Row],[Tabel ID]])</f>
        <v>1</v>
      </c>
    </row>
    <row r="2291" spans="1:8" x14ac:dyDescent="0.2">
      <c r="A2291">
        <f>ROW(LineærRegression_Valg[[#This Row],[Tabel ID]])-ROW(LineærRegression_Valg[[#Headers],[Tabel ID]])</f>
        <v>2281</v>
      </c>
      <c r="B2291" s="45">
        <f>ROUNDDOWN((LineærRegression_Valg[[#This Row],[Tabel ID]]-1)/$B$5,0)+1</f>
        <v>571</v>
      </c>
      <c r="C2291" s="45">
        <f t="shared" si="35"/>
        <v>1</v>
      </c>
      <c r="D2291" s="45" t="b">
        <f>LineærRegression_Valg[[#This Row],[Afhængig variabel ID]]&lt;&gt;LineærRegression_Valg[[#This Row],[Uafhængig variabel ID]]</f>
        <v>1</v>
      </c>
      <c r="E2291" s="45" t="b">
        <f>LineærRegression_Valg[[#This Row],[Afhængig variabel ID]]&lt;=$B$5</f>
        <v>0</v>
      </c>
      <c r="F2291" t="str" cm="1">
        <f t="array" ref="F2291">IF(LineærRegression_Valg[[#This Row],[Indenfor range]],INDEX(DataTitel_liste,LineærRegression_Valg[[#This Row],[Afhængig variabel ID]]),INDEX(DataTitel_liste,1))</f>
        <v>Eksempel 1 (interval)</v>
      </c>
      <c r="G2291" s="45" t="str" cm="1">
        <f t="array" ref="G2291">IF(LineærRegression_Valg[[#This Row],[Indenfor range]],IF(LineærRegression_Valg[[#This Row],[Intet overlap]],INDEX(DataTitel_liste,LineærRegression_Valg[[#This Row],[Uafhængig variabel ID]]),INDEX(DataTitel_liste,IF(LineærRegression_Valg[[#This Row],[Afhængig variabel ID]]=1,2,1))),$B$7)</f>
        <v>Eksempel 2 (interval)</v>
      </c>
      <c r="H2291" s="45">
        <f>_xlfn.AGGREGATE(2,5,LineærRegression_Valg[[#This Row],[Tabel ID]])</f>
        <v>1</v>
      </c>
    </row>
    <row r="2292" spans="1:8" x14ac:dyDescent="0.2">
      <c r="A2292">
        <f>ROW(LineærRegression_Valg[[#This Row],[Tabel ID]])-ROW(LineærRegression_Valg[[#Headers],[Tabel ID]])</f>
        <v>2282</v>
      </c>
      <c r="B2292" s="45">
        <f>ROUNDDOWN((LineærRegression_Valg[[#This Row],[Tabel ID]]-1)/$B$5,0)+1</f>
        <v>571</v>
      </c>
      <c r="C2292" s="45">
        <f t="shared" si="35"/>
        <v>2</v>
      </c>
      <c r="D2292" s="45" t="b">
        <f>LineærRegression_Valg[[#This Row],[Afhængig variabel ID]]&lt;&gt;LineærRegression_Valg[[#This Row],[Uafhængig variabel ID]]</f>
        <v>1</v>
      </c>
      <c r="E2292" s="45" t="b">
        <f>LineærRegression_Valg[[#This Row],[Afhængig variabel ID]]&lt;=$B$5</f>
        <v>0</v>
      </c>
      <c r="F2292" t="str" cm="1">
        <f t="array" ref="F2292">IF(LineærRegression_Valg[[#This Row],[Indenfor range]],INDEX(DataTitel_liste,LineærRegression_Valg[[#This Row],[Afhængig variabel ID]]),INDEX(DataTitel_liste,1))</f>
        <v>Eksempel 1 (interval)</v>
      </c>
      <c r="G2292" s="45" t="str" cm="1">
        <f t="array" ref="G2292">IF(LineærRegression_Valg[[#This Row],[Indenfor range]],IF(LineærRegression_Valg[[#This Row],[Intet overlap]],INDEX(DataTitel_liste,LineærRegression_Valg[[#This Row],[Uafhængig variabel ID]]),INDEX(DataTitel_liste,IF(LineærRegression_Valg[[#This Row],[Afhængig variabel ID]]=1,2,1))),$B$7)</f>
        <v>Eksempel 2 (interval)</v>
      </c>
      <c r="H2292" s="45">
        <f>_xlfn.AGGREGATE(2,5,LineærRegression_Valg[[#This Row],[Tabel ID]])</f>
        <v>1</v>
      </c>
    </row>
    <row r="2293" spans="1:8" x14ac:dyDescent="0.2">
      <c r="A2293">
        <f>ROW(LineærRegression_Valg[[#This Row],[Tabel ID]])-ROW(LineærRegression_Valg[[#Headers],[Tabel ID]])</f>
        <v>2283</v>
      </c>
      <c r="B2293" s="45">
        <f>ROUNDDOWN((LineærRegression_Valg[[#This Row],[Tabel ID]]-1)/$B$5,0)+1</f>
        <v>571</v>
      </c>
      <c r="C2293" s="45">
        <f t="shared" si="35"/>
        <v>3</v>
      </c>
      <c r="D2293" s="45" t="b">
        <f>LineærRegression_Valg[[#This Row],[Afhængig variabel ID]]&lt;&gt;LineærRegression_Valg[[#This Row],[Uafhængig variabel ID]]</f>
        <v>1</v>
      </c>
      <c r="E2293" s="45" t="b">
        <f>LineærRegression_Valg[[#This Row],[Afhængig variabel ID]]&lt;=$B$5</f>
        <v>0</v>
      </c>
      <c r="F2293" t="str" cm="1">
        <f t="array" ref="F2293">IF(LineærRegression_Valg[[#This Row],[Indenfor range]],INDEX(DataTitel_liste,LineærRegression_Valg[[#This Row],[Afhængig variabel ID]]),INDEX(DataTitel_liste,1))</f>
        <v>Eksempel 1 (interval)</v>
      </c>
      <c r="G2293" s="45" t="str" cm="1">
        <f t="array" ref="G2293">IF(LineærRegression_Valg[[#This Row],[Indenfor range]],IF(LineærRegression_Valg[[#This Row],[Intet overlap]],INDEX(DataTitel_liste,LineærRegression_Valg[[#This Row],[Uafhængig variabel ID]]),INDEX(DataTitel_liste,IF(LineærRegression_Valg[[#This Row],[Afhængig variabel ID]]=1,2,1))),$B$7)</f>
        <v>Eksempel 2 (interval)</v>
      </c>
      <c r="H2293" s="45">
        <f>_xlfn.AGGREGATE(2,5,LineærRegression_Valg[[#This Row],[Tabel ID]])</f>
        <v>1</v>
      </c>
    </row>
    <row r="2294" spans="1:8" x14ac:dyDescent="0.2">
      <c r="A2294">
        <f>ROW(LineærRegression_Valg[[#This Row],[Tabel ID]])-ROW(LineærRegression_Valg[[#Headers],[Tabel ID]])</f>
        <v>2284</v>
      </c>
      <c r="B2294" s="45">
        <f>ROUNDDOWN((LineærRegression_Valg[[#This Row],[Tabel ID]]-1)/$B$5,0)+1</f>
        <v>571</v>
      </c>
      <c r="C2294" s="45">
        <f t="shared" si="35"/>
        <v>4</v>
      </c>
      <c r="D2294" s="45" t="b">
        <f>LineærRegression_Valg[[#This Row],[Afhængig variabel ID]]&lt;&gt;LineærRegression_Valg[[#This Row],[Uafhængig variabel ID]]</f>
        <v>1</v>
      </c>
      <c r="E2294" s="45" t="b">
        <f>LineærRegression_Valg[[#This Row],[Afhængig variabel ID]]&lt;=$B$5</f>
        <v>0</v>
      </c>
      <c r="F2294" t="str" cm="1">
        <f t="array" ref="F2294">IF(LineærRegression_Valg[[#This Row],[Indenfor range]],INDEX(DataTitel_liste,LineærRegression_Valg[[#This Row],[Afhængig variabel ID]]),INDEX(DataTitel_liste,1))</f>
        <v>Eksempel 1 (interval)</v>
      </c>
      <c r="G2294" s="45" t="str" cm="1">
        <f t="array" ref="G2294">IF(LineærRegression_Valg[[#This Row],[Indenfor range]],IF(LineærRegression_Valg[[#This Row],[Intet overlap]],INDEX(DataTitel_liste,LineærRegression_Valg[[#This Row],[Uafhængig variabel ID]]),INDEX(DataTitel_liste,IF(LineærRegression_Valg[[#This Row],[Afhængig variabel ID]]=1,2,1))),$B$7)</f>
        <v>Eksempel 2 (interval)</v>
      </c>
      <c r="H2294" s="45">
        <f>_xlfn.AGGREGATE(2,5,LineærRegression_Valg[[#This Row],[Tabel ID]])</f>
        <v>1</v>
      </c>
    </row>
    <row r="2295" spans="1:8" x14ac:dyDescent="0.2">
      <c r="A2295">
        <f>ROW(LineærRegression_Valg[[#This Row],[Tabel ID]])-ROW(LineærRegression_Valg[[#Headers],[Tabel ID]])</f>
        <v>2285</v>
      </c>
      <c r="B2295" s="45">
        <f>ROUNDDOWN((LineærRegression_Valg[[#This Row],[Tabel ID]]-1)/$B$5,0)+1</f>
        <v>572</v>
      </c>
      <c r="C2295" s="45">
        <f t="shared" si="35"/>
        <v>1</v>
      </c>
      <c r="D2295" s="45" t="b">
        <f>LineærRegression_Valg[[#This Row],[Afhængig variabel ID]]&lt;&gt;LineærRegression_Valg[[#This Row],[Uafhængig variabel ID]]</f>
        <v>1</v>
      </c>
      <c r="E2295" s="45" t="b">
        <f>LineærRegression_Valg[[#This Row],[Afhængig variabel ID]]&lt;=$B$5</f>
        <v>0</v>
      </c>
      <c r="F2295" t="str" cm="1">
        <f t="array" ref="F2295">IF(LineærRegression_Valg[[#This Row],[Indenfor range]],INDEX(DataTitel_liste,LineærRegression_Valg[[#This Row],[Afhængig variabel ID]]),INDEX(DataTitel_liste,1))</f>
        <v>Eksempel 1 (interval)</v>
      </c>
      <c r="G2295" s="45" t="str" cm="1">
        <f t="array" ref="G2295">IF(LineærRegression_Valg[[#This Row],[Indenfor range]],IF(LineærRegression_Valg[[#This Row],[Intet overlap]],INDEX(DataTitel_liste,LineærRegression_Valg[[#This Row],[Uafhængig variabel ID]]),INDEX(DataTitel_liste,IF(LineærRegression_Valg[[#This Row],[Afhængig variabel ID]]=1,2,1))),$B$7)</f>
        <v>Eksempel 2 (interval)</v>
      </c>
      <c r="H2295" s="45">
        <f>_xlfn.AGGREGATE(2,5,LineærRegression_Valg[[#This Row],[Tabel ID]])</f>
        <v>1</v>
      </c>
    </row>
    <row r="2296" spans="1:8" x14ac:dyDescent="0.2">
      <c r="A2296">
        <f>ROW(LineærRegression_Valg[[#This Row],[Tabel ID]])-ROW(LineærRegression_Valg[[#Headers],[Tabel ID]])</f>
        <v>2286</v>
      </c>
      <c r="B2296" s="45">
        <f>ROUNDDOWN((LineærRegression_Valg[[#This Row],[Tabel ID]]-1)/$B$5,0)+1</f>
        <v>572</v>
      </c>
      <c r="C2296" s="45">
        <f t="shared" si="35"/>
        <v>2</v>
      </c>
      <c r="D2296" s="45" t="b">
        <f>LineærRegression_Valg[[#This Row],[Afhængig variabel ID]]&lt;&gt;LineærRegression_Valg[[#This Row],[Uafhængig variabel ID]]</f>
        <v>1</v>
      </c>
      <c r="E2296" s="45" t="b">
        <f>LineærRegression_Valg[[#This Row],[Afhængig variabel ID]]&lt;=$B$5</f>
        <v>0</v>
      </c>
      <c r="F2296" t="str" cm="1">
        <f t="array" ref="F2296">IF(LineærRegression_Valg[[#This Row],[Indenfor range]],INDEX(DataTitel_liste,LineærRegression_Valg[[#This Row],[Afhængig variabel ID]]),INDEX(DataTitel_liste,1))</f>
        <v>Eksempel 1 (interval)</v>
      </c>
      <c r="G2296" s="45" t="str" cm="1">
        <f t="array" ref="G2296">IF(LineærRegression_Valg[[#This Row],[Indenfor range]],IF(LineærRegression_Valg[[#This Row],[Intet overlap]],INDEX(DataTitel_liste,LineærRegression_Valg[[#This Row],[Uafhængig variabel ID]]),INDEX(DataTitel_liste,IF(LineærRegression_Valg[[#This Row],[Afhængig variabel ID]]=1,2,1))),$B$7)</f>
        <v>Eksempel 2 (interval)</v>
      </c>
      <c r="H2296" s="45">
        <f>_xlfn.AGGREGATE(2,5,LineærRegression_Valg[[#This Row],[Tabel ID]])</f>
        <v>1</v>
      </c>
    </row>
    <row r="2297" spans="1:8" x14ac:dyDescent="0.2">
      <c r="A2297">
        <f>ROW(LineærRegression_Valg[[#This Row],[Tabel ID]])-ROW(LineærRegression_Valg[[#Headers],[Tabel ID]])</f>
        <v>2287</v>
      </c>
      <c r="B2297" s="45">
        <f>ROUNDDOWN((LineærRegression_Valg[[#This Row],[Tabel ID]]-1)/$B$5,0)+1</f>
        <v>572</v>
      </c>
      <c r="C2297" s="45">
        <f t="shared" si="35"/>
        <v>3</v>
      </c>
      <c r="D2297" s="45" t="b">
        <f>LineærRegression_Valg[[#This Row],[Afhængig variabel ID]]&lt;&gt;LineærRegression_Valg[[#This Row],[Uafhængig variabel ID]]</f>
        <v>1</v>
      </c>
      <c r="E2297" s="45" t="b">
        <f>LineærRegression_Valg[[#This Row],[Afhængig variabel ID]]&lt;=$B$5</f>
        <v>0</v>
      </c>
      <c r="F2297" t="str" cm="1">
        <f t="array" ref="F2297">IF(LineærRegression_Valg[[#This Row],[Indenfor range]],INDEX(DataTitel_liste,LineærRegression_Valg[[#This Row],[Afhængig variabel ID]]),INDEX(DataTitel_liste,1))</f>
        <v>Eksempel 1 (interval)</v>
      </c>
      <c r="G2297" s="45" t="str" cm="1">
        <f t="array" ref="G2297">IF(LineærRegression_Valg[[#This Row],[Indenfor range]],IF(LineærRegression_Valg[[#This Row],[Intet overlap]],INDEX(DataTitel_liste,LineærRegression_Valg[[#This Row],[Uafhængig variabel ID]]),INDEX(DataTitel_liste,IF(LineærRegression_Valg[[#This Row],[Afhængig variabel ID]]=1,2,1))),$B$7)</f>
        <v>Eksempel 2 (interval)</v>
      </c>
      <c r="H2297" s="45">
        <f>_xlfn.AGGREGATE(2,5,LineærRegression_Valg[[#This Row],[Tabel ID]])</f>
        <v>1</v>
      </c>
    </row>
    <row r="2298" spans="1:8" x14ac:dyDescent="0.2">
      <c r="A2298">
        <f>ROW(LineærRegression_Valg[[#This Row],[Tabel ID]])-ROW(LineærRegression_Valg[[#Headers],[Tabel ID]])</f>
        <v>2288</v>
      </c>
      <c r="B2298" s="45">
        <f>ROUNDDOWN((LineærRegression_Valg[[#This Row],[Tabel ID]]-1)/$B$5,0)+1</f>
        <v>572</v>
      </c>
      <c r="C2298" s="45">
        <f t="shared" si="35"/>
        <v>4</v>
      </c>
      <c r="D2298" s="45" t="b">
        <f>LineærRegression_Valg[[#This Row],[Afhængig variabel ID]]&lt;&gt;LineærRegression_Valg[[#This Row],[Uafhængig variabel ID]]</f>
        <v>1</v>
      </c>
      <c r="E2298" s="45" t="b">
        <f>LineærRegression_Valg[[#This Row],[Afhængig variabel ID]]&lt;=$B$5</f>
        <v>0</v>
      </c>
      <c r="F2298" t="str" cm="1">
        <f t="array" ref="F2298">IF(LineærRegression_Valg[[#This Row],[Indenfor range]],INDEX(DataTitel_liste,LineærRegression_Valg[[#This Row],[Afhængig variabel ID]]),INDEX(DataTitel_liste,1))</f>
        <v>Eksempel 1 (interval)</v>
      </c>
      <c r="G2298" s="45" t="str" cm="1">
        <f t="array" ref="G2298">IF(LineærRegression_Valg[[#This Row],[Indenfor range]],IF(LineærRegression_Valg[[#This Row],[Intet overlap]],INDEX(DataTitel_liste,LineærRegression_Valg[[#This Row],[Uafhængig variabel ID]]),INDEX(DataTitel_liste,IF(LineærRegression_Valg[[#This Row],[Afhængig variabel ID]]=1,2,1))),$B$7)</f>
        <v>Eksempel 2 (interval)</v>
      </c>
      <c r="H2298" s="45">
        <f>_xlfn.AGGREGATE(2,5,LineærRegression_Valg[[#This Row],[Tabel ID]])</f>
        <v>1</v>
      </c>
    </row>
    <row r="2299" spans="1:8" x14ac:dyDescent="0.2">
      <c r="A2299">
        <f>ROW(LineærRegression_Valg[[#This Row],[Tabel ID]])-ROW(LineærRegression_Valg[[#Headers],[Tabel ID]])</f>
        <v>2289</v>
      </c>
      <c r="B2299" s="45">
        <f>ROUNDDOWN((LineærRegression_Valg[[#This Row],[Tabel ID]]-1)/$B$5,0)+1</f>
        <v>573</v>
      </c>
      <c r="C2299" s="45">
        <f t="shared" si="35"/>
        <v>1</v>
      </c>
      <c r="D2299" s="45" t="b">
        <f>LineærRegression_Valg[[#This Row],[Afhængig variabel ID]]&lt;&gt;LineærRegression_Valg[[#This Row],[Uafhængig variabel ID]]</f>
        <v>1</v>
      </c>
      <c r="E2299" s="45" t="b">
        <f>LineærRegression_Valg[[#This Row],[Afhængig variabel ID]]&lt;=$B$5</f>
        <v>0</v>
      </c>
      <c r="F2299" t="str" cm="1">
        <f t="array" ref="F2299">IF(LineærRegression_Valg[[#This Row],[Indenfor range]],INDEX(DataTitel_liste,LineærRegression_Valg[[#This Row],[Afhængig variabel ID]]),INDEX(DataTitel_liste,1))</f>
        <v>Eksempel 1 (interval)</v>
      </c>
      <c r="G2299" s="45" t="str" cm="1">
        <f t="array" ref="G2299">IF(LineærRegression_Valg[[#This Row],[Indenfor range]],IF(LineærRegression_Valg[[#This Row],[Intet overlap]],INDEX(DataTitel_liste,LineærRegression_Valg[[#This Row],[Uafhængig variabel ID]]),INDEX(DataTitel_liste,IF(LineærRegression_Valg[[#This Row],[Afhængig variabel ID]]=1,2,1))),$B$7)</f>
        <v>Eksempel 2 (interval)</v>
      </c>
      <c r="H2299" s="45">
        <f>_xlfn.AGGREGATE(2,5,LineærRegression_Valg[[#This Row],[Tabel ID]])</f>
        <v>1</v>
      </c>
    </row>
    <row r="2300" spans="1:8" x14ac:dyDescent="0.2">
      <c r="A2300">
        <f>ROW(LineærRegression_Valg[[#This Row],[Tabel ID]])-ROW(LineærRegression_Valg[[#Headers],[Tabel ID]])</f>
        <v>2290</v>
      </c>
      <c r="B2300" s="45">
        <f>ROUNDDOWN((LineærRegression_Valg[[#This Row],[Tabel ID]]-1)/$B$5,0)+1</f>
        <v>573</v>
      </c>
      <c r="C2300" s="45">
        <f t="shared" si="35"/>
        <v>2</v>
      </c>
      <c r="D2300" s="45" t="b">
        <f>LineærRegression_Valg[[#This Row],[Afhængig variabel ID]]&lt;&gt;LineærRegression_Valg[[#This Row],[Uafhængig variabel ID]]</f>
        <v>1</v>
      </c>
      <c r="E2300" s="45" t="b">
        <f>LineærRegression_Valg[[#This Row],[Afhængig variabel ID]]&lt;=$B$5</f>
        <v>0</v>
      </c>
      <c r="F2300" t="str" cm="1">
        <f t="array" ref="F2300">IF(LineærRegression_Valg[[#This Row],[Indenfor range]],INDEX(DataTitel_liste,LineærRegression_Valg[[#This Row],[Afhængig variabel ID]]),INDEX(DataTitel_liste,1))</f>
        <v>Eksempel 1 (interval)</v>
      </c>
      <c r="G2300" s="45" t="str" cm="1">
        <f t="array" ref="G2300">IF(LineærRegression_Valg[[#This Row],[Indenfor range]],IF(LineærRegression_Valg[[#This Row],[Intet overlap]],INDEX(DataTitel_liste,LineærRegression_Valg[[#This Row],[Uafhængig variabel ID]]),INDEX(DataTitel_liste,IF(LineærRegression_Valg[[#This Row],[Afhængig variabel ID]]=1,2,1))),$B$7)</f>
        <v>Eksempel 2 (interval)</v>
      </c>
      <c r="H2300" s="45">
        <f>_xlfn.AGGREGATE(2,5,LineærRegression_Valg[[#This Row],[Tabel ID]])</f>
        <v>1</v>
      </c>
    </row>
    <row r="2301" spans="1:8" x14ac:dyDescent="0.2">
      <c r="A2301">
        <f>ROW(LineærRegression_Valg[[#This Row],[Tabel ID]])-ROW(LineærRegression_Valg[[#Headers],[Tabel ID]])</f>
        <v>2291</v>
      </c>
      <c r="B2301" s="45">
        <f>ROUNDDOWN((LineærRegression_Valg[[#This Row],[Tabel ID]]-1)/$B$5,0)+1</f>
        <v>573</v>
      </c>
      <c r="C2301" s="45">
        <f t="shared" si="35"/>
        <v>3</v>
      </c>
      <c r="D2301" s="45" t="b">
        <f>LineærRegression_Valg[[#This Row],[Afhængig variabel ID]]&lt;&gt;LineærRegression_Valg[[#This Row],[Uafhængig variabel ID]]</f>
        <v>1</v>
      </c>
      <c r="E2301" s="45" t="b">
        <f>LineærRegression_Valg[[#This Row],[Afhængig variabel ID]]&lt;=$B$5</f>
        <v>0</v>
      </c>
      <c r="F2301" t="str" cm="1">
        <f t="array" ref="F2301">IF(LineærRegression_Valg[[#This Row],[Indenfor range]],INDEX(DataTitel_liste,LineærRegression_Valg[[#This Row],[Afhængig variabel ID]]),INDEX(DataTitel_liste,1))</f>
        <v>Eksempel 1 (interval)</v>
      </c>
      <c r="G2301" s="45" t="str" cm="1">
        <f t="array" ref="G2301">IF(LineærRegression_Valg[[#This Row],[Indenfor range]],IF(LineærRegression_Valg[[#This Row],[Intet overlap]],INDEX(DataTitel_liste,LineærRegression_Valg[[#This Row],[Uafhængig variabel ID]]),INDEX(DataTitel_liste,IF(LineærRegression_Valg[[#This Row],[Afhængig variabel ID]]=1,2,1))),$B$7)</f>
        <v>Eksempel 2 (interval)</v>
      </c>
      <c r="H2301" s="45">
        <f>_xlfn.AGGREGATE(2,5,LineærRegression_Valg[[#This Row],[Tabel ID]])</f>
        <v>1</v>
      </c>
    </row>
    <row r="2302" spans="1:8" x14ac:dyDescent="0.2">
      <c r="A2302">
        <f>ROW(LineærRegression_Valg[[#This Row],[Tabel ID]])-ROW(LineærRegression_Valg[[#Headers],[Tabel ID]])</f>
        <v>2292</v>
      </c>
      <c r="B2302" s="45">
        <f>ROUNDDOWN((LineærRegression_Valg[[#This Row],[Tabel ID]]-1)/$B$5,0)+1</f>
        <v>573</v>
      </c>
      <c r="C2302" s="45">
        <f t="shared" si="35"/>
        <v>4</v>
      </c>
      <c r="D2302" s="45" t="b">
        <f>LineærRegression_Valg[[#This Row],[Afhængig variabel ID]]&lt;&gt;LineærRegression_Valg[[#This Row],[Uafhængig variabel ID]]</f>
        <v>1</v>
      </c>
      <c r="E2302" s="45" t="b">
        <f>LineærRegression_Valg[[#This Row],[Afhængig variabel ID]]&lt;=$B$5</f>
        <v>0</v>
      </c>
      <c r="F2302" t="str" cm="1">
        <f t="array" ref="F2302">IF(LineærRegression_Valg[[#This Row],[Indenfor range]],INDEX(DataTitel_liste,LineærRegression_Valg[[#This Row],[Afhængig variabel ID]]),INDEX(DataTitel_liste,1))</f>
        <v>Eksempel 1 (interval)</v>
      </c>
      <c r="G2302" s="45" t="str" cm="1">
        <f t="array" ref="G2302">IF(LineærRegression_Valg[[#This Row],[Indenfor range]],IF(LineærRegression_Valg[[#This Row],[Intet overlap]],INDEX(DataTitel_liste,LineærRegression_Valg[[#This Row],[Uafhængig variabel ID]]),INDEX(DataTitel_liste,IF(LineærRegression_Valg[[#This Row],[Afhængig variabel ID]]=1,2,1))),$B$7)</f>
        <v>Eksempel 2 (interval)</v>
      </c>
      <c r="H2302" s="45">
        <f>_xlfn.AGGREGATE(2,5,LineærRegression_Valg[[#This Row],[Tabel ID]])</f>
        <v>1</v>
      </c>
    </row>
    <row r="2303" spans="1:8" x14ac:dyDescent="0.2">
      <c r="A2303">
        <f>ROW(LineærRegression_Valg[[#This Row],[Tabel ID]])-ROW(LineærRegression_Valg[[#Headers],[Tabel ID]])</f>
        <v>2293</v>
      </c>
      <c r="B2303" s="45">
        <f>ROUNDDOWN((LineærRegression_Valg[[#This Row],[Tabel ID]]-1)/$B$5,0)+1</f>
        <v>574</v>
      </c>
      <c r="C2303" s="45">
        <f t="shared" si="35"/>
        <v>1</v>
      </c>
      <c r="D2303" s="45" t="b">
        <f>LineærRegression_Valg[[#This Row],[Afhængig variabel ID]]&lt;&gt;LineærRegression_Valg[[#This Row],[Uafhængig variabel ID]]</f>
        <v>1</v>
      </c>
      <c r="E2303" s="45" t="b">
        <f>LineærRegression_Valg[[#This Row],[Afhængig variabel ID]]&lt;=$B$5</f>
        <v>0</v>
      </c>
      <c r="F2303" t="str" cm="1">
        <f t="array" ref="F2303">IF(LineærRegression_Valg[[#This Row],[Indenfor range]],INDEX(DataTitel_liste,LineærRegression_Valg[[#This Row],[Afhængig variabel ID]]),INDEX(DataTitel_liste,1))</f>
        <v>Eksempel 1 (interval)</v>
      </c>
      <c r="G2303" s="45" t="str" cm="1">
        <f t="array" ref="G2303">IF(LineærRegression_Valg[[#This Row],[Indenfor range]],IF(LineærRegression_Valg[[#This Row],[Intet overlap]],INDEX(DataTitel_liste,LineærRegression_Valg[[#This Row],[Uafhængig variabel ID]]),INDEX(DataTitel_liste,IF(LineærRegression_Valg[[#This Row],[Afhængig variabel ID]]=1,2,1))),$B$7)</f>
        <v>Eksempel 2 (interval)</v>
      </c>
      <c r="H2303" s="45">
        <f>_xlfn.AGGREGATE(2,5,LineærRegression_Valg[[#This Row],[Tabel ID]])</f>
        <v>1</v>
      </c>
    </row>
    <row r="2304" spans="1:8" x14ac:dyDescent="0.2">
      <c r="A2304">
        <f>ROW(LineærRegression_Valg[[#This Row],[Tabel ID]])-ROW(LineærRegression_Valg[[#Headers],[Tabel ID]])</f>
        <v>2294</v>
      </c>
      <c r="B2304" s="45">
        <f>ROUNDDOWN((LineærRegression_Valg[[#This Row],[Tabel ID]]-1)/$B$5,0)+1</f>
        <v>574</v>
      </c>
      <c r="C2304" s="45">
        <f t="shared" si="35"/>
        <v>2</v>
      </c>
      <c r="D2304" s="45" t="b">
        <f>LineærRegression_Valg[[#This Row],[Afhængig variabel ID]]&lt;&gt;LineærRegression_Valg[[#This Row],[Uafhængig variabel ID]]</f>
        <v>1</v>
      </c>
      <c r="E2304" s="45" t="b">
        <f>LineærRegression_Valg[[#This Row],[Afhængig variabel ID]]&lt;=$B$5</f>
        <v>0</v>
      </c>
      <c r="F2304" t="str" cm="1">
        <f t="array" ref="F2304">IF(LineærRegression_Valg[[#This Row],[Indenfor range]],INDEX(DataTitel_liste,LineærRegression_Valg[[#This Row],[Afhængig variabel ID]]),INDEX(DataTitel_liste,1))</f>
        <v>Eksempel 1 (interval)</v>
      </c>
      <c r="G2304" s="45" t="str" cm="1">
        <f t="array" ref="G2304">IF(LineærRegression_Valg[[#This Row],[Indenfor range]],IF(LineærRegression_Valg[[#This Row],[Intet overlap]],INDEX(DataTitel_liste,LineærRegression_Valg[[#This Row],[Uafhængig variabel ID]]),INDEX(DataTitel_liste,IF(LineærRegression_Valg[[#This Row],[Afhængig variabel ID]]=1,2,1))),$B$7)</f>
        <v>Eksempel 2 (interval)</v>
      </c>
      <c r="H2304" s="45">
        <f>_xlfn.AGGREGATE(2,5,LineærRegression_Valg[[#This Row],[Tabel ID]])</f>
        <v>1</v>
      </c>
    </row>
    <row r="2305" spans="1:8" x14ac:dyDescent="0.2">
      <c r="A2305">
        <f>ROW(LineærRegression_Valg[[#This Row],[Tabel ID]])-ROW(LineærRegression_Valg[[#Headers],[Tabel ID]])</f>
        <v>2295</v>
      </c>
      <c r="B2305" s="45">
        <f>ROUNDDOWN((LineærRegression_Valg[[#This Row],[Tabel ID]]-1)/$B$5,0)+1</f>
        <v>574</v>
      </c>
      <c r="C2305" s="45">
        <f t="shared" si="35"/>
        <v>3</v>
      </c>
      <c r="D2305" s="45" t="b">
        <f>LineærRegression_Valg[[#This Row],[Afhængig variabel ID]]&lt;&gt;LineærRegression_Valg[[#This Row],[Uafhængig variabel ID]]</f>
        <v>1</v>
      </c>
      <c r="E2305" s="45" t="b">
        <f>LineærRegression_Valg[[#This Row],[Afhængig variabel ID]]&lt;=$B$5</f>
        <v>0</v>
      </c>
      <c r="F2305" t="str" cm="1">
        <f t="array" ref="F2305">IF(LineærRegression_Valg[[#This Row],[Indenfor range]],INDEX(DataTitel_liste,LineærRegression_Valg[[#This Row],[Afhængig variabel ID]]),INDEX(DataTitel_liste,1))</f>
        <v>Eksempel 1 (interval)</v>
      </c>
      <c r="G2305" s="45" t="str" cm="1">
        <f t="array" ref="G2305">IF(LineærRegression_Valg[[#This Row],[Indenfor range]],IF(LineærRegression_Valg[[#This Row],[Intet overlap]],INDEX(DataTitel_liste,LineærRegression_Valg[[#This Row],[Uafhængig variabel ID]]),INDEX(DataTitel_liste,IF(LineærRegression_Valg[[#This Row],[Afhængig variabel ID]]=1,2,1))),$B$7)</f>
        <v>Eksempel 2 (interval)</v>
      </c>
      <c r="H2305" s="45">
        <f>_xlfn.AGGREGATE(2,5,LineærRegression_Valg[[#This Row],[Tabel ID]])</f>
        <v>1</v>
      </c>
    </row>
    <row r="2306" spans="1:8" x14ac:dyDescent="0.2">
      <c r="A2306">
        <f>ROW(LineærRegression_Valg[[#This Row],[Tabel ID]])-ROW(LineærRegression_Valg[[#Headers],[Tabel ID]])</f>
        <v>2296</v>
      </c>
      <c r="B2306" s="45">
        <f>ROUNDDOWN((LineærRegression_Valg[[#This Row],[Tabel ID]]-1)/$B$5,0)+1</f>
        <v>574</v>
      </c>
      <c r="C2306" s="45">
        <f t="shared" si="35"/>
        <v>4</v>
      </c>
      <c r="D2306" s="45" t="b">
        <f>LineærRegression_Valg[[#This Row],[Afhængig variabel ID]]&lt;&gt;LineærRegression_Valg[[#This Row],[Uafhængig variabel ID]]</f>
        <v>1</v>
      </c>
      <c r="E2306" s="45" t="b">
        <f>LineærRegression_Valg[[#This Row],[Afhængig variabel ID]]&lt;=$B$5</f>
        <v>0</v>
      </c>
      <c r="F2306" t="str" cm="1">
        <f t="array" ref="F2306">IF(LineærRegression_Valg[[#This Row],[Indenfor range]],INDEX(DataTitel_liste,LineærRegression_Valg[[#This Row],[Afhængig variabel ID]]),INDEX(DataTitel_liste,1))</f>
        <v>Eksempel 1 (interval)</v>
      </c>
      <c r="G2306" s="45" t="str" cm="1">
        <f t="array" ref="G2306">IF(LineærRegression_Valg[[#This Row],[Indenfor range]],IF(LineærRegression_Valg[[#This Row],[Intet overlap]],INDEX(DataTitel_liste,LineærRegression_Valg[[#This Row],[Uafhængig variabel ID]]),INDEX(DataTitel_liste,IF(LineærRegression_Valg[[#This Row],[Afhængig variabel ID]]=1,2,1))),$B$7)</f>
        <v>Eksempel 2 (interval)</v>
      </c>
      <c r="H2306" s="45">
        <f>_xlfn.AGGREGATE(2,5,LineærRegression_Valg[[#This Row],[Tabel ID]])</f>
        <v>1</v>
      </c>
    </row>
    <row r="2307" spans="1:8" x14ac:dyDescent="0.2">
      <c r="A2307">
        <f>ROW(LineærRegression_Valg[[#This Row],[Tabel ID]])-ROW(LineærRegression_Valg[[#Headers],[Tabel ID]])</f>
        <v>2297</v>
      </c>
      <c r="B2307" s="45">
        <f>ROUNDDOWN((LineærRegression_Valg[[#This Row],[Tabel ID]]-1)/$B$5,0)+1</f>
        <v>575</v>
      </c>
      <c r="C2307" s="45">
        <f t="shared" si="35"/>
        <v>1</v>
      </c>
      <c r="D2307" s="45" t="b">
        <f>LineærRegression_Valg[[#This Row],[Afhængig variabel ID]]&lt;&gt;LineærRegression_Valg[[#This Row],[Uafhængig variabel ID]]</f>
        <v>1</v>
      </c>
      <c r="E2307" s="45" t="b">
        <f>LineærRegression_Valg[[#This Row],[Afhængig variabel ID]]&lt;=$B$5</f>
        <v>0</v>
      </c>
      <c r="F2307" t="str" cm="1">
        <f t="array" ref="F2307">IF(LineærRegression_Valg[[#This Row],[Indenfor range]],INDEX(DataTitel_liste,LineærRegression_Valg[[#This Row],[Afhængig variabel ID]]),INDEX(DataTitel_liste,1))</f>
        <v>Eksempel 1 (interval)</v>
      </c>
      <c r="G2307" s="45" t="str" cm="1">
        <f t="array" ref="G2307">IF(LineærRegression_Valg[[#This Row],[Indenfor range]],IF(LineærRegression_Valg[[#This Row],[Intet overlap]],INDEX(DataTitel_liste,LineærRegression_Valg[[#This Row],[Uafhængig variabel ID]]),INDEX(DataTitel_liste,IF(LineærRegression_Valg[[#This Row],[Afhængig variabel ID]]=1,2,1))),$B$7)</f>
        <v>Eksempel 2 (interval)</v>
      </c>
      <c r="H2307" s="45">
        <f>_xlfn.AGGREGATE(2,5,LineærRegression_Valg[[#This Row],[Tabel ID]])</f>
        <v>1</v>
      </c>
    </row>
    <row r="2308" spans="1:8" x14ac:dyDescent="0.2">
      <c r="A2308">
        <f>ROW(LineærRegression_Valg[[#This Row],[Tabel ID]])-ROW(LineærRegression_Valg[[#Headers],[Tabel ID]])</f>
        <v>2298</v>
      </c>
      <c r="B2308" s="45">
        <f>ROUNDDOWN((LineærRegression_Valg[[#This Row],[Tabel ID]]-1)/$B$5,0)+1</f>
        <v>575</v>
      </c>
      <c r="C2308" s="45">
        <f t="shared" si="35"/>
        <v>2</v>
      </c>
      <c r="D2308" s="45" t="b">
        <f>LineærRegression_Valg[[#This Row],[Afhængig variabel ID]]&lt;&gt;LineærRegression_Valg[[#This Row],[Uafhængig variabel ID]]</f>
        <v>1</v>
      </c>
      <c r="E2308" s="45" t="b">
        <f>LineærRegression_Valg[[#This Row],[Afhængig variabel ID]]&lt;=$B$5</f>
        <v>0</v>
      </c>
      <c r="F2308" t="str" cm="1">
        <f t="array" ref="F2308">IF(LineærRegression_Valg[[#This Row],[Indenfor range]],INDEX(DataTitel_liste,LineærRegression_Valg[[#This Row],[Afhængig variabel ID]]),INDEX(DataTitel_liste,1))</f>
        <v>Eksempel 1 (interval)</v>
      </c>
      <c r="G2308" s="45" t="str" cm="1">
        <f t="array" ref="G2308">IF(LineærRegression_Valg[[#This Row],[Indenfor range]],IF(LineærRegression_Valg[[#This Row],[Intet overlap]],INDEX(DataTitel_liste,LineærRegression_Valg[[#This Row],[Uafhængig variabel ID]]),INDEX(DataTitel_liste,IF(LineærRegression_Valg[[#This Row],[Afhængig variabel ID]]=1,2,1))),$B$7)</f>
        <v>Eksempel 2 (interval)</v>
      </c>
      <c r="H2308" s="45">
        <f>_xlfn.AGGREGATE(2,5,LineærRegression_Valg[[#This Row],[Tabel ID]])</f>
        <v>1</v>
      </c>
    </row>
    <row r="2309" spans="1:8" x14ac:dyDescent="0.2">
      <c r="A2309">
        <f>ROW(LineærRegression_Valg[[#This Row],[Tabel ID]])-ROW(LineærRegression_Valg[[#Headers],[Tabel ID]])</f>
        <v>2299</v>
      </c>
      <c r="B2309" s="45">
        <f>ROUNDDOWN((LineærRegression_Valg[[#This Row],[Tabel ID]]-1)/$B$5,0)+1</f>
        <v>575</v>
      </c>
      <c r="C2309" s="45">
        <f t="shared" si="35"/>
        <v>3</v>
      </c>
      <c r="D2309" s="45" t="b">
        <f>LineærRegression_Valg[[#This Row],[Afhængig variabel ID]]&lt;&gt;LineærRegression_Valg[[#This Row],[Uafhængig variabel ID]]</f>
        <v>1</v>
      </c>
      <c r="E2309" s="45" t="b">
        <f>LineærRegression_Valg[[#This Row],[Afhængig variabel ID]]&lt;=$B$5</f>
        <v>0</v>
      </c>
      <c r="F2309" t="str" cm="1">
        <f t="array" ref="F2309">IF(LineærRegression_Valg[[#This Row],[Indenfor range]],INDEX(DataTitel_liste,LineærRegression_Valg[[#This Row],[Afhængig variabel ID]]),INDEX(DataTitel_liste,1))</f>
        <v>Eksempel 1 (interval)</v>
      </c>
      <c r="G2309" s="45" t="str" cm="1">
        <f t="array" ref="G2309">IF(LineærRegression_Valg[[#This Row],[Indenfor range]],IF(LineærRegression_Valg[[#This Row],[Intet overlap]],INDEX(DataTitel_liste,LineærRegression_Valg[[#This Row],[Uafhængig variabel ID]]),INDEX(DataTitel_liste,IF(LineærRegression_Valg[[#This Row],[Afhængig variabel ID]]=1,2,1))),$B$7)</f>
        <v>Eksempel 2 (interval)</v>
      </c>
      <c r="H2309" s="45">
        <f>_xlfn.AGGREGATE(2,5,LineærRegression_Valg[[#This Row],[Tabel ID]])</f>
        <v>1</v>
      </c>
    </row>
    <row r="2310" spans="1:8" x14ac:dyDescent="0.2">
      <c r="A2310">
        <f>ROW(LineærRegression_Valg[[#This Row],[Tabel ID]])-ROW(LineærRegression_Valg[[#Headers],[Tabel ID]])</f>
        <v>2300</v>
      </c>
      <c r="B2310" s="45">
        <f>ROUNDDOWN((LineærRegression_Valg[[#This Row],[Tabel ID]]-1)/$B$5,0)+1</f>
        <v>575</v>
      </c>
      <c r="C2310" s="45">
        <f t="shared" si="35"/>
        <v>4</v>
      </c>
      <c r="D2310" s="45" t="b">
        <f>LineærRegression_Valg[[#This Row],[Afhængig variabel ID]]&lt;&gt;LineærRegression_Valg[[#This Row],[Uafhængig variabel ID]]</f>
        <v>1</v>
      </c>
      <c r="E2310" s="45" t="b">
        <f>LineærRegression_Valg[[#This Row],[Afhængig variabel ID]]&lt;=$B$5</f>
        <v>0</v>
      </c>
      <c r="F2310" t="str" cm="1">
        <f t="array" ref="F2310">IF(LineærRegression_Valg[[#This Row],[Indenfor range]],INDEX(DataTitel_liste,LineærRegression_Valg[[#This Row],[Afhængig variabel ID]]),INDEX(DataTitel_liste,1))</f>
        <v>Eksempel 1 (interval)</v>
      </c>
      <c r="G2310" s="45" t="str" cm="1">
        <f t="array" ref="G2310">IF(LineærRegression_Valg[[#This Row],[Indenfor range]],IF(LineærRegression_Valg[[#This Row],[Intet overlap]],INDEX(DataTitel_liste,LineærRegression_Valg[[#This Row],[Uafhængig variabel ID]]),INDEX(DataTitel_liste,IF(LineærRegression_Valg[[#This Row],[Afhængig variabel ID]]=1,2,1))),$B$7)</f>
        <v>Eksempel 2 (interval)</v>
      </c>
      <c r="H2310" s="45">
        <f>_xlfn.AGGREGATE(2,5,LineærRegression_Valg[[#This Row],[Tabel ID]])</f>
        <v>1</v>
      </c>
    </row>
    <row r="2311" spans="1:8" x14ac:dyDescent="0.2">
      <c r="A2311">
        <f>ROW(LineærRegression_Valg[[#This Row],[Tabel ID]])-ROW(LineærRegression_Valg[[#Headers],[Tabel ID]])</f>
        <v>2301</v>
      </c>
      <c r="B2311" s="45">
        <f>ROUNDDOWN((LineærRegression_Valg[[#This Row],[Tabel ID]]-1)/$B$5,0)+1</f>
        <v>576</v>
      </c>
      <c r="C2311" s="45">
        <f t="shared" si="35"/>
        <v>1</v>
      </c>
      <c r="D2311" s="45" t="b">
        <f>LineærRegression_Valg[[#This Row],[Afhængig variabel ID]]&lt;&gt;LineærRegression_Valg[[#This Row],[Uafhængig variabel ID]]</f>
        <v>1</v>
      </c>
      <c r="E2311" s="45" t="b">
        <f>LineærRegression_Valg[[#This Row],[Afhængig variabel ID]]&lt;=$B$5</f>
        <v>0</v>
      </c>
      <c r="F2311" t="str" cm="1">
        <f t="array" ref="F2311">IF(LineærRegression_Valg[[#This Row],[Indenfor range]],INDEX(DataTitel_liste,LineærRegression_Valg[[#This Row],[Afhængig variabel ID]]),INDEX(DataTitel_liste,1))</f>
        <v>Eksempel 1 (interval)</v>
      </c>
      <c r="G2311" s="45" t="str" cm="1">
        <f t="array" ref="G2311">IF(LineærRegression_Valg[[#This Row],[Indenfor range]],IF(LineærRegression_Valg[[#This Row],[Intet overlap]],INDEX(DataTitel_liste,LineærRegression_Valg[[#This Row],[Uafhængig variabel ID]]),INDEX(DataTitel_liste,IF(LineærRegression_Valg[[#This Row],[Afhængig variabel ID]]=1,2,1))),$B$7)</f>
        <v>Eksempel 2 (interval)</v>
      </c>
      <c r="H2311" s="45">
        <f>_xlfn.AGGREGATE(2,5,LineærRegression_Valg[[#This Row],[Tabel ID]])</f>
        <v>1</v>
      </c>
    </row>
    <row r="2312" spans="1:8" x14ac:dyDescent="0.2">
      <c r="A2312">
        <f>ROW(LineærRegression_Valg[[#This Row],[Tabel ID]])-ROW(LineærRegression_Valg[[#Headers],[Tabel ID]])</f>
        <v>2302</v>
      </c>
      <c r="B2312" s="45">
        <f>ROUNDDOWN((LineærRegression_Valg[[#This Row],[Tabel ID]]-1)/$B$5,0)+1</f>
        <v>576</v>
      </c>
      <c r="C2312" s="45">
        <f t="shared" si="35"/>
        <v>2</v>
      </c>
      <c r="D2312" s="45" t="b">
        <f>LineærRegression_Valg[[#This Row],[Afhængig variabel ID]]&lt;&gt;LineærRegression_Valg[[#This Row],[Uafhængig variabel ID]]</f>
        <v>1</v>
      </c>
      <c r="E2312" s="45" t="b">
        <f>LineærRegression_Valg[[#This Row],[Afhængig variabel ID]]&lt;=$B$5</f>
        <v>0</v>
      </c>
      <c r="F2312" t="str" cm="1">
        <f t="array" ref="F2312">IF(LineærRegression_Valg[[#This Row],[Indenfor range]],INDEX(DataTitel_liste,LineærRegression_Valg[[#This Row],[Afhængig variabel ID]]),INDEX(DataTitel_liste,1))</f>
        <v>Eksempel 1 (interval)</v>
      </c>
      <c r="G2312" s="45" t="str" cm="1">
        <f t="array" ref="G2312">IF(LineærRegression_Valg[[#This Row],[Indenfor range]],IF(LineærRegression_Valg[[#This Row],[Intet overlap]],INDEX(DataTitel_liste,LineærRegression_Valg[[#This Row],[Uafhængig variabel ID]]),INDEX(DataTitel_liste,IF(LineærRegression_Valg[[#This Row],[Afhængig variabel ID]]=1,2,1))),$B$7)</f>
        <v>Eksempel 2 (interval)</v>
      </c>
      <c r="H2312" s="45">
        <f>_xlfn.AGGREGATE(2,5,LineærRegression_Valg[[#This Row],[Tabel ID]])</f>
        <v>1</v>
      </c>
    </row>
    <row r="2313" spans="1:8" x14ac:dyDescent="0.2">
      <c r="A2313">
        <f>ROW(LineærRegression_Valg[[#This Row],[Tabel ID]])-ROW(LineærRegression_Valg[[#Headers],[Tabel ID]])</f>
        <v>2303</v>
      </c>
      <c r="B2313" s="45">
        <f>ROUNDDOWN((LineærRegression_Valg[[#This Row],[Tabel ID]]-1)/$B$5,0)+1</f>
        <v>576</v>
      </c>
      <c r="C2313" s="45">
        <f t="shared" si="35"/>
        <v>3</v>
      </c>
      <c r="D2313" s="45" t="b">
        <f>LineærRegression_Valg[[#This Row],[Afhængig variabel ID]]&lt;&gt;LineærRegression_Valg[[#This Row],[Uafhængig variabel ID]]</f>
        <v>1</v>
      </c>
      <c r="E2313" s="45" t="b">
        <f>LineærRegression_Valg[[#This Row],[Afhængig variabel ID]]&lt;=$B$5</f>
        <v>0</v>
      </c>
      <c r="F2313" t="str" cm="1">
        <f t="array" ref="F2313">IF(LineærRegression_Valg[[#This Row],[Indenfor range]],INDEX(DataTitel_liste,LineærRegression_Valg[[#This Row],[Afhængig variabel ID]]),INDEX(DataTitel_liste,1))</f>
        <v>Eksempel 1 (interval)</v>
      </c>
      <c r="G2313" s="45" t="str" cm="1">
        <f t="array" ref="G2313">IF(LineærRegression_Valg[[#This Row],[Indenfor range]],IF(LineærRegression_Valg[[#This Row],[Intet overlap]],INDEX(DataTitel_liste,LineærRegression_Valg[[#This Row],[Uafhængig variabel ID]]),INDEX(DataTitel_liste,IF(LineærRegression_Valg[[#This Row],[Afhængig variabel ID]]=1,2,1))),$B$7)</f>
        <v>Eksempel 2 (interval)</v>
      </c>
      <c r="H2313" s="45">
        <f>_xlfn.AGGREGATE(2,5,LineærRegression_Valg[[#This Row],[Tabel ID]])</f>
        <v>1</v>
      </c>
    </row>
    <row r="2314" spans="1:8" x14ac:dyDescent="0.2">
      <c r="A2314">
        <f>ROW(LineærRegression_Valg[[#This Row],[Tabel ID]])-ROW(LineærRegression_Valg[[#Headers],[Tabel ID]])</f>
        <v>2304</v>
      </c>
      <c r="B2314" s="45">
        <f>ROUNDDOWN((LineærRegression_Valg[[#This Row],[Tabel ID]]-1)/$B$5,0)+1</f>
        <v>576</v>
      </c>
      <c r="C2314" s="45">
        <f t="shared" si="35"/>
        <v>4</v>
      </c>
      <c r="D2314" s="45" t="b">
        <f>LineærRegression_Valg[[#This Row],[Afhængig variabel ID]]&lt;&gt;LineærRegression_Valg[[#This Row],[Uafhængig variabel ID]]</f>
        <v>1</v>
      </c>
      <c r="E2314" s="45" t="b">
        <f>LineærRegression_Valg[[#This Row],[Afhængig variabel ID]]&lt;=$B$5</f>
        <v>0</v>
      </c>
      <c r="F2314" t="str" cm="1">
        <f t="array" ref="F2314">IF(LineærRegression_Valg[[#This Row],[Indenfor range]],INDEX(DataTitel_liste,LineærRegression_Valg[[#This Row],[Afhængig variabel ID]]),INDEX(DataTitel_liste,1))</f>
        <v>Eksempel 1 (interval)</v>
      </c>
      <c r="G2314" s="45" t="str" cm="1">
        <f t="array" ref="G2314">IF(LineærRegression_Valg[[#This Row],[Indenfor range]],IF(LineærRegression_Valg[[#This Row],[Intet overlap]],INDEX(DataTitel_liste,LineærRegression_Valg[[#This Row],[Uafhængig variabel ID]]),INDEX(DataTitel_liste,IF(LineærRegression_Valg[[#This Row],[Afhængig variabel ID]]=1,2,1))),$B$7)</f>
        <v>Eksempel 2 (interval)</v>
      </c>
      <c r="H2314" s="45">
        <f>_xlfn.AGGREGATE(2,5,LineærRegression_Valg[[#This Row],[Tabel ID]])</f>
        <v>1</v>
      </c>
    </row>
    <row r="2315" spans="1:8" x14ac:dyDescent="0.2">
      <c r="A2315">
        <f>ROW(LineærRegression_Valg[[#This Row],[Tabel ID]])-ROW(LineærRegression_Valg[[#Headers],[Tabel ID]])</f>
        <v>2305</v>
      </c>
      <c r="B2315" s="45">
        <f>ROUNDDOWN((LineærRegression_Valg[[#This Row],[Tabel ID]]-1)/$B$5,0)+1</f>
        <v>577</v>
      </c>
      <c r="C2315" s="45">
        <f t="shared" ref="C2315:C2378" si="36">MOD(A2315-1,$B$5)+1</f>
        <v>1</v>
      </c>
      <c r="D2315" s="45" t="b">
        <f>LineærRegression_Valg[[#This Row],[Afhængig variabel ID]]&lt;&gt;LineærRegression_Valg[[#This Row],[Uafhængig variabel ID]]</f>
        <v>1</v>
      </c>
      <c r="E2315" s="45" t="b">
        <f>LineærRegression_Valg[[#This Row],[Afhængig variabel ID]]&lt;=$B$5</f>
        <v>0</v>
      </c>
      <c r="F2315" t="str" cm="1">
        <f t="array" ref="F2315">IF(LineærRegression_Valg[[#This Row],[Indenfor range]],INDEX(DataTitel_liste,LineærRegression_Valg[[#This Row],[Afhængig variabel ID]]),INDEX(DataTitel_liste,1))</f>
        <v>Eksempel 1 (interval)</v>
      </c>
      <c r="G2315" s="45" t="str" cm="1">
        <f t="array" ref="G2315">IF(LineærRegression_Valg[[#This Row],[Indenfor range]],IF(LineærRegression_Valg[[#This Row],[Intet overlap]],INDEX(DataTitel_liste,LineærRegression_Valg[[#This Row],[Uafhængig variabel ID]]),INDEX(DataTitel_liste,IF(LineærRegression_Valg[[#This Row],[Afhængig variabel ID]]=1,2,1))),$B$7)</f>
        <v>Eksempel 2 (interval)</v>
      </c>
      <c r="H2315" s="45">
        <f>_xlfn.AGGREGATE(2,5,LineærRegression_Valg[[#This Row],[Tabel ID]])</f>
        <v>1</v>
      </c>
    </row>
    <row r="2316" spans="1:8" x14ac:dyDescent="0.2">
      <c r="A2316">
        <f>ROW(LineærRegression_Valg[[#This Row],[Tabel ID]])-ROW(LineærRegression_Valg[[#Headers],[Tabel ID]])</f>
        <v>2306</v>
      </c>
      <c r="B2316" s="45">
        <f>ROUNDDOWN((LineærRegression_Valg[[#This Row],[Tabel ID]]-1)/$B$5,0)+1</f>
        <v>577</v>
      </c>
      <c r="C2316" s="45">
        <f t="shared" si="36"/>
        <v>2</v>
      </c>
      <c r="D2316" s="45" t="b">
        <f>LineærRegression_Valg[[#This Row],[Afhængig variabel ID]]&lt;&gt;LineærRegression_Valg[[#This Row],[Uafhængig variabel ID]]</f>
        <v>1</v>
      </c>
      <c r="E2316" s="45" t="b">
        <f>LineærRegression_Valg[[#This Row],[Afhængig variabel ID]]&lt;=$B$5</f>
        <v>0</v>
      </c>
      <c r="F2316" t="str" cm="1">
        <f t="array" ref="F2316">IF(LineærRegression_Valg[[#This Row],[Indenfor range]],INDEX(DataTitel_liste,LineærRegression_Valg[[#This Row],[Afhængig variabel ID]]),INDEX(DataTitel_liste,1))</f>
        <v>Eksempel 1 (interval)</v>
      </c>
      <c r="G2316" s="45" t="str" cm="1">
        <f t="array" ref="G2316">IF(LineærRegression_Valg[[#This Row],[Indenfor range]],IF(LineærRegression_Valg[[#This Row],[Intet overlap]],INDEX(DataTitel_liste,LineærRegression_Valg[[#This Row],[Uafhængig variabel ID]]),INDEX(DataTitel_liste,IF(LineærRegression_Valg[[#This Row],[Afhængig variabel ID]]=1,2,1))),$B$7)</f>
        <v>Eksempel 2 (interval)</v>
      </c>
      <c r="H2316" s="45">
        <f>_xlfn.AGGREGATE(2,5,LineærRegression_Valg[[#This Row],[Tabel ID]])</f>
        <v>1</v>
      </c>
    </row>
    <row r="2317" spans="1:8" x14ac:dyDescent="0.2">
      <c r="A2317">
        <f>ROW(LineærRegression_Valg[[#This Row],[Tabel ID]])-ROW(LineærRegression_Valg[[#Headers],[Tabel ID]])</f>
        <v>2307</v>
      </c>
      <c r="B2317" s="45">
        <f>ROUNDDOWN((LineærRegression_Valg[[#This Row],[Tabel ID]]-1)/$B$5,0)+1</f>
        <v>577</v>
      </c>
      <c r="C2317" s="45">
        <f t="shared" si="36"/>
        <v>3</v>
      </c>
      <c r="D2317" s="45" t="b">
        <f>LineærRegression_Valg[[#This Row],[Afhængig variabel ID]]&lt;&gt;LineærRegression_Valg[[#This Row],[Uafhængig variabel ID]]</f>
        <v>1</v>
      </c>
      <c r="E2317" s="45" t="b">
        <f>LineærRegression_Valg[[#This Row],[Afhængig variabel ID]]&lt;=$B$5</f>
        <v>0</v>
      </c>
      <c r="F2317" t="str" cm="1">
        <f t="array" ref="F2317">IF(LineærRegression_Valg[[#This Row],[Indenfor range]],INDEX(DataTitel_liste,LineærRegression_Valg[[#This Row],[Afhængig variabel ID]]),INDEX(DataTitel_liste,1))</f>
        <v>Eksempel 1 (interval)</v>
      </c>
      <c r="G2317" s="45" t="str" cm="1">
        <f t="array" ref="G2317">IF(LineærRegression_Valg[[#This Row],[Indenfor range]],IF(LineærRegression_Valg[[#This Row],[Intet overlap]],INDEX(DataTitel_liste,LineærRegression_Valg[[#This Row],[Uafhængig variabel ID]]),INDEX(DataTitel_liste,IF(LineærRegression_Valg[[#This Row],[Afhængig variabel ID]]=1,2,1))),$B$7)</f>
        <v>Eksempel 2 (interval)</v>
      </c>
      <c r="H2317" s="45">
        <f>_xlfn.AGGREGATE(2,5,LineærRegression_Valg[[#This Row],[Tabel ID]])</f>
        <v>1</v>
      </c>
    </row>
    <row r="2318" spans="1:8" x14ac:dyDescent="0.2">
      <c r="A2318">
        <f>ROW(LineærRegression_Valg[[#This Row],[Tabel ID]])-ROW(LineærRegression_Valg[[#Headers],[Tabel ID]])</f>
        <v>2308</v>
      </c>
      <c r="B2318" s="45">
        <f>ROUNDDOWN((LineærRegression_Valg[[#This Row],[Tabel ID]]-1)/$B$5,0)+1</f>
        <v>577</v>
      </c>
      <c r="C2318" s="45">
        <f t="shared" si="36"/>
        <v>4</v>
      </c>
      <c r="D2318" s="45" t="b">
        <f>LineærRegression_Valg[[#This Row],[Afhængig variabel ID]]&lt;&gt;LineærRegression_Valg[[#This Row],[Uafhængig variabel ID]]</f>
        <v>1</v>
      </c>
      <c r="E2318" s="45" t="b">
        <f>LineærRegression_Valg[[#This Row],[Afhængig variabel ID]]&lt;=$B$5</f>
        <v>0</v>
      </c>
      <c r="F2318" t="str" cm="1">
        <f t="array" ref="F2318">IF(LineærRegression_Valg[[#This Row],[Indenfor range]],INDEX(DataTitel_liste,LineærRegression_Valg[[#This Row],[Afhængig variabel ID]]),INDEX(DataTitel_liste,1))</f>
        <v>Eksempel 1 (interval)</v>
      </c>
      <c r="G2318" s="45" t="str" cm="1">
        <f t="array" ref="G2318">IF(LineærRegression_Valg[[#This Row],[Indenfor range]],IF(LineærRegression_Valg[[#This Row],[Intet overlap]],INDEX(DataTitel_liste,LineærRegression_Valg[[#This Row],[Uafhængig variabel ID]]),INDEX(DataTitel_liste,IF(LineærRegression_Valg[[#This Row],[Afhængig variabel ID]]=1,2,1))),$B$7)</f>
        <v>Eksempel 2 (interval)</v>
      </c>
      <c r="H2318" s="45">
        <f>_xlfn.AGGREGATE(2,5,LineærRegression_Valg[[#This Row],[Tabel ID]])</f>
        <v>1</v>
      </c>
    </row>
    <row r="2319" spans="1:8" x14ac:dyDescent="0.2">
      <c r="A2319">
        <f>ROW(LineærRegression_Valg[[#This Row],[Tabel ID]])-ROW(LineærRegression_Valg[[#Headers],[Tabel ID]])</f>
        <v>2309</v>
      </c>
      <c r="B2319" s="45">
        <f>ROUNDDOWN((LineærRegression_Valg[[#This Row],[Tabel ID]]-1)/$B$5,0)+1</f>
        <v>578</v>
      </c>
      <c r="C2319" s="45">
        <f t="shared" si="36"/>
        <v>1</v>
      </c>
      <c r="D2319" s="45" t="b">
        <f>LineærRegression_Valg[[#This Row],[Afhængig variabel ID]]&lt;&gt;LineærRegression_Valg[[#This Row],[Uafhængig variabel ID]]</f>
        <v>1</v>
      </c>
      <c r="E2319" s="45" t="b">
        <f>LineærRegression_Valg[[#This Row],[Afhængig variabel ID]]&lt;=$B$5</f>
        <v>0</v>
      </c>
      <c r="F2319" t="str" cm="1">
        <f t="array" ref="F2319">IF(LineærRegression_Valg[[#This Row],[Indenfor range]],INDEX(DataTitel_liste,LineærRegression_Valg[[#This Row],[Afhængig variabel ID]]),INDEX(DataTitel_liste,1))</f>
        <v>Eksempel 1 (interval)</v>
      </c>
      <c r="G2319" s="45" t="str" cm="1">
        <f t="array" ref="G2319">IF(LineærRegression_Valg[[#This Row],[Indenfor range]],IF(LineærRegression_Valg[[#This Row],[Intet overlap]],INDEX(DataTitel_liste,LineærRegression_Valg[[#This Row],[Uafhængig variabel ID]]),INDEX(DataTitel_liste,IF(LineærRegression_Valg[[#This Row],[Afhængig variabel ID]]=1,2,1))),$B$7)</f>
        <v>Eksempel 2 (interval)</v>
      </c>
      <c r="H2319" s="45">
        <f>_xlfn.AGGREGATE(2,5,LineærRegression_Valg[[#This Row],[Tabel ID]])</f>
        <v>1</v>
      </c>
    </row>
    <row r="2320" spans="1:8" x14ac:dyDescent="0.2">
      <c r="A2320">
        <f>ROW(LineærRegression_Valg[[#This Row],[Tabel ID]])-ROW(LineærRegression_Valg[[#Headers],[Tabel ID]])</f>
        <v>2310</v>
      </c>
      <c r="B2320" s="45">
        <f>ROUNDDOWN((LineærRegression_Valg[[#This Row],[Tabel ID]]-1)/$B$5,0)+1</f>
        <v>578</v>
      </c>
      <c r="C2320" s="45">
        <f t="shared" si="36"/>
        <v>2</v>
      </c>
      <c r="D2320" s="45" t="b">
        <f>LineærRegression_Valg[[#This Row],[Afhængig variabel ID]]&lt;&gt;LineærRegression_Valg[[#This Row],[Uafhængig variabel ID]]</f>
        <v>1</v>
      </c>
      <c r="E2320" s="45" t="b">
        <f>LineærRegression_Valg[[#This Row],[Afhængig variabel ID]]&lt;=$B$5</f>
        <v>0</v>
      </c>
      <c r="F2320" t="str" cm="1">
        <f t="array" ref="F2320">IF(LineærRegression_Valg[[#This Row],[Indenfor range]],INDEX(DataTitel_liste,LineærRegression_Valg[[#This Row],[Afhængig variabel ID]]),INDEX(DataTitel_liste,1))</f>
        <v>Eksempel 1 (interval)</v>
      </c>
      <c r="G2320" s="45" t="str" cm="1">
        <f t="array" ref="G2320">IF(LineærRegression_Valg[[#This Row],[Indenfor range]],IF(LineærRegression_Valg[[#This Row],[Intet overlap]],INDEX(DataTitel_liste,LineærRegression_Valg[[#This Row],[Uafhængig variabel ID]]),INDEX(DataTitel_liste,IF(LineærRegression_Valg[[#This Row],[Afhængig variabel ID]]=1,2,1))),$B$7)</f>
        <v>Eksempel 2 (interval)</v>
      </c>
      <c r="H2320" s="45">
        <f>_xlfn.AGGREGATE(2,5,LineærRegression_Valg[[#This Row],[Tabel ID]])</f>
        <v>1</v>
      </c>
    </row>
    <row r="2321" spans="1:8" x14ac:dyDescent="0.2">
      <c r="A2321">
        <f>ROW(LineærRegression_Valg[[#This Row],[Tabel ID]])-ROW(LineærRegression_Valg[[#Headers],[Tabel ID]])</f>
        <v>2311</v>
      </c>
      <c r="B2321" s="45">
        <f>ROUNDDOWN((LineærRegression_Valg[[#This Row],[Tabel ID]]-1)/$B$5,0)+1</f>
        <v>578</v>
      </c>
      <c r="C2321" s="45">
        <f t="shared" si="36"/>
        <v>3</v>
      </c>
      <c r="D2321" s="45" t="b">
        <f>LineærRegression_Valg[[#This Row],[Afhængig variabel ID]]&lt;&gt;LineærRegression_Valg[[#This Row],[Uafhængig variabel ID]]</f>
        <v>1</v>
      </c>
      <c r="E2321" s="45" t="b">
        <f>LineærRegression_Valg[[#This Row],[Afhængig variabel ID]]&lt;=$B$5</f>
        <v>0</v>
      </c>
      <c r="F2321" t="str" cm="1">
        <f t="array" ref="F2321">IF(LineærRegression_Valg[[#This Row],[Indenfor range]],INDEX(DataTitel_liste,LineærRegression_Valg[[#This Row],[Afhængig variabel ID]]),INDEX(DataTitel_liste,1))</f>
        <v>Eksempel 1 (interval)</v>
      </c>
      <c r="G2321" s="45" t="str" cm="1">
        <f t="array" ref="G2321">IF(LineærRegression_Valg[[#This Row],[Indenfor range]],IF(LineærRegression_Valg[[#This Row],[Intet overlap]],INDEX(DataTitel_liste,LineærRegression_Valg[[#This Row],[Uafhængig variabel ID]]),INDEX(DataTitel_liste,IF(LineærRegression_Valg[[#This Row],[Afhængig variabel ID]]=1,2,1))),$B$7)</f>
        <v>Eksempel 2 (interval)</v>
      </c>
      <c r="H2321" s="45">
        <f>_xlfn.AGGREGATE(2,5,LineærRegression_Valg[[#This Row],[Tabel ID]])</f>
        <v>1</v>
      </c>
    </row>
    <row r="2322" spans="1:8" x14ac:dyDescent="0.2">
      <c r="A2322">
        <f>ROW(LineærRegression_Valg[[#This Row],[Tabel ID]])-ROW(LineærRegression_Valg[[#Headers],[Tabel ID]])</f>
        <v>2312</v>
      </c>
      <c r="B2322" s="45">
        <f>ROUNDDOWN((LineærRegression_Valg[[#This Row],[Tabel ID]]-1)/$B$5,0)+1</f>
        <v>578</v>
      </c>
      <c r="C2322" s="45">
        <f t="shared" si="36"/>
        <v>4</v>
      </c>
      <c r="D2322" s="45" t="b">
        <f>LineærRegression_Valg[[#This Row],[Afhængig variabel ID]]&lt;&gt;LineærRegression_Valg[[#This Row],[Uafhængig variabel ID]]</f>
        <v>1</v>
      </c>
      <c r="E2322" s="45" t="b">
        <f>LineærRegression_Valg[[#This Row],[Afhængig variabel ID]]&lt;=$B$5</f>
        <v>0</v>
      </c>
      <c r="F2322" t="str" cm="1">
        <f t="array" ref="F2322">IF(LineærRegression_Valg[[#This Row],[Indenfor range]],INDEX(DataTitel_liste,LineærRegression_Valg[[#This Row],[Afhængig variabel ID]]),INDEX(DataTitel_liste,1))</f>
        <v>Eksempel 1 (interval)</v>
      </c>
      <c r="G2322" s="45" t="str" cm="1">
        <f t="array" ref="G2322">IF(LineærRegression_Valg[[#This Row],[Indenfor range]],IF(LineærRegression_Valg[[#This Row],[Intet overlap]],INDEX(DataTitel_liste,LineærRegression_Valg[[#This Row],[Uafhængig variabel ID]]),INDEX(DataTitel_liste,IF(LineærRegression_Valg[[#This Row],[Afhængig variabel ID]]=1,2,1))),$B$7)</f>
        <v>Eksempel 2 (interval)</v>
      </c>
      <c r="H2322" s="45">
        <f>_xlfn.AGGREGATE(2,5,LineærRegression_Valg[[#This Row],[Tabel ID]])</f>
        <v>1</v>
      </c>
    </row>
    <row r="2323" spans="1:8" x14ac:dyDescent="0.2">
      <c r="A2323">
        <f>ROW(LineærRegression_Valg[[#This Row],[Tabel ID]])-ROW(LineærRegression_Valg[[#Headers],[Tabel ID]])</f>
        <v>2313</v>
      </c>
      <c r="B2323" s="45">
        <f>ROUNDDOWN((LineærRegression_Valg[[#This Row],[Tabel ID]]-1)/$B$5,0)+1</f>
        <v>579</v>
      </c>
      <c r="C2323" s="45">
        <f t="shared" si="36"/>
        <v>1</v>
      </c>
      <c r="D2323" s="45" t="b">
        <f>LineærRegression_Valg[[#This Row],[Afhængig variabel ID]]&lt;&gt;LineærRegression_Valg[[#This Row],[Uafhængig variabel ID]]</f>
        <v>1</v>
      </c>
      <c r="E2323" s="45" t="b">
        <f>LineærRegression_Valg[[#This Row],[Afhængig variabel ID]]&lt;=$B$5</f>
        <v>0</v>
      </c>
      <c r="F2323" t="str" cm="1">
        <f t="array" ref="F2323">IF(LineærRegression_Valg[[#This Row],[Indenfor range]],INDEX(DataTitel_liste,LineærRegression_Valg[[#This Row],[Afhængig variabel ID]]),INDEX(DataTitel_liste,1))</f>
        <v>Eksempel 1 (interval)</v>
      </c>
      <c r="G2323" s="45" t="str" cm="1">
        <f t="array" ref="G2323">IF(LineærRegression_Valg[[#This Row],[Indenfor range]],IF(LineærRegression_Valg[[#This Row],[Intet overlap]],INDEX(DataTitel_liste,LineærRegression_Valg[[#This Row],[Uafhængig variabel ID]]),INDEX(DataTitel_liste,IF(LineærRegression_Valg[[#This Row],[Afhængig variabel ID]]=1,2,1))),$B$7)</f>
        <v>Eksempel 2 (interval)</v>
      </c>
      <c r="H2323" s="45">
        <f>_xlfn.AGGREGATE(2,5,LineærRegression_Valg[[#This Row],[Tabel ID]])</f>
        <v>1</v>
      </c>
    </row>
    <row r="2324" spans="1:8" x14ac:dyDescent="0.2">
      <c r="A2324">
        <f>ROW(LineærRegression_Valg[[#This Row],[Tabel ID]])-ROW(LineærRegression_Valg[[#Headers],[Tabel ID]])</f>
        <v>2314</v>
      </c>
      <c r="B2324" s="45">
        <f>ROUNDDOWN((LineærRegression_Valg[[#This Row],[Tabel ID]]-1)/$B$5,0)+1</f>
        <v>579</v>
      </c>
      <c r="C2324" s="45">
        <f t="shared" si="36"/>
        <v>2</v>
      </c>
      <c r="D2324" s="45" t="b">
        <f>LineærRegression_Valg[[#This Row],[Afhængig variabel ID]]&lt;&gt;LineærRegression_Valg[[#This Row],[Uafhængig variabel ID]]</f>
        <v>1</v>
      </c>
      <c r="E2324" s="45" t="b">
        <f>LineærRegression_Valg[[#This Row],[Afhængig variabel ID]]&lt;=$B$5</f>
        <v>0</v>
      </c>
      <c r="F2324" t="str" cm="1">
        <f t="array" ref="F2324">IF(LineærRegression_Valg[[#This Row],[Indenfor range]],INDEX(DataTitel_liste,LineærRegression_Valg[[#This Row],[Afhængig variabel ID]]),INDEX(DataTitel_liste,1))</f>
        <v>Eksempel 1 (interval)</v>
      </c>
      <c r="G2324" s="45" t="str" cm="1">
        <f t="array" ref="G2324">IF(LineærRegression_Valg[[#This Row],[Indenfor range]],IF(LineærRegression_Valg[[#This Row],[Intet overlap]],INDEX(DataTitel_liste,LineærRegression_Valg[[#This Row],[Uafhængig variabel ID]]),INDEX(DataTitel_liste,IF(LineærRegression_Valg[[#This Row],[Afhængig variabel ID]]=1,2,1))),$B$7)</f>
        <v>Eksempel 2 (interval)</v>
      </c>
      <c r="H2324" s="45">
        <f>_xlfn.AGGREGATE(2,5,LineærRegression_Valg[[#This Row],[Tabel ID]])</f>
        <v>1</v>
      </c>
    </row>
    <row r="2325" spans="1:8" x14ac:dyDescent="0.2">
      <c r="A2325">
        <f>ROW(LineærRegression_Valg[[#This Row],[Tabel ID]])-ROW(LineærRegression_Valg[[#Headers],[Tabel ID]])</f>
        <v>2315</v>
      </c>
      <c r="B2325" s="45">
        <f>ROUNDDOWN((LineærRegression_Valg[[#This Row],[Tabel ID]]-1)/$B$5,0)+1</f>
        <v>579</v>
      </c>
      <c r="C2325" s="45">
        <f t="shared" si="36"/>
        <v>3</v>
      </c>
      <c r="D2325" s="45" t="b">
        <f>LineærRegression_Valg[[#This Row],[Afhængig variabel ID]]&lt;&gt;LineærRegression_Valg[[#This Row],[Uafhængig variabel ID]]</f>
        <v>1</v>
      </c>
      <c r="E2325" s="45" t="b">
        <f>LineærRegression_Valg[[#This Row],[Afhængig variabel ID]]&lt;=$B$5</f>
        <v>0</v>
      </c>
      <c r="F2325" t="str" cm="1">
        <f t="array" ref="F2325">IF(LineærRegression_Valg[[#This Row],[Indenfor range]],INDEX(DataTitel_liste,LineærRegression_Valg[[#This Row],[Afhængig variabel ID]]),INDEX(DataTitel_liste,1))</f>
        <v>Eksempel 1 (interval)</v>
      </c>
      <c r="G2325" s="45" t="str" cm="1">
        <f t="array" ref="G2325">IF(LineærRegression_Valg[[#This Row],[Indenfor range]],IF(LineærRegression_Valg[[#This Row],[Intet overlap]],INDEX(DataTitel_liste,LineærRegression_Valg[[#This Row],[Uafhængig variabel ID]]),INDEX(DataTitel_liste,IF(LineærRegression_Valg[[#This Row],[Afhængig variabel ID]]=1,2,1))),$B$7)</f>
        <v>Eksempel 2 (interval)</v>
      </c>
      <c r="H2325" s="45">
        <f>_xlfn.AGGREGATE(2,5,LineærRegression_Valg[[#This Row],[Tabel ID]])</f>
        <v>1</v>
      </c>
    </row>
    <row r="2326" spans="1:8" x14ac:dyDescent="0.2">
      <c r="A2326">
        <f>ROW(LineærRegression_Valg[[#This Row],[Tabel ID]])-ROW(LineærRegression_Valg[[#Headers],[Tabel ID]])</f>
        <v>2316</v>
      </c>
      <c r="B2326" s="45">
        <f>ROUNDDOWN((LineærRegression_Valg[[#This Row],[Tabel ID]]-1)/$B$5,0)+1</f>
        <v>579</v>
      </c>
      <c r="C2326" s="45">
        <f t="shared" si="36"/>
        <v>4</v>
      </c>
      <c r="D2326" s="45" t="b">
        <f>LineærRegression_Valg[[#This Row],[Afhængig variabel ID]]&lt;&gt;LineærRegression_Valg[[#This Row],[Uafhængig variabel ID]]</f>
        <v>1</v>
      </c>
      <c r="E2326" s="45" t="b">
        <f>LineærRegression_Valg[[#This Row],[Afhængig variabel ID]]&lt;=$B$5</f>
        <v>0</v>
      </c>
      <c r="F2326" t="str" cm="1">
        <f t="array" ref="F2326">IF(LineærRegression_Valg[[#This Row],[Indenfor range]],INDEX(DataTitel_liste,LineærRegression_Valg[[#This Row],[Afhængig variabel ID]]),INDEX(DataTitel_liste,1))</f>
        <v>Eksempel 1 (interval)</v>
      </c>
      <c r="G2326" s="45" t="str" cm="1">
        <f t="array" ref="G2326">IF(LineærRegression_Valg[[#This Row],[Indenfor range]],IF(LineærRegression_Valg[[#This Row],[Intet overlap]],INDEX(DataTitel_liste,LineærRegression_Valg[[#This Row],[Uafhængig variabel ID]]),INDEX(DataTitel_liste,IF(LineærRegression_Valg[[#This Row],[Afhængig variabel ID]]=1,2,1))),$B$7)</f>
        <v>Eksempel 2 (interval)</v>
      </c>
      <c r="H2326" s="45">
        <f>_xlfn.AGGREGATE(2,5,LineærRegression_Valg[[#This Row],[Tabel ID]])</f>
        <v>1</v>
      </c>
    </row>
    <row r="2327" spans="1:8" x14ac:dyDescent="0.2">
      <c r="A2327">
        <f>ROW(LineærRegression_Valg[[#This Row],[Tabel ID]])-ROW(LineærRegression_Valg[[#Headers],[Tabel ID]])</f>
        <v>2317</v>
      </c>
      <c r="B2327" s="45">
        <f>ROUNDDOWN((LineærRegression_Valg[[#This Row],[Tabel ID]]-1)/$B$5,0)+1</f>
        <v>580</v>
      </c>
      <c r="C2327" s="45">
        <f t="shared" si="36"/>
        <v>1</v>
      </c>
      <c r="D2327" s="45" t="b">
        <f>LineærRegression_Valg[[#This Row],[Afhængig variabel ID]]&lt;&gt;LineærRegression_Valg[[#This Row],[Uafhængig variabel ID]]</f>
        <v>1</v>
      </c>
      <c r="E2327" s="45" t="b">
        <f>LineærRegression_Valg[[#This Row],[Afhængig variabel ID]]&lt;=$B$5</f>
        <v>0</v>
      </c>
      <c r="F2327" t="str" cm="1">
        <f t="array" ref="F2327">IF(LineærRegression_Valg[[#This Row],[Indenfor range]],INDEX(DataTitel_liste,LineærRegression_Valg[[#This Row],[Afhængig variabel ID]]),INDEX(DataTitel_liste,1))</f>
        <v>Eksempel 1 (interval)</v>
      </c>
      <c r="G2327" s="45" t="str" cm="1">
        <f t="array" ref="G2327">IF(LineærRegression_Valg[[#This Row],[Indenfor range]],IF(LineærRegression_Valg[[#This Row],[Intet overlap]],INDEX(DataTitel_liste,LineærRegression_Valg[[#This Row],[Uafhængig variabel ID]]),INDEX(DataTitel_liste,IF(LineærRegression_Valg[[#This Row],[Afhængig variabel ID]]=1,2,1))),$B$7)</f>
        <v>Eksempel 2 (interval)</v>
      </c>
      <c r="H2327" s="45">
        <f>_xlfn.AGGREGATE(2,5,LineærRegression_Valg[[#This Row],[Tabel ID]])</f>
        <v>1</v>
      </c>
    </row>
    <row r="2328" spans="1:8" x14ac:dyDescent="0.2">
      <c r="A2328">
        <f>ROW(LineærRegression_Valg[[#This Row],[Tabel ID]])-ROW(LineærRegression_Valg[[#Headers],[Tabel ID]])</f>
        <v>2318</v>
      </c>
      <c r="B2328" s="45">
        <f>ROUNDDOWN((LineærRegression_Valg[[#This Row],[Tabel ID]]-1)/$B$5,0)+1</f>
        <v>580</v>
      </c>
      <c r="C2328" s="45">
        <f t="shared" si="36"/>
        <v>2</v>
      </c>
      <c r="D2328" s="45" t="b">
        <f>LineærRegression_Valg[[#This Row],[Afhængig variabel ID]]&lt;&gt;LineærRegression_Valg[[#This Row],[Uafhængig variabel ID]]</f>
        <v>1</v>
      </c>
      <c r="E2328" s="45" t="b">
        <f>LineærRegression_Valg[[#This Row],[Afhængig variabel ID]]&lt;=$B$5</f>
        <v>0</v>
      </c>
      <c r="F2328" t="str" cm="1">
        <f t="array" ref="F2328">IF(LineærRegression_Valg[[#This Row],[Indenfor range]],INDEX(DataTitel_liste,LineærRegression_Valg[[#This Row],[Afhængig variabel ID]]),INDEX(DataTitel_liste,1))</f>
        <v>Eksempel 1 (interval)</v>
      </c>
      <c r="G2328" s="45" t="str" cm="1">
        <f t="array" ref="G2328">IF(LineærRegression_Valg[[#This Row],[Indenfor range]],IF(LineærRegression_Valg[[#This Row],[Intet overlap]],INDEX(DataTitel_liste,LineærRegression_Valg[[#This Row],[Uafhængig variabel ID]]),INDEX(DataTitel_liste,IF(LineærRegression_Valg[[#This Row],[Afhængig variabel ID]]=1,2,1))),$B$7)</f>
        <v>Eksempel 2 (interval)</v>
      </c>
      <c r="H2328" s="45">
        <f>_xlfn.AGGREGATE(2,5,LineærRegression_Valg[[#This Row],[Tabel ID]])</f>
        <v>1</v>
      </c>
    </row>
    <row r="2329" spans="1:8" x14ac:dyDescent="0.2">
      <c r="A2329">
        <f>ROW(LineærRegression_Valg[[#This Row],[Tabel ID]])-ROW(LineærRegression_Valg[[#Headers],[Tabel ID]])</f>
        <v>2319</v>
      </c>
      <c r="B2329" s="45">
        <f>ROUNDDOWN((LineærRegression_Valg[[#This Row],[Tabel ID]]-1)/$B$5,0)+1</f>
        <v>580</v>
      </c>
      <c r="C2329" s="45">
        <f t="shared" si="36"/>
        <v>3</v>
      </c>
      <c r="D2329" s="45" t="b">
        <f>LineærRegression_Valg[[#This Row],[Afhængig variabel ID]]&lt;&gt;LineærRegression_Valg[[#This Row],[Uafhængig variabel ID]]</f>
        <v>1</v>
      </c>
      <c r="E2329" s="45" t="b">
        <f>LineærRegression_Valg[[#This Row],[Afhængig variabel ID]]&lt;=$B$5</f>
        <v>0</v>
      </c>
      <c r="F2329" t="str" cm="1">
        <f t="array" ref="F2329">IF(LineærRegression_Valg[[#This Row],[Indenfor range]],INDEX(DataTitel_liste,LineærRegression_Valg[[#This Row],[Afhængig variabel ID]]),INDEX(DataTitel_liste,1))</f>
        <v>Eksempel 1 (interval)</v>
      </c>
      <c r="G2329" s="45" t="str" cm="1">
        <f t="array" ref="G2329">IF(LineærRegression_Valg[[#This Row],[Indenfor range]],IF(LineærRegression_Valg[[#This Row],[Intet overlap]],INDEX(DataTitel_liste,LineærRegression_Valg[[#This Row],[Uafhængig variabel ID]]),INDEX(DataTitel_liste,IF(LineærRegression_Valg[[#This Row],[Afhængig variabel ID]]=1,2,1))),$B$7)</f>
        <v>Eksempel 2 (interval)</v>
      </c>
      <c r="H2329" s="45">
        <f>_xlfn.AGGREGATE(2,5,LineærRegression_Valg[[#This Row],[Tabel ID]])</f>
        <v>1</v>
      </c>
    </row>
    <row r="2330" spans="1:8" x14ac:dyDescent="0.2">
      <c r="A2330">
        <f>ROW(LineærRegression_Valg[[#This Row],[Tabel ID]])-ROW(LineærRegression_Valg[[#Headers],[Tabel ID]])</f>
        <v>2320</v>
      </c>
      <c r="B2330" s="45">
        <f>ROUNDDOWN((LineærRegression_Valg[[#This Row],[Tabel ID]]-1)/$B$5,0)+1</f>
        <v>580</v>
      </c>
      <c r="C2330" s="45">
        <f t="shared" si="36"/>
        <v>4</v>
      </c>
      <c r="D2330" s="45" t="b">
        <f>LineærRegression_Valg[[#This Row],[Afhængig variabel ID]]&lt;&gt;LineærRegression_Valg[[#This Row],[Uafhængig variabel ID]]</f>
        <v>1</v>
      </c>
      <c r="E2330" s="45" t="b">
        <f>LineærRegression_Valg[[#This Row],[Afhængig variabel ID]]&lt;=$B$5</f>
        <v>0</v>
      </c>
      <c r="F2330" t="str" cm="1">
        <f t="array" ref="F2330">IF(LineærRegression_Valg[[#This Row],[Indenfor range]],INDEX(DataTitel_liste,LineærRegression_Valg[[#This Row],[Afhængig variabel ID]]),INDEX(DataTitel_liste,1))</f>
        <v>Eksempel 1 (interval)</v>
      </c>
      <c r="G2330" s="45" t="str" cm="1">
        <f t="array" ref="G2330">IF(LineærRegression_Valg[[#This Row],[Indenfor range]],IF(LineærRegression_Valg[[#This Row],[Intet overlap]],INDEX(DataTitel_liste,LineærRegression_Valg[[#This Row],[Uafhængig variabel ID]]),INDEX(DataTitel_liste,IF(LineærRegression_Valg[[#This Row],[Afhængig variabel ID]]=1,2,1))),$B$7)</f>
        <v>Eksempel 2 (interval)</v>
      </c>
      <c r="H2330" s="45">
        <f>_xlfn.AGGREGATE(2,5,LineærRegression_Valg[[#This Row],[Tabel ID]])</f>
        <v>1</v>
      </c>
    </row>
    <row r="2331" spans="1:8" x14ac:dyDescent="0.2">
      <c r="A2331">
        <f>ROW(LineærRegression_Valg[[#This Row],[Tabel ID]])-ROW(LineærRegression_Valg[[#Headers],[Tabel ID]])</f>
        <v>2321</v>
      </c>
      <c r="B2331" s="45">
        <f>ROUNDDOWN((LineærRegression_Valg[[#This Row],[Tabel ID]]-1)/$B$5,0)+1</f>
        <v>581</v>
      </c>
      <c r="C2331" s="45">
        <f t="shared" si="36"/>
        <v>1</v>
      </c>
      <c r="D2331" s="45" t="b">
        <f>LineærRegression_Valg[[#This Row],[Afhængig variabel ID]]&lt;&gt;LineærRegression_Valg[[#This Row],[Uafhængig variabel ID]]</f>
        <v>1</v>
      </c>
      <c r="E2331" s="45" t="b">
        <f>LineærRegression_Valg[[#This Row],[Afhængig variabel ID]]&lt;=$B$5</f>
        <v>0</v>
      </c>
      <c r="F2331" t="str" cm="1">
        <f t="array" ref="F2331">IF(LineærRegression_Valg[[#This Row],[Indenfor range]],INDEX(DataTitel_liste,LineærRegression_Valg[[#This Row],[Afhængig variabel ID]]),INDEX(DataTitel_liste,1))</f>
        <v>Eksempel 1 (interval)</v>
      </c>
      <c r="G2331" s="45" t="str" cm="1">
        <f t="array" ref="G2331">IF(LineærRegression_Valg[[#This Row],[Indenfor range]],IF(LineærRegression_Valg[[#This Row],[Intet overlap]],INDEX(DataTitel_liste,LineærRegression_Valg[[#This Row],[Uafhængig variabel ID]]),INDEX(DataTitel_liste,IF(LineærRegression_Valg[[#This Row],[Afhængig variabel ID]]=1,2,1))),$B$7)</f>
        <v>Eksempel 2 (interval)</v>
      </c>
      <c r="H2331" s="45">
        <f>_xlfn.AGGREGATE(2,5,LineærRegression_Valg[[#This Row],[Tabel ID]])</f>
        <v>1</v>
      </c>
    </row>
    <row r="2332" spans="1:8" x14ac:dyDescent="0.2">
      <c r="A2332">
        <f>ROW(LineærRegression_Valg[[#This Row],[Tabel ID]])-ROW(LineærRegression_Valg[[#Headers],[Tabel ID]])</f>
        <v>2322</v>
      </c>
      <c r="B2332" s="45">
        <f>ROUNDDOWN((LineærRegression_Valg[[#This Row],[Tabel ID]]-1)/$B$5,0)+1</f>
        <v>581</v>
      </c>
      <c r="C2332" s="45">
        <f t="shared" si="36"/>
        <v>2</v>
      </c>
      <c r="D2332" s="45" t="b">
        <f>LineærRegression_Valg[[#This Row],[Afhængig variabel ID]]&lt;&gt;LineærRegression_Valg[[#This Row],[Uafhængig variabel ID]]</f>
        <v>1</v>
      </c>
      <c r="E2332" s="45" t="b">
        <f>LineærRegression_Valg[[#This Row],[Afhængig variabel ID]]&lt;=$B$5</f>
        <v>0</v>
      </c>
      <c r="F2332" t="str" cm="1">
        <f t="array" ref="F2332">IF(LineærRegression_Valg[[#This Row],[Indenfor range]],INDEX(DataTitel_liste,LineærRegression_Valg[[#This Row],[Afhængig variabel ID]]),INDEX(DataTitel_liste,1))</f>
        <v>Eksempel 1 (interval)</v>
      </c>
      <c r="G2332" s="45" t="str" cm="1">
        <f t="array" ref="G2332">IF(LineærRegression_Valg[[#This Row],[Indenfor range]],IF(LineærRegression_Valg[[#This Row],[Intet overlap]],INDEX(DataTitel_liste,LineærRegression_Valg[[#This Row],[Uafhængig variabel ID]]),INDEX(DataTitel_liste,IF(LineærRegression_Valg[[#This Row],[Afhængig variabel ID]]=1,2,1))),$B$7)</f>
        <v>Eksempel 2 (interval)</v>
      </c>
      <c r="H2332" s="45">
        <f>_xlfn.AGGREGATE(2,5,LineærRegression_Valg[[#This Row],[Tabel ID]])</f>
        <v>1</v>
      </c>
    </row>
    <row r="2333" spans="1:8" x14ac:dyDescent="0.2">
      <c r="A2333">
        <f>ROW(LineærRegression_Valg[[#This Row],[Tabel ID]])-ROW(LineærRegression_Valg[[#Headers],[Tabel ID]])</f>
        <v>2323</v>
      </c>
      <c r="B2333" s="45">
        <f>ROUNDDOWN((LineærRegression_Valg[[#This Row],[Tabel ID]]-1)/$B$5,0)+1</f>
        <v>581</v>
      </c>
      <c r="C2333" s="45">
        <f t="shared" si="36"/>
        <v>3</v>
      </c>
      <c r="D2333" s="45" t="b">
        <f>LineærRegression_Valg[[#This Row],[Afhængig variabel ID]]&lt;&gt;LineærRegression_Valg[[#This Row],[Uafhængig variabel ID]]</f>
        <v>1</v>
      </c>
      <c r="E2333" s="45" t="b">
        <f>LineærRegression_Valg[[#This Row],[Afhængig variabel ID]]&lt;=$B$5</f>
        <v>0</v>
      </c>
      <c r="F2333" t="str" cm="1">
        <f t="array" ref="F2333">IF(LineærRegression_Valg[[#This Row],[Indenfor range]],INDEX(DataTitel_liste,LineærRegression_Valg[[#This Row],[Afhængig variabel ID]]),INDEX(DataTitel_liste,1))</f>
        <v>Eksempel 1 (interval)</v>
      </c>
      <c r="G2333" s="45" t="str" cm="1">
        <f t="array" ref="G2333">IF(LineærRegression_Valg[[#This Row],[Indenfor range]],IF(LineærRegression_Valg[[#This Row],[Intet overlap]],INDEX(DataTitel_liste,LineærRegression_Valg[[#This Row],[Uafhængig variabel ID]]),INDEX(DataTitel_liste,IF(LineærRegression_Valg[[#This Row],[Afhængig variabel ID]]=1,2,1))),$B$7)</f>
        <v>Eksempel 2 (interval)</v>
      </c>
      <c r="H2333" s="45">
        <f>_xlfn.AGGREGATE(2,5,LineærRegression_Valg[[#This Row],[Tabel ID]])</f>
        <v>1</v>
      </c>
    </row>
    <row r="2334" spans="1:8" x14ac:dyDescent="0.2">
      <c r="A2334">
        <f>ROW(LineærRegression_Valg[[#This Row],[Tabel ID]])-ROW(LineærRegression_Valg[[#Headers],[Tabel ID]])</f>
        <v>2324</v>
      </c>
      <c r="B2334" s="45">
        <f>ROUNDDOWN((LineærRegression_Valg[[#This Row],[Tabel ID]]-1)/$B$5,0)+1</f>
        <v>581</v>
      </c>
      <c r="C2334" s="45">
        <f t="shared" si="36"/>
        <v>4</v>
      </c>
      <c r="D2334" s="45" t="b">
        <f>LineærRegression_Valg[[#This Row],[Afhængig variabel ID]]&lt;&gt;LineærRegression_Valg[[#This Row],[Uafhængig variabel ID]]</f>
        <v>1</v>
      </c>
      <c r="E2334" s="45" t="b">
        <f>LineærRegression_Valg[[#This Row],[Afhængig variabel ID]]&lt;=$B$5</f>
        <v>0</v>
      </c>
      <c r="F2334" t="str" cm="1">
        <f t="array" ref="F2334">IF(LineærRegression_Valg[[#This Row],[Indenfor range]],INDEX(DataTitel_liste,LineærRegression_Valg[[#This Row],[Afhængig variabel ID]]),INDEX(DataTitel_liste,1))</f>
        <v>Eksempel 1 (interval)</v>
      </c>
      <c r="G2334" s="45" t="str" cm="1">
        <f t="array" ref="G2334">IF(LineærRegression_Valg[[#This Row],[Indenfor range]],IF(LineærRegression_Valg[[#This Row],[Intet overlap]],INDEX(DataTitel_liste,LineærRegression_Valg[[#This Row],[Uafhængig variabel ID]]),INDEX(DataTitel_liste,IF(LineærRegression_Valg[[#This Row],[Afhængig variabel ID]]=1,2,1))),$B$7)</f>
        <v>Eksempel 2 (interval)</v>
      </c>
      <c r="H2334" s="45">
        <f>_xlfn.AGGREGATE(2,5,LineærRegression_Valg[[#This Row],[Tabel ID]])</f>
        <v>1</v>
      </c>
    </row>
    <row r="2335" spans="1:8" x14ac:dyDescent="0.2">
      <c r="A2335">
        <f>ROW(LineærRegression_Valg[[#This Row],[Tabel ID]])-ROW(LineærRegression_Valg[[#Headers],[Tabel ID]])</f>
        <v>2325</v>
      </c>
      <c r="B2335" s="45">
        <f>ROUNDDOWN((LineærRegression_Valg[[#This Row],[Tabel ID]]-1)/$B$5,0)+1</f>
        <v>582</v>
      </c>
      <c r="C2335" s="45">
        <f t="shared" si="36"/>
        <v>1</v>
      </c>
      <c r="D2335" s="45" t="b">
        <f>LineærRegression_Valg[[#This Row],[Afhængig variabel ID]]&lt;&gt;LineærRegression_Valg[[#This Row],[Uafhængig variabel ID]]</f>
        <v>1</v>
      </c>
      <c r="E2335" s="45" t="b">
        <f>LineærRegression_Valg[[#This Row],[Afhængig variabel ID]]&lt;=$B$5</f>
        <v>0</v>
      </c>
      <c r="F2335" t="str" cm="1">
        <f t="array" ref="F2335">IF(LineærRegression_Valg[[#This Row],[Indenfor range]],INDEX(DataTitel_liste,LineærRegression_Valg[[#This Row],[Afhængig variabel ID]]),INDEX(DataTitel_liste,1))</f>
        <v>Eksempel 1 (interval)</v>
      </c>
      <c r="G2335" s="45" t="str" cm="1">
        <f t="array" ref="G2335">IF(LineærRegression_Valg[[#This Row],[Indenfor range]],IF(LineærRegression_Valg[[#This Row],[Intet overlap]],INDEX(DataTitel_liste,LineærRegression_Valg[[#This Row],[Uafhængig variabel ID]]),INDEX(DataTitel_liste,IF(LineærRegression_Valg[[#This Row],[Afhængig variabel ID]]=1,2,1))),$B$7)</f>
        <v>Eksempel 2 (interval)</v>
      </c>
      <c r="H2335" s="45">
        <f>_xlfn.AGGREGATE(2,5,LineærRegression_Valg[[#This Row],[Tabel ID]])</f>
        <v>1</v>
      </c>
    </row>
    <row r="2336" spans="1:8" x14ac:dyDescent="0.2">
      <c r="A2336">
        <f>ROW(LineærRegression_Valg[[#This Row],[Tabel ID]])-ROW(LineærRegression_Valg[[#Headers],[Tabel ID]])</f>
        <v>2326</v>
      </c>
      <c r="B2336" s="45">
        <f>ROUNDDOWN((LineærRegression_Valg[[#This Row],[Tabel ID]]-1)/$B$5,0)+1</f>
        <v>582</v>
      </c>
      <c r="C2336" s="45">
        <f t="shared" si="36"/>
        <v>2</v>
      </c>
      <c r="D2336" s="45" t="b">
        <f>LineærRegression_Valg[[#This Row],[Afhængig variabel ID]]&lt;&gt;LineærRegression_Valg[[#This Row],[Uafhængig variabel ID]]</f>
        <v>1</v>
      </c>
      <c r="E2336" s="45" t="b">
        <f>LineærRegression_Valg[[#This Row],[Afhængig variabel ID]]&lt;=$B$5</f>
        <v>0</v>
      </c>
      <c r="F2336" t="str" cm="1">
        <f t="array" ref="F2336">IF(LineærRegression_Valg[[#This Row],[Indenfor range]],INDEX(DataTitel_liste,LineærRegression_Valg[[#This Row],[Afhængig variabel ID]]),INDEX(DataTitel_liste,1))</f>
        <v>Eksempel 1 (interval)</v>
      </c>
      <c r="G2336" s="45" t="str" cm="1">
        <f t="array" ref="G2336">IF(LineærRegression_Valg[[#This Row],[Indenfor range]],IF(LineærRegression_Valg[[#This Row],[Intet overlap]],INDEX(DataTitel_liste,LineærRegression_Valg[[#This Row],[Uafhængig variabel ID]]),INDEX(DataTitel_liste,IF(LineærRegression_Valg[[#This Row],[Afhængig variabel ID]]=1,2,1))),$B$7)</f>
        <v>Eksempel 2 (interval)</v>
      </c>
      <c r="H2336" s="45">
        <f>_xlfn.AGGREGATE(2,5,LineærRegression_Valg[[#This Row],[Tabel ID]])</f>
        <v>1</v>
      </c>
    </row>
    <row r="2337" spans="1:8" x14ac:dyDescent="0.2">
      <c r="A2337">
        <f>ROW(LineærRegression_Valg[[#This Row],[Tabel ID]])-ROW(LineærRegression_Valg[[#Headers],[Tabel ID]])</f>
        <v>2327</v>
      </c>
      <c r="B2337" s="45">
        <f>ROUNDDOWN((LineærRegression_Valg[[#This Row],[Tabel ID]]-1)/$B$5,0)+1</f>
        <v>582</v>
      </c>
      <c r="C2337" s="45">
        <f t="shared" si="36"/>
        <v>3</v>
      </c>
      <c r="D2337" s="45" t="b">
        <f>LineærRegression_Valg[[#This Row],[Afhængig variabel ID]]&lt;&gt;LineærRegression_Valg[[#This Row],[Uafhængig variabel ID]]</f>
        <v>1</v>
      </c>
      <c r="E2337" s="45" t="b">
        <f>LineærRegression_Valg[[#This Row],[Afhængig variabel ID]]&lt;=$B$5</f>
        <v>0</v>
      </c>
      <c r="F2337" t="str" cm="1">
        <f t="array" ref="F2337">IF(LineærRegression_Valg[[#This Row],[Indenfor range]],INDEX(DataTitel_liste,LineærRegression_Valg[[#This Row],[Afhængig variabel ID]]),INDEX(DataTitel_liste,1))</f>
        <v>Eksempel 1 (interval)</v>
      </c>
      <c r="G2337" s="45" t="str" cm="1">
        <f t="array" ref="G2337">IF(LineærRegression_Valg[[#This Row],[Indenfor range]],IF(LineærRegression_Valg[[#This Row],[Intet overlap]],INDEX(DataTitel_liste,LineærRegression_Valg[[#This Row],[Uafhængig variabel ID]]),INDEX(DataTitel_liste,IF(LineærRegression_Valg[[#This Row],[Afhængig variabel ID]]=1,2,1))),$B$7)</f>
        <v>Eksempel 2 (interval)</v>
      </c>
      <c r="H2337" s="45">
        <f>_xlfn.AGGREGATE(2,5,LineærRegression_Valg[[#This Row],[Tabel ID]])</f>
        <v>1</v>
      </c>
    </row>
    <row r="2338" spans="1:8" x14ac:dyDescent="0.2">
      <c r="A2338">
        <f>ROW(LineærRegression_Valg[[#This Row],[Tabel ID]])-ROW(LineærRegression_Valg[[#Headers],[Tabel ID]])</f>
        <v>2328</v>
      </c>
      <c r="B2338" s="45">
        <f>ROUNDDOWN((LineærRegression_Valg[[#This Row],[Tabel ID]]-1)/$B$5,0)+1</f>
        <v>582</v>
      </c>
      <c r="C2338" s="45">
        <f t="shared" si="36"/>
        <v>4</v>
      </c>
      <c r="D2338" s="45" t="b">
        <f>LineærRegression_Valg[[#This Row],[Afhængig variabel ID]]&lt;&gt;LineærRegression_Valg[[#This Row],[Uafhængig variabel ID]]</f>
        <v>1</v>
      </c>
      <c r="E2338" s="45" t="b">
        <f>LineærRegression_Valg[[#This Row],[Afhængig variabel ID]]&lt;=$B$5</f>
        <v>0</v>
      </c>
      <c r="F2338" t="str" cm="1">
        <f t="array" ref="F2338">IF(LineærRegression_Valg[[#This Row],[Indenfor range]],INDEX(DataTitel_liste,LineærRegression_Valg[[#This Row],[Afhængig variabel ID]]),INDEX(DataTitel_liste,1))</f>
        <v>Eksempel 1 (interval)</v>
      </c>
      <c r="G2338" s="45" t="str" cm="1">
        <f t="array" ref="G2338">IF(LineærRegression_Valg[[#This Row],[Indenfor range]],IF(LineærRegression_Valg[[#This Row],[Intet overlap]],INDEX(DataTitel_liste,LineærRegression_Valg[[#This Row],[Uafhængig variabel ID]]),INDEX(DataTitel_liste,IF(LineærRegression_Valg[[#This Row],[Afhængig variabel ID]]=1,2,1))),$B$7)</f>
        <v>Eksempel 2 (interval)</v>
      </c>
      <c r="H2338" s="45">
        <f>_xlfn.AGGREGATE(2,5,LineærRegression_Valg[[#This Row],[Tabel ID]])</f>
        <v>1</v>
      </c>
    </row>
    <row r="2339" spans="1:8" x14ac:dyDescent="0.2">
      <c r="A2339">
        <f>ROW(LineærRegression_Valg[[#This Row],[Tabel ID]])-ROW(LineærRegression_Valg[[#Headers],[Tabel ID]])</f>
        <v>2329</v>
      </c>
      <c r="B2339" s="45">
        <f>ROUNDDOWN((LineærRegression_Valg[[#This Row],[Tabel ID]]-1)/$B$5,0)+1</f>
        <v>583</v>
      </c>
      <c r="C2339" s="45">
        <f t="shared" si="36"/>
        <v>1</v>
      </c>
      <c r="D2339" s="45" t="b">
        <f>LineærRegression_Valg[[#This Row],[Afhængig variabel ID]]&lt;&gt;LineærRegression_Valg[[#This Row],[Uafhængig variabel ID]]</f>
        <v>1</v>
      </c>
      <c r="E2339" s="45" t="b">
        <f>LineærRegression_Valg[[#This Row],[Afhængig variabel ID]]&lt;=$B$5</f>
        <v>0</v>
      </c>
      <c r="F2339" t="str" cm="1">
        <f t="array" ref="F2339">IF(LineærRegression_Valg[[#This Row],[Indenfor range]],INDEX(DataTitel_liste,LineærRegression_Valg[[#This Row],[Afhængig variabel ID]]),INDEX(DataTitel_liste,1))</f>
        <v>Eksempel 1 (interval)</v>
      </c>
      <c r="G2339" s="45" t="str" cm="1">
        <f t="array" ref="G2339">IF(LineærRegression_Valg[[#This Row],[Indenfor range]],IF(LineærRegression_Valg[[#This Row],[Intet overlap]],INDEX(DataTitel_liste,LineærRegression_Valg[[#This Row],[Uafhængig variabel ID]]),INDEX(DataTitel_liste,IF(LineærRegression_Valg[[#This Row],[Afhængig variabel ID]]=1,2,1))),$B$7)</f>
        <v>Eksempel 2 (interval)</v>
      </c>
      <c r="H2339" s="45">
        <f>_xlfn.AGGREGATE(2,5,LineærRegression_Valg[[#This Row],[Tabel ID]])</f>
        <v>1</v>
      </c>
    </row>
    <row r="2340" spans="1:8" x14ac:dyDescent="0.2">
      <c r="A2340">
        <f>ROW(LineærRegression_Valg[[#This Row],[Tabel ID]])-ROW(LineærRegression_Valg[[#Headers],[Tabel ID]])</f>
        <v>2330</v>
      </c>
      <c r="B2340" s="45">
        <f>ROUNDDOWN((LineærRegression_Valg[[#This Row],[Tabel ID]]-1)/$B$5,0)+1</f>
        <v>583</v>
      </c>
      <c r="C2340" s="45">
        <f t="shared" si="36"/>
        <v>2</v>
      </c>
      <c r="D2340" s="45" t="b">
        <f>LineærRegression_Valg[[#This Row],[Afhængig variabel ID]]&lt;&gt;LineærRegression_Valg[[#This Row],[Uafhængig variabel ID]]</f>
        <v>1</v>
      </c>
      <c r="E2340" s="45" t="b">
        <f>LineærRegression_Valg[[#This Row],[Afhængig variabel ID]]&lt;=$B$5</f>
        <v>0</v>
      </c>
      <c r="F2340" t="str" cm="1">
        <f t="array" ref="F2340">IF(LineærRegression_Valg[[#This Row],[Indenfor range]],INDEX(DataTitel_liste,LineærRegression_Valg[[#This Row],[Afhængig variabel ID]]),INDEX(DataTitel_liste,1))</f>
        <v>Eksempel 1 (interval)</v>
      </c>
      <c r="G2340" s="45" t="str" cm="1">
        <f t="array" ref="G2340">IF(LineærRegression_Valg[[#This Row],[Indenfor range]],IF(LineærRegression_Valg[[#This Row],[Intet overlap]],INDEX(DataTitel_liste,LineærRegression_Valg[[#This Row],[Uafhængig variabel ID]]),INDEX(DataTitel_liste,IF(LineærRegression_Valg[[#This Row],[Afhængig variabel ID]]=1,2,1))),$B$7)</f>
        <v>Eksempel 2 (interval)</v>
      </c>
      <c r="H2340" s="45">
        <f>_xlfn.AGGREGATE(2,5,LineærRegression_Valg[[#This Row],[Tabel ID]])</f>
        <v>1</v>
      </c>
    </row>
    <row r="2341" spans="1:8" x14ac:dyDescent="0.2">
      <c r="A2341">
        <f>ROW(LineærRegression_Valg[[#This Row],[Tabel ID]])-ROW(LineærRegression_Valg[[#Headers],[Tabel ID]])</f>
        <v>2331</v>
      </c>
      <c r="B2341" s="45">
        <f>ROUNDDOWN((LineærRegression_Valg[[#This Row],[Tabel ID]]-1)/$B$5,0)+1</f>
        <v>583</v>
      </c>
      <c r="C2341" s="45">
        <f t="shared" si="36"/>
        <v>3</v>
      </c>
      <c r="D2341" s="45" t="b">
        <f>LineærRegression_Valg[[#This Row],[Afhængig variabel ID]]&lt;&gt;LineærRegression_Valg[[#This Row],[Uafhængig variabel ID]]</f>
        <v>1</v>
      </c>
      <c r="E2341" s="45" t="b">
        <f>LineærRegression_Valg[[#This Row],[Afhængig variabel ID]]&lt;=$B$5</f>
        <v>0</v>
      </c>
      <c r="F2341" t="str" cm="1">
        <f t="array" ref="F2341">IF(LineærRegression_Valg[[#This Row],[Indenfor range]],INDEX(DataTitel_liste,LineærRegression_Valg[[#This Row],[Afhængig variabel ID]]),INDEX(DataTitel_liste,1))</f>
        <v>Eksempel 1 (interval)</v>
      </c>
      <c r="G2341" s="45" t="str" cm="1">
        <f t="array" ref="G2341">IF(LineærRegression_Valg[[#This Row],[Indenfor range]],IF(LineærRegression_Valg[[#This Row],[Intet overlap]],INDEX(DataTitel_liste,LineærRegression_Valg[[#This Row],[Uafhængig variabel ID]]),INDEX(DataTitel_liste,IF(LineærRegression_Valg[[#This Row],[Afhængig variabel ID]]=1,2,1))),$B$7)</f>
        <v>Eksempel 2 (interval)</v>
      </c>
      <c r="H2341" s="45">
        <f>_xlfn.AGGREGATE(2,5,LineærRegression_Valg[[#This Row],[Tabel ID]])</f>
        <v>1</v>
      </c>
    </row>
    <row r="2342" spans="1:8" x14ac:dyDescent="0.2">
      <c r="A2342">
        <f>ROW(LineærRegression_Valg[[#This Row],[Tabel ID]])-ROW(LineærRegression_Valg[[#Headers],[Tabel ID]])</f>
        <v>2332</v>
      </c>
      <c r="B2342" s="45">
        <f>ROUNDDOWN((LineærRegression_Valg[[#This Row],[Tabel ID]]-1)/$B$5,0)+1</f>
        <v>583</v>
      </c>
      <c r="C2342" s="45">
        <f t="shared" si="36"/>
        <v>4</v>
      </c>
      <c r="D2342" s="45" t="b">
        <f>LineærRegression_Valg[[#This Row],[Afhængig variabel ID]]&lt;&gt;LineærRegression_Valg[[#This Row],[Uafhængig variabel ID]]</f>
        <v>1</v>
      </c>
      <c r="E2342" s="45" t="b">
        <f>LineærRegression_Valg[[#This Row],[Afhængig variabel ID]]&lt;=$B$5</f>
        <v>0</v>
      </c>
      <c r="F2342" t="str" cm="1">
        <f t="array" ref="F2342">IF(LineærRegression_Valg[[#This Row],[Indenfor range]],INDEX(DataTitel_liste,LineærRegression_Valg[[#This Row],[Afhængig variabel ID]]),INDEX(DataTitel_liste,1))</f>
        <v>Eksempel 1 (interval)</v>
      </c>
      <c r="G2342" s="45" t="str" cm="1">
        <f t="array" ref="G2342">IF(LineærRegression_Valg[[#This Row],[Indenfor range]],IF(LineærRegression_Valg[[#This Row],[Intet overlap]],INDEX(DataTitel_liste,LineærRegression_Valg[[#This Row],[Uafhængig variabel ID]]),INDEX(DataTitel_liste,IF(LineærRegression_Valg[[#This Row],[Afhængig variabel ID]]=1,2,1))),$B$7)</f>
        <v>Eksempel 2 (interval)</v>
      </c>
      <c r="H2342" s="45">
        <f>_xlfn.AGGREGATE(2,5,LineærRegression_Valg[[#This Row],[Tabel ID]])</f>
        <v>1</v>
      </c>
    </row>
    <row r="2343" spans="1:8" x14ac:dyDescent="0.2">
      <c r="A2343">
        <f>ROW(LineærRegression_Valg[[#This Row],[Tabel ID]])-ROW(LineærRegression_Valg[[#Headers],[Tabel ID]])</f>
        <v>2333</v>
      </c>
      <c r="B2343" s="45">
        <f>ROUNDDOWN((LineærRegression_Valg[[#This Row],[Tabel ID]]-1)/$B$5,0)+1</f>
        <v>584</v>
      </c>
      <c r="C2343" s="45">
        <f t="shared" si="36"/>
        <v>1</v>
      </c>
      <c r="D2343" s="45" t="b">
        <f>LineærRegression_Valg[[#This Row],[Afhængig variabel ID]]&lt;&gt;LineærRegression_Valg[[#This Row],[Uafhængig variabel ID]]</f>
        <v>1</v>
      </c>
      <c r="E2343" s="45" t="b">
        <f>LineærRegression_Valg[[#This Row],[Afhængig variabel ID]]&lt;=$B$5</f>
        <v>0</v>
      </c>
      <c r="F2343" t="str" cm="1">
        <f t="array" ref="F2343">IF(LineærRegression_Valg[[#This Row],[Indenfor range]],INDEX(DataTitel_liste,LineærRegression_Valg[[#This Row],[Afhængig variabel ID]]),INDEX(DataTitel_liste,1))</f>
        <v>Eksempel 1 (interval)</v>
      </c>
      <c r="G2343" s="45" t="str" cm="1">
        <f t="array" ref="G2343">IF(LineærRegression_Valg[[#This Row],[Indenfor range]],IF(LineærRegression_Valg[[#This Row],[Intet overlap]],INDEX(DataTitel_liste,LineærRegression_Valg[[#This Row],[Uafhængig variabel ID]]),INDEX(DataTitel_liste,IF(LineærRegression_Valg[[#This Row],[Afhængig variabel ID]]=1,2,1))),$B$7)</f>
        <v>Eksempel 2 (interval)</v>
      </c>
      <c r="H2343" s="45">
        <f>_xlfn.AGGREGATE(2,5,LineærRegression_Valg[[#This Row],[Tabel ID]])</f>
        <v>1</v>
      </c>
    </row>
    <row r="2344" spans="1:8" x14ac:dyDescent="0.2">
      <c r="A2344">
        <f>ROW(LineærRegression_Valg[[#This Row],[Tabel ID]])-ROW(LineærRegression_Valg[[#Headers],[Tabel ID]])</f>
        <v>2334</v>
      </c>
      <c r="B2344" s="45">
        <f>ROUNDDOWN((LineærRegression_Valg[[#This Row],[Tabel ID]]-1)/$B$5,0)+1</f>
        <v>584</v>
      </c>
      <c r="C2344" s="45">
        <f t="shared" si="36"/>
        <v>2</v>
      </c>
      <c r="D2344" s="45" t="b">
        <f>LineærRegression_Valg[[#This Row],[Afhængig variabel ID]]&lt;&gt;LineærRegression_Valg[[#This Row],[Uafhængig variabel ID]]</f>
        <v>1</v>
      </c>
      <c r="E2344" s="45" t="b">
        <f>LineærRegression_Valg[[#This Row],[Afhængig variabel ID]]&lt;=$B$5</f>
        <v>0</v>
      </c>
      <c r="F2344" t="str" cm="1">
        <f t="array" ref="F2344">IF(LineærRegression_Valg[[#This Row],[Indenfor range]],INDEX(DataTitel_liste,LineærRegression_Valg[[#This Row],[Afhængig variabel ID]]),INDEX(DataTitel_liste,1))</f>
        <v>Eksempel 1 (interval)</v>
      </c>
      <c r="G2344" s="45" t="str" cm="1">
        <f t="array" ref="G2344">IF(LineærRegression_Valg[[#This Row],[Indenfor range]],IF(LineærRegression_Valg[[#This Row],[Intet overlap]],INDEX(DataTitel_liste,LineærRegression_Valg[[#This Row],[Uafhængig variabel ID]]),INDEX(DataTitel_liste,IF(LineærRegression_Valg[[#This Row],[Afhængig variabel ID]]=1,2,1))),$B$7)</f>
        <v>Eksempel 2 (interval)</v>
      </c>
      <c r="H2344" s="45">
        <f>_xlfn.AGGREGATE(2,5,LineærRegression_Valg[[#This Row],[Tabel ID]])</f>
        <v>1</v>
      </c>
    </row>
    <row r="2345" spans="1:8" x14ac:dyDescent="0.2">
      <c r="A2345">
        <f>ROW(LineærRegression_Valg[[#This Row],[Tabel ID]])-ROW(LineærRegression_Valg[[#Headers],[Tabel ID]])</f>
        <v>2335</v>
      </c>
      <c r="B2345" s="45">
        <f>ROUNDDOWN((LineærRegression_Valg[[#This Row],[Tabel ID]]-1)/$B$5,0)+1</f>
        <v>584</v>
      </c>
      <c r="C2345" s="45">
        <f t="shared" si="36"/>
        <v>3</v>
      </c>
      <c r="D2345" s="45" t="b">
        <f>LineærRegression_Valg[[#This Row],[Afhængig variabel ID]]&lt;&gt;LineærRegression_Valg[[#This Row],[Uafhængig variabel ID]]</f>
        <v>1</v>
      </c>
      <c r="E2345" s="45" t="b">
        <f>LineærRegression_Valg[[#This Row],[Afhængig variabel ID]]&lt;=$B$5</f>
        <v>0</v>
      </c>
      <c r="F2345" t="str" cm="1">
        <f t="array" ref="F2345">IF(LineærRegression_Valg[[#This Row],[Indenfor range]],INDEX(DataTitel_liste,LineærRegression_Valg[[#This Row],[Afhængig variabel ID]]),INDEX(DataTitel_liste,1))</f>
        <v>Eksempel 1 (interval)</v>
      </c>
      <c r="G2345" s="45" t="str" cm="1">
        <f t="array" ref="G2345">IF(LineærRegression_Valg[[#This Row],[Indenfor range]],IF(LineærRegression_Valg[[#This Row],[Intet overlap]],INDEX(DataTitel_liste,LineærRegression_Valg[[#This Row],[Uafhængig variabel ID]]),INDEX(DataTitel_liste,IF(LineærRegression_Valg[[#This Row],[Afhængig variabel ID]]=1,2,1))),$B$7)</f>
        <v>Eksempel 2 (interval)</v>
      </c>
      <c r="H2345" s="45">
        <f>_xlfn.AGGREGATE(2,5,LineærRegression_Valg[[#This Row],[Tabel ID]])</f>
        <v>1</v>
      </c>
    </row>
    <row r="2346" spans="1:8" x14ac:dyDescent="0.2">
      <c r="A2346">
        <f>ROW(LineærRegression_Valg[[#This Row],[Tabel ID]])-ROW(LineærRegression_Valg[[#Headers],[Tabel ID]])</f>
        <v>2336</v>
      </c>
      <c r="B2346" s="45">
        <f>ROUNDDOWN((LineærRegression_Valg[[#This Row],[Tabel ID]]-1)/$B$5,0)+1</f>
        <v>584</v>
      </c>
      <c r="C2346" s="45">
        <f t="shared" si="36"/>
        <v>4</v>
      </c>
      <c r="D2346" s="45" t="b">
        <f>LineærRegression_Valg[[#This Row],[Afhængig variabel ID]]&lt;&gt;LineærRegression_Valg[[#This Row],[Uafhængig variabel ID]]</f>
        <v>1</v>
      </c>
      <c r="E2346" s="45" t="b">
        <f>LineærRegression_Valg[[#This Row],[Afhængig variabel ID]]&lt;=$B$5</f>
        <v>0</v>
      </c>
      <c r="F2346" t="str" cm="1">
        <f t="array" ref="F2346">IF(LineærRegression_Valg[[#This Row],[Indenfor range]],INDEX(DataTitel_liste,LineærRegression_Valg[[#This Row],[Afhængig variabel ID]]),INDEX(DataTitel_liste,1))</f>
        <v>Eksempel 1 (interval)</v>
      </c>
      <c r="G2346" s="45" t="str" cm="1">
        <f t="array" ref="G2346">IF(LineærRegression_Valg[[#This Row],[Indenfor range]],IF(LineærRegression_Valg[[#This Row],[Intet overlap]],INDEX(DataTitel_liste,LineærRegression_Valg[[#This Row],[Uafhængig variabel ID]]),INDEX(DataTitel_liste,IF(LineærRegression_Valg[[#This Row],[Afhængig variabel ID]]=1,2,1))),$B$7)</f>
        <v>Eksempel 2 (interval)</v>
      </c>
      <c r="H2346" s="45">
        <f>_xlfn.AGGREGATE(2,5,LineærRegression_Valg[[#This Row],[Tabel ID]])</f>
        <v>1</v>
      </c>
    </row>
    <row r="2347" spans="1:8" x14ac:dyDescent="0.2">
      <c r="A2347">
        <f>ROW(LineærRegression_Valg[[#This Row],[Tabel ID]])-ROW(LineærRegression_Valg[[#Headers],[Tabel ID]])</f>
        <v>2337</v>
      </c>
      <c r="B2347" s="45">
        <f>ROUNDDOWN((LineærRegression_Valg[[#This Row],[Tabel ID]]-1)/$B$5,0)+1</f>
        <v>585</v>
      </c>
      <c r="C2347" s="45">
        <f t="shared" si="36"/>
        <v>1</v>
      </c>
      <c r="D2347" s="45" t="b">
        <f>LineærRegression_Valg[[#This Row],[Afhængig variabel ID]]&lt;&gt;LineærRegression_Valg[[#This Row],[Uafhængig variabel ID]]</f>
        <v>1</v>
      </c>
      <c r="E2347" s="45" t="b">
        <f>LineærRegression_Valg[[#This Row],[Afhængig variabel ID]]&lt;=$B$5</f>
        <v>0</v>
      </c>
      <c r="F2347" t="str" cm="1">
        <f t="array" ref="F2347">IF(LineærRegression_Valg[[#This Row],[Indenfor range]],INDEX(DataTitel_liste,LineærRegression_Valg[[#This Row],[Afhængig variabel ID]]),INDEX(DataTitel_liste,1))</f>
        <v>Eksempel 1 (interval)</v>
      </c>
      <c r="G2347" s="45" t="str" cm="1">
        <f t="array" ref="G2347">IF(LineærRegression_Valg[[#This Row],[Indenfor range]],IF(LineærRegression_Valg[[#This Row],[Intet overlap]],INDEX(DataTitel_liste,LineærRegression_Valg[[#This Row],[Uafhængig variabel ID]]),INDEX(DataTitel_liste,IF(LineærRegression_Valg[[#This Row],[Afhængig variabel ID]]=1,2,1))),$B$7)</f>
        <v>Eksempel 2 (interval)</v>
      </c>
      <c r="H2347" s="45">
        <f>_xlfn.AGGREGATE(2,5,LineærRegression_Valg[[#This Row],[Tabel ID]])</f>
        <v>1</v>
      </c>
    </row>
    <row r="2348" spans="1:8" x14ac:dyDescent="0.2">
      <c r="A2348">
        <f>ROW(LineærRegression_Valg[[#This Row],[Tabel ID]])-ROW(LineærRegression_Valg[[#Headers],[Tabel ID]])</f>
        <v>2338</v>
      </c>
      <c r="B2348" s="45">
        <f>ROUNDDOWN((LineærRegression_Valg[[#This Row],[Tabel ID]]-1)/$B$5,0)+1</f>
        <v>585</v>
      </c>
      <c r="C2348" s="45">
        <f t="shared" si="36"/>
        <v>2</v>
      </c>
      <c r="D2348" s="45" t="b">
        <f>LineærRegression_Valg[[#This Row],[Afhængig variabel ID]]&lt;&gt;LineærRegression_Valg[[#This Row],[Uafhængig variabel ID]]</f>
        <v>1</v>
      </c>
      <c r="E2348" s="45" t="b">
        <f>LineærRegression_Valg[[#This Row],[Afhængig variabel ID]]&lt;=$B$5</f>
        <v>0</v>
      </c>
      <c r="F2348" t="str" cm="1">
        <f t="array" ref="F2348">IF(LineærRegression_Valg[[#This Row],[Indenfor range]],INDEX(DataTitel_liste,LineærRegression_Valg[[#This Row],[Afhængig variabel ID]]),INDEX(DataTitel_liste,1))</f>
        <v>Eksempel 1 (interval)</v>
      </c>
      <c r="G2348" s="45" t="str" cm="1">
        <f t="array" ref="G2348">IF(LineærRegression_Valg[[#This Row],[Indenfor range]],IF(LineærRegression_Valg[[#This Row],[Intet overlap]],INDEX(DataTitel_liste,LineærRegression_Valg[[#This Row],[Uafhængig variabel ID]]),INDEX(DataTitel_liste,IF(LineærRegression_Valg[[#This Row],[Afhængig variabel ID]]=1,2,1))),$B$7)</f>
        <v>Eksempel 2 (interval)</v>
      </c>
      <c r="H2348" s="45">
        <f>_xlfn.AGGREGATE(2,5,LineærRegression_Valg[[#This Row],[Tabel ID]])</f>
        <v>1</v>
      </c>
    </row>
    <row r="2349" spans="1:8" x14ac:dyDescent="0.2">
      <c r="A2349">
        <f>ROW(LineærRegression_Valg[[#This Row],[Tabel ID]])-ROW(LineærRegression_Valg[[#Headers],[Tabel ID]])</f>
        <v>2339</v>
      </c>
      <c r="B2349" s="45">
        <f>ROUNDDOWN((LineærRegression_Valg[[#This Row],[Tabel ID]]-1)/$B$5,0)+1</f>
        <v>585</v>
      </c>
      <c r="C2349" s="45">
        <f t="shared" si="36"/>
        <v>3</v>
      </c>
      <c r="D2349" s="45" t="b">
        <f>LineærRegression_Valg[[#This Row],[Afhængig variabel ID]]&lt;&gt;LineærRegression_Valg[[#This Row],[Uafhængig variabel ID]]</f>
        <v>1</v>
      </c>
      <c r="E2349" s="45" t="b">
        <f>LineærRegression_Valg[[#This Row],[Afhængig variabel ID]]&lt;=$B$5</f>
        <v>0</v>
      </c>
      <c r="F2349" t="str" cm="1">
        <f t="array" ref="F2349">IF(LineærRegression_Valg[[#This Row],[Indenfor range]],INDEX(DataTitel_liste,LineærRegression_Valg[[#This Row],[Afhængig variabel ID]]),INDEX(DataTitel_liste,1))</f>
        <v>Eksempel 1 (interval)</v>
      </c>
      <c r="G2349" s="45" t="str" cm="1">
        <f t="array" ref="G2349">IF(LineærRegression_Valg[[#This Row],[Indenfor range]],IF(LineærRegression_Valg[[#This Row],[Intet overlap]],INDEX(DataTitel_liste,LineærRegression_Valg[[#This Row],[Uafhængig variabel ID]]),INDEX(DataTitel_liste,IF(LineærRegression_Valg[[#This Row],[Afhængig variabel ID]]=1,2,1))),$B$7)</f>
        <v>Eksempel 2 (interval)</v>
      </c>
      <c r="H2349" s="45">
        <f>_xlfn.AGGREGATE(2,5,LineærRegression_Valg[[#This Row],[Tabel ID]])</f>
        <v>1</v>
      </c>
    </row>
    <row r="2350" spans="1:8" x14ac:dyDescent="0.2">
      <c r="A2350">
        <f>ROW(LineærRegression_Valg[[#This Row],[Tabel ID]])-ROW(LineærRegression_Valg[[#Headers],[Tabel ID]])</f>
        <v>2340</v>
      </c>
      <c r="B2350" s="45">
        <f>ROUNDDOWN((LineærRegression_Valg[[#This Row],[Tabel ID]]-1)/$B$5,0)+1</f>
        <v>585</v>
      </c>
      <c r="C2350" s="45">
        <f t="shared" si="36"/>
        <v>4</v>
      </c>
      <c r="D2350" s="45" t="b">
        <f>LineærRegression_Valg[[#This Row],[Afhængig variabel ID]]&lt;&gt;LineærRegression_Valg[[#This Row],[Uafhængig variabel ID]]</f>
        <v>1</v>
      </c>
      <c r="E2350" s="45" t="b">
        <f>LineærRegression_Valg[[#This Row],[Afhængig variabel ID]]&lt;=$B$5</f>
        <v>0</v>
      </c>
      <c r="F2350" t="str" cm="1">
        <f t="array" ref="F2350">IF(LineærRegression_Valg[[#This Row],[Indenfor range]],INDEX(DataTitel_liste,LineærRegression_Valg[[#This Row],[Afhængig variabel ID]]),INDEX(DataTitel_liste,1))</f>
        <v>Eksempel 1 (interval)</v>
      </c>
      <c r="G2350" s="45" t="str" cm="1">
        <f t="array" ref="G2350">IF(LineærRegression_Valg[[#This Row],[Indenfor range]],IF(LineærRegression_Valg[[#This Row],[Intet overlap]],INDEX(DataTitel_liste,LineærRegression_Valg[[#This Row],[Uafhængig variabel ID]]),INDEX(DataTitel_liste,IF(LineærRegression_Valg[[#This Row],[Afhængig variabel ID]]=1,2,1))),$B$7)</f>
        <v>Eksempel 2 (interval)</v>
      </c>
      <c r="H2350" s="45">
        <f>_xlfn.AGGREGATE(2,5,LineærRegression_Valg[[#This Row],[Tabel ID]])</f>
        <v>1</v>
      </c>
    </row>
    <row r="2351" spans="1:8" x14ac:dyDescent="0.2">
      <c r="A2351">
        <f>ROW(LineærRegression_Valg[[#This Row],[Tabel ID]])-ROW(LineærRegression_Valg[[#Headers],[Tabel ID]])</f>
        <v>2341</v>
      </c>
      <c r="B2351" s="45">
        <f>ROUNDDOWN((LineærRegression_Valg[[#This Row],[Tabel ID]]-1)/$B$5,0)+1</f>
        <v>586</v>
      </c>
      <c r="C2351" s="45">
        <f t="shared" si="36"/>
        <v>1</v>
      </c>
      <c r="D2351" s="45" t="b">
        <f>LineærRegression_Valg[[#This Row],[Afhængig variabel ID]]&lt;&gt;LineærRegression_Valg[[#This Row],[Uafhængig variabel ID]]</f>
        <v>1</v>
      </c>
      <c r="E2351" s="45" t="b">
        <f>LineærRegression_Valg[[#This Row],[Afhængig variabel ID]]&lt;=$B$5</f>
        <v>0</v>
      </c>
      <c r="F2351" t="str" cm="1">
        <f t="array" ref="F2351">IF(LineærRegression_Valg[[#This Row],[Indenfor range]],INDEX(DataTitel_liste,LineærRegression_Valg[[#This Row],[Afhængig variabel ID]]),INDEX(DataTitel_liste,1))</f>
        <v>Eksempel 1 (interval)</v>
      </c>
      <c r="G2351" s="45" t="str" cm="1">
        <f t="array" ref="G2351">IF(LineærRegression_Valg[[#This Row],[Indenfor range]],IF(LineærRegression_Valg[[#This Row],[Intet overlap]],INDEX(DataTitel_liste,LineærRegression_Valg[[#This Row],[Uafhængig variabel ID]]),INDEX(DataTitel_liste,IF(LineærRegression_Valg[[#This Row],[Afhængig variabel ID]]=1,2,1))),$B$7)</f>
        <v>Eksempel 2 (interval)</v>
      </c>
      <c r="H2351" s="45">
        <f>_xlfn.AGGREGATE(2,5,LineærRegression_Valg[[#This Row],[Tabel ID]])</f>
        <v>1</v>
      </c>
    </row>
    <row r="2352" spans="1:8" x14ac:dyDescent="0.2">
      <c r="A2352">
        <f>ROW(LineærRegression_Valg[[#This Row],[Tabel ID]])-ROW(LineærRegression_Valg[[#Headers],[Tabel ID]])</f>
        <v>2342</v>
      </c>
      <c r="B2352" s="45">
        <f>ROUNDDOWN((LineærRegression_Valg[[#This Row],[Tabel ID]]-1)/$B$5,0)+1</f>
        <v>586</v>
      </c>
      <c r="C2352" s="45">
        <f t="shared" si="36"/>
        <v>2</v>
      </c>
      <c r="D2352" s="45" t="b">
        <f>LineærRegression_Valg[[#This Row],[Afhængig variabel ID]]&lt;&gt;LineærRegression_Valg[[#This Row],[Uafhængig variabel ID]]</f>
        <v>1</v>
      </c>
      <c r="E2352" s="45" t="b">
        <f>LineærRegression_Valg[[#This Row],[Afhængig variabel ID]]&lt;=$B$5</f>
        <v>0</v>
      </c>
      <c r="F2352" t="str" cm="1">
        <f t="array" ref="F2352">IF(LineærRegression_Valg[[#This Row],[Indenfor range]],INDEX(DataTitel_liste,LineærRegression_Valg[[#This Row],[Afhængig variabel ID]]),INDEX(DataTitel_liste,1))</f>
        <v>Eksempel 1 (interval)</v>
      </c>
      <c r="G2352" s="45" t="str" cm="1">
        <f t="array" ref="G2352">IF(LineærRegression_Valg[[#This Row],[Indenfor range]],IF(LineærRegression_Valg[[#This Row],[Intet overlap]],INDEX(DataTitel_liste,LineærRegression_Valg[[#This Row],[Uafhængig variabel ID]]),INDEX(DataTitel_liste,IF(LineærRegression_Valg[[#This Row],[Afhængig variabel ID]]=1,2,1))),$B$7)</f>
        <v>Eksempel 2 (interval)</v>
      </c>
      <c r="H2352" s="45">
        <f>_xlfn.AGGREGATE(2,5,LineærRegression_Valg[[#This Row],[Tabel ID]])</f>
        <v>1</v>
      </c>
    </row>
    <row r="2353" spans="1:8" x14ac:dyDescent="0.2">
      <c r="A2353">
        <f>ROW(LineærRegression_Valg[[#This Row],[Tabel ID]])-ROW(LineærRegression_Valg[[#Headers],[Tabel ID]])</f>
        <v>2343</v>
      </c>
      <c r="B2353" s="45">
        <f>ROUNDDOWN((LineærRegression_Valg[[#This Row],[Tabel ID]]-1)/$B$5,0)+1</f>
        <v>586</v>
      </c>
      <c r="C2353" s="45">
        <f t="shared" si="36"/>
        <v>3</v>
      </c>
      <c r="D2353" s="45" t="b">
        <f>LineærRegression_Valg[[#This Row],[Afhængig variabel ID]]&lt;&gt;LineærRegression_Valg[[#This Row],[Uafhængig variabel ID]]</f>
        <v>1</v>
      </c>
      <c r="E2353" s="45" t="b">
        <f>LineærRegression_Valg[[#This Row],[Afhængig variabel ID]]&lt;=$B$5</f>
        <v>0</v>
      </c>
      <c r="F2353" t="str" cm="1">
        <f t="array" ref="F2353">IF(LineærRegression_Valg[[#This Row],[Indenfor range]],INDEX(DataTitel_liste,LineærRegression_Valg[[#This Row],[Afhængig variabel ID]]),INDEX(DataTitel_liste,1))</f>
        <v>Eksempel 1 (interval)</v>
      </c>
      <c r="G2353" s="45" t="str" cm="1">
        <f t="array" ref="G2353">IF(LineærRegression_Valg[[#This Row],[Indenfor range]],IF(LineærRegression_Valg[[#This Row],[Intet overlap]],INDEX(DataTitel_liste,LineærRegression_Valg[[#This Row],[Uafhængig variabel ID]]),INDEX(DataTitel_liste,IF(LineærRegression_Valg[[#This Row],[Afhængig variabel ID]]=1,2,1))),$B$7)</f>
        <v>Eksempel 2 (interval)</v>
      </c>
      <c r="H2353" s="45">
        <f>_xlfn.AGGREGATE(2,5,LineærRegression_Valg[[#This Row],[Tabel ID]])</f>
        <v>1</v>
      </c>
    </row>
    <row r="2354" spans="1:8" x14ac:dyDescent="0.2">
      <c r="A2354">
        <f>ROW(LineærRegression_Valg[[#This Row],[Tabel ID]])-ROW(LineærRegression_Valg[[#Headers],[Tabel ID]])</f>
        <v>2344</v>
      </c>
      <c r="B2354" s="45">
        <f>ROUNDDOWN((LineærRegression_Valg[[#This Row],[Tabel ID]]-1)/$B$5,0)+1</f>
        <v>586</v>
      </c>
      <c r="C2354" s="45">
        <f t="shared" si="36"/>
        <v>4</v>
      </c>
      <c r="D2354" s="45" t="b">
        <f>LineærRegression_Valg[[#This Row],[Afhængig variabel ID]]&lt;&gt;LineærRegression_Valg[[#This Row],[Uafhængig variabel ID]]</f>
        <v>1</v>
      </c>
      <c r="E2354" s="45" t="b">
        <f>LineærRegression_Valg[[#This Row],[Afhængig variabel ID]]&lt;=$B$5</f>
        <v>0</v>
      </c>
      <c r="F2354" t="str" cm="1">
        <f t="array" ref="F2354">IF(LineærRegression_Valg[[#This Row],[Indenfor range]],INDEX(DataTitel_liste,LineærRegression_Valg[[#This Row],[Afhængig variabel ID]]),INDEX(DataTitel_liste,1))</f>
        <v>Eksempel 1 (interval)</v>
      </c>
      <c r="G2354" s="45" t="str" cm="1">
        <f t="array" ref="G2354">IF(LineærRegression_Valg[[#This Row],[Indenfor range]],IF(LineærRegression_Valg[[#This Row],[Intet overlap]],INDEX(DataTitel_liste,LineærRegression_Valg[[#This Row],[Uafhængig variabel ID]]),INDEX(DataTitel_liste,IF(LineærRegression_Valg[[#This Row],[Afhængig variabel ID]]=1,2,1))),$B$7)</f>
        <v>Eksempel 2 (interval)</v>
      </c>
      <c r="H2354" s="45">
        <f>_xlfn.AGGREGATE(2,5,LineærRegression_Valg[[#This Row],[Tabel ID]])</f>
        <v>1</v>
      </c>
    </row>
    <row r="2355" spans="1:8" x14ac:dyDescent="0.2">
      <c r="A2355">
        <f>ROW(LineærRegression_Valg[[#This Row],[Tabel ID]])-ROW(LineærRegression_Valg[[#Headers],[Tabel ID]])</f>
        <v>2345</v>
      </c>
      <c r="B2355" s="45">
        <f>ROUNDDOWN((LineærRegression_Valg[[#This Row],[Tabel ID]]-1)/$B$5,0)+1</f>
        <v>587</v>
      </c>
      <c r="C2355" s="45">
        <f t="shared" si="36"/>
        <v>1</v>
      </c>
      <c r="D2355" s="45" t="b">
        <f>LineærRegression_Valg[[#This Row],[Afhængig variabel ID]]&lt;&gt;LineærRegression_Valg[[#This Row],[Uafhængig variabel ID]]</f>
        <v>1</v>
      </c>
      <c r="E2355" s="45" t="b">
        <f>LineærRegression_Valg[[#This Row],[Afhængig variabel ID]]&lt;=$B$5</f>
        <v>0</v>
      </c>
      <c r="F2355" t="str" cm="1">
        <f t="array" ref="F2355">IF(LineærRegression_Valg[[#This Row],[Indenfor range]],INDEX(DataTitel_liste,LineærRegression_Valg[[#This Row],[Afhængig variabel ID]]),INDEX(DataTitel_liste,1))</f>
        <v>Eksempel 1 (interval)</v>
      </c>
      <c r="G2355" s="45" t="str" cm="1">
        <f t="array" ref="G2355">IF(LineærRegression_Valg[[#This Row],[Indenfor range]],IF(LineærRegression_Valg[[#This Row],[Intet overlap]],INDEX(DataTitel_liste,LineærRegression_Valg[[#This Row],[Uafhængig variabel ID]]),INDEX(DataTitel_liste,IF(LineærRegression_Valg[[#This Row],[Afhængig variabel ID]]=1,2,1))),$B$7)</f>
        <v>Eksempel 2 (interval)</v>
      </c>
      <c r="H2355" s="45">
        <f>_xlfn.AGGREGATE(2,5,LineærRegression_Valg[[#This Row],[Tabel ID]])</f>
        <v>1</v>
      </c>
    </row>
    <row r="2356" spans="1:8" x14ac:dyDescent="0.2">
      <c r="A2356">
        <f>ROW(LineærRegression_Valg[[#This Row],[Tabel ID]])-ROW(LineærRegression_Valg[[#Headers],[Tabel ID]])</f>
        <v>2346</v>
      </c>
      <c r="B2356" s="45">
        <f>ROUNDDOWN((LineærRegression_Valg[[#This Row],[Tabel ID]]-1)/$B$5,0)+1</f>
        <v>587</v>
      </c>
      <c r="C2356" s="45">
        <f t="shared" si="36"/>
        <v>2</v>
      </c>
      <c r="D2356" s="45" t="b">
        <f>LineærRegression_Valg[[#This Row],[Afhængig variabel ID]]&lt;&gt;LineærRegression_Valg[[#This Row],[Uafhængig variabel ID]]</f>
        <v>1</v>
      </c>
      <c r="E2356" s="45" t="b">
        <f>LineærRegression_Valg[[#This Row],[Afhængig variabel ID]]&lt;=$B$5</f>
        <v>0</v>
      </c>
      <c r="F2356" t="str" cm="1">
        <f t="array" ref="F2356">IF(LineærRegression_Valg[[#This Row],[Indenfor range]],INDEX(DataTitel_liste,LineærRegression_Valg[[#This Row],[Afhængig variabel ID]]),INDEX(DataTitel_liste,1))</f>
        <v>Eksempel 1 (interval)</v>
      </c>
      <c r="G2356" s="45" t="str" cm="1">
        <f t="array" ref="G2356">IF(LineærRegression_Valg[[#This Row],[Indenfor range]],IF(LineærRegression_Valg[[#This Row],[Intet overlap]],INDEX(DataTitel_liste,LineærRegression_Valg[[#This Row],[Uafhængig variabel ID]]),INDEX(DataTitel_liste,IF(LineærRegression_Valg[[#This Row],[Afhængig variabel ID]]=1,2,1))),$B$7)</f>
        <v>Eksempel 2 (interval)</v>
      </c>
      <c r="H2356" s="45">
        <f>_xlfn.AGGREGATE(2,5,LineærRegression_Valg[[#This Row],[Tabel ID]])</f>
        <v>1</v>
      </c>
    </row>
    <row r="2357" spans="1:8" x14ac:dyDescent="0.2">
      <c r="A2357">
        <f>ROW(LineærRegression_Valg[[#This Row],[Tabel ID]])-ROW(LineærRegression_Valg[[#Headers],[Tabel ID]])</f>
        <v>2347</v>
      </c>
      <c r="B2357" s="45">
        <f>ROUNDDOWN((LineærRegression_Valg[[#This Row],[Tabel ID]]-1)/$B$5,0)+1</f>
        <v>587</v>
      </c>
      <c r="C2357" s="45">
        <f t="shared" si="36"/>
        <v>3</v>
      </c>
      <c r="D2357" s="45" t="b">
        <f>LineærRegression_Valg[[#This Row],[Afhængig variabel ID]]&lt;&gt;LineærRegression_Valg[[#This Row],[Uafhængig variabel ID]]</f>
        <v>1</v>
      </c>
      <c r="E2357" s="45" t="b">
        <f>LineærRegression_Valg[[#This Row],[Afhængig variabel ID]]&lt;=$B$5</f>
        <v>0</v>
      </c>
      <c r="F2357" t="str" cm="1">
        <f t="array" ref="F2357">IF(LineærRegression_Valg[[#This Row],[Indenfor range]],INDEX(DataTitel_liste,LineærRegression_Valg[[#This Row],[Afhængig variabel ID]]),INDEX(DataTitel_liste,1))</f>
        <v>Eksempel 1 (interval)</v>
      </c>
      <c r="G2357" s="45" t="str" cm="1">
        <f t="array" ref="G2357">IF(LineærRegression_Valg[[#This Row],[Indenfor range]],IF(LineærRegression_Valg[[#This Row],[Intet overlap]],INDEX(DataTitel_liste,LineærRegression_Valg[[#This Row],[Uafhængig variabel ID]]),INDEX(DataTitel_liste,IF(LineærRegression_Valg[[#This Row],[Afhængig variabel ID]]=1,2,1))),$B$7)</f>
        <v>Eksempel 2 (interval)</v>
      </c>
      <c r="H2357" s="45">
        <f>_xlfn.AGGREGATE(2,5,LineærRegression_Valg[[#This Row],[Tabel ID]])</f>
        <v>1</v>
      </c>
    </row>
    <row r="2358" spans="1:8" x14ac:dyDescent="0.2">
      <c r="A2358">
        <f>ROW(LineærRegression_Valg[[#This Row],[Tabel ID]])-ROW(LineærRegression_Valg[[#Headers],[Tabel ID]])</f>
        <v>2348</v>
      </c>
      <c r="B2358" s="45">
        <f>ROUNDDOWN((LineærRegression_Valg[[#This Row],[Tabel ID]]-1)/$B$5,0)+1</f>
        <v>587</v>
      </c>
      <c r="C2358" s="45">
        <f t="shared" si="36"/>
        <v>4</v>
      </c>
      <c r="D2358" s="45" t="b">
        <f>LineærRegression_Valg[[#This Row],[Afhængig variabel ID]]&lt;&gt;LineærRegression_Valg[[#This Row],[Uafhængig variabel ID]]</f>
        <v>1</v>
      </c>
      <c r="E2358" s="45" t="b">
        <f>LineærRegression_Valg[[#This Row],[Afhængig variabel ID]]&lt;=$B$5</f>
        <v>0</v>
      </c>
      <c r="F2358" t="str" cm="1">
        <f t="array" ref="F2358">IF(LineærRegression_Valg[[#This Row],[Indenfor range]],INDEX(DataTitel_liste,LineærRegression_Valg[[#This Row],[Afhængig variabel ID]]),INDEX(DataTitel_liste,1))</f>
        <v>Eksempel 1 (interval)</v>
      </c>
      <c r="G2358" s="45" t="str" cm="1">
        <f t="array" ref="G2358">IF(LineærRegression_Valg[[#This Row],[Indenfor range]],IF(LineærRegression_Valg[[#This Row],[Intet overlap]],INDEX(DataTitel_liste,LineærRegression_Valg[[#This Row],[Uafhængig variabel ID]]),INDEX(DataTitel_liste,IF(LineærRegression_Valg[[#This Row],[Afhængig variabel ID]]=1,2,1))),$B$7)</f>
        <v>Eksempel 2 (interval)</v>
      </c>
      <c r="H2358" s="45">
        <f>_xlfn.AGGREGATE(2,5,LineærRegression_Valg[[#This Row],[Tabel ID]])</f>
        <v>1</v>
      </c>
    </row>
    <row r="2359" spans="1:8" x14ac:dyDescent="0.2">
      <c r="A2359">
        <f>ROW(LineærRegression_Valg[[#This Row],[Tabel ID]])-ROW(LineærRegression_Valg[[#Headers],[Tabel ID]])</f>
        <v>2349</v>
      </c>
      <c r="B2359" s="45">
        <f>ROUNDDOWN((LineærRegression_Valg[[#This Row],[Tabel ID]]-1)/$B$5,0)+1</f>
        <v>588</v>
      </c>
      <c r="C2359" s="45">
        <f t="shared" si="36"/>
        <v>1</v>
      </c>
      <c r="D2359" s="45" t="b">
        <f>LineærRegression_Valg[[#This Row],[Afhængig variabel ID]]&lt;&gt;LineærRegression_Valg[[#This Row],[Uafhængig variabel ID]]</f>
        <v>1</v>
      </c>
      <c r="E2359" s="45" t="b">
        <f>LineærRegression_Valg[[#This Row],[Afhængig variabel ID]]&lt;=$B$5</f>
        <v>0</v>
      </c>
      <c r="F2359" t="str" cm="1">
        <f t="array" ref="F2359">IF(LineærRegression_Valg[[#This Row],[Indenfor range]],INDEX(DataTitel_liste,LineærRegression_Valg[[#This Row],[Afhængig variabel ID]]),INDEX(DataTitel_liste,1))</f>
        <v>Eksempel 1 (interval)</v>
      </c>
      <c r="G2359" s="45" t="str" cm="1">
        <f t="array" ref="G2359">IF(LineærRegression_Valg[[#This Row],[Indenfor range]],IF(LineærRegression_Valg[[#This Row],[Intet overlap]],INDEX(DataTitel_liste,LineærRegression_Valg[[#This Row],[Uafhængig variabel ID]]),INDEX(DataTitel_liste,IF(LineærRegression_Valg[[#This Row],[Afhængig variabel ID]]=1,2,1))),$B$7)</f>
        <v>Eksempel 2 (interval)</v>
      </c>
      <c r="H2359" s="45">
        <f>_xlfn.AGGREGATE(2,5,LineærRegression_Valg[[#This Row],[Tabel ID]])</f>
        <v>1</v>
      </c>
    </row>
    <row r="2360" spans="1:8" x14ac:dyDescent="0.2">
      <c r="A2360">
        <f>ROW(LineærRegression_Valg[[#This Row],[Tabel ID]])-ROW(LineærRegression_Valg[[#Headers],[Tabel ID]])</f>
        <v>2350</v>
      </c>
      <c r="B2360" s="45">
        <f>ROUNDDOWN((LineærRegression_Valg[[#This Row],[Tabel ID]]-1)/$B$5,0)+1</f>
        <v>588</v>
      </c>
      <c r="C2360" s="45">
        <f t="shared" si="36"/>
        <v>2</v>
      </c>
      <c r="D2360" s="45" t="b">
        <f>LineærRegression_Valg[[#This Row],[Afhængig variabel ID]]&lt;&gt;LineærRegression_Valg[[#This Row],[Uafhængig variabel ID]]</f>
        <v>1</v>
      </c>
      <c r="E2360" s="45" t="b">
        <f>LineærRegression_Valg[[#This Row],[Afhængig variabel ID]]&lt;=$B$5</f>
        <v>0</v>
      </c>
      <c r="F2360" t="str" cm="1">
        <f t="array" ref="F2360">IF(LineærRegression_Valg[[#This Row],[Indenfor range]],INDEX(DataTitel_liste,LineærRegression_Valg[[#This Row],[Afhængig variabel ID]]),INDEX(DataTitel_liste,1))</f>
        <v>Eksempel 1 (interval)</v>
      </c>
      <c r="G2360" s="45" t="str" cm="1">
        <f t="array" ref="G2360">IF(LineærRegression_Valg[[#This Row],[Indenfor range]],IF(LineærRegression_Valg[[#This Row],[Intet overlap]],INDEX(DataTitel_liste,LineærRegression_Valg[[#This Row],[Uafhængig variabel ID]]),INDEX(DataTitel_liste,IF(LineærRegression_Valg[[#This Row],[Afhængig variabel ID]]=1,2,1))),$B$7)</f>
        <v>Eksempel 2 (interval)</v>
      </c>
      <c r="H2360" s="45">
        <f>_xlfn.AGGREGATE(2,5,LineærRegression_Valg[[#This Row],[Tabel ID]])</f>
        <v>1</v>
      </c>
    </row>
    <row r="2361" spans="1:8" x14ac:dyDescent="0.2">
      <c r="A2361">
        <f>ROW(LineærRegression_Valg[[#This Row],[Tabel ID]])-ROW(LineærRegression_Valg[[#Headers],[Tabel ID]])</f>
        <v>2351</v>
      </c>
      <c r="B2361" s="45">
        <f>ROUNDDOWN((LineærRegression_Valg[[#This Row],[Tabel ID]]-1)/$B$5,0)+1</f>
        <v>588</v>
      </c>
      <c r="C2361" s="45">
        <f t="shared" si="36"/>
        <v>3</v>
      </c>
      <c r="D2361" s="45" t="b">
        <f>LineærRegression_Valg[[#This Row],[Afhængig variabel ID]]&lt;&gt;LineærRegression_Valg[[#This Row],[Uafhængig variabel ID]]</f>
        <v>1</v>
      </c>
      <c r="E2361" s="45" t="b">
        <f>LineærRegression_Valg[[#This Row],[Afhængig variabel ID]]&lt;=$B$5</f>
        <v>0</v>
      </c>
      <c r="F2361" t="str" cm="1">
        <f t="array" ref="F2361">IF(LineærRegression_Valg[[#This Row],[Indenfor range]],INDEX(DataTitel_liste,LineærRegression_Valg[[#This Row],[Afhængig variabel ID]]),INDEX(DataTitel_liste,1))</f>
        <v>Eksempel 1 (interval)</v>
      </c>
      <c r="G2361" s="45" t="str" cm="1">
        <f t="array" ref="G2361">IF(LineærRegression_Valg[[#This Row],[Indenfor range]],IF(LineærRegression_Valg[[#This Row],[Intet overlap]],INDEX(DataTitel_liste,LineærRegression_Valg[[#This Row],[Uafhængig variabel ID]]),INDEX(DataTitel_liste,IF(LineærRegression_Valg[[#This Row],[Afhængig variabel ID]]=1,2,1))),$B$7)</f>
        <v>Eksempel 2 (interval)</v>
      </c>
      <c r="H2361" s="45">
        <f>_xlfn.AGGREGATE(2,5,LineærRegression_Valg[[#This Row],[Tabel ID]])</f>
        <v>1</v>
      </c>
    </row>
    <row r="2362" spans="1:8" x14ac:dyDescent="0.2">
      <c r="A2362">
        <f>ROW(LineærRegression_Valg[[#This Row],[Tabel ID]])-ROW(LineærRegression_Valg[[#Headers],[Tabel ID]])</f>
        <v>2352</v>
      </c>
      <c r="B2362" s="45">
        <f>ROUNDDOWN((LineærRegression_Valg[[#This Row],[Tabel ID]]-1)/$B$5,0)+1</f>
        <v>588</v>
      </c>
      <c r="C2362" s="45">
        <f t="shared" si="36"/>
        <v>4</v>
      </c>
      <c r="D2362" s="45" t="b">
        <f>LineærRegression_Valg[[#This Row],[Afhængig variabel ID]]&lt;&gt;LineærRegression_Valg[[#This Row],[Uafhængig variabel ID]]</f>
        <v>1</v>
      </c>
      <c r="E2362" s="45" t="b">
        <f>LineærRegression_Valg[[#This Row],[Afhængig variabel ID]]&lt;=$B$5</f>
        <v>0</v>
      </c>
      <c r="F2362" t="str" cm="1">
        <f t="array" ref="F2362">IF(LineærRegression_Valg[[#This Row],[Indenfor range]],INDEX(DataTitel_liste,LineærRegression_Valg[[#This Row],[Afhængig variabel ID]]),INDEX(DataTitel_liste,1))</f>
        <v>Eksempel 1 (interval)</v>
      </c>
      <c r="G2362" s="45" t="str" cm="1">
        <f t="array" ref="G2362">IF(LineærRegression_Valg[[#This Row],[Indenfor range]],IF(LineærRegression_Valg[[#This Row],[Intet overlap]],INDEX(DataTitel_liste,LineærRegression_Valg[[#This Row],[Uafhængig variabel ID]]),INDEX(DataTitel_liste,IF(LineærRegression_Valg[[#This Row],[Afhængig variabel ID]]=1,2,1))),$B$7)</f>
        <v>Eksempel 2 (interval)</v>
      </c>
      <c r="H2362" s="45">
        <f>_xlfn.AGGREGATE(2,5,LineærRegression_Valg[[#This Row],[Tabel ID]])</f>
        <v>1</v>
      </c>
    </row>
    <row r="2363" spans="1:8" x14ac:dyDescent="0.2">
      <c r="A2363">
        <f>ROW(LineærRegression_Valg[[#This Row],[Tabel ID]])-ROW(LineærRegression_Valg[[#Headers],[Tabel ID]])</f>
        <v>2353</v>
      </c>
      <c r="B2363" s="45">
        <f>ROUNDDOWN((LineærRegression_Valg[[#This Row],[Tabel ID]]-1)/$B$5,0)+1</f>
        <v>589</v>
      </c>
      <c r="C2363" s="45">
        <f t="shared" si="36"/>
        <v>1</v>
      </c>
      <c r="D2363" s="45" t="b">
        <f>LineærRegression_Valg[[#This Row],[Afhængig variabel ID]]&lt;&gt;LineærRegression_Valg[[#This Row],[Uafhængig variabel ID]]</f>
        <v>1</v>
      </c>
      <c r="E2363" s="45" t="b">
        <f>LineærRegression_Valg[[#This Row],[Afhængig variabel ID]]&lt;=$B$5</f>
        <v>0</v>
      </c>
      <c r="F2363" t="str" cm="1">
        <f t="array" ref="F2363">IF(LineærRegression_Valg[[#This Row],[Indenfor range]],INDEX(DataTitel_liste,LineærRegression_Valg[[#This Row],[Afhængig variabel ID]]),INDEX(DataTitel_liste,1))</f>
        <v>Eksempel 1 (interval)</v>
      </c>
      <c r="G2363" s="45" t="str" cm="1">
        <f t="array" ref="G2363">IF(LineærRegression_Valg[[#This Row],[Indenfor range]],IF(LineærRegression_Valg[[#This Row],[Intet overlap]],INDEX(DataTitel_liste,LineærRegression_Valg[[#This Row],[Uafhængig variabel ID]]),INDEX(DataTitel_liste,IF(LineærRegression_Valg[[#This Row],[Afhængig variabel ID]]=1,2,1))),$B$7)</f>
        <v>Eksempel 2 (interval)</v>
      </c>
      <c r="H2363" s="45">
        <f>_xlfn.AGGREGATE(2,5,LineærRegression_Valg[[#This Row],[Tabel ID]])</f>
        <v>1</v>
      </c>
    </row>
    <row r="2364" spans="1:8" x14ac:dyDescent="0.2">
      <c r="A2364">
        <f>ROW(LineærRegression_Valg[[#This Row],[Tabel ID]])-ROW(LineærRegression_Valg[[#Headers],[Tabel ID]])</f>
        <v>2354</v>
      </c>
      <c r="B2364" s="45">
        <f>ROUNDDOWN((LineærRegression_Valg[[#This Row],[Tabel ID]]-1)/$B$5,0)+1</f>
        <v>589</v>
      </c>
      <c r="C2364" s="45">
        <f t="shared" si="36"/>
        <v>2</v>
      </c>
      <c r="D2364" s="45" t="b">
        <f>LineærRegression_Valg[[#This Row],[Afhængig variabel ID]]&lt;&gt;LineærRegression_Valg[[#This Row],[Uafhængig variabel ID]]</f>
        <v>1</v>
      </c>
      <c r="E2364" s="45" t="b">
        <f>LineærRegression_Valg[[#This Row],[Afhængig variabel ID]]&lt;=$B$5</f>
        <v>0</v>
      </c>
      <c r="F2364" t="str" cm="1">
        <f t="array" ref="F2364">IF(LineærRegression_Valg[[#This Row],[Indenfor range]],INDEX(DataTitel_liste,LineærRegression_Valg[[#This Row],[Afhængig variabel ID]]),INDEX(DataTitel_liste,1))</f>
        <v>Eksempel 1 (interval)</v>
      </c>
      <c r="G2364" s="45" t="str" cm="1">
        <f t="array" ref="G2364">IF(LineærRegression_Valg[[#This Row],[Indenfor range]],IF(LineærRegression_Valg[[#This Row],[Intet overlap]],INDEX(DataTitel_liste,LineærRegression_Valg[[#This Row],[Uafhængig variabel ID]]),INDEX(DataTitel_liste,IF(LineærRegression_Valg[[#This Row],[Afhængig variabel ID]]=1,2,1))),$B$7)</f>
        <v>Eksempel 2 (interval)</v>
      </c>
      <c r="H2364" s="45">
        <f>_xlfn.AGGREGATE(2,5,LineærRegression_Valg[[#This Row],[Tabel ID]])</f>
        <v>1</v>
      </c>
    </row>
    <row r="2365" spans="1:8" x14ac:dyDescent="0.2">
      <c r="A2365">
        <f>ROW(LineærRegression_Valg[[#This Row],[Tabel ID]])-ROW(LineærRegression_Valg[[#Headers],[Tabel ID]])</f>
        <v>2355</v>
      </c>
      <c r="B2365" s="45">
        <f>ROUNDDOWN((LineærRegression_Valg[[#This Row],[Tabel ID]]-1)/$B$5,0)+1</f>
        <v>589</v>
      </c>
      <c r="C2365" s="45">
        <f t="shared" si="36"/>
        <v>3</v>
      </c>
      <c r="D2365" s="45" t="b">
        <f>LineærRegression_Valg[[#This Row],[Afhængig variabel ID]]&lt;&gt;LineærRegression_Valg[[#This Row],[Uafhængig variabel ID]]</f>
        <v>1</v>
      </c>
      <c r="E2365" s="45" t="b">
        <f>LineærRegression_Valg[[#This Row],[Afhængig variabel ID]]&lt;=$B$5</f>
        <v>0</v>
      </c>
      <c r="F2365" t="str" cm="1">
        <f t="array" ref="F2365">IF(LineærRegression_Valg[[#This Row],[Indenfor range]],INDEX(DataTitel_liste,LineærRegression_Valg[[#This Row],[Afhængig variabel ID]]),INDEX(DataTitel_liste,1))</f>
        <v>Eksempel 1 (interval)</v>
      </c>
      <c r="G2365" s="45" t="str" cm="1">
        <f t="array" ref="G2365">IF(LineærRegression_Valg[[#This Row],[Indenfor range]],IF(LineærRegression_Valg[[#This Row],[Intet overlap]],INDEX(DataTitel_liste,LineærRegression_Valg[[#This Row],[Uafhængig variabel ID]]),INDEX(DataTitel_liste,IF(LineærRegression_Valg[[#This Row],[Afhængig variabel ID]]=1,2,1))),$B$7)</f>
        <v>Eksempel 2 (interval)</v>
      </c>
      <c r="H2365" s="45">
        <f>_xlfn.AGGREGATE(2,5,LineærRegression_Valg[[#This Row],[Tabel ID]])</f>
        <v>1</v>
      </c>
    </row>
    <row r="2366" spans="1:8" x14ac:dyDescent="0.2">
      <c r="A2366">
        <f>ROW(LineærRegression_Valg[[#This Row],[Tabel ID]])-ROW(LineærRegression_Valg[[#Headers],[Tabel ID]])</f>
        <v>2356</v>
      </c>
      <c r="B2366" s="45">
        <f>ROUNDDOWN((LineærRegression_Valg[[#This Row],[Tabel ID]]-1)/$B$5,0)+1</f>
        <v>589</v>
      </c>
      <c r="C2366" s="45">
        <f t="shared" si="36"/>
        <v>4</v>
      </c>
      <c r="D2366" s="45" t="b">
        <f>LineærRegression_Valg[[#This Row],[Afhængig variabel ID]]&lt;&gt;LineærRegression_Valg[[#This Row],[Uafhængig variabel ID]]</f>
        <v>1</v>
      </c>
      <c r="E2366" s="45" t="b">
        <f>LineærRegression_Valg[[#This Row],[Afhængig variabel ID]]&lt;=$B$5</f>
        <v>0</v>
      </c>
      <c r="F2366" t="str" cm="1">
        <f t="array" ref="F2366">IF(LineærRegression_Valg[[#This Row],[Indenfor range]],INDEX(DataTitel_liste,LineærRegression_Valg[[#This Row],[Afhængig variabel ID]]),INDEX(DataTitel_liste,1))</f>
        <v>Eksempel 1 (interval)</v>
      </c>
      <c r="G2366" s="45" t="str" cm="1">
        <f t="array" ref="G2366">IF(LineærRegression_Valg[[#This Row],[Indenfor range]],IF(LineærRegression_Valg[[#This Row],[Intet overlap]],INDEX(DataTitel_liste,LineærRegression_Valg[[#This Row],[Uafhængig variabel ID]]),INDEX(DataTitel_liste,IF(LineærRegression_Valg[[#This Row],[Afhængig variabel ID]]=1,2,1))),$B$7)</f>
        <v>Eksempel 2 (interval)</v>
      </c>
      <c r="H2366" s="45">
        <f>_xlfn.AGGREGATE(2,5,LineærRegression_Valg[[#This Row],[Tabel ID]])</f>
        <v>1</v>
      </c>
    </row>
    <row r="2367" spans="1:8" x14ac:dyDescent="0.2">
      <c r="A2367">
        <f>ROW(LineærRegression_Valg[[#This Row],[Tabel ID]])-ROW(LineærRegression_Valg[[#Headers],[Tabel ID]])</f>
        <v>2357</v>
      </c>
      <c r="B2367" s="45">
        <f>ROUNDDOWN((LineærRegression_Valg[[#This Row],[Tabel ID]]-1)/$B$5,0)+1</f>
        <v>590</v>
      </c>
      <c r="C2367" s="45">
        <f t="shared" si="36"/>
        <v>1</v>
      </c>
      <c r="D2367" s="45" t="b">
        <f>LineærRegression_Valg[[#This Row],[Afhængig variabel ID]]&lt;&gt;LineærRegression_Valg[[#This Row],[Uafhængig variabel ID]]</f>
        <v>1</v>
      </c>
      <c r="E2367" s="45" t="b">
        <f>LineærRegression_Valg[[#This Row],[Afhængig variabel ID]]&lt;=$B$5</f>
        <v>0</v>
      </c>
      <c r="F2367" t="str" cm="1">
        <f t="array" ref="F2367">IF(LineærRegression_Valg[[#This Row],[Indenfor range]],INDEX(DataTitel_liste,LineærRegression_Valg[[#This Row],[Afhængig variabel ID]]),INDEX(DataTitel_liste,1))</f>
        <v>Eksempel 1 (interval)</v>
      </c>
      <c r="G2367" s="45" t="str" cm="1">
        <f t="array" ref="G2367">IF(LineærRegression_Valg[[#This Row],[Indenfor range]],IF(LineærRegression_Valg[[#This Row],[Intet overlap]],INDEX(DataTitel_liste,LineærRegression_Valg[[#This Row],[Uafhængig variabel ID]]),INDEX(DataTitel_liste,IF(LineærRegression_Valg[[#This Row],[Afhængig variabel ID]]=1,2,1))),$B$7)</f>
        <v>Eksempel 2 (interval)</v>
      </c>
      <c r="H2367" s="45">
        <f>_xlfn.AGGREGATE(2,5,LineærRegression_Valg[[#This Row],[Tabel ID]])</f>
        <v>1</v>
      </c>
    </row>
    <row r="2368" spans="1:8" x14ac:dyDescent="0.2">
      <c r="A2368">
        <f>ROW(LineærRegression_Valg[[#This Row],[Tabel ID]])-ROW(LineærRegression_Valg[[#Headers],[Tabel ID]])</f>
        <v>2358</v>
      </c>
      <c r="B2368" s="45">
        <f>ROUNDDOWN((LineærRegression_Valg[[#This Row],[Tabel ID]]-1)/$B$5,0)+1</f>
        <v>590</v>
      </c>
      <c r="C2368" s="45">
        <f t="shared" si="36"/>
        <v>2</v>
      </c>
      <c r="D2368" s="45" t="b">
        <f>LineærRegression_Valg[[#This Row],[Afhængig variabel ID]]&lt;&gt;LineærRegression_Valg[[#This Row],[Uafhængig variabel ID]]</f>
        <v>1</v>
      </c>
      <c r="E2368" s="45" t="b">
        <f>LineærRegression_Valg[[#This Row],[Afhængig variabel ID]]&lt;=$B$5</f>
        <v>0</v>
      </c>
      <c r="F2368" t="str" cm="1">
        <f t="array" ref="F2368">IF(LineærRegression_Valg[[#This Row],[Indenfor range]],INDEX(DataTitel_liste,LineærRegression_Valg[[#This Row],[Afhængig variabel ID]]),INDEX(DataTitel_liste,1))</f>
        <v>Eksempel 1 (interval)</v>
      </c>
      <c r="G2368" s="45" t="str" cm="1">
        <f t="array" ref="G2368">IF(LineærRegression_Valg[[#This Row],[Indenfor range]],IF(LineærRegression_Valg[[#This Row],[Intet overlap]],INDEX(DataTitel_liste,LineærRegression_Valg[[#This Row],[Uafhængig variabel ID]]),INDEX(DataTitel_liste,IF(LineærRegression_Valg[[#This Row],[Afhængig variabel ID]]=1,2,1))),$B$7)</f>
        <v>Eksempel 2 (interval)</v>
      </c>
      <c r="H2368" s="45">
        <f>_xlfn.AGGREGATE(2,5,LineærRegression_Valg[[#This Row],[Tabel ID]])</f>
        <v>1</v>
      </c>
    </row>
    <row r="2369" spans="1:8" x14ac:dyDescent="0.2">
      <c r="A2369">
        <f>ROW(LineærRegression_Valg[[#This Row],[Tabel ID]])-ROW(LineærRegression_Valg[[#Headers],[Tabel ID]])</f>
        <v>2359</v>
      </c>
      <c r="B2369" s="45">
        <f>ROUNDDOWN((LineærRegression_Valg[[#This Row],[Tabel ID]]-1)/$B$5,0)+1</f>
        <v>590</v>
      </c>
      <c r="C2369" s="45">
        <f t="shared" si="36"/>
        <v>3</v>
      </c>
      <c r="D2369" s="45" t="b">
        <f>LineærRegression_Valg[[#This Row],[Afhængig variabel ID]]&lt;&gt;LineærRegression_Valg[[#This Row],[Uafhængig variabel ID]]</f>
        <v>1</v>
      </c>
      <c r="E2369" s="45" t="b">
        <f>LineærRegression_Valg[[#This Row],[Afhængig variabel ID]]&lt;=$B$5</f>
        <v>0</v>
      </c>
      <c r="F2369" t="str" cm="1">
        <f t="array" ref="F2369">IF(LineærRegression_Valg[[#This Row],[Indenfor range]],INDEX(DataTitel_liste,LineærRegression_Valg[[#This Row],[Afhængig variabel ID]]),INDEX(DataTitel_liste,1))</f>
        <v>Eksempel 1 (interval)</v>
      </c>
      <c r="G2369" s="45" t="str" cm="1">
        <f t="array" ref="G2369">IF(LineærRegression_Valg[[#This Row],[Indenfor range]],IF(LineærRegression_Valg[[#This Row],[Intet overlap]],INDEX(DataTitel_liste,LineærRegression_Valg[[#This Row],[Uafhængig variabel ID]]),INDEX(DataTitel_liste,IF(LineærRegression_Valg[[#This Row],[Afhængig variabel ID]]=1,2,1))),$B$7)</f>
        <v>Eksempel 2 (interval)</v>
      </c>
      <c r="H2369" s="45">
        <f>_xlfn.AGGREGATE(2,5,LineærRegression_Valg[[#This Row],[Tabel ID]])</f>
        <v>1</v>
      </c>
    </row>
    <row r="2370" spans="1:8" x14ac:dyDescent="0.2">
      <c r="A2370">
        <f>ROW(LineærRegression_Valg[[#This Row],[Tabel ID]])-ROW(LineærRegression_Valg[[#Headers],[Tabel ID]])</f>
        <v>2360</v>
      </c>
      <c r="B2370" s="45">
        <f>ROUNDDOWN((LineærRegression_Valg[[#This Row],[Tabel ID]]-1)/$B$5,0)+1</f>
        <v>590</v>
      </c>
      <c r="C2370" s="45">
        <f t="shared" si="36"/>
        <v>4</v>
      </c>
      <c r="D2370" s="45" t="b">
        <f>LineærRegression_Valg[[#This Row],[Afhængig variabel ID]]&lt;&gt;LineærRegression_Valg[[#This Row],[Uafhængig variabel ID]]</f>
        <v>1</v>
      </c>
      <c r="E2370" s="45" t="b">
        <f>LineærRegression_Valg[[#This Row],[Afhængig variabel ID]]&lt;=$B$5</f>
        <v>0</v>
      </c>
      <c r="F2370" t="str" cm="1">
        <f t="array" ref="F2370">IF(LineærRegression_Valg[[#This Row],[Indenfor range]],INDEX(DataTitel_liste,LineærRegression_Valg[[#This Row],[Afhængig variabel ID]]),INDEX(DataTitel_liste,1))</f>
        <v>Eksempel 1 (interval)</v>
      </c>
      <c r="G2370" s="45" t="str" cm="1">
        <f t="array" ref="G2370">IF(LineærRegression_Valg[[#This Row],[Indenfor range]],IF(LineærRegression_Valg[[#This Row],[Intet overlap]],INDEX(DataTitel_liste,LineærRegression_Valg[[#This Row],[Uafhængig variabel ID]]),INDEX(DataTitel_liste,IF(LineærRegression_Valg[[#This Row],[Afhængig variabel ID]]=1,2,1))),$B$7)</f>
        <v>Eksempel 2 (interval)</v>
      </c>
      <c r="H2370" s="45">
        <f>_xlfn.AGGREGATE(2,5,LineærRegression_Valg[[#This Row],[Tabel ID]])</f>
        <v>1</v>
      </c>
    </row>
    <row r="2371" spans="1:8" x14ac:dyDescent="0.2">
      <c r="A2371">
        <f>ROW(LineærRegression_Valg[[#This Row],[Tabel ID]])-ROW(LineærRegression_Valg[[#Headers],[Tabel ID]])</f>
        <v>2361</v>
      </c>
      <c r="B2371" s="45">
        <f>ROUNDDOWN((LineærRegression_Valg[[#This Row],[Tabel ID]]-1)/$B$5,0)+1</f>
        <v>591</v>
      </c>
      <c r="C2371" s="45">
        <f t="shared" si="36"/>
        <v>1</v>
      </c>
      <c r="D2371" s="45" t="b">
        <f>LineærRegression_Valg[[#This Row],[Afhængig variabel ID]]&lt;&gt;LineærRegression_Valg[[#This Row],[Uafhængig variabel ID]]</f>
        <v>1</v>
      </c>
      <c r="E2371" s="45" t="b">
        <f>LineærRegression_Valg[[#This Row],[Afhængig variabel ID]]&lt;=$B$5</f>
        <v>0</v>
      </c>
      <c r="F2371" t="str" cm="1">
        <f t="array" ref="F2371">IF(LineærRegression_Valg[[#This Row],[Indenfor range]],INDEX(DataTitel_liste,LineærRegression_Valg[[#This Row],[Afhængig variabel ID]]),INDEX(DataTitel_liste,1))</f>
        <v>Eksempel 1 (interval)</v>
      </c>
      <c r="G2371" s="45" t="str" cm="1">
        <f t="array" ref="G2371">IF(LineærRegression_Valg[[#This Row],[Indenfor range]],IF(LineærRegression_Valg[[#This Row],[Intet overlap]],INDEX(DataTitel_liste,LineærRegression_Valg[[#This Row],[Uafhængig variabel ID]]),INDEX(DataTitel_liste,IF(LineærRegression_Valg[[#This Row],[Afhængig variabel ID]]=1,2,1))),$B$7)</f>
        <v>Eksempel 2 (interval)</v>
      </c>
      <c r="H2371" s="45">
        <f>_xlfn.AGGREGATE(2,5,LineærRegression_Valg[[#This Row],[Tabel ID]])</f>
        <v>1</v>
      </c>
    </row>
    <row r="2372" spans="1:8" x14ac:dyDescent="0.2">
      <c r="A2372">
        <f>ROW(LineærRegression_Valg[[#This Row],[Tabel ID]])-ROW(LineærRegression_Valg[[#Headers],[Tabel ID]])</f>
        <v>2362</v>
      </c>
      <c r="B2372" s="45">
        <f>ROUNDDOWN((LineærRegression_Valg[[#This Row],[Tabel ID]]-1)/$B$5,0)+1</f>
        <v>591</v>
      </c>
      <c r="C2372" s="45">
        <f t="shared" si="36"/>
        <v>2</v>
      </c>
      <c r="D2372" s="45" t="b">
        <f>LineærRegression_Valg[[#This Row],[Afhængig variabel ID]]&lt;&gt;LineærRegression_Valg[[#This Row],[Uafhængig variabel ID]]</f>
        <v>1</v>
      </c>
      <c r="E2372" s="45" t="b">
        <f>LineærRegression_Valg[[#This Row],[Afhængig variabel ID]]&lt;=$B$5</f>
        <v>0</v>
      </c>
      <c r="F2372" t="str" cm="1">
        <f t="array" ref="F2372">IF(LineærRegression_Valg[[#This Row],[Indenfor range]],INDEX(DataTitel_liste,LineærRegression_Valg[[#This Row],[Afhængig variabel ID]]),INDEX(DataTitel_liste,1))</f>
        <v>Eksempel 1 (interval)</v>
      </c>
      <c r="G2372" s="45" t="str" cm="1">
        <f t="array" ref="G2372">IF(LineærRegression_Valg[[#This Row],[Indenfor range]],IF(LineærRegression_Valg[[#This Row],[Intet overlap]],INDEX(DataTitel_liste,LineærRegression_Valg[[#This Row],[Uafhængig variabel ID]]),INDEX(DataTitel_liste,IF(LineærRegression_Valg[[#This Row],[Afhængig variabel ID]]=1,2,1))),$B$7)</f>
        <v>Eksempel 2 (interval)</v>
      </c>
      <c r="H2372" s="45">
        <f>_xlfn.AGGREGATE(2,5,LineærRegression_Valg[[#This Row],[Tabel ID]])</f>
        <v>1</v>
      </c>
    </row>
    <row r="2373" spans="1:8" x14ac:dyDescent="0.2">
      <c r="A2373">
        <f>ROW(LineærRegression_Valg[[#This Row],[Tabel ID]])-ROW(LineærRegression_Valg[[#Headers],[Tabel ID]])</f>
        <v>2363</v>
      </c>
      <c r="B2373" s="45">
        <f>ROUNDDOWN((LineærRegression_Valg[[#This Row],[Tabel ID]]-1)/$B$5,0)+1</f>
        <v>591</v>
      </c>
      <c r="C2373" s="45">
        <f t="shared" si="36"/>
        <v>3</v>
      </c>
      <c r="D2373" s="45" t="b">
        <f>LineærRegression_Valg[[#This Row],[Afhængig variabel ID]]&lt;&gt;LineærRegression_Valg[[#This Row],[Uafhængig variabel ID]]</f>
        <v>1</v>
      </c>
      <c r="E2373" s="45" t="b">
        <f>LineærRegression_Valg[[#This Row],[Afhængig variabel ID]]&lt;=$B$5</f>
        <v>0</v>
      </c>
      <c r="F2373" t="str" cm="1">
        <f t="array" ref="F2373">IF(LineærRegression_Valg[[#This Row],[Indenfor range]],INDEX(DataTitel_liste,LineærRegression_Valg[[#This Row],[Afhængig variabel ID]]),INDEX(DataTitel_liste,1))</f>
        <v>Eksempel 1 (interval)</v>
      </c>
      <c r="G2373" s="45" t="str" cm="1">
        <f t="array" ref="G2373">IF(LineærRegression_Valg[[#This Row],[Indenfor range]],IF(LineærRegression_Valg[[#This Row],[Intet overlap]],INDEX(DataTitel_liste,LineærRegression_Valg[[#This Row],[Uafhængig variabel ID]]),INDEX(DataTitel_liste,IF(LineærRegression_Valg[[#This Row],[Afhængig variabel ID]]=1,2,1))),$B$7)</f>
        <v>Eksempel 2 (interval)</v>
      </c>
      <c r="H2373" s="45">
        <f>_xlfn.AGGREGATE(2,5,LineærRegression_Valg[[#This Row],[Tabel ID]])</f>
        <v>1</v>
      </c>
    </row>
    <row r="2374" spans="1:8" x14ac:dyDescent="0.2">
      <c r="A2374">
        <f>ROW(LineærRegression_Valg[[#This Row],[Tabel ID]])-ROW(LineærRegression_Valg[[#Headers],[Tabel ID]])</f>
        <v>2364</v>
      </c>
      <c r="B2374" s="45">
        <f>ROUNDDOWN((LineærRegression_Valg[[#This Row],[Tabel ID]]-1)/$B$5,0)+1</f>
        <v>591</v>
      </c>
      <c r="C2374" s="45">
        <f t="shared" si="36"/>
        <v>4</v>
      </c>
      <c r="D2374" s="45" t="b">
        <f>LineærRegression_Valg[[#This Row],[Afhængig variabel ID]]&lt;&gt;LineærRegression_Valg[[#This Row],[Uafhængig variabel ID]]</f>
        <v>1</v>
      </c>
      <c r="E2374" s="45" t="b">
        <f>LineærRegression_Valg[[#This Row],[Afhængig variabel ID]]&lt;=$B$5</f>
        <v>0</v>
      </c>
      <c r="F2374" t="str" cm="1">
        <f t="array" ref="F2374">IF(LineærRegression_Valg[[#This Row],[Indenfor range]],INDEX(DataTitel_liste,LineærRegression_Valg[[#This Row],[Afhængig variabel ID]]),INDEX(DataTitel_liste,1))</f>
        <v>Eksempel 1 (interval)</v>
      </c>
      <c r="G2374" s="45" t="str" cm="1">
        <f t="array" ref="G2374">IF(LineærRegression_Valg[[#This Row],[Indenfor range]],IF(LineærRegression_Valg[[#This Row],[Intet overlap]],INDEX(DataTitel_liste,LineærRegression_Valg[[#This Row],[Uafhængig variabel ID]]),INDEX(DataTitel_liste,IF(LineærRegression_Valg[[#This Row],[Afhængig variabel ID]]=1,2,1))),$B$7)</f>
        <v>Eksempel 2 (interval)</v>
      </c>
      <c r="H2374" s="45">
        <f>_xlfn.AGGREGATE(2,5,LineærRegression_Valg[[#This Row],[Tabel ID]])</f>
        <v>1</v>
      </c>
    </row>
    <row r="2375" spans="1:8" x14ac:dyDescent="0.2">
      <c r="A2375">
        <f>ROW(LineærRegression_Valg[[#This Row],[Tabel ID]])-ROW(LineærRegression_Valg[[#Headers],[Tabel ID]])</f>
        <v>2365</v>
      </c>
      <c r="B2375" s="45">
        <f>ROUNDDOWN((LineærRegression_Valg[[#This Row],[Tabel ID]]-1)/$B$5,0)+1</f>
        <v>592</v>
      </c>
      <c r="C2375" s="45">
        <f t="shared" si="36"/>
        <v>1</v>
      </c>
      <c r="D2375" s="45" t="b">
        <f>LineærRegression_Valg[[#This Row],[Afhængig variabel ID]]&lt;&gt;LineærRegression_Valg[[#This Row],[Uafhængig variabel ID]]</f>
        <v>1</v>
      </c>
      <c r="E2375" s="45" t="b">
        <f>LineærRegression_Valg[[#This Row],[Afhængig variabel ID]]&lt;=$B$5</f>
        <v>0</v>
      </c>
      <c r="F2375" t="str" cm="1">
        <f t="array" ref="F2375">IF(LineærRegression_Valg[[#This Row],[Indenfor range]],INDEX(DataTitel_liste,LineærRegression_Valg[[#This Row],[Afhængig variabel ID]]),INDEX(DataTitel_liste,1))</f>
        <v>Eksempel 1 (interval)</v>
      </c>
      <c r="G2375" s="45" t="str" cm="1">
        <f t="array" ref="G2375">IF(LineærRegression_Valg[[#This Row],[Indenfor range]],IF(LineærRegression_Valg[[#This Row],[Intet overlap]],INDEX(DataTitel_liste,LineærRegression_Valg[[#This Row],[Uafhængig variabel ID]]),INDEX(DataTitel_liste,IF(LineærRegression_Valg[[#This Row],[Afhængig variabel ID]]=1,2,1))),$B$7)</f>
        <v>Eksempel 2 (interval)</v>
      </c>
      <c r="H2375" s="45">
        <f>_xlfn.AGGREGATE(2,5,LineærRegression_Valg[[#This Row],[Tabel ID]])</f>
        <v>1</v>
      </c>
    </row>
    <row r="2376" spans="1:8" x14ac:dyDescent="0.2">
      <c r="A2376">
        <f>ROW(LineærRegression_Valg[[#This Row],[Tabel ID]])-ROW(LineærRegression_Valg[[#Headers],[Tabel ID]])</f>
        <v>2366</v>
      </c>
      <c r="B2376" s="45">
        <f>ROUNDDOWN((LineærRegression_Valg[[#This Row],[Tabel ID]]-1)/$B$5,0)+1</f>
        <v>592</v>
      </c>
      <c r="C2376" s="45">
        <f t="shared" si="36"/>
        <v>2</v>
      </c>
      <c r="D2376" s="45" t="b">
        <f>LineærRegression_Valg[[#This Row],[Afhængig variabel ID]]&lt;&gt;LineærRegression_Valg[[#This Row],[Uafhængig variabel ID]]</f>
        <v>1</v>
      </c>
      <c r="E2376" s="45" t="b">
        <f>LineærRegression_Valg[[#This Row],[Afhængig variabel ID]]&lt;=$B$5</f>
        <v>0</v>
      </c>
      <c r="F2376" t="str" cm="1">
        <f t="array" ref="F2376">IF(LineærRegression_Valg[[#This Row],[Indenfor range]],INDEX(DataTitel_liste,LineærRegression_Valg[[#This Row],[Afhængig variabel ID]]),INDEX(DataTitel_liste,1))</f>
        <v>Eksempel 1 (interval)</v>
      </c>
      <c r="G2376" s="45" t="str" cm="1">
        <f t="array" ref="G2376">IF(LineærRegression_Valg[[#This Row],[Indenfor range]],IF(LineærRegression_Valg[[#This Row],[Intet overlap]],INDEX(DataTitel_liste,LineærRegression_Valg[[#This Row],[Uafhængig variabel ID]]),INDEX(DataTitel_liste,IF(LineærRegression_Valg[[#This Row],[Afhængig variabel ID]]=1,2,1))),$B$7)</f>
        <v>Eksempel 2 (interval)</v>
      </c>
      <c r="H2376" s="45">
        <f>_xlfn.AGGREGATE(2,5,LineærRegression_Valg[[#This Row],[Tabel ID]])</f>
        <v>1</v>
      </c>
    </row>
    <row r="2377" spans="1:8" x14ac:dyDescent="0.2">
      <c r="A2377">
        <f>ROW(LineærRegression_Valg[[#This Row],[Tabel ID]])-ROW(LineærRegression_Valg[[#Headers],[Tabel ID]])</f>
        <v>2367</v>
      </c>
      <c r="B2377" s="45">
        <f>ROUNDDOWN((LineærRegression_Valg[[#This Row],[Tabel ID]]-1)/$B$5,0)+1</f>
        <v>592</v>
      </c>
      <c r="C2377" s="45">
        <f t="shared" si="36"/>
        <v>3</v>
      </c>
      <c r="D2377" s="45" t="b">
        <f>LineærRegression_Valg[[#This Row],[Afhængig variabel ID]]&lt;&gt;LineærRegression_Valg[[#This Row],[Uafhængig variabel ID]]</f>
        <v>1</v>
      </c>
      <c r="E2377" s="45" t="b">
        <f>LineærRegression_Valg[[#This Row],[Afhængig variabel ID]]&lt;=$B$5</f>
        <v>0</v>
      </c>
      <c r="F2377" t="str" cm="1">
        <f t="array" ref="F2377">IF(LineærRegression_Valg[[#This Row],[Indenfor range]],INDEX(DataTitel_liste,LineærRegression_Valg[[#This Row],[Afhængig variabel ID]]),INDEX(DataTitel_liste,1))</f>
        <v>Eksempel 1 (interval)</v>
      </c>
      <c r="G2377" s="45" t="str" cm="1">
        <f t="array" ref="G2377">IF(LineærRegression_Valg[[#This Row],[Indenfor range]],IF(LineærRegression_Valg[[#This Row],[Intet overlap]],INDEX(DataTitel_liste,LineærRegression_Valg[[#This Row],[Uafhængig variabel ID]]),INDEX(DataTitel_liste,IF(LineærRegression_Valg[[#This Row],[Afhængig variabel ID]]=1,2,1))),$B$7)</f>
        <v>Eksempel 2 (interval)</v>
      </c>
      <c r="H2377" s="45">
        <f>_xlfn.AGGREGATE(2,5,LineærRegression_Valg[[#This Row],[Tabel ID]])</f>
        <v>1</v>
      </c>
    </row>
    <row r="2378" spans="1:8" x14ac:dyDescent="0.2">
      <c r="A2378">
        <f>ROW(LineærRegression_Valg[[#This Row],[Tabel ID]])-ROW(LineærRegression_Valg[[#Headers],[Tabel ID]])</f>
        <v>2368</v>
      </c>
      <c r="B2378" s="45">
        <f>ROUNDDOWN((LineærRegression_Valg[[#This Row],[Tabel ID]]-1)/$B$5,0)+1</f>
        <v>592</v>
      </c>
      <c r="C2378" s="45">
        <f t="shared" si="36"/>
        <v>4</v>
      </c>
      <c r="D2378" s="45" t="b">
        <f>LineærRegression_Valg[[#This Row],[Afhængig variabel ID]]&lt;&gt;LineærRegression_Valg[[#This Row],[Uafhængig variabel ID]]</f>
        <v>1</v>
      </c>
      <c r="E2378" s="45" t="b">
        <f>LineærRegression_Valg[[#This Row],[Afhængig variabel ID]]&lt;=$B$5</f>
        <v>0</v>
      </c>
      <c r="F2378" t="str" cm="1">
        <f t="array" ref="F2378">IF(LineærRegression_Valg[[#This Row],[Indenfor range]],INDEX(DataTitel_liste,LineærRegression_Valg[[#This Row],[Afhængig variabel ID]]),INDEX(DataTitel_liste,1))</f>
        <v>Eksempel 1 (interval)</v>
      </c>
      <c r="G2378" s="45" t="str" cm="1">
        <f t="array" ref="G2378">IF(LineærRegression_Valg[[#This Row],[Indenfor range]],IF(LineærRegression_Valg[[#This Row],[Intet overlap]],INDEX(DataTitel_liste,LineærRegression_Valg[[#This Row],[Uafhængig variabel ID]]),INDEX(DataTitel_liste,IF(LineærRegression_Valg[[#This Row],[Afhængig variabel ID]]=1,2,1))),$B$7)</f>
        <v>Eksempel 2 (interval)</v>
      </c>
      <c r="H2378" s="45">
        <f>_xlfn.AGGREGATE(2,5,LineærRegression_Valg[[#This Row],[Tabel ID]])</f>
        <v>1</v>
      </c>
    </row>
    <row r="2379" spans="1:8" x14ac:dyDescent="0.2">
      <c r="A2379">
        <f>ROW(LineærRegression_Valg[[#This Row],[Tabel ID]])-ROW(LineærRegression_Valg[[#Headers],[Tabel ID]])</f>
        <v>2369</v>
      </c>
      <c r="B2379" s="45">
        <f>ROUNDDOWN((LineærRegression_Valg[[#This Row],[Tabel ID]]-1)/$B$5,0)+1</f>
        <v>593</v>
      </c>
      <c r="C2379" s="45">
        <f t="shared" ref="C2379:C2442" si="37">MOD(A2379-1,$B$5)+1</f>
        <v>1</v>
      </c>
      <c r="D2379" s="45" t="b">
        <f>LineærRegression_Valg[[#This Row],[Afhængig variabel ID]]&lt;&gt;LineærRegression_Valg[[#This Row],[Uafhængig variabel ID]]</f>
        <v>1</v>
      </c>
      <c r="E2379" s="45" t="b">
        <f>LineærRegression_Valg[[#This Row],[Afhængig variabel ID]]&lt;=$B$5</f>
        <v>0</v>
      </c>
      <c r="F2379" t="str" cm="1">
        <f t="array" ref="F2379">IF(LineærRegression_Valg[[#This Row],[Indenfor range]],INDEX(DataTitel_liste,LineærRegression_Valg[[#This Row],[Afhængig variabel ID]]),INDEX(DataTitel_liste,1))</f>
        <v>Eksempel 1 (interval)</v>
      </c>
      <c r="G2379" s="45" t="str" cm="1">
        <f t="array" ref="G2379">IF(LineærRegression_Valg[[#This Row],[Indenfor range]],IF(LineærRegression_Valg[[#This Row],[Intet overlap]],INDEX(DataTitel_liste,LineærRegression_Valg[[#This Row],[Uafhængig variabel ID]]),INDEX(DataTitel_liste,IF(LineærRegression_Valg[[#This Row],[Afhængig variabel ID]]=1,2,1))),$B$7)</f>
        <v>Eksempel 2 (interval)</v>
      </c>
      <c r="H2379" s="45">
        <f>_xlfn.AGGREGATE(2,5,LineærRegression_Valg[[#This Row],[Tabel ID]])</f>
        <v>1</v>
      </c>
    </row>
    <row r="2380" spans="1:8" x14ac:dyDescent="0.2">
      <c r="A2380">
        <f>ROW(LineærRegression_Valg[[#This Row],[Tabel ID]])-ROW(LineærRegression_Valg[[#Headers],[Tabel ID]])</f>
        <v>2370</v>
      </c>
      <c r="B2380" s="45">
        <f>ROUNDDOWN((LineærRegression_Valg[[#This Row],[Tabel ID]]-1)/$B$5,0)+1</f>
        <v>593</v>
      </c>
      <c r="C2380" s="45">
        <f t="shared" si="37"/>
        <v>2</v>
      </c>
      <c r="D2380" s="45" t="b">
        <f>LineærRegression_Valg[[#This Row],[Afhængig variabel ID]]&lt;&gt;LineærRegression_Valg[[#This Row],[Uafhængig variabel ID]]</f>
        <v>1</v>
      </c>
      <c r="E2380" s="45" t="b">
        <f>LineærRegression_Valg[[#This Row],[Afhængig variabel ID]]&lt;=$B$5</f>
        <v>0</v>
      </c>
      <c r="F2380" t="str" cm="1">
        <f t="array" ref="F2380">IF(LineærRegression_Valg[[#This Row],[Indenfor range]],INDEX(DataTitel_liste,LineærRegression_Valg[[#This Row],[Afhængig variabel ID]]),INDEX(DataTitel_liste,1))</f>
        <v>Eksempel 1 (interval)</v>
      </c>
      <c r="G2380" s="45" t="str" cm="1">
        <f t="array" ref="G2380">IF(LineærRegression_Valg[[#This Row],[Indenfor range]],IF(LineærRegression_Valg[[#This Row],[Intet overlap]],INDEX(DataTitel_liste,LineærRegression_Valg[[#This Row],[Uafhængig variabel ID]]),INDEX(DataTitel_liste,IF(LineærRegression_Valg[[#This Row],[Afhængig variabel ID]]=1,2,1))),$B$7)</f>
        <v>Eksempel 2 (interval)</v>
      </c>
      <c r="H2380" s="45">
        <f>_xlfn.AGGREGATE(2,5,LineærRegression_Valg[[#This Row],[Tabel ID]])</f>
        <v>1</v>
      </c>
    </row>
    <row r="2381" spans="1:8" x14ac:dyDescent="0.2">
      <c r="A2381">
        <f>ROW(LineærRegression_Valg[[#This Row],[Tabel ID]])-ROW(LineærRegression_Valg[[#Headers],[Tabel ID]])</f>
        <v>2371</v>
      </c>
      <c r="B2381" s="45">
        <f>ROUNDDOWN((LineærRegression_Valg[[#This Row],[Tabel ID]]-1)/$B$5,0)+1</f>
        <v>593</v>
      </c>
      <c r="C2381" s="45">
        <f t="shared" si="37"/>
        <v>3</v>
      </c>
      <c r="D2381" s="45" t="b">
        <f>LineærRegression_Valg[[#This Row],[Afhængig variabel ID]]&lt;&gt;LineærRegression_Valg[[#This Row],[Uafhængig variabel ID]]</f>
        <v>1</v>
      </c>
      <c r="E2381" s="45" t="b">
        <f>LineærRegression_Valg[[#This Row],[Afhængig variabel ID]]&lt;=$B$5</f>
        <v>0</v>
      </c>
      <c r="F2381" t="str" cm="1">
        <f t="array" ref="F2381">IF(LineærRegression_Valg[[#This Row],[Indenfor range]],INDEX(DataTitel_liste,LineærRegression_Valg[[#This Row],[Afhængig variabel ID]]),INDEX(DataTitel_liste,1))</f>
        <v>Eksempel 1 (interval)</v>
      </c>
      <c r="G2381" s="45" t="str" cm="1">
        <f t="array" ref="G2381">IF(LineærRegression_Valg[[#This Row],[Indenfor range]],IF(LineærRegression_Valg[[#This Row],[Intet overlap]],INDEX(DataTitel_liste,LineærRegression_Valg[[#This Row],[Uafhængig variabel ID]]),INDEX(DataTitel_liste,IF(LineærRegression_Valg[[#This Row],[Afhængig variabel ID]]=1,2,1))),$B$7)</f>
        <v>Eksempel 2 (interval)</v>
      </c>
      <c r="H2381" s="45">
        <f>_xlfn.AGGREGATE(2,5,LineærRegression_Valg[[#This Row],[Tabel ID]])</f>
        <v>1</v>
      </c>
    </row>
    <row r="2382" spans="1:8" x14ac:dyDescent="0.2">
      <c r="A2382">
        <f>ROW(LineærRegression_Valg[[#This Row],[Tabel ID]])-ROW(LineærRegression_Valg[[#Headers],[Tabel ID]])</f>
        <v>2372</v>
      </c>
      <c r="B2382" s="45">
        <f>ROUNDDOWN((LineærRegression_Valg[[#This Row],[Tabel ID]]-1)/$B$5,0)+1</f>
        <v>593</v>
      </c>
      <c r="C2382" s="45">
        <f t="shared" si="37"/>
        <v>4</v>
      </c>
      <c r="D2382" s="45" t="b">
        <f>LineærRegression_Valg[[#This Row],[Afhængig variabel ID]]&lt;&gt;LineærRegression_Valg[[#This Row],[Uafhængig variabel ID]]</f>
        <v>1</v>
      </c>
      <c r="E2382" s="45" t="b">
        <f>LineærRegression_Valg[[#This Row],[Afhængig variabel ID]]&lt;=$B$5</f>
        <v>0</v>
      </c>
      <c r="F2382" t="str" cm="1">
        <f t="array" ref="F2382">IF(LineærRegression_Valg[[#This Row],[Indenfor range]],INDEX(DataTitel_liste,LineærRegression_Valg[[#This Row],[Afhængig variabel ID]]),INDEX(DataTitel_liste,1))</f>
        <v>Eksempel 1 (interval)</v>
      </c>
      <c r="G2382" s="45" t="str" cm="1">
        <f t="array" ref="G2382">IF(LineærRegression_Valg[[#This Row],[Indenfor range]],IF(LineærRegression_Valg[[#This Row],[Intet overlap]],INDEX(DataTitel_liste,LineærRegression_Valg[[#This Row],[Uafhængig variabel ID]]),INDEX(DataTitel_liste,IF(LineærRegression_Valg[[#This Row],[Afhængig variabel ID]]=1,2,1))),$B$7)</f>
        <v>Eksempel 2 (interval)</v>
      </c>
      <c r="H2382" s="45">
        <f>_xlfn.AGGREGATE(2,5,LineærRegression_Valg[[#This Row],[Tabel ID]])</f>
        <v>1</v>
      </c>
    </row>
    <row r="2383" spans="1:8" x14ac:dyDescent="0.2">
      <c r="A2383">
        <f>ROW(LineærRegression_Valg[[#This Row],[Tabel ID]])-ROW(LineærRegression_Valg[[#Headers],[Tabel ID]])</f>
        <v>2373</v>
      </c>
      <c r="B2383" s="45">
        <f>ROUNDDOWN((LineærRegression_Valg[[#This Row],[Tabel ID]]-1)/$B$5,0)+1</f>
        <v>594</v>
      </c>
      <c r="C2383" s="45">
        <f t="shared" si="37"/>
        <v>1</v>
      </c>
      <c r="D2383" s="45" t="b">
        <f>LineærRegression_Valg[[#This Row],[Afhængig variabel ID]]&lt;&gt;LineærRegression_Valg[[#This Row],[Uafhængig variabel ID]]</f>
        <v>1</v>
      </c>
      <c r="E2383" s="45" t="b">
        <f>LineærRegression_Valg[[#This Row],[Afhængig variabel ID]]&lt;=$B$5</f>
        <v>0</v>
      </c>
      <c r="F2383" t="str" cm="1">
        <f t="array" ref="F2383">IF(LineærRegression_Valg[[#This Row],[Indenfor range]],INDEX(DataTitel_liste,LineærRegression_Valg[[#This Row],[Afhængig variabel ID]]),INDEX(DataTitel_liste,1))</f>
        <v>Eksempel 1 (interval)</v>
      </c>
      <c r="G2383" s="45" t="str" cm="1">
        <f t="array" ref="G2383">IF(LineærRegression_Valg[[#This Row],[Indenfor range]],IF(LineærRegression_Valg[[#This Row],[Intet overlap]],INDEX(DataTitel_liste,LineærRegression_Valg[[#This Row],[Uafhængig variabel ID]]),INDEX(DataTitel_liste,IF(LineærRegression_Valg[[#This Row],[Afhængig variabel ID]]=1,2,1))),$B$7)</f>
        <v>Eksempel 2 (interval)</v>
      </c>
      <c r="H2383" s="45">
        <f>_xlfn.AGGREGATE(2,5,LineærRegression_Valg[[#This Row],[Tabel ID]])</f>
        <v>1</v>
      </c>
    </row>
    <row r="2384" spans="1:8" x14ac:dyDescent="0.2">
      <c r="A2384">
        <f>ROW(LineærRegression_Valg[[#This Row],[Tabel ID]])-ROW(LineærRegression_Valg[[#Headers],[Tabel ID]])</f>
        <v>2374</v>
      </c>
      <c r="B2384" s="45">
        <f>ROUNDDOWN((LineærRegression_Valg[[#This Row],[Tabel ID]]-1)/$B$5,0)+1</f>
        <v>594</v>
      </c>
      <c r="C2384" s="45">
        <f t="shared" si="37"/>
        <v>2</v>
      </c>
      <c r="D2384" s="45" t="b">
        <f>LineærRegression_Valg[[#This Row],[Afhængig variabel ID]]&lt;&gt;LineærRegression_Valg[[#This Row],[Uafhængig variabel ID]]</f>
        <v>1</v>
      </c>
      <c r="E2384" s="45" t="b">
        <f>LineærRegression_Valg[[#This Row],[Afhængig variabel ID]]&lt;=$B$5</f>
        <v>0</v>
      </c>
      <c r="F2384" t="str" cm="1">
        <f t="array" ref="F2384">IF(LineærRegression_Valg[[#This Row],[Indenfor range]],INDEX(DataTitel_liste,LineærRegression_Valg[[#This Row],[Afhængig variabel ID]]),INDEX(DataTitel_liste,1))</f>
        <v>Eksempel 1 (interval)</v>
      </c>
      <c r="G2384" s="45" t="str" cm="1">
        <f t="array" ref="G2384">IF(LineærRegression_Valg[[#This Row],[Indenfor range]],IF(LineærRegression_Valg[[#This Row],[Intet overlap]],INDEX(DataTitel_liste,LineærRegression_Valg[[#This Row],[Uafhængig variabel ID]]),INDEX(DataTitel_liste,IF(LineærRegression_Valg[[#This Row],[Afhængig variabel ID]]=1,2,1))),$B$7)</f>
        <v>Eksempel 2 (interval)</v>
      </c>
      <c r="H2384" s="45">
        <f>_xlfn.AGGREGATE(2,5,LineærRegression_Valg[[#This Row],[Tabel ID]])</f>
        <v>1</v>
      </c>
    </row>
    <row r="2385" spans="1:8" x14ac:dyDescent="0.2">
      <c r="A2385">
        <f>ROW(LineærRegression_Valg[[#This Row],[Tabel ID]])-ROW(LineærRegression_Valg[[#Headers],[Tabel ID]])</f>
        <v>2375</v>
      </c>
      <c r="B2385" s="45">
        <f>ROUNDDOWN((LineærRegression_Valg[[#This Row],[Tabel ID]]-1)/$B$5,0)+1</f>
        <v>594</v>
      </c>
      <c r="C2385" s="45">
        <f t="shared" si="37"/>
        <v>3</v>
      </c>
      <c r="D2385" s="45" t="b">
        <f>LineærRegression_Valg[[#This Row],[Afhængig variabel ID]]&lt;&gt;LineærRegression_Valg[[#This Row],[Uafhængig variabel ID]]</f>
        <v>1</v>
      </c>
      <c r="E2385" s="45" t="b">
        <f>LineærRegression_Valg[[#This Row],[Afhængig variabel ID]]&lt;=$B$5</f>
        <v>0</v>
      </c>
      <c r="F2385" t="str" cm="1">
        <f t="array" ref="F2385">IF(LineærRegression_Valg[[#This Row],[Indenfor range]],INDEX(DataTitel_liste,LineærRegression_Valg[[#This Row],[Afhængig variabel ID]]),INDEX(DataTitel_liste,1))</f>
        <v>Eksempel 1 (interval)</v>
      </c>
      <c r="G2385" s="45" t="str" cm="1">
        <f t="array" ref="G2385">IF(LineærRegression_Valg[[#This Row],[Indenfor range]],IF(LineærRegression_Valg[[#This Row],[Intet overlap]],INDEX(DataTitel_liste,LineærRegression_Valg[[#This Row],[Uafhængig variabel ID]]),INDEX(DataTitel_liste,IF(LineærRegression_Valg[[#This Row],[Afhængig variabel ID]]=1,2,1))),$B$7)</f>
        <v>Eksempel 2 (interval)</v>
      </c>
      <c r="H2385" s="45">
        <f>_xlfn.AGGREGATE(2,5,LineærRegression_Valg[[#This Row],[Tabel ID]])</f>
        <v>1</v>
      </c>
    </row>
    <row r="2386" spans="1:8" x14ac:dyDescent="0.2">
      <c r="A2386">
        <f>ROW(LineærRegression_Valg[[#This Row],[Tabel ID]])-ROW(LineærRegression_Valg[[#Headers],[Tabel ID]])</f>
        <v>2376</v>
      </c>
      <c r="B2386" s="45">
        <f>ROUNDDOWN((LineærRegression_Valg[[#This Row],[Tabel ID]]-1)/$B$5,0)+1</f>
        <v>594</v>
      </c>
      <c r="C2386" s="45">
        <f t="shared" si="37"/>
        <v>4</v>
      </c>
      <c r="D2386" s="45" t="b">
        <f>LineærRegression_Valg[[#This Row],[Afhængig variabel ID]]&lt;&gt;LineærRegression_Valg[[#This Row],[Uafhængig variabel ID]]</f>
        <v>1</v>
      </c>
      <c r="E2386" s="45" t="b">
        <f>LineærRegression_Valg[[#This Row],[Afhængig variabel ID]]&lt;=$B$5</f>
        <v>0</v>
      </c>
      <c r="F2386" t="str" cm="1">
        <f t="array" ref="F2386">IF(LineærRegression_Valg[[#This Row],[Indenfor range]],INDEX(DataTitel_liste,LineærRegression_Valg[[#This Row],[Afhængig variabel ID]]),INDEX(DataTitel_liste,1))</f>
        <v>Eksempel 1 (interval)</v>
      </c>
      <c r="G2386" s="45" t="str" cm="1">
        <f t="array" ref="G2386">IF(LineærRegression_Valg[[#This Row],[Indenfor range]],IF(LineærRegression_Valg[[#This Row],[Intet overlap]],INDEX(DataTitel_liste,LineærRegression_Valg[[#This Row],[Uafhængig variabel ID]]),INDEX(DataTitel_liste,IF(LineærRegression_Valg[[#This Row],[Afhængig variabel ID]]=1,2,1))),$B$7)</f>
        <v>Eksempel 2 (interval)</v>
      </c>
      <c r="H2386" s="45">
        <f>_xlfn.AGGREGATE(2,5,LineærRegression_Valg[[#This Row],[Tabel ID]])</f>
        <v>1</v>
      </c>
    </row>
    <row r="2387" spans="1:8" x14ac:dyDescent="0.2">
      <c r="A2387">
        <f>ROW(LineærRegression_Valg[[#This Row],[Tabel ID]])-ROW(LineærRegression_Valg[[#Headers],[Tabel ID]])</f>
        <v>2377</v>
      </c>
      <c r="B2387" s="45">
        <f>ROUNDDOWN((LineærRegression_Valg[[#This Row],[Tabel ID]]-1)/$B$5,0)+1</f>
        <v>595</v>
      </c>
      <c r="C2387" s="45">
        <f t="shared" si="37"/>
        <v>1</v>
      </c>
      <c r="D2387" s="45" t="b">
        <f>LineærRegression_Valg[[#This Row],[Afhængig variabel ID]]&lt;&gt;LineærRegression_Valg[[#This Row],[Uafhængig variabel ID]]</f>
        <v>1</v>
      </c>
      <c r="E2387" s="45" t="b">
        <f>LineærRegression_Valg[[#This Row],[Afhængig variabel ID]]&lt;=$B$5</f>
        <v>0</v>
      </c>
      <c r="F2387" t="str" cm="1">
        <f t="array" ref="F2387">IF(LineærRegression_Valg[[#This Row],[Indenfor range]],INDEX(DataTitel_liste,LineærRegression_Valg[[#This Row],[Afhængig variabel ID]]),INDEX(DataTitel_liste,1))</f>
        <v>Eksempel 1 (interval)</v>
      </c>
      <c r="G2387" s="45" t="str" cm="1">
        <f t="array" ref="G2387">IF(LineærRegression_Valg[[#This Row],[Indenfor range]],IF(LineærRegression_Valg[[#This Row],[Intet overlap]],INDEX(DataTitel_liste,LineærRegression_Valg[[#This Row],[Uafhængig variabel ID]]),INDEX(DataTitel_liste,IF(LineærRegression_Valg[[#This Row],[Afhængig variabel ID]]=1,2,1))),$B$7)</f>
        <v>Eksempel 2 (interval)</v>
      </c>
      <c r="H2387" s="45">
        <f>_xlfn.AGGREGATE(2,5,LineærRegression_Valg[[#This Row],[Tabel ID]])</f>
        <v>1</v>
      </c>
    </row>
    <row r="2388" spans="1:8" x14ac:dyDescent="0.2">
      <c r="A2388">
        <f>ROW(LineærRegression_Valg[[#This Row],[Tabel ID]])-ROW(LineærRegression_Valg[[#Headers],[Tabel ID]])</f>
        <v>2378</v>
      </c>
      <c r="B2388" s="45">
        <f>ROUNDDOWN((LineærRegression_Valg[[#This Row],[Tabel ID]]-1)/$B$5,0)+1</f>
        <v>595</v>
      </c>
      <c r="C2388" s="45">
        <f t="shared" si="37"/>
        <v>2</v>
      </c>
      <c r="D2388" s="45" t="b">
        <f>LineærRegression_Valg[[#This Row],[Afhængig variabel ID]]&lt;&gt;LineærRegression_Valg[[#This Row],[Uafhængig variabel ID]]</f>
        <v>1</v>
      </c>
      <c r="E2388" s="45" t="b">
        <f>LineærRegression_Valg[[#This Row],[Afhængig variabel ID]]&lt;=$B$5</f>
        <v>0</v>
      </c>
      <c r="F2388" t="str" cm="1">
        <f t="array" ref="F2388">IF(LineærRegression_Valg[[#This Row],[Indenfor range]],INDEX(DataTitel_liste,LineærRegression_Valg[[#This Row],[Afhængig variabel ID]]),INDEX(DataTitel_liste,1))</f>
        <v>Eksempel 1 (interval)</v>
      </c>
      <c r="G2388" s="45" t="str" cm="1">
        <f t="array" ref="G2388">IF(LineærRegression_Valg[[#This Row],[Indenfor range]],IF(LineærRegression_Valg[[#This Row],[Intet overlap]],INDEX(DataTitel_liste,LineærRegression_Valg[[#This Row],[Uafhængig variabel ID]]),INDEX(DataTitel_liste,IF(LineærRegression_Valg[[#This Row],[Afhængig variabel ID]]=1,2,1))),$B$7)</f>
        <v>Eksempel 2 (interval)</v>
      </c>
      <c r="H2388" s="45">
        <f>_xlfn.AGGREGATE(2,5,LineærRegression_Valg[[#This Row],[Tabel ID]])</f>
        <v>1</v>
      </c>
    </row>
    <row r="2389" spans="1:8" x14ac:dyDescent="0.2">
      <c r="A2389">
        <f>ROW(LineærRegression_Valg[[#This Row],[Tabel ID]])-ROW(LineærRegression_Valg[[#Headers],[Tabel ID]])</f>
        <v>2379</v>
      </c>
      <c r="B2389" s="45">
        <f>ROUNDDOWN((LineærRegression_Valg[[#This Row],[Tabel ID]]-1)/$B$5,0)+1</f>
        <v>595</v>
      </c>
      <c r="C2389" s="45">
        <f t="shared" si="37"/>
        <v>3</v>
      </c>
      <c r="D2389" s="45" t="b">
        <f>LineærRegression_Valg[[#This Row],[Afhængig variabel ID]]&lt;&gt;LineærRegression_Valg[[#This Row],[Uafhængig variabel ID]]</f>
        <v>1</v>
      </c>
      <c r="E2389" s="45" t="b">
        <f>LineærRegression_Valg[[#This Row],[Afhængig variabel ID]]&lt;=$B$5</f>
        <v>0</v>
      </c>
      <c r="F2389" t="str" cm="1">
        <f t="array" ref="F2389">IF(LineærRegression_Valg[[#This Row],[Indenfor range]],INDEX(DataTitel_liste,LineærRegression_Valg[[#This Row],[Afhængig variabel ID]]),INDEX(DataTitel_liste,1))</f>
        <v>Eksempel 1 (interval)</v>
      </c>
      <c r="G2389" s="45" t="str" cm="1">
        <f t="array" ref="G2389">IF(LineærRegression_Valg[[#This Row],[Indenfor range]],IF(LineærRegression_Valg[[#This Row],[Intet overlap]],INDEX(DataTitel_liste,LineærRegression_Valg[[#This Row],[Uafhængig variabel ID]]),INDEX(DataTitel_liste,IF(LineærRegression_Valg[[#This Row],[Afhængig variabel ID]]=1,2,1))),$B$7)</f>
        <v>Eksempel 2 (interval)</v>
      </c>
      <c r="H2389" s="45">
        <f>_xlfn.AGGREGATE(2,5,LineærRegression_Valg[[#This Row],[Tabel ID]])</f>
        <v>1</v>
      </c>
    </row>
    <row r="2390" spans="1:8" x14ac:dyDescent="0.2">
      <c r="A2390">
        <f>ROW(LineærRegression_Valg[[#This Row],[Tabel ID]])-ROW(LineærRegression_Valg[[#Headers],[Tabel ID]])</f>
        <v>2380</v>
      </c>
      <c r="B2390" s="45">
        <f>ROUNDDOWN((LineærRegression_Valg[[#This Row],[Tabel ID]]-1)/$B$5,0)+1</f>
        <v>595</v>
      </c>
      <c r="C2390" s="45">
        <f t="shared" si="37"/>
        <v>4</v>
      </c>
      <c r="D2390" s="45" t="b">
        <f>LineærRegression_Valg[[#This Row],[Afhængig variabel ID]]&lt;&gt;LineærRegression_Valg[[#This Row],[Uafhængig variabel ID]]</f>
        <v>1</v>
      </c>
      <c r="E2390" s="45" t="b">
        <f>LineærRegression_Valg[[#This Row],[Afhængig variabel ID]]&lt;=$B$5</f>
        <v>0</v>
      </c>
      <c r="F2390" t="str" cm="1">
        <f t="array" ref="F2390">IF(LineærRegression_Valg[[#This Row],[Indenfor range]],INDEX(DataTitel_liste,LineærRegression_Valg[[#This Row],[Afhængig variabel ID]]),INDEX(DataTitel_liste,1))</f>
        <v>Eksempel 1 (interval)</v>
      </c>
      <c r="G2390" s="45" t="str" cm="1">
        <f t="array" ref="G2390">IF(LineærRegression_Valg[[#This Row],[Indenfor range]],IF(LineærRegression_Valg[[#This Row],[Intet overlap]],INDEX(DataTitel_liste,LineærRegression_Valg[[#This Row],[Uafhængig variabel ID]]),INDEX(DataTitel_liste,IF(LineærRegression_Valg[[#This Row],[Afhængig variabel ID]]=1,2,1))),$B$7)</f>
        <v>Eksempel 2 (interval)</v>
      </c>
      <c r="H2390" s="45">
        <f>_xlfn.AGGREGATE(2,5,LineærRegression_Valg[[#This Row],[Tabel ID]])</f>
        <v>1</v>
      </c>
    </row>
    <row r="2391" spans="1:8" x14ac:dyDescent="0.2">
      <c r="A2391">
        <f>ROW(LineærRegression_Valg[[#This Row],[Tabel ID]])-ROW(LineærRegression_Valg[[#Headers],[Tabel ID]])</f>
        <v>2381</v>
      </c>
      <c r="B2391" s="45">
        <f>ROUNDDOWN((LineærRegression_Valg[[#This Row],[Tabel ID]]-1)/$B$5,0)+1</f>
        <v>596</v>
      </c>
      <c r="C2391" s="45">
        <f t="shared" si="37"/>
        <v>1</v>
      </c>
      <c r="D2391" s="45" t="b">
        <f>LineærRegression_Valg[[#This Row],[Afhængig variabel ID]]&lt;&gt;LineærRegression_Valg[[#This Row],[Uafhængig variabel ID]]</f>
        <v>1</v>
      </c>
      <c r="E2391" s="45" t="b">
        <f>LineærRegression_Valg[[#This Row],[Afhængig variabel ID]]&lt;=$B$5</f>
        <v>0</v>
      </c>
      <c r="F2391" t="str" cm="1">
        <f t="array" ref="F2391">IF(LineærRegression_Valg[[#This Row],[Indenfor range]],INDEX(DataTitel_liste,LineærRegression_Valg[[#This Row],[Afhængig variabel ID]]),INDEX(DataTitel_liste,1))</f>
        <v>Eksempel 1 (interval)</v>
      </c>
      <c r="G2391" s="45" t="str" cm="1">
        <f t="array" ref="G2391">IF(LineærRegression_Valg[[#This Row],[Indenfor range]],IF(LineærRegression_Valg[[#This Row],[Intet overlap]],INDEX(DataTitel_liste,LineærRegression_Valg[[#This Row],[Uafhængig variabel ID]]),INDEX(DataTitel_liste,IF(LineærRegression_Valg[[#This Row],[Afhængig variabel ID]]=1,2,1))),$B$7)</f>
        <v>Eksempel 2 (interval)</v>
      </c>
      <c r="H2391" s="45">
        <f>_xlfn.AGGREGATE(2,5,LineærRegression_Valg[[#This Row],[Tabel ID]])</f>
        <v>1</v>
      </c>
    </row>
    <row r="2392" spans="1:8" x14ac:dyDescent="0.2">
      <c r="A2392">
        <f>ROW(LineærRegression_Valg[[#This Row],[Tabel ID]])-ROW(LineærRegression_Valg[[#Headers],[Tabel ID]])</f>
        <v>2382</v>
      </c>
      <c r="B2392" s="45">
        <f>ROUNDDOWN((LineærRegression_Valg[[#This Row],[Tabel ID]]-1)/$B$5,0)+1</f>
        <v>596</v>
      </c>
      <c r="C2392" s="45">
        <f t="shared" si="37"/>
        <v>2</v>
      </c>
      <c r="D2392" s="45" t="b">
        <f>LineærRegression_Valg[[#This Row],[Afhængig variabel ID]]&lt;&gt;LineærRegression_Valg[[#This Row],[Uafhængig variabel ID]]</f>
        <v>1</v>
      </c>
      <c r="E2392" s="45" t="b">
        <f>LineærRegression_Valg[[#This Row],[Afhængig variabel ID]]&lt;=$B$5</f>
        <v>0</v>
      </c>
      <c r="F2392" t="str" cm="1">
        <f t="array" ref="F2392">IF(LineærRegression_Valg[[#This Row],[Indenfor range]],INDEX(DataTitel_liste,LineærRegression_Valg[[#This Row],[Afhængig variabel ID]]),INDEX(DataTitel_liste,1))</f>
        <v>Eksempel 1 (interval)</v>
      </c>
      <c r="G2392" s="45" t="str" cm="1">
        <f t="array" ref="G2392">IF(LineærRegression_Valg[[#This Row],[Indenfor range]],IF(LineærRegression_Valg[[#This Row],[Intet overlap]],INDEX(DataTitel_liste,LineærRegression_Valg[[#This Row],[Uafhængig variabel ID]]),INDEX(DataTitel_liste,IF(LineærRegression_Valg[[#This Row],[Afhængig variabel ID]]=1,2,1))),$B$7)</f>
        <v>Eksempel 2 (interval)</v>
      </c>
      <c r="H2392" s="45">
        <f>_xlfn.AGGREGATE(2,5,LineærRegression_Valg[[#This Row],[Tabel ID]])</f>
        <v>1</v>
      </c>
    </row>
    <row r="2393" spans="1:8" x14ac:dyDescent="0.2">
      <c r="A2393">
        <f>ROW(LineærRegression_Valg[[#This Row],[Tabel ID]])-ROW(LineærRegression_Valg[[#Headers],[Tabel ID]])</f>
        <v>2383</v>
      </c>
      <c r="B2393" s="45">
        <f>ROUNDDOWN((LineærRegression_Valg[[#This Row],[Tabel ID]]-1)/$B$5,0)+1</f>
        <v>596</v>
      </c>
      <c r="C2393" s="45">
        <f t="shared" si="37"/>
        <v>3</v>
      </c>
      <c r="D2393" s="45" t="b">
        <f>LineærRegression_Valg[[#This Row],[Afhængig variabel ID]]&lt;&gt;LineærRegression_Valg[[#This Row],[Uafhængig variabel ID]]</f>
        <v>1</v>
      </c>
      <c r="E2393" s="45" t="b">
        <f>LineærRegression_Valg[[#This Row],[Afhængig variabel ID]]&lt;=$B$5</f>
        <v>0</v>
      </c>
      <c r="F2393" t="str" cm="1">
        <f t="array" ref="F2393">IF(LineærRegression_Valg[[#This Row],[Indenfor range]],INDEX(DataTitel_liste,LineærRegression_Valg[[#This Row],[Afhængig variabel ID]]),INDEX(DataTitel_liste,1))</f>
        <v>Eksempel 1 (interval)</v>
      </c>
      <c r="G2393" s="45" t="str" cm="1">
        <f t="array" ref="G2393">IF(LineærRegression_Valg[[#This Row],[Indenfor range]],IF(LineærRegression_Valg[[#This Row],[Intet overlap]],INDEX(DataTitel_liste,LineærRegression_Valg[[#This Row],[Uafhængig variabel ID]]),INDEX(DataTitel_liste,IF(LineærRegression_Valg[[#This Row],[Afhængig variabel ID]]=1,2,1))),$B$7)</f>
        <v>Eksempel 2 (interval)</v>
      </c>
      <c r="H2393" s="45">
        <f>_xlfn.AGGREGATE(2,5,LineærRegression_Valg[[#This Row],[Tabel ID]])</f>
        <v>1</v>
      </c>
    </row>
    <row r="2394" spans="1:8" x14ac:dyDescent="0.2">
      <c r="A2394">
        <f>ROW(LineærRegression_Valg[[#This Row],[Tabel ID]])-ROW(LineærRegression_Valg[[#Headers],[Tabel ID]])</f>
        <v>2384</v>
      </c>
      <c r="B2394" s="45">
        <f>ROUNDDOWN((LineærRegression_Valg[[#This Row],[Tabel ID]]-1)/$B$5,0)+1</f>
        <v>596</v>
      </c>
      <c r="C2394" s="45">
        <f t="shared" si="37"/>
        <v>4</v>
      </c>
      <c r="D2394" s="45" t="b">
        <f>LineærRegression_Valg[[#This Row],[Afhængig variabel ID]]&lt;&gt;LineærRegression_Valg[[#This Row],[Uafhængig variabel ID]]</f>
        <v>1</v>
      </c>
      <c r="E2394" s="45" t="b">
        <f>LineærRegression_Valg[[#This Row],[Afhængig variabel ID]]&lt;=$B$5</f>
        <v>0</v>
      </c>
      <c r="F2394" t="str" cm="1">
        <f t="array" ref="F2394">IF(LineærRegression_Valg[[#This Row],[Indenfor range]],INDEX(DataTitel_liste,LineærRegression_Valg[[#This Row],[Afhængig variabel ID]]),INDEX(DataTitel_liste,1))</f>
        <v>Eksempel 1 (interval)</v>
      </c>
      <c r="G2394" s="45" t="str" cm="1">
        <f t="array" ref="G2394">IF(LineærRegression_Valg[[#This Row],[Indenfor range]],IF(LineærRegression_Valg[[#This Row],[Intet overlap]],INDEX(DataTitel_liste,LineærRegression_Valg[[#This Row],[Uafhængig variabel ID]]),INDEX(DataTitel_liste,IF(LineærRegression_Valg[[#This Row],[Afhængig variabel ID]]=1,2,1))),$B$7)</f>
        <v>Eksempel 2 (interval)</v>
      </c>
      <c r="H2394" s="45">
        <f>_xlfn.AGGREGATE(2,5,LineærRegression_Valg[[#This Row],[Tabel ID]])</f>
        <v>1</v>
      </c>
    </row>
    <row r="2395" spans="1:8" x14ac:dyDescent="0.2">
      <c r="A2395">
        <f>ROW(LineærRegression_Valg[[#This Row],[Tabel ID]])-ROW(LineærRegression_Valg[[#Headers],[Tabel ID]])</f>
        <v>2385</v>
      </c>
      <c r="B2395" s="45">
        <f>ROUNDDOWN((LineærRegression_Valg[[#This Row],[Tabel ID]]-1)/$B$5,0)+1</f>
        <v>597</v>
      </c>
      <c r="C2395" s="45">
        <f t="shared" si="37"/>
        <v>1</v>
      </c>
      <c r="D2395" s="45" t="b">
        <f>LineærRegression_Valg[[#This Row],[Afhængig variabel ID]]&lt;&gt;LineærRegression_Valg[[#This Row],[Uafhængig variabel ID]]</f>
        <v>1</v>
      </c>
      <c r="E2395" s="45" t="b">
        <f>LineærRegression_Valg[[#This Row],[Afhængig variabel ID]]&lt;=$B$5</f>
        <v>0</v>
      </c>
      <c r="F2395" t="str" cm="1">
        <f t="array" ref="F2395">IF(LineærRegression_Valg[[#This Row],[Indenfor range]],INDEX(DataTitel_liste,LineærRegression_Valg[[#This Row],[Afhængig variabel ID]]),INDEX(DataTitel_liste,1))</f>
        <v>Eksempel 1 (interval)</v>
      </c>
      <c r="G2395" s="45" t="str" cm="1">
        <f t="array" ref="G2395">IF(LineærRegression_Valg[[#This Row],[Indenfor range]],IF(LineærRegression_Valg[[#This Row],[Intet overlap]],INDEX(DataTitel_liste,LineærRegression_Valg[[#This Row],[Uafhængig variabel ID]]),INDEX(DataTitel_liste,IF(LineærRegression_Valg[[#This Row],[Afhængig variabel ID]]=1,2,1))),$B$7)</f>
        <v>Eksempel 2 (interval)</v>
      </c>
      <c r="H2395" s="45">
        <f>_xlfn.AGGREGATE(2,5,LineærRegression_Valg[[#This Row],[Tabel ID]])</f>
        <v>1</v>
      </c>
    </row>
    <row r="2396" spans="1:8" x14ac:dyDescent="0.2">
      <c r="A2396">
        <f>ROW(LineærRegression_Valg[[#This Row],[Tabel ID]])-ROW(LineærRegression_Valg[[#Headers],[Tabel ID]])</f>
        <v>2386</v>
      </c>
      <c r="B2396" s="45">
        <f>ROUNDDOWN((LineærRegression_Valg[[#This Row],[Tabel ID]]-1)/$B$5,0)+1</f>
        <v>597</v>
      </c>
      <c r="C2396" s="45">
        <f t="shared" si="37"/>
        <v>2</v>
      </c>
      <c r="D2396" s="45" t="b">
        <f>LineærRegression_Valg[[#This Row],[Afhængig variabel ID]]&lt;&gt;LineærRegression_Valg[[#This Row],[Uafhængig variabel ID]]</f>
        <v>1</v>
      </c>
      <c r="E2396" s="45" t="b">
        <f>LineærRegression_Valg[[#This Row],[Afhængig variabel ID]]&lt;=$B$5</f>
        <v>0</v>
      </c>
      <c r="F2396" t="str" cm="1">
        <f t="array" ref="F2396">IF(LineærRegression_Valg[[#This Row],[Indenfor range]],INDEX(DataTitel_liste,LineærRegression_Valg[[#This Row],[Afhængig variabel ID]]),INDEX(DataTitel_liste,1))</f>
        <v>Eksempel 1 (interval)</v>
      </c>
      <c r="G2396" s="45" t="str" cm="1">
        <f t="array" ref="G2396">IF(LineærRegression_Valg[[#This Row],[Indenfor range]],IF(LineærRegression_Valg[[#This Row],[Intet overlap]],INDEX(DataTitel_liste,LineærRegression_Valg[[#This Row],[Uafhængig variabel ID]]),INDEX(DataTitel_liste,IF(LineærRegression_Valg[[#This Row],[Afhængig variabel ID]]=1,2,1))),$B$7)</f>
        <v>Eksempel 2 (interval)</v>
      </c>
      <c r="H2396" s="45">
        <f>_xlfn.AGGREGATE(2,5,LineærRegression_Valg[[#This Row],[Tabel ID]])</f>
        <v>1</v>
      </c>
    </row>
    <row r="2397" spans="1:8" x14ac:dyDescent="0.2">
      <c r="A2397">
        <f>ROW(LineærRegression_Valg[[#This Row],[Tabel ID]])-ROW(LineærRegression_Valg[[#Headers],[Tabel ID]])</f>
        <v>2387</v>
      </c>
      <c r="B2397" s="45">
        <f>ROUNDDOWN((LineærRegression_Valg[[#This Row],[Tabel ID]]-1)/$B$5,0)+1</f>
        <v>597</v>
      </c>
      <c r="C2397" s="45">
        <f t="shared" si="37"/>
        <v>3</v>
      </c>
      <c r="D2397" s="45" t="b">
        <f>LineærRegression_Valg[[#This Row],[Afhængig variabel ID]]&lt;&gt;LineærRegression_Valg[[#This Row],[Uafhængig variabel ID]]</f>
        <v>1</v>
      </c>
      <c r="E2397" s="45" t="b">
        <f>LineærRegression_Valg[[#This Row],[Afhængig variabel ID]]&lt;=$B$5</f>
        <v>0</v>
      </c>
      <c r="F2397" t="str" cm="1">
        <f t="array" ref="F2397">IF(LineærRegression_Valg[[#This Row],[Indenfor range]],INDEX(DataTitel_liste,LineærRegression_Valg[[#This Row],[Afhængig variabel ID]]),INDEX(DataTitel_liste,1))</f>
        <v>Eksempel 1 (interval)</v>
      </c>
      <c r="G2397" s="45" t="str" cm="1">
        <f t="array" ref="G2397">IF(LineærRegression_Valg[[#This Row],[Indenfor range]],IF(LineærRegression_Valg[[#This Row],[Intet overlap]],INDEX(DataTitel_liste,LineærRegression_Valg[[#This Row],[Uafhængig variabel ID]]),INDEX(DataTitel_liste,IF(LineærRegression_Valg[[#This Row],[Afhængig variabel ID]]=1,2,1))),$B$7)</f>
        <v>Eksempel 2 (interval)</v>
      </c>
      <c r="H2397" s="45">
        <f>_xlfn.AGGREGATE(2,5,LineærRegression_Valg[[#This Row],[Tabel ID]])</f>
        <v>1</v>
      </c>
    </row>
    <row r="2398" spans="1:8" x14ac:dyDescent="0.2">
      <c r="A2398">
        <f>ROW(LineærRegression_Valg[[#This Row],[Tabel ID]])-ROW(LineærRegression_Valg[[#Headers],[Tabel ID]])</f>
        <v>2388</v>
      </c>
      <c r="B2398" s="45">
        <f>ROUNDDOWN((LineærRegression_Valg[[#This Row],[Tabel ID]]-1)/$B$5,0)+1</f>
        <v>597</v>
      </c>
      <c r="C2398" s="45">
        <f t="shared" si="37"/>
        <v>4</v>
      </c>
      <c r="D2398" s="45" t="b">
        <f>LineærRegression_Valg[[#This Row],[Afhængig variabel ID]]&lt;&gt;LineærRegression_Valg[[#This Row],[Uafhængig variabel ID]]</f>
        <v>1</v>
      </c>
      <c r="E2398" s="45" t="b">
        <f>LineærRegression_Valg[[#This Row],[Afhængig variabel ID]]&lt;=$B$5</f>
        <v>0</v>
      </c>
      <c r="F2398" t="str" cm="1">
        <f t="array" ref="F2398">IF(LineærRegression_Valg[[#This Row],[Indenfor range]],INDEX(DataTitel_liste,LineærRegression_Valg[[#This Row],[Afhængig variabel ID]]),INDEX(DataTitel_liste,1))</f>
        <v>Eksempel 1 (interval)</v>
      </c>
      <c r="G2398" s="45" t="str" cm="1">
        <f t="array" ref="G2398">IF(LineærRegression_Valg[[#This Row],[Indenfor range]],IF(LineærRegression_Valg[[#This Row],[Intet overlap]],INDEX(DataTitel_liste,LineærRegression_Valg[[#This Row],[Uafhængig variabel ID]]),INDEX(DataTitel_liste,IF(LineærRegression_Valg[[#This Row],[Afhængig variabel ID]]=1,2,1))),$B$7)</f>
        <v>Eksempel 2 (interval)</v>
      </c>
      <c r="H2398" s="45">
        <f>_xlfn.AGGREGATE(2,5,LineærRegression_Valg[[#This Row],[Tabel ID]])</f>
        <v>1</v>
      </c>
    </row>
    <row r="2399" spans="1:8" x14ac:dyDescent="0.2">
      <c r="A2399">
        <f>ROW(LineærRegression_Valg[[#This Row],[Tabel ID]])-ROW(LineærRegression_Valg[[#Headers],[Tabel ID]])</f>
        <v>2389</v>
      </c>
      <c r="B2399" s="45">
        <f>ROUNDDOWN((LineærRegression_Valg[[#This Row],[Tabel ID]]-1)/$B$5,0)+1</f>
        <v>598</v>
      </c>
      <c r="C2399" s="45">
        <f t="shared" si="37"/>
        <v>1</v>
      </c>
      <c r="D2399" s="45" t="b">
        <f>LineærRegression_Valg[[#This Row],[Afhængig variabel ID]]&lt;&gt;LineærRegression_Valg[[#This Row],[Uafhængig variabel ID]]</f>
        <v>1</v>
      </c>
      <c r="E2399" s="45" t="b">
        <f>LineærRegression_Valg[[#This Row],[Afhængig variabel ID]]&lt;=$B$5</f>
        <v>0</v>
      </c>
      <c r="F2399" t="str" cm="1">
        <f t="array" ref="F2399">IF(LineærRegression_Valg[[#This Row],[Indenfor range]],INDEX(DataTitel_liste,LineærRegression_Valg[[#This Row],[Afhængig variabel ID]]),INDEX(DataTitel_liste,1))</f>
        <v>Eksempel 1 (interval)</v>
      </c>
      <c r="G2399" s="45" t="str" cm="1">
        <f t="array" ref="G2399">IF(LineærRegression_Valg[[#This Row],[Indenfor range]],IF(LineærRegression_Valg[[#This Row],[Intet overlap]],INDEX(DataTitel_liste,LineærRegression_Valg[[#This Row],[Uafhængig variabel ID]]),INDEX(DataTitel_liste,IF(LineærRegression_Valg[[#This Row],[Afhængig variabel ID]]=1,2,1))),$B$7)</f>
        <v>Eksempel 2 (interval)</v>
      </c>
      <c r="H2399" s="45">
        <f>_xlfn.AGGREGATE(2,5,LineærRegression_Valg[[#This Row],[Tabel ID]])</f>
        <v>1</v>
      </c>
    </row>
    <row r="2400" spans="1:8" x14ac:dyDescent="0.2">
      <c r="A2400">
        <f>ROW(LineærRegression_Valg[[#This Row],[Tabel ID]])-ROW(LineærRegression_Valg[[#Headers],[Tabel ID]])</f>
        <v>2390</v>
      </c>
      <c r="B2400" s="45">
        <f>ROUNDDOWN((LineærRegression_Valg[[#This Row],[Tabel ID]]-1)/$B$5,0)+1</f>
        <v>598</v>
      </c>
      <c r="C2400" s="45">
        <f t="shared" si="37"/>
        <v>2</v>
      </c>
      <c r="D2400" s="45" t="b">
        <f>LineærRegression_Valg[[#This Row],[Afhængig variabel ID]]&lt;&gt;LineærRegression_Valg[[#This Row],[Uafhængig variabel ID]]</f>
        <v>1</v>
      </c>
      <c r="E2400" s="45" t="b">
        <f>LineærRegression_Valg[[#This Row],[Afhængig variabel ID]]&lt;=$B$5</f>
        <v>0</v>
      </c>
      <c r="F2400" t="str" cm="1">
        <f t="array" ref="F2400">IF(LineærRegression_Valg[[#This Row],[Indenfor range]],INDEX(DataTitel_liste,LineærRegression_Valg[[#This Row],[Afhængig variabel ID]]),INDEX(DataTitel_liste,1))</f>
        <v>Eksempel 1 (interval)</v>
      </c>
      <c r="G2400" s="45" t="str" cm="1">
        <f t="array" ref="G2400">IF(LineærRegression_Valg[[#This Row],[Indenfor range]],IF(LineærRegression_Valg[[#This Row],[Intet overlap]],INDEX(DataTitel_liste,LineærRegression_Valg[[#This Row],[Uafhængig variabel ID]]),INDEX(DataTitel_liste,IF(LineærRegression_Valg[[#This Row],[Afhængig variabel ID]]=1,2,1))),$B$7)</f>
        <v>Eksempel 2 (interval)</v>
      </c>
      <c r="H2400" s="45">
        <f>_xlfn.AGGREGATE(2,5,LineærRegression_Valg[[#This Row],[Tabel ID]])</f>
        <v>1</v>
      </c>
    </row>
    <row r="2401" spans="1:8" x14ac:dyDescent="0.2">
      <c r="A2401">
        <f>ROW(LineærRegression_Valg[[#This Row],[Tabel ID]])-ROW(LineærRegression_Valg[[#Headers],[Tabel ID]])</f>
        <v>2391</v>
      </c>
      <c r="B2401" s="45">
        <f>ROUNDDOWN((LineærRegression_Valg[[#This Row],[Tabel ID]]-1)/$B$5,0)+1</f>
        <v>598</v>
      </c>
      <c r="C2401" s="45">
        <f t="shared" si="37"/>
        <v>3</v>
      </c>
      <c r="D2401" s="45" t="b">
        <f>LineærRegression_Valg[[#This Row],[Afhængig variabel ID]]&lt;&gt;LineærRegression_Valg[[#This Row],[Uafhængig variabel ID]]</f>
        <v>1</v>
      </c>
      <c r="E2401" s="45" t="b">
        <f>LineærRegression_Valg[[#This Row],[Afhængig variabel ID]]&lt;=$B$5</f>
        <v>0</v>
      </c>
      <c r="F2401" t="str" cm="1">
        <f t="array" ref="F2401">IF(LineærRegression_Valg[[#This Row],[Indenfor range]],INDEX(DataTitel_liste,LineærRegression_Valg[[#This Row],[Afhængig variabel ID]]),INDEX(DataTitel_liste,1))</f>
        <v>Eksempel 1 (interval)</v>
      </c>
      <c r="G2401" s="45" t="str" cm="1">
        <f t="array" ref="G2401">IF(LineærRegression_Valg[[#This Row],[Indenfor range]],IF(LineærRegression_Valg[[#This Row],[Intet overlap]],INDEX(DataTitel_liste,LineærRegression_Valg[[#This Row],[Uafhængig variabel ID]]),INDEX(DataTitel_liste,IF(LineærRegression_Valg[[#This Row],[Afhængig variabel ID]]=1,2,1))),$B$7)</f>
        <v>Eksempel 2 (interval)</v>
      </c>
      <c r="H2401" s="45">
        <f>_xlfn.AGGREGATE(2,5,LineærRegression_Valg[[#This Row],[Tabel ID]])</f>
        <v>1</v>
      </c>
    </row>
    <row r="2402" spans="1:8" x14ac:dyDescent="0.2">
      <c r="A2402">
        <f>ROW(LineærRegression_Valg[[#This Row],[Tabel ID]])-ROW(LineærRegression_Valg[[#Headers],[Tabel ID]])</f>
        <v>2392</v>
      </c>
      <c r="B2402" s="45">
        <f>ROUNDDOWN((LineærRegression_Valg[[#This Row],[Tabel ID]]-1)/$B$5,0)+1</f>
        <v>598</v>
      </c>
      <c r="C2402" s="45">
        <f t="shared" si="37"/>
        <v>4</v>
      </c>
      <c r="D2402" s="45" t="b">
        <f>LineærRegression_Valg[[#This Row],[Afhængig variabel ID]]&lt;&gt;LineærRegression_Valg[[#This Row],[Uafhængig variabel ID]]</f>
        <v>1</v>
      </c>
      <c r="E2402" s="45" t="b">
        <f>LineærRegression_Valg[[#This Row],[Afhængig variabel ID]]&lt;=$B$5</f>
        <v>0</v>
      </c>
      <c r="F2402" t="str" cm="1">
        <f t="array" ref="F2402">IF(LineærRegression_Valg[[#This Row],[Indenfor range]],INDEX(DataTitel_liste,LineærRegression_Valg[[#This Row],[Afhængig variabel ID]]),INDEX(DataTitel_liste,1))</f>
        <v>Eksempel 1 (interval)</v>
      </c>
      <c r="G2402" s="45" t="str" cm="1">
        <f t="array" ref="G2402">IF(LineærRegression_Valg[[#This Row],[Indenfor range]],IF(LineærRegression_Valg[[#This Row],[Intet overlap]],INDEX(DataTitel_liste,LineærRegression_Valg[[#This Row],[Uafhængig variabel ID]]),INDEX(DataTitel_liste,IF(LineærRegression_Valg[[#This Row],[Afhængig variabel ID]]=1,2,1))),$B$7)</f>
        <v>Eksempel 2 (interval)</v>
      </c>
      <c r="H2402" s="45">
        <f>_xlfn.AGGREGATE(2,5,LineærRegression_Valg[[#This Row],[Tabel ID]])</f>
        <v>1</v>
      </c>
    </row>
    <row r="2403" spans="1:8" x14ac:dyDescent="0.2">
      <c r="A2403">
        <f>ROW(LineærRegression_Valg[[#This Row],[Tabel ID]])-ROW(LineærRegression_Valg[[#Headers],[Tabel ID]])</f>
        <v>2393</v>
      </c>
      <c r="B2403" s="45">
        <f>ROUNDDOWN((LineærRegression_Valg[[#This Row],[Tabel ID]]-1)/$B$5,0)+1</f>
        <v>599</v>
      </c>
      <c r="C2403" s="45">
        <f t="shared" si="37"/>
        <v>1</v>
      </c>
      <c r="D2403" s="45" t="b">
        <f>LineærRegression_Valg[[#This Row],[Afhængig variabel ID]]&lt;&gt;LineærRegression_Valg[[#This Row],[Uafhængig variabel ID]]</f>
        <v>1</v>
      </c>
      <c r="E2403" s="45" t="b">
        <f>LineærRegression_Valg[[#This Row],[Afhængig variabel ID]]&lt;=$B$5</f>
        <v>0</v>
      </c>
      <c r="F2403" t="str" cm="1">
        <f t="array" ref="F2403">IF(LineærRegression_Valg[[#This Row],[Indenfor range]],INDEX(DataTitel_liste,LineærRegression_Valg[[#This Row],[Afhængig variabel ID]]),INDEX(DataTitel_liste,1))</f>
        <v>Eksempel 1 (interval)</v>
      </c>
      <c r="G2403" s="45" t="str" cm="1">
        <f t="array" ref="G2403">IF(LineærRegression_Valg[[#This Row],[Indenfor range]],IF(LineærRegression_Valg[[#This Row],[Intet overlap]],INDEX(DataTitel_liste,LineærRegression_Valg[[#This Row],[Uafhængig variabel ID]]),INDEX(DataTitel_liste,IF(LineærRegression_Valg[[#This Row],[Afhængig variabel ID]]=1,2,1))),$B$7)</f>
        <v>Eksempel 2 (interval)</v>
      </c>
      <c r="H2403" s="45">
        <f>_xlfn.AGGREGATE(2,5,LineærRegression_Valg[[#This Row],[Tabel ID]])</f>
        <v>1</v>
      </c>
    </row>
    <row r="2404" spans="1:8" x14ac:dyDescent="0.2">
      <c r="A2404">
        <f>ROW(LineærRegression_Valg[[#This Row],[Tabel ID]])-ROW(LineærRegression_Valg[[#Headers],[Tabel ID]])</f>
        <v>2394</v>
      </c>
      <c r="B2404" s="45">
        <f>ROUNDDOWN((LineærRegression_Valg[[#This Row],[Tabel ID]]-1)/$B$5,0)+1</f>
        <v>599</v>
      </c>
      <c r="C2404" s="45">
        <f t="shared" si="37"/>
        <v>2</v>
      </c>
      <c r="D2404" s="45" t="b">
        <f>LineærRegression_Valg[[#This Row],[Afhængig variabel ID]]&lt;&gt;LineærRegression_Valg[[#This Row],[Uafhængig variabel ID]]</f>
        <v>1</v>
      </c>
      <c r="E2404" s="45" t="b">
        <f>LineærRegression_Valg[[#This Row],[Afhængig variabel ID]]&lt;=$B$5</f>
        <v>0</v>
      </c>
      <c r="F2404" t="str" cm="1">
        <f t="array" ref="F2404">IF(LineærRegression_Valg[[#This Row],[Indenfor range]],INDEX(DataTitel_liste,LineærRegression_Valg[[#This Row],[Afhængig variabel ID]]),INDEX(DataTitel_liste,1))</f>
        <v>Eksempel 1 (interval)</v>
      </c>
      <c r="G2404" s="45" t="str" cm="1">
        <f t="array" ref="G2404">IF(LineærRegression_Valg[[#This Row],[Indenfor range]],IF(LineærRegression_Valg[[#This Row],[Intet overlap]],INDEX(DataTitel_liste,LineærRegression_Valg[[#This Row],[Uafhængig variabel ID]]),INDEX(DataTitel_liste,IF(LineærRegression_Valg[[#This Row],[Afhængig variabel ID]]=1,2,1))),$B$7)</f>
        <v>Eksempel 2 (interval)</v>
      </c>
      <c r="H2404" s="45">
        <f>_xlfn.AGGREGATE(2,5,LineærRegression_Valg[[#This Row],[Tabel ID]])</f>
        <v>1</v>
      </c>
    </row>
    <row r="2405" spans="1:8" x14ac:dyDescent="0.2">
      <c r="A2405">
        <f>ROW(LineærRegression_Valg[[#This Row],[Tabel ID]])-ROW(LineærRegression_Valg[[#Headers],[Tabel ID]])</f>
        <v>2395</v>
      </c>
      <c r="B2405" s="45">
        <f>ROUNDDOWN((LineærRegression_Valg[[#This Row],[Tabel ID]]-1)/$B$5,0)+1</f>
        <v>599</v>
      </c>
      <c r="C2405" s="45">
        <f t="shared" si="37"/>
        <v>3</v>
      </c>
      <c r="D2405" s="45" t="b">
        <f>LineærRegression_Valg[[#This Row],[Afhængig variabel ID]]&lt;&gt;LineærRegression_Valg[[#This Row],[Uafhængig variabel ID]]</f>
        <v>1</v>
      </c>
      <c r="E2405" s="45" t="b">
        <f>LineærRegression_Valg[[#This Row],[Afhængig variabel ID]]&lt;=$B$5</f>
        <v>0</v>
      </c>
      <c r="F2405" t="str" cm="1">
        <f t="array" ref="F2405">IF(LineærRegression_Valg[[#This Row],[Indenfor range]],INDEX(DataTitel_liste,LineærRegression_Valg[[#This Row],[Afhængig variabel ID]]),INDEX(DataTitel_liste,1))</f>
        <v>Eksempel 1 (interval)</v>
      </c>
      <c r="G2405" s="45" t="str" cm="1">
        <f t="array" ref="G2405">IF(LineærRegression_Valg[[#This Row],[Indenfor range]],IF(LineærRegression_Valg[[#This Row],[Intet overlap]],INDEX(DataTitel_liste,LineærRegression_Valg[[#This Row],[Uafhængig variabel ID]]),INDEX(DataTitel_liste,IF(LineærRegression_Valg[[#This Row],[Afhængig variabel ID]]=1,2,1))),$B$7)</f>
        <v>Eksempel 2 (interval)</v>
      </c>
      <c r="H2405" s="45">
        <f>_xlfn.AGGREGATE(2,5,LineærRegression_Valg[[#This Row],[Tabel ID]])</f>
        <v>1</v>
      </c>
    </row>
    <row r="2406" spans="1:8" x14ac:dyDescent="0.2">
      <c r="A2406">
        <f>ROW(LineærRegression_Valg[[#This Row],[Tabel ID]])-ROW(LineærRegression_Valg[[#Headers],[Tabel ID]])</f>
        <v>2396</v>
      </c>
      <c r="B2406" s="45">
        <f>ROUNDDOWN((LineærRegression_Valg[[#This Row],[Tabel ID]]-1)/$B$5,0)+1</f>
        <v>599</v>
      </c>
      <c r="C2406" s="45">
        <f t="shared" si="37"/>
        <v>4</v>
      </c>
      <c r="D2406" s="45" t="b">
        <f>LineærRegression_Valg[[#This Row],[Afhængig variabel ID]]&lt;&gt;LineærRegression_Valg[[#This Row],[Uafhængig variabel ID]]</f>
        <v>1</v>
      </c>
      <c r="E2406" s="45" t="b">
        <f>LineærRegression_Valg[[#This Row],[Afhængig variabel ID]]&lt;=$B$5</f>
        <v>0</v>
      </c>
      <c r="F2406" t="str" cm="1">
        <f t="array" ref="F2406">IF(LineærRegression_Valg[[#This Row],[Indenfor range]],INDEX(DataTitel_liste,LineærRegression_Valg[[#This Row],[Afhængig variabel ID]]),INDEX(DataTitel_liste,1))</f>
        <v>Eksempel 1 (interval)</v>
      </c>
      <c r="G2406" s="45" t="str" cm="1">
        <f t="array" ref="G2406">IF(LineærRegression_Valg[[#This Row],[Indenfor range]],IF(LineærRegression_Valg[[#This Row],[Intet overlap]],INDEX(DataTitel_liste,LineærRegression_Valg[[#This Row],[Uafhængig variabel ID]]),INDEX(DataTitel_liste,IF(LineærRegression_Valg[[#This Row],[Afhængig variabel ID]]=1,2,1))),$B$7)</f>
        <v>Eksempel 2 (interval)</v>
      </c>
      <c r="H2406" s="45">
        <f>_xlfn.AGGREGATE(2,5,LineærRegression_Valg[[#This Row],[Tabel ID]])</f>
        <v>1</v>
      </c>
    </row>
    <row r="2407" spans="1:8" x14ac:dyDescent="0.2">
      <c r="A2407">
        <f>ROW(LineærRegression_Valg[[#This Row],[Tabel ID]])-ROW(LineærRegression_Valg[[#Headers],[Tabel ID]])</f>
        <v>2397</v>
      </c>
      <c r="B2407" s="45">
        <f>ROUNDDOWN((LineærRegression_Valg[[#This Row],[Tabel ID]]-1)/$B$5,0)+1</f>
        <v>600</v>
      </c>
      <c r="C2407" s="45">
        <f t="shared" si="37"/>
        <v>1</v>
      </c>
      <c r="D2407" s="45" t="b">
        <f>LineærRegression_Valg[[#This Row],[Afhængig variabel ID]]&lt;&gt;LineærRegression_Valg[[#This Row],[Uafhængig variabel ID]]</f>
        <v>1</v>
      </c>
      <c r="E2407" s="45" t="b">
        <f>LineærRegression_Valg[[#This Row],[Afhængig variabel ID]]&lt;=$B$5</f>
        <v>0</v>
      </c>
      <c r="F2407" t="str" cm="1">
        <f t="array" ref="F2407">IF(LineærRegression_Valg[[#This Row],[Indenfor range]],INDEX(DataTitel_liste,LineærRegression_Valg[[#This Row],[Afhængig variabel ID]]),INDEX(DataTitel_liste,1))</f>
        <v>Eksempel 1 (interval)</v>
      </c>
      <c r="G2407" s="45" t="str" cm="1">
        <f t="array" ref="G2407">IF(LineærRegression_Valg[[#This Row],[Indenfor range]],IF(LineærRegression_Valg[[#This Row],[Intet overlap]],INDEX(DataTitel_liste,LineærRegression_Valg[[#This Row],[Uafhængig variabel ID]]),INDEX(DataTitel_liste,IF(LineærRegression_Valg[[#This Row],[Afhængig variabel ID]]=1,2,1))),$B$7)</f>
        <v>Eksempel 2 (interval)</v>
      </c>
      <c r="H2407" s="45">
        <f>_xlfn.AGGREGATE(2,5,LineærRegression_Valg[[#This Row],[Tabel ID]])</f>
        <v>1</v>
      </c>
    </row>
    <row r="2408" spans="1:8" x14ac:dyDescent="0.2">
      <c r="A2408">
        <f>ROW(LineærRegression_Valg[[#This Row],[Tabel ID]])-ROW(LineærRegression_Valg[[#Headers],[Tabel ID]])</f>
        <v>2398</v>
      </c>
      <c r="B2408" s="45">
        <f>ROUNDDOWN((LineærRegression_Valg[[#This Row],[Tabel ID]]-1)/$B$5,0)+1</f>
        <v>600</v>
      </c>
      <c r="C2408" s="45">
        <f t="shared" si="37"/>
        <v>2</v>
      </c>
      <c r="D2408" s="45" t="b">
        <f>LineærRegression_Valg[[#This Row],[Afhængig variabel ID]]&lt;&gt;LineærRegression_Valg[[#This Row],[Uafhængig variabel ID]]</f>
        <v>1</v>
      </c>
      <c r="E2408" s="45" t="b">
        <f>LineærRegression_Valg[[#This Row],[Afhængig variabel ID]]&lt;=$B$5</f>
        <v>0</v>
      </c>
      <c r="F2408" t="str" cm="1">
        <f t="array" ref="F2408">IF(LineærRegression_Valg[[#This Row],[Indenfor range]],INDEX(DataTitel_liste,LineærRegression_Valg[[#This Row],[Afhængig variabel ID]]),INDEX(DataTitel_liste,1))</f>
        <v>Eksempel 1 (interval)</v>
      </c>
      <c r="G2408" s="45" t="str" cm="1">
        <f t="array" ref="G2408">IF(LineærRegression_Valg[[#This Row],[Indenfor range]],IF(LineærRegression_Valg[[#This Row],[Intet overlap]],INDEX(DataTitel_liste,LineærRegression_Valg[[#This Row],[Uafhængig variabel ID]]),INDEX(DataTitel_liste,IF(LineærRegression_Valg[[#This Row],[Afhængig variabel ID]]=1,2,1))),$B$7)</f>
        <v>Eksempel 2 (interval)</v>
      </c>
      <c r="H2408" s="45">
        <f>_xlfn.AGGREGATE(2,5,LineærRegression_Valg[[#This Row],[Tabel ID]])</f>
        <v>1</v>
      </c>
    </row>
    <row r="2409" spans="1:8" x14ac:dyDescent="0.2">
      <c r="A2409">
        <f>ROW(LineærRegression_Valg[[#This Row],[Tabel ID]])-ROW(LineærRegression_Valg[[#Headers],[Tabel ID]])</f>
        <v>2399</v>
      </c>
      <c r="B2409" s="45">
        <f>ROUNDDOWN((LineærRegression_Valg[[#This Row],[Tabel ID]]-1)/$B$5,0)+1</f>
        <v>600</v>
      </c>
      <c r="C2409" s="45">
        <f t="shared" si="37"/>
        <v>3</v>
      </c>
      <c r="D2409" s="45" t="b">
        <f>LineærRegression_Valg[[#This Row],[Afhængig variabel ID]]&lt;&gt;LineærRegression_Valg[[#This Row],[Uafhængig variabel ID]]</f>
        <v>1</v>
      </c>
      <c r="E2409" s="45" t="b">
        <f>LineærRegression_Valg[[#This Row],[Afhængig variabel ID]]&lt;=$B$5</f>
        <v>0</v>
      </c>
      <c r="F2409" t="str" cm="1">
        <f t="array" ref="F2409">IF(LineærRegression_Valg[[#This Row],[Indenfor range]],INDEX(DataTitel_liste,LineærRegression_Valg[[#This Row],[Afhængig variabel ID]]),INDEX(DataTitel_liste,1))</f>
        <v>Eksempel 1 (interval)</v>
      </c>
      <c r="G2409" s="45" t="str" cm="1">
        <f t="array" ref="G2409">IF(LineærRegression_Valg[[#This Row],[Indenfor range]],IF(LineærRegression_Valg[[#This Row],[Intet overlap]],INDEX(DataTitel_liste,LineærRegression_Valg[[#This Row],[Uafhængig variabel ID]]),INDEX(DataTitel_liste,IF(LineærRegression_Valg[[#This Row],[Afhængig variabel ID]]=1,2,1))),$B$7)</f>
        <v>Eksempel 2 (interval)</v>
      </c>
      <c r="H2409" s="45">
        <f>_xlfn.AGGREGATE(2,5,LineærRegression_Valg[[#This Row],[Tabel ID]])</f>
        <v>1</v>
      </c>
    </row>
    <row r="2410" spans="1:8" x14ac:dyDescent="0.2">
      <c r="A2410">
        <f>ROW(LineærRegression_Valg[[#This Row],[Tabel ID]])-ROW(LineærRegression_Valg[[#Headers],[Tabel ID]])</f>
        <v>2400</v>
      </c>
      <c r="B2410" s="45">
        <f>ROUNDDOWN((LineærRegression_Valg[[#This Row],[Tabel ID]]-1)/$B$5,0)+1</f>
        <v>600</v>
      </c>
      <c r="C2410" s="45">
        <f t="shared" si="37"/>
        <v>4</v>
      </c>
      <c r="D2410" s="45" t="b">
        <f>LineærRegression_Valg[[#This Row],[Afhængig variabel ID]]&lt;&gt;LineærRegression_Valg[[#This Row],[Uafhængig variabel ID]]</f>
        <v>1</v>
      </c>
      <c r="E2410" s="45" t="b">
        <f>LineærRegression_Valg[[#This Row],[Afhængig variabel ID]]&lt;=$B$5</f>
        <v>0</v>
      </c>
      <c r="F2410" t="str" cm="1">
        <f t="array" ref="F2410">IF(LineærRegression_Valg[[#This Row],[Indenfor range]],INDEX(DataTitel_liste,LineærRegression_Valg[[#This Row],[Afhængig variabel ID]]),INDEX(DataTitel_liste,1))</f>
        <v>Eksempel 1 (interval)</v>
      </c>
      <c r="G2410" s="45" t="str" cm="1">
        <f t="array" ref="G2410">IF(LineærRegression_Valg[[#This Row],[Indenfor range]],IF(LineærRegression_Valg[[#This Row],[Intet overlap]],INDEX(DataTitel_liste,LineærRegression_Valg[[#This Row],[Uafhængig variabel ID]]),INDEX(DataTitel_liste,IF(LineærRegression_Valg[[#This Row],[Afhængig variabel ID]]=1,2,1))),$B$7)</f>
        <v>Eksempel 2 (interval)</v>
      </c>
      <c r="H2410" s="45">
        <f>_xlfn.AGGREGATE(2,5,LineærRegression_Valg[[#This Row],[Tabel ID]])</f>
        <v>1</v>
      </c>
    </row>
    <row r="2411" spans="1:8" x14ac:dyDescent="0.2">
      <c r="A2411">
        <f>ROW(LineærRegression_Valg[[#This Row],[Tabel ID]])-ROW(LineærRegression_Valg[[#Headers],[Tabel ID]])</f>
        <v>2401</v>
      </c>
      <c r="B2411" s="45">
        <f>ROUNDDOWN((LineærRegression_Valg[[#This Row],[Tabel ID]]-1)/$B$5,0)+1</f>
        <v>601</v>
      </c>
      <c r="C2411" s="45">
        <f t="shared" si="37"/>
        <v>1</v>
      </c>
      <c r="D2411" s="45" t="b">
        <f>LineærRegression_Valg[[#This Row],[Afhængig variabel ID]]&lt;&gt;LineærRegression_Valg[[#This Row],[Uafhængig variabel ID]]</f>
        <v>1</v>
      </c>
      <c r="E2411" s="45" t="b">
        <f>LineærRegression_Valg[[#This Row],[Afhængig variabel ID]]&lt;=$B$5</f>
        <v>0</v>
      </c>
      <c r="F2411" t="str" cm="1">
        <f t="array" ref="F2411">IF(LineærRegression_Valg[[#This Row],[Indenfor range]],INDEX(DataTitel_liste,LineærRegression_Valg[[#This Row],[Afhængig variabel ID]]),INDEX(DataTitel_liste,1))</f>
        <v>Eksempel 1 (interval)</v>
      </c>
      <c r="G2411" s="45" t="str" cm="1">
        <f t="array" ref="G2411">IF(LineærRegression_Valg[[#This Row],[Indenfor range]],IF(LineærRegression_Valg[[#This Row],[Intet overlap]],INDEX(DataTitel_liste,LineærRegression_Valg[[#This Row],[Uafhængig variabel ID]]),INDEX(DataTitel_liste,IF(LineærRegression_Valg[[#This Row],[Afhængig variabel ID]]=1,2,1))),$B$7)</f>
        <v>Eksempel 2 (interval)</v>
      </c>
      <c r="H2411" s="45">
        <f>_xlfn.AGGREGATE(2,5,LineærRegression_Valg[[#This Row],[Tabel ID]])</f>
        <v>1</v>
      </c>
    </row>
    <row r="2412" spans="1:8" x14ac:dyDescent="0.2">
      <c r="A2412">
        <f>ROW(LineærRegression_Valg[[#This Row],[Tabel ID]])-ROW(LineærRegression_Valg[[#Headers],[Tabel ID]])</f>
        <v>2402</v>
      </c>
      <c r="B2412" s="45">
        <f>ROUNDDOWN((LineærRegression_Valg[[#This Row],[Tabel ID]]-1)/$B$5,0)+1</f>
        <v>601</v>
      </c>
      <c r="C2412" s="45">
        <f t="shared" si="37"/>
        <v>2</v>
      </c>
      <c r="D2412" s="45" t="b">
        <f>LineærRegression_Valg[[#This Row],[Afhængig variabel ID]]&lt;&gt;LineærRegression_Valg[[#This Row],[Uafhængig variabel ID]]</f>
        <v>1</v>
      </c>
      <c r="E2412" s="45" t="b">
        <f>LineærRegression_Valg[[#This Row],[Afhængig variabel ID]]&lt;=$B$5</f>
        <v>0</v>
      </c>
      <c r="F2412" t="str" cm="1">
        <f t="array" ref="F2412">IF(LineærRegression_Valg[[#This Row],[Indenfor range]],INDEX(DataTitel_liste,LineærRegression_Valg[[#This Row],[Afhængig variabel ID]]),INDEX(DataTitel_liste,1))</f>
        <v>Eksempel 1 (interval)</v>
      </c>
      <c r="G2412" s="45" t="str" cm="1">
        <f t="array" ref="G2412">IF(LineærRegression_Valg[[#This Row],[Indenfor range]],IF(LineærRegression_Valg[[#This Row],[Intet overlap]],INDEX(DataTitel_liste,LineærRegression_Valg[[#This Row],[Uafhængig variabel ID]]),INDEX(DataTitel_liste,IF(LineærRegression_Valg[[#This Row],[Afhængig variabel ID]]=1,2,1))),$B$7)</f>
        <v>Eksempel 2 (interval)</v>
      </c>
      <c r="H2412" s="45">
        <f>_xlfn.AGGREGATE(2,5,LineærRegression_Valg[[#This Row],[Tabel ID]])</f>
        <v>1</v>
      </c>
    </row>
    <row r="2413" spans="1:8" x14ac:dyDescent="0.2">
      <c r="A2413">
        <f>ROW(LineærRegression_Valg[[#This Row],[Tabel ID]])-ROW(LineærRegression_Valg[[#Headers],[Tabel ID]])</f>
        <v>2403</v>
      </c>
      <c r="B2413" s="45">
        <f>ROUNDDOWN((LineærRegression_Valg[[#This Row],[Tabel ID]]-1)/$B$5,0)+1</f>
        <v>601</v>
      </c>
      <c r="C2413" s="45">
        <f t="shared" si="37"/>
        <v>3</v>
      </c>
      <c r="D2413" s="45" t="b">
        <f>LineærRegression_Valg[[#This Row],[Afhængig variabel ID]]&lt;&gt;LineærRegression_Valg[[#This Row],[Uafhængig variabel ID]]</f>
        <v>1</v>
      </c>
      <c r="E2413" s="45" t="b">
        <f>LineærRegression_Valg[[#This Row],[Afhængig variabel ID]]&lt;=$B$5</f>
        <v>0</v>
      </c>
      <c r="F2413" t="str" cm="1">
        <f t="array" ref="F2413">IF(LineærRegression_Valg[[#This Row],[Indenfor range]],INDEX(DataTitel_liste,LineærRegression_Valg[[#This Row],[Afhængig variabel ID]]),INDEX(DataTitel_liste,1))</f>
        <v>Eksempel 1 (interval)</v>
      </c>
      <c r="G2413" s="45" t="str" cm="1">
        <f t="array" ref="G2413">IF(LineærRegression_Valg[[#This Row],[Indenfor range]],IF(LineærRegression_Valg[[#This Row],[Intet overlap]],INDEX(DataTitel_liste,LineærRegression_Valg[[#This Row],[Uafhængig variabel ID]]),INDEX(DataTitel_liste,IF(LineærRegression_Valg[[#This Row],[Afhængig variabel ID]]=1,2,1))),$B$7)</f>
        <v>Eksempel 2 (interval)</v>
      </c>
      <c r="H2413" s="45">
        <f>_xlfn.AGGREGATE(2,5,LineærRegression_Valg[[#This Row],[Tabel ID]])</f>
        <v>1</v>
      </c>
    </row>
    <row r="2414" spans="1:8" x14ac:dyDescent="0.2">
      <c r="A2414">
        <f>ROW(LineærRegression_Valg[[#This Row],[Tabel ID]])-ROW(LineærRegression_Valg[[#Headers],[Tabel ID]])</f>
        <v>2404</v>
      </c>
      <c r="B2414" s="45">
        <f>ROUNDDOWN((LineærRegression_Valg[[#This Row],[Tabel ID]]-1)/$B$5,0)+1</f>
        <v>601</v>
      </c>
      <c r="C2414" s="45">
        <f t="shared" si="37"/>
        <v>4</v>
      </c>
      <c r="D2414" s="45" t="b">
        <f>LineærRegression_Valg[[#This Row],[Afhængig variabel ID]]&lt;&gt;LineærRegression_Valg[[#This Row],[Uafhængig variabel ID]]</f>
        <v>1</v>
      </c>
      <c r="E2414" s="45" t="b">
        <f>LineærRegression_Valg[[#This Row],[Afhængig variabel ID]]&lt;=$B$5</f>
        <v>0</v>
      </c>
      <c r="F2414" t="str" cm="1">
        <f t="array" ref="F2414">IF(LineærRegression_Valg[[#This Row],[Indenfor range]],INDEX(DataTitel_liste,LineærRegression_Valg[[#This Row],[Afhængig variabel ID]]),INDEX(DataTitel_liste,1))</f>
        <v>Eksempel 1 (interval)</v>
      </c>
      <c r="G2414" s="45" t="str" cm="1">
        <f t="array" ref="G2414">IF(LineærRegression_Valg[[#This Row],[Indenfor range]],IF(LineærRegression_Valg[[#This Row],[Intet overlap]],INDEX(DataTitel_liste,LineærRegression_Valg[[#This Row],[Uafhængig variabel ID]]),INDEX(DataTitel_liste,IF(LineærRegression_Valg[[#This Row],[Afhængig variabel ID]]=1,2,1))),$B$7)</f>
        <v>Eksempel 2 (interval)</v>
      </c>
      <c r="H2414" s="45">
        <f>_xlfn.AGGREGATE(2,5,LineærRegression_Valg[[#This Row],[Tabel ID]])</f>
        <v>1</v>
      </c>
    </row>
    <row r="2415" spans="1:8" x14ac:dyDescent="0.2">
      <c r="A2415">
        <f>ROW(LineærRegression_Valg[[#This Row],[Tabel ID]])-ROW(LineærRegression_Valg[[#Headers],[Tabel ID]])</f>
        <v>2405</v>
      </c>
      <c r="B2415" s="45">
        <f>ROUNDDOWN((LineærRegression_Valg[[#This Row],[Tabel ID]]-1)/$B$5,0)+1</f>
        <v>602</v>
      </c>
      <c r="C2415" s="45">
        <f t="shared" si="37"/>
        <v>1</v>
      </c>
      <c r="D2415" s="45" t="b">
        <f>LineærRegression_Valg[[#This Row],[Afhængig variabel ID]]&lt;&gt;LineærRegression_Valg[[#This Row],[Uafhængig variabel ID]]</f>
        <v>1</v>
      </c>
      <c r="E2415" s="45" t="b">
        <f>LineærRegression_Valg[[#This Row],[Afhængig variabel ID]]&lt;=$B$5</f>
        <v>0</v>
      </c>
      <c r="F2415" t="str" cm="1">
        <f t="array" ref="F2415">IF(LineærRegression_Valg[[#This Row],[Indenfor range]],INDEX(DataTitel_liste,LineærRegression_Valg[[#This Row],[Afhængig variabel ID]]),INDEX(DataTitel_liste,1))</f>
        <v>Eksempel 1 (interval)</v>
      </c>
      <c r="G2415" s="45" t="str" cm="1">
        <f t="array" ref="G2415">IF(LineærRegression_Valg[[#This Row],[Indenfor range]],IF(LineærRegression_Valg[[#This Row],[Intet overlap]],INDEX(DataTitel_liste,LineærRegression_Valg[[#This Row],[Uafhængig variabel ID]]),INDEX(DataTitel_liste,IF(LineærRegression_Valg[[#This Row],[Afhængig variabel ID]]=1,2,1))),$B$7)</f>
        <v>Eksempel 2 (interval)</v>
      </c>
      <c r="H2415" s="45">
        <f>_xlfn.AGGREGATE(2,5,LineærRegression_Valg[[#This Row],[Tabel ID]])</f>
        <v>1</v>
      </c>
    </row>
    <row r="2416" spans="1:8" x14ac:dyDescent="0.2">
      <c r="A2416">
        <f>ROW(LineærRegression_Valg[[#This Row],[Tabel ID]])-ROW(LineærRegression_Valg[[#Headers],[Tabel ID]])</f>
        <v>2406</v>
      </c>
      <c r="B2416" s="45">
        <f>ROUNDDOWN((LineærRegression_Valg[[#This Row],[Tabel ID]]-1)/$B$5,0)+1</f>
        <v>602</v>
      </c>
      <c r="C2416" s="45">
        <f t="shared" si="37"/>
        <v>2</v>
      </c>
      <c r="D2416" s="45" t="b">
        <f>LineærRegression_Valg[[#This Row],[Afhængig variabel ID]]&lt;&gt;LineærRegression_Valg[[#This Row],[Uafhængig variabel ID]]</f>
        <v>1</v>
      </c>
      <c r="E2416" s="45" t="b">
        <f>LineærRegression_Valg[[#This Row],[Afhængig variabel ID]]&lt;=$B$5</f>
        <v>0</v>
      </c>
      <c r="F2416" t="str" cm="1">
        <f t="array" ref="F2416">IF(LineærRegression_Valg[[#This Row],[Indenfor range]],INDEX(DataTitel_liste,LineærRegression_Valg[[#This Row],[Afhængig variabel ID]]),INDEX(DataTitel_liste,1))</f>
        <v>Eksempel 1 (interval)</v>
      </c>
      <c r="G2416" s="45" t="str" cm="1">
        <f t="array" ref="G2416">IF(LineærRegression_Valg[[#This Row],[Indenfor range]],IF(LineærRegression_Valg[[#This Row],[Intet overlap]],INDEX(DataTitel_liste,LineærRegression_Valg[[#This Row],[Uafhængig variabel ID]]),INDEX(DataTitel_liste,IF(LineærRegression_Valg[[#This Row],[Afhængig variabel ID]]=1,2,1))),$B$7)</f>
        <v>Eksempel 2 (interval)</v>
      </c>
      <c r="H2416" s="45">
        <f>_xlfn.AGGREGATE(2,5,LineærRegression_Valg[[#This Row],[Tabel ID]])</f>
        <v>1</v>
      </c>
    </row>
    <row r="2417" spans="1:8" x14ac:dyDescent="0.2">
      <c r="A2417">
        <f>ROW(LineærRegression_Valg[[#This Row],[Tabel ID]])-ROW(LineærRegression_Valg[[#Headers],[Tabel ID]])</f>
        <v>2407</v>
      </c>
      <c r="B2417" s="45">
        <f>ROUNDDOWN((LineærRegression_Valg[[#This Row],[Tabel ID]]-1)/$B$5,0)+1</f>
        <v>602</v>
      </c>
      <c r="C2417" s="45">
        <f t="shared" si="37"/>
        <v>3</v>
      </c>
      <c r="D2417" s="45" t="b">
        <f>LineærRegression_Valg[[#This Row],[Afhængig variabel ID]]&lt;&gt;LineærRegression_Valg[[#This Row],[Uafhængig variabel ID]]</f>
        <v>1</v>
      </c>
      <c r="E2417" s="45" t="b">
        <f>LineærRegression_Valg[[#This Row],[Afhængig variabel ID]]&lt;=$B$5</f>
        <v>0</v>
      </c>
      <c r="F2417" t="str" cm="1">
        <f t="array" ref="F2417">IF(LineærRegression_Valg[[#This Row],[Indenfor range]],INDEX(DataTitel_liste,LineærRegression_Valg[[#This Row],[Afhængig variabel ID]]),INDEX(DataTitel_liste,1))</f>
        <v>Eksempel 1 (interval)</v>
      </c>
      <c r="G2417" s="45" t="str" cm="1">
        <f t="array" ref="G2417">IF(LineærRegression_Valg[[#This Row],[Indenfor range]],IF(LineærRegression_Valg[[#This Row],[Intet overlap]],INDEX(DataTitel_liste,LineærRegression_Valg[[#This Row],[Uafhængig variabel ID]]),INDEX(DataTitel_liste,IF(LineærRegression_Valg[[#This Row],[Afhængig variabel ID]]=1,2,1))),$B$7)</f>
        <v>Eksempel 2 (interval)</v>
      </c>
      <c r="H2417" s="45">
        <f>_xlfn.AGGREGATE(2,5,LineærRegression_Valg[[#This Row],[Tabel ID]])</f>
        <v>1</v>
      </c>
    </row>
    <row r="2418" spans="1:8" x14ac:dyDescent="0.2">
      <c r="A2418">
        <f>ROW(LineærRegression_Valg[[#This Row],[Tabel ID]])-ROW(LineærRegression_Valg[[#Headers],[Tabel ID]])</f>
        <v>2408</v>
      </c>
      <c r="B2418" s="45">
        <f>ROUNDDOWN((LineærRegression_Valg[[#This Row],[Tabel ID]]-1)/$B$5,0)+1</f>
        <v>602</v>
      </c>
      <c r="C2418" s="45">
        <f t="shared" si="37"/>
        <v>4</v>
      </c>
      <c r="D2418" s="45" t="b">
        <f>LineærRegression_Valg[[#This Row],[Afhængig variabel ID]]&lt;&gt;LineærRegression_Valg[[#This Row],[Uafhængig variabel ID]]</f>
        <v>1</v>
      </c>
      <c r="E2418" s="45" t="b">
        <f>LineærRegression_Valg[[#This Row],[Afhængig variabel ID]]&lt;=$B$5</f>
        <v>0</v>
      </c>
      <c r="F2418" t="str" cm="1">
        <f t="array" ref="F2418">IF(LineærRegression_Valg[[#This Row],[Indenfor range]],INDEX(DataTitel_liste,LineærRegression_Valg[[#This Row],[Afhængig variabel ID]]),INDEX(DataTitel_liste,1))</f>
        <v>Eksempel 1 (interval)</v>
      </c>
      <c r="G2418" s="45" t="str" cm="1">
        <f t="array" ref="G2418">IF(LineærRegression_Valg[[#This Row],[Indenfor range]],IF(LineærRegression_Valg[[#This Row],[Intet overlap]],INDEX(DataTitel_liste,LineærRegression_Valg[[#This Row],[Uafhængig variabel ID]]),INDEX(DataTitel_liste,IF(LineærRegression_Valg[[#This Row],[Afhængig variabel ID]]=1,2,1))),$B$7)</f>
        <v>Eksempel 2 (interval)</v>
      </c>
      <c r="H2418" s="45">
        <f>_xlfn.AGGREGATE(2,5,LineærRegression_Valg[[#This Row],[Tabel ID]])</f>
        <v>1</v>
      </c>
    </row>
    <row r="2419" spans="1:8" x14ac:dyDescent="0.2">
      <c r="A2419">
        <f>ROW(LineærRegression_Valg[[#This Row],[Tabel ID]])-ROW(LineærRegression_Valg[[#Headers],[Tabel ID]])</f>
        <v>2409</v>
      </c>
      <c r="B2419" s="45">
        <f>ROUNDDOWN((LineærRegression_Valg[[#This Row],[Tabel ID]]-1)/$B$5,0)+1</f>
        <v>603</v>
      </c>
      <c r="C2419" s="45">
        <f t="shared" si="37"/>
        <v>1</v>
      </c>
      <c r="D2419" s="45" t="b">
        <f>LineærRegression_Valg[[#This Row],[Afhængig variabel ID]]&lt;&gt;LineærRegression_Valg[[#This Row],[Uafhængig variabel ID]]</f>
        <v>1</v>
      </c>
      <c r="E2419" s="45" t="b">
        <f>LineærRegression_Valg[[#This Row],[Afhængig variabel ID]]&lt;=$B$5</f>
        <v>0</v>
      </c>
      <c r="F2419" t="str" cm="1">
        <f t="array" ref="F2419">IF(LineærRegression_Valg[[#This Row],[Indenfor range]],INDEX(DataTitel_liste,LineærRegression_Valg[[#This Row],[Afhængig variabel ID]]),INDEX(DataTitel_liste,1))</f>
        <v>Eksempel 1 (interval)</v>
      </c>
      <c r="G2419" s="45" t="str" cm="1">
        <f t="array" ref="G2419">IF(LineærRegression_Valg[[#This Row],[Indenfor range]],IF(LineærRegression_Valg[[#This Row],[Intet overlap]],INDEX(DataTitel_liste,LineærRegression_Valg[[#This Row],[Uafhængig variabel ID]]),INDEX(DataTitel_liste,IF(LineærRegression_Valg[[#This Row],[Afhængig variabel ID]]=1,2,1))),$B$7)</f>
        <v>Eksempel 2 (interval)</v>
      </c>
      <c r="H2419" s="45">
        <f>_xlfn.AGGREGATE(2,5,LineærRegression_Valg[[#This Row],[Tabel ID]])</f>
        <v>1</v>
      </c>
    </row>
    <row r="2420" spans="1:8" x14ac:dyDescent="0.2">
      <c r="A2420">
        <f>ROW(LineærRegression_Valg[[#This Row],[Tabel ID]])-ROW(LineærRegression_Valg[[#Headers],[Tabel ID]])</f>
        <v>2410</v>
      </c>
      <c r="B2420" s="45">
        <f>ROUNDDOWN((LineærRegression_Valg[[#This Row],[Tabel ID]]-1)/$B$5,0)+1</f>
        <v>603</v>
      </c>
      <c r="C2420" s="45">
        <f t="shared" si="37"/>
        <v>2</v>
      </c>
      <c r="D2420" s="45" t="b">
        <f>LineærRegression_Valg[[#This Row],[Afhængig variabel ID]]&lt;&gt;LineærRegression_Valg[[#This Row],[Uafhængig variabel ID]]</f>
        <v>1</v>
      </c>
      <c r="E2420" s="45" t="b">
        <f>LineærRegression_Valg[[#This Row],[Afhængig variabel ID]]&lt;=$B$5</f>
        <v>0</v>
      </c>
      <c r="F2420" t="str" cm="1">
        <f t="array" ref="F2420">IF(LineærRegression_Valg[[#This Row],[Indenfor range]],INDEX(DataTitel_liste,LineærRegression_Valg[[#This Row],[Afhængig variabel ID]]),INDEX(DataTitel_liste,1))</f>
        <v>Eksempel 1 (interval)</v>
      </c>
      <c r="G2420" s="45" t="str" cm="1">
        <f t="array" ref="G2420">IF(LineærRegression_Valg[[#This Row],[Indenfor range]],IF(LineærRegression_Valg[[#This Row],[Intet overlap]],INDEX(DataTitel_liste,LineærRegression_Valg[[#This Row],[Uafhængig variabel ID]]),INDEX(DataTitel_liste,IF(LineærRegression_Valg[[#This Row],[Afhængig variabel ID]]=1,2,1))),$B$7)</f>
        <v>Eksempel 2 (interval)</v>
      </c>
      <c r="H2420" s="45">
        <f>_xlfn.AGGREGATE(2,5,LineærRegression_Valg[[#This Row],[Tabel ID]])</f>
        <v>1</v>
      </c>
    </row>
    <row r="2421" spans="1:8" x14ac:dyDescent="0.2">
      <c r="A2421">
        <f>ROW(LineærRegression_Valg[[#This Row],[Tabel ID]])-ROW(LineærRegression_Valg[[#Headers],[Tabel ID]])</f>
        <v>2411</v>
      </c>
      <c r="B2421" s="45">
        <f>ROUNDDOWN((LineærRegression_Valg[[#This Row],[Tabel ID]]-1)/$B$5,0)+1</f>
        <v>603</v>
      </c>
      <c r="C2421" s="45">
        <f t="shared" si="37"/>
        <v>3</v>
      </c>
      <c r="D2421" s="45" t="b">
        <f>LineærRegression_Valg[[#This Row],[Afhængig variabel ID]]&lt;&gt;LineærRegression_Valg[[#This Row],[Uafhængig variabel ID]]</f>
        <v>1</v>
      </c>
      <c r="E2421" s="45" t="b">
        <f>LineærRegression_Valg[[#This Row],[Afhængig variabel ID]]&lt;=$B$5</f>
        <v>0</v>
      </c>
      <c r="F2421" t="str" cm="1">
        <f t="array" ref="F2421">IF(LineærRegression_Valg[[#This Row],[Indenfor range]],INDEX(DataTitel_liste,LineærRegression_Valg[[#This Row],[Afhængig variabel ID]]),INDEX(DataTitel_liste,1))</f>
        <v>Eksempel 1 (interval)</v>
      </c>
      <c r="G2421" s="45" t="str" cm="1">
        <f t="array" ref="G2421">IF(LineærRegression_Valg[[#This Row],[Indenfor range]],IF(LineærRegression_Valg[[#This Row],[Intet overlap]],INDEX(DataTitel_liste,LineærRegression_Valg[[#This Row],[Uafhængig variabel ID]]),INDEX(DataTitel_liste,IF(LineærRegression_Valg[[#This Row],[Afhængig variabel ID]]=1,2,1))),$B$7)</f>
        <v>Eksempel 2 (interval)</v>
      </c>
      <c r="H2421" s="45">
        <f>_xlfn.AGGREGATE(2,5,LineærRegression_Valg[[#This Row],[Tabel ID]])</f>
        <v>1</v>
      </c>
    </row>
    <row r="2422" spans="1:8" x14ac:dyDescent="0.2">
      <c r="A2422">
        <f>ROW(LineærRegression_Valg[[#This Row],[Tabel ID]])-ROW(LineærRegression_Valg[[#Headers],[Tabel ID]])</f>
        <v>2412</v>
      </c>
      <c r="B2422" s="45">
        <f>ROUNDDOWN((LineærRegression_Valg[[#This Row],[Tabel ID]]-1)/$B$5,0)+1</f>
        <v>603</v>
      </c>
      <c r="C2422" s="45">
        <f t="shared" si="37"/>
        <v>4</v>
      </c>
      <c r="D2422" s="45" t="b">
        <f>LineærRegression_Valg[[#This Row],[Afhængig variabel ID]]&lt;&gt;LineærRegression_Valg[[#This Row],[Uafhængig variabel ID]]</f>
        <v>1</v>
      </c>
      <c r="E2422" s="45" t="b">
        <f>LineærRegression_Valg[[#This Row],[Afhængig variabel ID]]&lt;=$B$5</f>
        <v>0</v>
      </c>
      <c r="F2422" t="str" cm="1">
        <f t="array" ref="F2422">IF(LineærRegression_Valg[[#This Row],[Indenfor range]],INDEX(DataTitel_liste,LineærRegression_Valg[[#This Row],[Afhængig variabel ID]]),INDEX(DataTitel_liste,1))</f>
        <v>Eksempel 1 (interval)</v>
      </c>
      <c r="G2422" s="45" t="str" cm="1">
        <f t="array" ref="G2422">IF(LineærRegression_Valg[[#This Row],[Indenfor range]],IF(LineærRegression_Valg[[#This Row],[Intet overlap]],INDEX(DataTitel_liste,LineærRegression_Valg[[#This Row],[Uafhængig variabel ID]]),INDEX(DataTitel_liste,IF(LineærRegression_Valg[[#This Row],[Afhængig variabel ID]]=1,2,1))),$B$7)</f>
        <v>Eksempel 2 (interval)</v>
      </c>
      <c r="H2422" s="45">
        <f>_xlfn.AGGREGATE(2,5,LineærRegression_Valg[[#This Row],[Tabel ID]])</f>
        <v>1</v>
      </c>
    </row>
    <row r="2423" spans="1:8" x14ac:dyDescent="0.2">
      <c r="A2423">
        <f>ROW(LineærRegression_Valg[[#This Row],[Tabel ID]])-ROW(LineærRegression_Valg[[#Headers],[Tabel ID]])</f>
        <v>2413</v>
      </c>
      <c r="B2423" s="45">
        <f>ROUNDDOWN((LineærRegression_Valg[[#This Row],[Tabel ID]]-1)/$B$5,0)+1</f>
        <v>604</v>
      </c>
      <c r="C2423" s="45">
        <f t="shared" si="37"/>
        <v>1</v>
      </c>
      <c r="D2423" s="45" t="b">
        <f>LineærRegression_Valg[[#This Row],[Afhængig variabel ID]]&lt;&gt;LineærRegression_Valg[[#This Row],[Uafhængig variabel ID]]</f>
        <v>1</v>
      </c>
      <c r="E2423" s="45" t="b">
        <f>LineærRegression_Valg[[#This Row],[Afhængig variabel ID]]&lt;=$B$5</f>
        <v>0</v>
      </c>
      <c r="F2423" t="str" cm="1">
        <f t="array" ref="F2423">IF(LineærRegression_Valg[[#This Row],[Indenfor range]],INDEX(DataTitel_liste,LineærRegression_Valg[[#This Row],[Afhængig variabel ID]]),INDEX(DataTitel_liste,1))</f>
        <v>Eksempel 1 (interval)</v>
      </c>
      <c r="G2423" s="45" t="str" cm="1">
        <f t="array" ref="G2423">IF(LineærRegression_Valg[[#This Row],[Indenfor range]],IF(LineærRegression_Valg[[#This Row],[Intet overlap]],INDEX(DataTitel_liste,LineærRegression_Valg[[#This Row],[Uafhængig variabel ID]]),INDEX(DataTitel_liste,IF(LineærRegression_Valg[[#This Row],[Afhængig variabel ID]]=1,2,1))),$B$7)</f>
        <v>Eksempel 2 (interval)</v>
      </c>
      <c r="H2423" s="45">
        <f>_xlfn.AGGREGATE(2,5,LineærRegression_Valg[[#This Row],[Tabel ID]])</f>
        <v>1</v>
      </c>
    </row>
    <row r="2424" spans="1:8" x14ac:dyDescent="0.2">
      <c r="A2424">
        <f>ROW(LineærRegression_Valg[[#This Row],[Tabel ID]])-ROW(LineærRegression_Valg[[#Headers],[Tabel ID]])</f>
        <v>2414</v>
      </c>
      <c r="B2424" s="45">
        <f>ROUNDDOWN((LineærRegression_Valg[[#This Row],[Tabel ID]]-1)/$B$5,0)+1</f>
        <v>604</v>
      </c>
      <c r="C2424" s="45">
        <f t="shared" si="37"/>
        <v>2</v>
      </c>
      <c r="D2424" s="45" t="b">
        <f>LineærRegression_Valg[[#This Row],[Afhængig variabel ID]]&lt;&gt;LineærRegression_Valg[[#This Row],[Uafhængig variabel ID]]</f>
        <v>1</v>
      </c>
      <c r="E2424" s="45" t="b">
        <f>LineærRegression_Valg[[#This Row],[Afhængig variabel ID]]&lt;=$B$5</f>
        <v>0</v>
      </c>
      <c r="F2424" t="str" cm="1">
        <f t="array" ref="F2424">IF(LineærRegression_Valg[[#This Row],[Indenfor range]],INDEX(DataTitel_liste,LineærRegression_Valg[[#This Row],[Afhængig variabel ID]]),INDEX(DataTitel_liste,1))</f>
        <v>Eksempel 1 (interval)</v>
      </c>
      <c r="G2424" s="45" t="str" cm="1">
        <f t="array" ref="G2424">IF(LineærRegression_Valg[[#This Row],[Indenfor range]],IF(LineærRegression_Valg[[#This Row],[Intet overlap]],INDEX(DataTitel_liste,LineærRegression_Valg[[#This Row],[Uafhængig variabel ID]]),INDEX(DataTitel_liste,IF(LineærRegression_Valg[[#This Row],[Afhængig variabel ID]]=1,2,1))),$B$7)</f>
        <v>Eksempel 2 (interval)</v>
      </c>
      <c r="H2424" s="45">
        <f>_xlfn.AGGREGATE(2,5,LineærRegression_Valg[[#This Row],[Tabel ID]])</f>
        <v>1</v>
      </c>
    </row>
    <row r="2425" spans="1:8" x14ac:dyDescent="0.2">
      <c r="A2425">
        <f>ROW(LineærRegression_Valg[[#This Row],[Tabel ID]])-ROW(LineærRegression_Valg[[#Headers],[Tabel ID]])</f>
        <v>2415</v>
      </c>
      <c r="B2425" s="45">
        <f>ROUNDDOWN((LineærRegression_Valg[[#This Row],[Tabel ID]]-1)/$B$5,0)+1</f>
        <v>604</v>
      </c>
      <c r="C2425" s="45">
        <f t="shared" si="37"/>
        <v>3</v>
      </c>
      <c r="D2425" s="45" t="b">
        <f>LineærRegression_Valg[[#This Row],[Afhængig variabel ID]]&lt;&gt;LineærRegression_Valg[[#This Row],[Uafhængig variabel ID]]</f>
        <v>1</v>
      </c>
      <c r="E2425" s="45" t="b">
        <f>LineærRegression_Valg[[#This Row],[Afhængig variabel ID]]&lt;=$B$5</f>
        <v>0</v>
      </c>
      <c r="F2425" t="str" cm="1">
        <f t="array" ref="F2425">IF(LineærRegression_Valg[[#This Row],[Indenfor range]],INDEX(DataTitel_liste,LineærRegression_Valg[[#This Row],[Afhængig variabel ID]]),INDEX(DataTitel_liste,1))</f>
        <v>Eksempel 1 (interval)</v>
      </c>
      <c r="G2425" s="45" t="str" cm="1">
        <f t="array" ref="G2425">IF(LineærRegression_Valg[[#This Row],[Indenfor range]],IF(LineærRegression_Valg[[#This Row],[Intet overlap]],INDEX(DataTitel_liste,LineærRegression_Valg[[#This Row],[Uafhængig variabel ID]]),INDEX(DataTitel_liste,IF(LineærRegression_Valg[[#This Row],[Afhængig variabel ID]]=1,2,1))),$B$7)</f>
        <v>Eksempel 2 (interval)</v>
      </c>
      <c r="H2425" s="45">
        <f>_xlfn.AGGREGATE(2,5,LineærRegression_Valg[[#This Row],[Tabel ID]])</f>
        <v>1</v>
      </c>
    </row>
    <row r="2426" spans="1:8" x14ac:dyDescent="0.2">
      <c r="A2426">
        <f>ROW(LineærRegression_Valg[[#This Row],[Tabel ID]])-ROW(LineærRegression_Valg[[#Headers],[Tabel ID]])</f>
        <v>2416</v>
      </c>
      <c r="B2426" s="45">
        <f>ROUNDDOWN((LineærRegression_Valg[[#This Row],[Tabel ID]]-1)/$B$5,0)+1</f>
        <v>604</v>
      </c>
      <c r="C2426" s="45">
        <f t="shared" si="37"/>
        <v>4</v>
      </c>
      <c r="D2426" s="45" t="b">
        <f>LineærRegression_Valg[[#This Row],[Afhængig variabel ID]]&lt;&gt;LineærRegression_Valg[[#This Row],[Uafhængig variabel ID]]</f>
        <v>1</v>
      </c>
      <c r="E2426" s="45" t="b">
        <f>LineærRegression_Valg[[#This Row],[Afhængig variabel ID]]&lt;=$B$5</f>
        <v>0</v>
      </c>
      <c r="F2426" t="str" cm="1">
        <f t="array" ref="F2426">IF(LineærRegression_Valg[[#This Row],[Indenfor range]],INDEX(DataTitel_liste,LineærRegression_Valg[[#This Row],[Afhængig variabel ID]]),INDEX(DataTitel_liste,1))</f>
        <v>Eksempel 1 (interval)</v>
      </c>
      <c r="G2426" s="45" t="str" cm="1">
        <f t="array" ref="G2426">IF(LineærRegression_Valg[[#This Row],[Indenfor range]],IF(LineærRegression_Valg[[#This Row],[Intet overlap]],INDEX(DataTitel_liste,LineærRegression_Valg[[#This Row],[Uafhængig variabel ID]]),INDEX(DataTitel_liste,IF(LineærRegression_Valg[[#This Row],[Afhængig variabel ID]]=1,2,1))),$B$7)</f>
        <v>Eksempel 2 (interval)</v>
      </c>
      <c r="H2426" s="45">
        <f>_xlfn.AGGREGATE(2,5,LineærRegression_Valg[[#This Row],[Tabel ID]])</f>
        <v>1</v>
      </c>
    </row>
    <row r="2427" spans="1:8" x14ac:dyDescent="0.2">
      <c r="A2427">
        <f>ROW(LineærRegression_Valg[[#This Row],[Tabel ID]])-ROW(LineærRegression_Valg[[#Headers],[Tabel ID]])</f>
        <v>2417</v>
      </c>
      <c r="B2427" s="45">
        <f>ROUNDDOWN((LineærRegression_Valg[[#This Row],[Tabel ID]]-1)/$B$5,0)+1</f>
        <v>605</v>
      </c>
      <c r="C2427" s="45">
        <f t="shared" si="37"/>
        <v>1</v>
      </c>
      <c r="D2427" s="45" t="b">
        <f>LineærRegression_Valg[[#This Row],[Afhængig variabel ID]]&lt;&gt;LineærRegression_Valg[[#This Row],[Uafhængig variabel ID]]</f>
        <v>1</v>
      </c>
      <c r="E2427" s="45" t="b">
        <f>LineærRegression_Valg[[#This Row],[Afhængig variabel ID]]&lt;=$B$5</f>
        <v>0</v>
      </c>
      <c r="F2427" t="str" cm="1">
        <f t="array" ref="F2427">IF(LineærRegression_Valg[[#This Row],[Indenfor range]],INDEX(DataTitel_liste,LineærRegression_Valg[[#This Row],[Afhængig variabel ID]]),INDEX(DataTitel_liste,1))</f>
        <v>Eksempel 1 (interval)</v>
      </c>
      <c r="G2427" s="45" t="str" cm="1">
        <f t="array" ref="G2427">IF(LineærRegression_Valg[[#This Row],[Indenfor range]],IF(LineærRegression_Valg[[#This Row],[Intet overlap]],INDEX(DataTitel_liste,LineærRegression_Valg[[#This Row],[Uafhængig variabel ID]]),INDEX(DataTitel_liste,IF(LineærRegression_Valg[[#This Row],[Afhængig variabel ID]]=1,2,1))),$B$7)</f>
        <v>Eksempel 2 (interval)</v>
      </c>
      <c r="H2427" s="45">
        <f>_xlfn.AGGREGATE(2,5,LineærRegression_Valg[[#This Row],[Tabel ID]])</f>
        <v>1</v>
      </c>
    </row>
    <row r="2428" spans="1:8" x14ac:dyDescent="0.2">
      <c r="A2428">
        <f>ROW(LineærRegression_Valg[[#This Row],[Tabel ID]])-ROW(LineærRegression_Valg[[#Headers],[Tabel ID]])</f>
        <v>2418</v>
      </c>
      <c r="B2428" s="45">
        <f>ROUNDDOWN((LineærRegression_Valg[[#This Row],[Tabel ID]]-1)/$B$5,0)+1</f>
        <v>605</v>
      </c>
      <c r="C2428" s="45">
        <f t="shared" si="37"/>
        <v>2</v>
      </c>
      <c r="D2428" s="45" t="b">
        <f>LineærRegression_Valg[[#This Row],[Afhængig variabel ID]]&lt;&gt;LineærRegression_Valg[[#This Row],[Uafhængig variabel ID]]</f>
        <v>1</v>
      </c>
      <c r="E2428" s="45" t="b">
        <f>LineærRegression_Valg[[#This Row],[Afhængig variabel ID]]&lt;=$B$5</f>
        <v>0</v>
      </c>
      <c r="F2428" t="str" cm="1">
        <f t="array" ref="F2428">IF(LineærRegression_Valg[[#This Row],[Indenfor range]],INDEX(DataTitel_liste,LineærRegression_Valg[[#This Row],[Afhængig variabel ID]]),INDEX(DataTitel_liste,1))</f>
        <v>Eksempel 1 (interval)</v>
      </c>
      <c r="G2428" s="45" t="str" cm="1">
        <f t="array" ref="G2428">IF(LineærRegression_Valg[[#This Row],[Indenfor range]],IF(LineærRegression_Valg[[#This Row],[Intet overlap]],INDEX(DataTitel_liste,LineærRegression_Valg[[#This Row],[Uafhængig variabel ID]]),INDEX(DataTitel_liste,IF(LineærRegression_Valg[[#This Row],[Afhængig variabel ID]]=1,2,1))),$B$7)</f>
        <v>Eksempel 2 (interval)</v>
      </c>
      <c r="H2428" s="45">
        <f>_xlfn.AGGREGATE(2,5,LineærRegression_Valg[[#This Row],[Tabel ID]])</f>
        <v>1</v>
      </c>
    </row>
    <row r="2429" spans="1:8" x14ac:dyDescent="0.2">
      <c r="A2429">
        <f>ROW(LineærRegression_Valg[[#This Row],[Tabel ID]])-ROW(LineærRegression_Valg[[#Headers],[Tabel ID]])</f>
        <v>2419</v>
      </c>
      <c r="B2429" s="45">
        <f>ROUNDDOWN((LineærRegression_Valg[[#This Row],[Tabel ID]]-1)/$B$5,0)+1</f>
        <v>605</v>
      </c>
      <c r="C2429" s="45">
        <f t="shared" si="37"/>
        <v>3</v>
      </c>
      <c r="D2429" s="45" t="b">
        <f>LineærRegression_Valg[[#This Row],[Afhængig variabel ID]]&lt;&gt;LineærRegression_Valg[[#This Row],[Uafhængig variabel ID]]</f>
        <v>1</v>
      </c>
      <c r="E2429" s="45" t="b">
        <f>LineærRegression_Valg[[#This Row],[Afhængig variabel ID]]&lt;=$B$5</f>
        <v>0</v>
      </c>
      <c r="F2429" t="str" cm="1">
        <f t="array" ref="F2429">IF(LineærRegression_Valg[[#This Row],[Indenfor range]],INDEX(DataTitel_liste,LineærRegression_Valg[[#This Row],[Afhængig variabel ID]]),INDEX(DataTitel_liste,1))</f>
        <v>Eksempel 1 (interval)</v>
      </c>
      <c r="G2429" s="45" t="str" cm="1">
        <f t="array" ref="G2429">IF(LineærRegression_Valg[[#This Row],[Indenfor range]],IF(LineærRegression_Valg[[#This Row],[Intet overlap]],INDEX(DataTitel_liste,LineærRegression_Valg[[#This Row],[Uafhængig variabel ID]]),INDEX(DataTitel_liste,IF(LineærRegression_Valg[[#This Row],[Afhængig variabel ID]]=1,2,1))),$B$7)</f>
        <v>Eksempel 2 (interval)</v>
      </c>
      <c r="H2429" s="45">
        <f>_xlfn.AGGREGATE(2,5,LineærRegression_Valg[[#This Row],[Tabel ID]])</f>
        <v>1</v>
      </c>
    </row>
    <row r="2430" spans="1:8" x14ac:dyDescent="0.2">
      <c r="A2430">
        <f>ROW(LineærRegression_Valg[[#This Row],[Tabel ID]])-ROW(LineærRegression_Valg[[#Headers],[Tabel ID]])</f>
        <v>2420</v>
      </c>
      <c r="B2430" s="45">
        <f>ROUNDDOWN((LineærRegression_Valg[[#This Row],[Tabel ID]]-1)/$B$5,0)+1</f>
        <v>605</v>
      </c>
      <c r="C2430" s="45">
        <f t="shared" si="37"/>
        <v>4</v>
      </c>
      <c r="D2430" s="45" t="b">
        <f>LineærRegression_Valg[[#This Row],[Afhængig variabel ID]]&lt;&gt;LineærRegression_Valg[[#This Row],[Uafhængig variabel ID]]</f>
        <v>1</v>
      </c>
      <c r="E2430" s="45" t="b">
        <f>LineærRegression_Valg[[#This Row],[Afhængig variabel ID]]&lt;=$B$5</f>
        <v>0</v>
      </c>
      <c r="F2430" t="str" cm="1">
        <f t="array" ref="F2430">IF(LineærRegression_Valg[[#This Row],[Indenfor range]],INDEX(DataTitel_liste,LineærRegression_Valg[[#This Row],[Afhængig variabel ID]]),INDEX(DataTitel_liste,1))</f>
        <v>Eksempel 1 (interval)</v>
      </c>
      <c r="G2430" s="45" t="str" cm="1">
        <f t="array" ref="G2430">IF(LineærRegression_Valg[[#This Row],[Indenfor range]],IF(LineærRegression_Valg[[#This Row],[Intet overlap]],INDEX(DataTitel_liste,LineærRegression_Valg[[#This Row],[Uafhængig variabel ID]]),INDEX(DataTitel_liste,IF(LineærRegression_Valg[[#This Row],[Afhængig variabel ID]]=1,2,1))),$B$7)</f>
        <v>Eksempel 2 (interval)</v>
      </c>
      <c r="H2430" s="45">
        <f>_xlfn.AGGREGATE(2,5,LineærRegression_Valg[[#This Row],[Tabel ID]])</f>
        <v>1</v>
      </c>
    </row>
    <row r="2431" spans="1:8" x14ac:dyDescent="0.2">
      <c r="A2431">
        <f>ROW(LineærRegression_Valg[[#This Row],[Tabel ID]])-ROW(LineærRegression_Valg[[#Headers],[Tabel ID]])</f>
        <v>2421</v>
      </c>
      <c r="B2431" s="45">
        <f>ROUNDDOWN((LineærRegression_Valg[[#This Row],[Tabel ID]]-1)/$B$5,0)+1</f>
        <v>606</v>
      </c>
      <c r="C2431" s="45">
        <f t="shared" si="37"/>
        <v>1</v>
      </c>
      <c r="D2431" s="45" t="b">
        <f>LineærRegression_Valg[[#This Row],[Afhængig variabel ID]]&lt;&gt;LineærRegression_Valg[[#This Row],[Uafhængig variabel ID]]</f>
        <v>1</v>
      </c>
      <c r="E2431" s="45" t="b">
        <f>LineærRegression_Valg[[#This Row],[Afhængig variabel ID]]&lt;=$B$5</f>
        <v>0</v>
      </c>
      <c r="F2431" t="str" cm="1">
        <f t="array" ref="F2431">IF(LineærRegression_Valg[[#This Row],[Indenfor range]],INDEX(DataTitel_liste,LineærRegression_Valg[[#This Row],[Afhængig variabel ID]]),INDEX(DataTitel_liste,1))</f>
        <v>Eksempel 1 (interval)</v>
      </c>
      <c r="G2431" s="45" t="str" cm="1">
        <f t="array" ref="G2431">IF(LineærRegression_Valg[[#This Row],[Indenfor range]],IF(LineærRegression_Valg[[#This Row],[Intet overlap]],INDEX(DataTitel_liste,LineærRegression_Valg[[#This Row],[Uafhængig variabel ID]]),INDEX(DataTitel_liste,IF(LineærRegression_Valg[[#This Row],[Afhængig variabel ID]]=1,2,1))),$B$7)</f>
        <v>Eksempel 2 (interval)</v>
      </c>
      <c r="H2431" s="45">
        <f>_xlfn.AGGREGATE(2,5,LineærRegression_Valg[[#This Row],[Tabel ID]])</f>
        <v>1</v>
      </c>
    </row>
    <row r="2432" spans="1:8" x14ac:dyDescent="0.2">
      <c r="A2432">
        <f>ROW(LineærRegression_Valg[[#This Row],[Tabel ID]])-ROW(LineærRegression_Valg[[#Headers],[Tabel ID]])</f>
        <v>2422</v>
      </c>
      <c r="B2432" s="45">
        <f>ROUNDDOWN((LineærRegression_Valg[[#This Row],[Tabel ID]]-1)/$B$5,0)+1</f>
        <v>606</v>
      </c>
      <c r="C2432" s="45">
        <f t="shared" si="37"/>
        <v>2</v>
      </c>
      <c r="D2432" s="45" t="b">
        <f>LineærRegression_Valg[[#This Row],[Afhængig variabel ID]]&lt;&gt;LineærRegression_Valg[[#This Row],[Uafhængig variabel ID]]</f>
        <v>1</v>
      </c>
      <c r="E2432" s="45" t="b">
        <f>LineærRegression_Valg[[#This Row],[Afhængig variabel ID]]&lt;=$B$5</f>
        <v>0</v>
      </c>
      <c r="F2432" t="str" cm="1">
        <f t="array" ref="F2432">IF(LineærRegression_Valg[[#This Row],[Indenfor range]],INDEX(DataTitel_liste,LineærRegression_Valg[[#This Row],[Afhængig variabel ID]]),INDEX(DataTitel_liste,1))</f>
        <v>Eksempel 1 (interval)</v>
      </c>
      <c r="G2432" s="45" t="str" cm="1">
        <f t="array" ref="G2432">IF(LineærRegression_Valg[[#This Row],[Indenfor range]],IF(LineærRegression_Valg[[#This Row],[Intet overlap]],INDEX(DataTitel_liste,LineærRegression_Valg[[#This Row],[Uafhængig variabel ID]]),INDEX(DataTitel_liste,IF(LineærRegression_Valg[[#This Row],[Afhængig variabel ID]]=1,2,1))),$B$7)</f>
        <v>Eksempel 2 (interval)</v>
      </c>
      <c r="H2432" s="45">
        <f>_xlfn.AGGREGATE(2,5,LineærRegression_Valg[[#This Row],[Tabel ID]])</f>
        <v>1</v>
      </c>
    </row>
    <row r="2433" spans="1:8" x14ac:dyDescent="0.2">
      <c r="A2433">
        <f>ROW(LineærRegression_Valg[[#This Row],[Tabel ID]])-ROW(LineærRegression_Valg[[#Headers],[Tabel ID]])</f>
        <v>2423</v>
      </c>
      <c r="B2433" s="45">
        <f>ROUNDDOWN((LineærRegression_Valg[[#This Row],[Tabel ID]]-1)/$B$5,0)+1</f>
        <v>606</v>
      </c>
      <c r="C2433" s="45">
        <f t="shared" si="37"/>
        <v>3</v>
      </c>
      <c r="D2433" s="45" t="b">
        <f>LineærRegression_Valg[[#This Row],[Afhængig variabel ID]]&lt;&gt;LineærRegression_Valg[[#This Row],[Uafhængig variabel ID]]</f>
        <v>1</v>
      </c>
      <c r="E2433" s="45" t="b">
        <f>LineærRegression_Valg[[#This Row],[Afhængig variabel ID]]&lt;=$B$5</f>
        <v>0</v>
      </c>
      <c r="F2433" t="str" cm="1">
        <f t="array" ref="F2433">IF(LineærRegression_Valg[[#This Row],[Indenfor range]],INDEX(DataTitel_liste,LineærRegression_Valg[[#This Row],[Afhængig variabel ID]]),INDEX(DataTitel_liste,1))</f>
        <v>Eksempel 1 (interval)</v>
      </c>
      <c r="G2433" s="45" t="str" cm="1">
        <f t="array" ref="G2433">IF(LineærRegression_Valg[[#This Row],[Indenfor range]],IF(LineærRegression_Valg[[#This Row],[Intet overlap]],INDEX(DataTitel_liste,LineærRegression_Valg[[#This Row],[Uafhængig variabel ID]]),INDEX(DataTitel_liste,IF(LineærRegression_Valg[[#This Row],[Afhængig variabel ID]]=1,2,1))),$B$7)</f>
        <v>Eksempel 2 (interval)</v>
      </c>
      <c r="H2433" s="45">
        <f>_xlfn.AGGREGATE(2,5,LineærRegression_Valg[[#This Row],[Tabel ID]])</f>
        <v>1</v>
      </c>
    </row>
    <row r="2434" spans="1:8" x14ac:dyDescent="0.2">
      <c r="A2434">
        <f>ROW(LineærRegression_Valg[[#This Row],[Tabel ID]])-ROW(LineærRegression_Valg[[#Headers],[Tabel ID]])</f>
        <v>2424</v>
      </c>
      <c r="B2434" s="45">
        <f>ROUNDDOWN((LineærRegression_Valg[[#This Row],[Tabel ID]]-1)/$B$5,0)+1</f>
        <v>606</v>
      </c>
      <c r="C2434" s="45">
        <f t="shared" si="37"/>
        <v>4</v>
      </c>
      <c r="D2434" s="45" t="b">
        <f>LineærRegression_Valg[[#This Row],[Afhængig variabel ID]]&lt;&gt;LineærRegression_Valg[[#This Row],[Uafhængig variabel ID]]</f>
        <v>1</v>
      </c>
      <c r="E2434" s="45" t="b">
        <f>LineærRegression_Valg[[#This Row],[Afhængig variabel ID]]&lt;=$B$5</f>
        <v>0</v>
      </c>
      <c r="F2434" t="str" cm="1">
        <f t="array" ref="F2434">IF(LineærRegression_Valg[[#This Row],[Indenfor range]],INDEX(DataTitel_liste,LineærRegression_Valg[[#This Row],[Afhængig variabel ID]]),INDEX(DataTitel_liste,1))</f>
        <v>Eksempel 1 (interval)</v>
      </c>
      <c r="G2434" s="45" t="str" cm="1">
        <f t="array" ref="G2434">IF(LineærRegression_Valg[[#This Row],[Indenfor range]],IF(LineærRegression_Valg[[#This Row],[Intet overlap]],INDEX(DataTitel_liste,LineærRegression_Valg[[#This Row],[Uafhængig variabel ID]]),INDEX(DataTitel_liste,IF(LineærRegression_Valg[[#This Row],[Afhængig variabel ID]]=1,2,1))),$B$7)</f>
        <v>Eksempel 2 (interval)</v>
      </c>
      <c r="H2434" s="45">
        <f>_xlfn.AGGREGATE(2,5,LineærRegression_Valg[[#This Row],[Tabel ID]])</f>
        <v>1</v>
      </c>
    </row>
    <row r="2435" spans="1:8" x14ac:dyDescent="0.2">
      <c r="A2435">
        <f>ROW(LineærRegression_Valg[[#This Row],[Tabel ID]])-ROW(LineærRegression_Valg[[#Headers],[Tabel ID]])</f>
        <v>2425</v>
      </c>
      <c r="B2435" s="45">
        <f>ROUNDDOWN((LineærRegression_Valg[[#This Row],[Tabel ID]]-1)/$B$5,0)+1</f>
        <v>607</v>
      </c>
      <c r="C2435" s="45">
        <f t="shared" si="37"/>
        <v>1</v>
      </c>
      <c r="D2435" s="45" t="b">
        <f>LineærRegression_Valg[[#This Row],[Afhængig variabel ID]]&lt;&gt;LineærRegression_Valg[[#This Row],[Uafhængig variabel ID]]</f>
        <v>1</v>
      </c>
      <c r="E2435" s="45" t="b">
        <f>LineærRegression_Valg[[#This Row],[Afhængig variabel ID]]&lt;=$B$5</f>
        <v>0</v>
      </c>
      <c r="F2435" t="str" cm="1">
        <f t="array" ref="F2435">IF(LineærRegression_Valg[[#This Row],[Indenfor range]],INDEX(DataTitel_liste,LineærRegression_Valg[[#This Row],[Afhængig variabel ID]]),INDEX(DataTitel_liste,1))</f>
        <v>Eksempel 1 (interval)</v>
      </c>
      <c r="G2435" s="45" t="str" cm="1">
        <f t="array" ref="G2435">IF(LineærRegression_Valg[[#This Row],[Indenfor range]],IF(LineærRegression_Valg[[#This Row],[Intet overlap]],INDEX(DataTitel_liste,LineærRegression_Valg[[#This Row],[Uafhængig variabel ID]]),INDEX(DataTitel_liste,IF(LineærRegression_Valg[[#This Row],[Afhængig variabel ID]]=1,2,1))),$B$7)</f>
        <v>Eksempel 2 (interval)</v>
      </c>
      <c r="H2435" s="45">
        <f>_xlfn.AGGREGATE(2,5,LineærRegression_Valg[[#This Row],[Tabel ID]])</f>
        <v>1</v>
      </c>
    </row>
    <row r="2436" spans="1:8" x14ac:dyDescent="0.2">
      <c r="A2436">
        <f>ROW(LineærRegression_Valg[[#This Row],[Tabel ID]])-ROW(LineærRegression_Valg[[#Headers],[Tabel ID]])</f>
        <v>2426</v>
      </c>
      <c r="B2436" s="45">
        <f>ROUNDDOWN((LineærRegression_Valg[[#This Row],[Tabel ID]]-1)/$B$5,0)+1</f>
        <v>607</v>
      </c>
      <c r="C2436" s="45">
        <f t="shared" si="37"/>
        <v>2</v>
      </c>
      <c r="D2436" s="45" t="b">
        <f>LineærRegression_Valg[[#This Row],[Afhængig variabel ID]]&lt;&gt;LineærRegression_Valg[[#This Row],[Uafhængig variabel ID]]</f>
        <v>1</v>
      </c>
      <c r="E2436" s="45" t="b">
        <f>LineærRegression_Valg[[#This Row],[Afhængig variabel ID]]&lt;=$B$5</f>
        <v>0</v>
      </c>
      <c r="F2436" t="str" cm="1">
        <f t="array" ref="F2436">IF(LineærRegression_Valg[[#This Row],[Indenfor range]],INDEX(DataTitel_liste,LineærRegression_Valg[[#This Row],[Afhængig variabel ID]]),INDEX(DataTitel_liste,1))</f>
        <v>Eksempel 1 (interval)</v>
      </c>
      <c r="G2436" s="45" t="str" cm="1">
        <f t="array" ref="G2436">IF(LineærRegression_Valg[[#This Row],[Indenfor range]],IF(LineærRegression_Valg[[#This Row],[Intet overlap]],INDEX(DataTitel_liste,LineærRegression_Valg[[#This Row],[Uafhængig variabel ID]]),INDEX(DataTitel_liste,IF(LineærRegression_Valg[[#This Row],[Afhængig variabel ID]]=1,2,1))),$B$7)</f>
        <v>Eksempel 2 (interval)</v>
      </c>
      <c r="H2436" s="45">
        <f>_xlfn.AGGREGATE(2,5,LineærRegression_Valg[[#This Row],[Tabel ID]])</f>
        <v>1</v>
      </c>
    </row>
    <row r="2437" spans="1:8" x14ac:dyDescent="0.2">
      <c r="A2437">
        <f>ROW(LineærRegression_Valg[[#This Row],[Tabel ID]])-ROW(LineærRegression_Valg[[#Headers],[Tabel ID]])</f>
        <v>2427</v>
      </c>
      <c r="B2437" s="45">
        <f>ROUNDDOWN((LineærRegression_Valg[[#This Row],[Tabel ID]]-1)/$B$5,0)+1</f>
        <v>607</v>
      </c>
      <c r="C2437" s="45">
        <f t="shared" si="37"/>
        <v>3</v>
      </c>
      <c r="D2437" s="45" t="b">
        <f>LineærRegression_Valg[[#This Row],[Afhængig variabel ID]]&lt;&gt;LineærRegression_Valg[[#This Row],[Uafhængig variabel ID]]</f>
        <v>1</v>
      </c>
      <c r="E2437" s="45" t="b">
        <f>LineærRegression_Valg[[#This Row],[Afhængig variabel ID]]&lt;=$B$5</f>
        <v>0</v>
      </c>
      <c r="F2437" t="str" cm="1">
        <f t="array" ref="F2437">IF(LineærRegression_Valg[[#This Row],[Indenfor range]],INDEX(DataTitel_liste,LineærRegression_Valg[[#This Row],[Afhængig variabel ID]]),INDEX(DataTitel_liste,1))</f>
        <v>Eksempel 1 (interval)</v>
      </c>
      <c r="G2437" s="45" t="str" cm="1">
        <f t="array" ref="G2437">IF(LineærRegression_Valg[[#This Row],[Indenfor range]],IF(LineærRegression_Valg[[#This Row],[Intet overlap]],INDEX(DataTitel_liste,LineærRegression_Valg[[#This Row],[Uafhængig variabel ID]]),INDEX(DataTitel_liste,IF(LineærRegression_Valg[[#This Row],[Afhængig variabel ID]]=1,2,1))),$B$7)</f>
        <v>Eksempel 2 (interval)</v>
      </c>
      <c r="H2437" s="45">
        <f>_xlfn.AGGREGATE(2,5,LineærRegression_Valg[[#This Row],[Tabel ID]])</f>
        <v>1</v>
      </c>
    </row>
    <row r="2438" spans="1:8" x14ac:dyDescent="0.2">
      <c r="A2438">
        <f>ROW(LineærRegression_Valg[[#This Row],[Tabel ID]])-ROW(LineærRegression_Valg[[#Headers],[Tabel ID]])</f>
        <v>2428</v>
      </c>
      <c r="B2438" s="45">
        <f>ROUNDDOWN((LineærRegression_Valg[[#This Row],[Tabel ID]]-1)/$B$5,0)+1</f>
        <v>607</v>
      </c>
      <c r="C2438" s="45">
        <f t="shared" si="37"/>
        <v>4</v>
      </c>
      <c r="D2438" s="45" t="b">
        <f>LineærRegression_Valg[[#This Row],[Afhængig variabel ID]]&lt;&gt;LineærRegression_Valg[[#This Row],[Uafhængig variabel ID]]</f>
        <v>1</v>
      </c>
      <c r="E2438" s="45" t="b">
        <f>LineærRegression_Valg[[#This Row],[Afhængig variabel ID]]&lt;=$B$5</f>
        <v>0</v>
      </c>
      <c r="F2438" t="str" cm="1">
        <f t="array" ref="F2438">IF(LineærRegression_Valg[[#This Row],[Indenfor range]],INDEX(DataTitel_liste,LineærRegression_Valg[[#This Row],[Afhængig variabel ID]]),INDEX(DataTitel_liste,1))</f>
        <v>Eksempel 1 (interval)</v>
      </c>
      <c r="G2438" s="45" t="str" cm="1">
        <f t="array" ref="G2438">IF(LineærRegression_Valg[[#This Row],[Indenfor range]],IF(LineærRegression_Valg[[#This Row],[Intet overlap]],INDEX(DataTitel_liste,LineærRegression_Valg[[#This Row],[Uafhængig variabel ID]]),INDEX(DataTitel_liste,IF(LineærRegression_Valg[[#This Row],[Afhængig variabel ID]]=1,2,1))),$B$7)</f>
        <v>Eksempel 2 (interval)</v>
      </c>
      <c r="H2438" s="45">
        <f>_xlfn.AGGREGATE(2,5,LineærRegression_Valg[[#This Row],[Tabel ID]])</f>
        <v>1</v>
      </c>
    </row>
    <row r="2439" spans="1:8" x14ac:dyDescent="0.2">
      <c r="A2439">
        <f>ROW(LineærRegression_Valg[[#This Row],[Tabel ID]])-ROW(LineærRegression_Valg[[#Headers],[Tabel ID]])</f>
        <v>2429</v>
      </c>
      <c r="B2439" s="45">
        <f>ROUNDDOWN((LineærRegression_Valg[[#This Row],[Tabel ID]]-1)/$B$5,0)+1</f>
        <v>608</v>
      </c>
      <c r="C2439" s="45">
        <f t="shared" si="37"/>
        <v>1</v>
      </c>
      <c r="D2439" s="45" t="b">
        <f>LineærRegression_Valg[[#This Row],[Afhængig variabel ID]]&lt;&gt;LineærRegression_Valg[[#This Row],[Uafhængig variabel ID]]</f>
        <v>1</v>
      </c>
      <c r="E2439" s="45" t="b">
        <f>LineærRegression_Valg[[#This Row],[Afhængig variabel ID]]&lt;=$B$5</f>
        <v>0</v>
      </c>
      <c r="F2439" t="str" cm="1">
        <f t="array" ref="F2439">IF(LineærRegression_Valg[[#This Row],[Indenfor range]],INDEX(DataTitel_liste,LineærRegression_Valg[[#This Row],[Afhængig variabel ID]]),INDEX(DataTitel_liste,1))</f>
        <v>Eksempel 1 (interval)</v>
      </c>
      <c r="G2439" s="45" t="str" cm="1">
        <f t="array" ref="G2439">IF(LineærRegression_Valg[[#This Row],[Indenfor range]],IF(LineærRegression_Valg[[#This Row],[Intet overlap]],INDEX(DataTitel_liste,LineærRegression_Valg[[#This Row],[Uafhængig variabel ID]]),INDEX(DataTitel_liste,IF(LineærRegression_Valg[[#This Row],[Afhængig variabel ID]]=1,2,1))),$B$7)</f>
        <v>Eksempel 2 (interval)</v>
      </c>
      <c r="H2439" s="45">
        <f>_xlfn.AGGREGATE(2,5,LineærRegression_Valg[[#This Row],[Tabel ID]])</f>
        <v>1</v>
      </c>
    </row>
    <row r="2440" spans="1:8" x14ac:dyDescent="0.2">
      <c r="A2440">
        <f>ROW(LineærRegression_Valg[[#This Row],[Tabel ID]])-ROW(LineærRegression_Valg[[#Headers],[Tabel ID]])</f>
        <v>2430</v>
      </c>
      <c r="B2440" s="45">
        <f>ROUNDDOWN((LineærRegression_Valg[[#This Row],[Tabel ID]]-1)/$B$5,0)+1</f>
        <v>608</v>
      </c>
      <c r="C2440" s="45">
        <f t="shared" si="37"/>
        <v>2</v>
      </c>
      <c r="D2440" s="45" t="b">
        <f>LineærRegression_Valg[[#This Row],[Afhængig variabel ID]]&lt;&gt;LineærRegression_Valg[[#This Row],[Uafhængig variabel ID]]</f>
        <v>1</v>
      </c>
      <c r="E2440" s="45" t="b">
        <f>LineærRegression_Valg[[#This Row],[Afhængig variabel ID]]&lt;=$B$5</f>
        <v>0</v>
      </c>
      <c r="F2440" t="str" cm="1">
        <f t="array" ref="F2440">IF(LineærRegression_Valg[[#This Row],[Indenfor range]],INDEX(DataTitel_liste,LineærRegression_Valg[[#This Row],[Afhængig variabel ID]]),INDEX(DataTitel_liste,1))</f>
        <v>Eksempel 1 (interval)</v>
      </c>
      <c r="G2440" s="45" t="str" cm="1">
        <f t="array" ref="G2440">IF(LineærRegression_Valg[[#This Row],[Indenfor range]],IF(LineærRegression_Valg[[#This Row],[Intet overlap]],INDEX(DataTitel_liste,LineærRegression_Valg[[#This Row],[Uafhængig variabel ID]]),INDEX(DataTitel_liste,IF(LineærRegression_Valg[[#This Row],[Afhængig variabel ID]]=1,2,1))),$B$7)</f>
        <v>Eksempel 2 (interval)</v>
      </c>
      <c r="H2440" s="45">
        <f>_xlfn.AGGREGATE(2,5,LineærRegression_Valg[[#This Row],[Tabel ID]])</f>
        <v>1</v>
      </c>
    </row>
    <row r="2441" spans="1:8" x14ac:dyDescent="0.2">
      <c r="A2441">
        <f>ROW(LineærRegression_Valg[[#This Row],[Tabel ID]])-ROW(LineærRegression_Valg[[#Headers],[Tabel ID]])</f>
        <v>2431</v>
      </c>
      <c r="B2441" s="45">
        <f>ROUNDDOWN((LineærRegression_Valg[[#This Row],[Tabel ID]]-1)/$B$5,0)+1</f>
        <v>608</v>
      </c>
      <c r="C2441" s="45">
        <f t="shared" si="37"/>
        <v>3</v>
      </c>
      <c r="D2441" s="45" t="b">
        <f>LineærRegression_Valg[[#This Row],[Afhængig variabel ID]]&lt;&gt;LineærRegression_Valg[[#This Row],[Uafhængig variabel ID]]</f>
        <v>1</v>
      </c>
      <c r="E2441" s="45" t="b">
        <f>LineærRegression_Valg[[#This Row],[Afhængig variabel ID]]&lt;=$B$5</f>
        <v>0</v>
      </c>
      <c r="F2441" t="str" cm="1">
        <f t="array" ref="F2441">IF(LineærRegression_Valg[[#This Row],[Indenfor range]],INDEX(DataTitel_liste,LineærRegression_Valg[[#This Row],[Afhængig variabel ID]]),INDEX(DataTitel_liste,1))</f>
        <v>Eksempel 1 (interval)</v>
      </c>
      <c r="G2441" s="45" t="str" cm="1">
        <f t="array" ref="G2441">IF(LineærRegression_Valg[[#This Row],[Indenfor range]],IF(LineærRegression_Valg[[#This Row],[Intet overlap]],INDEX(DataTitel_liste,LineærRegression_Valg[[#This Row],[Uafhængig variabel ID]]),INDEX(DataTitel_liste,IF(LineærRegression_Valg[[#This Row],[Afhængig variabel ID]]=1,2,1))),$B$7)</f>
        <v>Eksempel 2 (interval)</v>
      </c>
      <c r="H2441" s="45">
        <f>_xlfn.AGGREGATE(2,5,LineærRegression_Valg[[#This Row],[Tabel ID]])</f>
        <v>1</v>
      </c>
    </row>
    <row r="2442" spans="1:8" x14ac:dyDescent="0.2">
      <c r="A2442">
        <f>ROW(LineærRegression_Valg[[#This Row],[Tabel ID]])-ROW(LineærRegression_Valg[[#Headers],[Tabel ID]])</f>
        <v>2432</v>
      </c>
      <c r="B2442" s="45">
        <f>ROUNDDOWN((LineærRegression_Valg[[#This Row],[Tabel ID]]-1)/$B$5,0)+1</f>
        <v>608</v>
      </c>
      <c r="C2442" s="45">
        <f t="shared" si="37"/>
        <v>4</v>
      </c>
      <c r="D2442" s="45" t="b">
        <f>LineærRegression_Valg[[#This Row],[Afhængig variabel ID]]&lt;&gt;LineærRegression_Valg[[#This Row],[Uafhængig variabel ID]]</f>
        <v>1</v>
      </c>
      <c r="E2442" s="45" t="b">
        <f>LineærRegression_Valg[[#This Row],[Afhængig variabel ID]]&lt;=$B$5</f>
        <v>0</v>
      </c>
      <c r="F2442" t="str" cm="1">
        <f t="array" ref="F2442">IF(LineærRegression_Valg[[#This Row],[Indenfor range]],INDEX(DataTitel_liste,LineærRegression_Valg[[#This Row],[Afhængig variabel ID]]),INDEX(DataTitel_liste,1))</f>
        <v>Eksempel 1 (interval)</v>
      </c>
      <c r="G2442" s="45" t="str" cm="1">
        <f t="array" ref="G2442">IF(LineærRegression_Valg[[#This Row],[Indenfor range]],IF(LineærRegression_Valg[[#This Row],[Intet overlap]],INDEX(DataTitel_liste,LineærRegression_Valg[[#This Row],[Uafhængig variabel ID]]),INDEX(DataTitel_liste,IF(LineærRegression_Valg[[#This Row],[Afhængig variabel ID]]=1,2,1))),$B$7)</f>
        <v>Eksempel 2 (interval)</v>
      </c>
      <c r="H2442" s="45">
        <f>_xlfn.AGGREGATE(2,5,LineærRegression_Valg[[#This Row],[Tabel ID]])</f>
        <v>1</v>
      </c>
    </row>
    <row r="2443" spans="1:8" x14ac:dyDescent="0.2">
      <c r="A2443">
        <f>ROW(LineærRegression_Valg[[#This Row],[Tabel ID]])-ROW(LineærRegression_Valg[[#Headers],[Tabel ID]])</f>
        <v>2433</v>
      </c>
      <c r="B2443" s="45">
        <f>ROUNDDOWN((LineærRegression_Valg[[#This Row],[Tabel ID]]-1)/$B$5,0)+1</f>
        <v>609</v>
      </c>
      <c r="C2443" s="45">
        <f t="shared" ref="C2443:C2510" si="38">MOD(A2443-1,$B$5)+1</f>
        <v>1</v>
      </c>
      <c r="D2443" s="45" t="b">
        <f>LineærRegression_Valg[[#This Row],[Afhængig variabel ID]]&lt;&gt;LineærRegression_Valg[[#This Row],[Uafhængig variabel ID]]</f>
        <v>1</v>
      </c>
      <c r="E2443" s="45" t="b">
        <f>LineærRegression_Valg[[#This Row],[Afhængig variabel ID]]&lt;=$B$5</f>
        <v>0</v>
      </c>
      <c r="F2443" t="str" cm="1">
        <f t="array" ref="F2443">IF(LineærRegression_Valg[[#This Row],[Indenfor range]],INDEX(DataTitel_liste,LineærRegression_Valg[[#This Row],[Afhængig variabel ID]]),INDEX(DataTitel_liste,1))</f>
        <v>Eksempel 1 (interval)</v>
      </c>
      <c r="G2443" s="45" t="str" cm="1">
        <f t="array" ref="G2443">IF(LineærRegression_Valg[[#This Row],[Indenfor range]],IF(LineærRegression_Valg[[#This Row],[Intet overlap]],INDEX(DataTitel_liste,LineærRegression_Valg[[#This Row],[Uafhængig variabel ID]]),INDEX(DataTitel_liste,IF(LineærRegression_Valg[[#This Row],[Afhængig variabel ID]]=1,2,1))),$B$7)</f>
        <v>Eksempel 2 (interval)</v>
      </c>
      <c r="H2443" s="45">
        <f>_xlfn.AGGREGATE(2,5,LineærRegression_Valg[[#This Row],[Tabel ID]])</f>
        <v>1</v>
      </c>
    </row>
    <row r="2444" spans="1:8" x14ac:dyDescent="0.2">
      <c r="A2444">
        <f>ROW(LineærRegression_Valg[[#This Row],[Tabel ID]])-ROW(LineærRegression_Valg[[#Headers],[Tabel ID]])</f>
        <v>2434</v>
      </c>
      <c r="B2444" s="45">
        <f>ROUNDDOWN((LineærRegression_Valg[[#This Row],[Tabel ID]]-1)/$B$5,0)+1</f>
        <v>609</v>
      </c>
      <c r="C2444" s="45">
        <f t="shared" si="38"/>
        <v>2</v>
      </c>
      <c r="D2444" s="45" t="b">
        <f>LineærRegression_Valg[[#This Row],[Afhængig variabel ID]]&lt;&gt;LineærRegression_Valg[[#This Row],[Uafhængig variabel ID]]</f>
        <v>1</v>
      </c>
      <c r="E2444" s="45" t="b">
        <f>LineærRegression_Valg[[#This Row],[Afhængig variabel ID]]&lt;=$B$5</f>
        <v>0</v>
      </c>
      <c r="F2444" t="str" cm="1">
        <f t="array" ref="F2444">IF(LineærRegression_Valg[[#This Row],[Indenfor range]],INDEX(DataTitel_liste,LineærRegression_Valg[[#This Row],[Afhængig variabel ID]]),INDEX(DataTitel_liste,1))</f>
        <v>Eksempel 1 (interval)</v>
      </c>
      <c r="G2444" s="45" t="str" cm="1">
        <f t="array" ref="G2444">IF(LineærRegression_Valg[[#This Row],[Indenfor range]],IF(LineærRegression_Valg[[#This Row],[Intet overlap]],INDEX(DataTitel_liste,LineærRegression_Valg[[#This Row],[Uafhængig variabel ID]]),INDEX(DataTitel_liste,IF(LineærRegression_Valg[[#This Row],[Afhængig variabel ID]]=1,2,1))),$B$7)</f>
        <v>Eksempel 2 (interval)</v>
      </c>
      <c r="H2444" s="45">
        <f>_xlfn.AGGREGATE(2,5,LineærRegression_Valg[[#This Row],[Tabel ID]])</f>
        <v>1</v>
      </c>
    </row>
    <row r="2445" spans="1:8" x14ac:dyDescent="0.2">
      <c r="A2445">
        <f>ROW(LineærRegression_Valg[[#This Row],[Tabel ID]])-ROW(LineærRegression_Valg[[#Headers],[Tabel ID]])</f>
        <v>2435</v>
      </c>
      <c r="B2445" s="45">
        <f>ROUNDDOWN((LineærRegression_Valg[[#This Row],[Tabel ID]]-1)/$B$5,0)+1</f>
        <v>609</v>
      </c>
      <c r="C2445" s="45">
        <f t="shared" si="38"/>
        <v>3</v>
      </c>
      <c r="D2445" s="45" t="b">
        <f>LineærRegression_Valg[[#This Row],[Afhængig variabel ID]]&lt;&gt;LineærRegression_Valg[[#This Row],[Uafhængig variabel ID]]</f>
        <v>1</v>
      </c>
      <c r="E2445" s="45" t="b">
        <f>LineærRegression_Valg[[#This Row],[Afhængig variabel ID]]&lt;=$B$5</f>
        <v>0</v>
      </c>
      <c r="F2445" t="str" cm="1">
        <f t="array" ref="F2445">IF(LineærRegression_Valg[[#This Row],[Indenfor range]],INDEX(DataTitel_liste,LineærRegression_Valg[[#This Row],[Afhængig variabel ID]]),INDEX(DataTitel_liste,1))</f>
        <v>Eksempel 1 (interval)</v>
      </c>
      <c r="G2445" s="45" t="str" cm="1">
        <f t="array" ref="G2445">IF(LineærRegression_Valg[[#This Row],[Indenfor range]],IF(LineærRegression_Valg[[#This Row],[Intet overlap]],INDEX(DataTitel_liste,LineærRegression_Valg[[#This Row],[Uafhængig variabel ID]]),INDEX(DataTitel_liste,IF(LineærRegression_Valg[[#This Row],[Afhængig variabel ID]]=1,2,1))),$B$7)</f>
        <v>Eksempel 2 (interval)</v>
      </c>
      <c r="H2445" s="45">
        <f>_xlfn.AGGREGATE(2,5,LineærRegression_Valg[[#This Row],[Tabel ID]])</f>
        <v>1</v>
      </c>
    </row>
    <row r="2446" spans="1:8" x14ac:dyDescent="0.2">
      <c r="A2446">
        <f>ROW(LineærRegression_Valg[[#This Row],[Tabel ID]])-ROW(LineærRegression_Valg[[#Headers],[Tabel ID]])</f>
        <v>2436</v>
      </c>
      <c r="B2446" s="45">
        <f>ROUNDDOWN((LineærRegression_Valg[[#This Row],[Tabel ID]]-1)/$B$5,0)+1</f>
        <v>609</v>
      </c>
      <c r="C2446" s="45">
        <f t="shared" si="38"/>
        <v>4</v>
      </c>
      <c r="D2446" s="45" t="b">
        <f>LineærRegression_Valg[[#This Row],[Afhængig variabel ID]]&lt;&gt;LineærRegression_Valg[[#This Row],[Uafhængig variabel ID]]</f>
        <v>1</v>
      </c>
      <c r="E2446" s="45" t="b">
        <f>LineærRegression_Valg[[#This Row],[Afhængig variabel ID]]&lt;=$B$5</f>
        <v>0</v>
      </c>
      <c r="F2446" t="str" cm="1">
        <f t="array" ref="F2446">IF(LineærRegression_Valg[[#This Row],[Indenfor range]],INDEX(DataTitel_liste,LineærRegression_Valg[[#This Row],[Afhængig variabel ID]]),INDEX(DataTitel_liste,1))</f>
        <v>Eksempel 1 (interval)</v>
      </c>
      <c r="G2446" s="45" t="str" cm="1">
        <f t="array" ref="G2446">IF(LineærRegression_Valg[[#This Row],[Indenfor range]],IF(LineærRegression_Valg[[#This Row],[Intet overlap]],INDEX(DataTitel_liste,LineærRegression_Valg[[#This Row],[Uafhængig variabel ID]]),INDEX(DataTitel_liste,IF(LineærRegression_Valg[[#This Row],[Afhængig variabel ID]]=1,2,1))),$B$7)</f>
        <v>Eksempel 2 (interval)</v>
      </c>
      <c r="H2446" s="45">
        <f>_xlfn.AGGREGATE(2,5,LineærRegression_Valg[[#This Row],[Tabel ID]])</f>
        <v>1</v>
      </c>
    </row>
    <row r="2447" spans="1:8" x14ac:dyDescent="0.2">
      <c r="A2447">
        <f>ROW(LineærRegression_Valg[[#This Row],[Tabel ID]])-ROW(LineærRegression_Valg[[#Headers],[Tabel ID]])</f>
        <v>2437</v>
      </c>
      <c r="B2447" s="45">
        <f>ROUNDDOWN((LineærRegression_Valg[[#This Row],[Tabel ID]]-1)/$B$5,0)+1</f>
        <v>610</v>
      </c>
      <c r="C2447" s="45">
        <f t="shared" si="38"/>
        <v>1</v>
      </c>
      <c r="D2447" s="45" t="b">
        <f>LineærRegression_Valg[[#This Row],[Afhængig variabel ID]]&lt;&gt;LineærRegression_Valg[[#This Row],[Uafhængig variabel ID]]</f>
        <v>1</v>
      </c>
      <c r="E2447" s="45" t="b">
        <f>LineærRegression_Valg[[#This Row],[Afhængig variabel ID]]&lt;=$B$5</f>
        <v>0</v>
      </c>
      <c r="F2447" t="str" cm="1">
        <f t="array" ref="F2447">IF(LineærRegression_Valg[[#This Row],[Indenfor range]],INDEX(DataTitel_liste,LineærRegression_Valg[[#This Row],[Afhængig variabel ID]]),INDEX(DataTitel_liste,1))</f>
        <v>Eksempel 1 (interval)</v>
      </c>
      <c r="G2447" s="45" t="str" cm="1">
        <f t="array" ref="G2447">IF(LineærRegression_Valg[[#This Row],[Indenfor range]],IF(LineærRegression_Valg[[#This Row],[Intet overlap]],INDEX(DataTitel_liste,LineærRegression_Valg[[#This Row],[Uafhængig variabel ID]]),INDEX(DataTitel_liste,IF(LineærRegression_Valg[[#This Row],[Afhængig variabel ID]]=1,2,1))),$B$7)</f>
        <v>Eksempel 2 (interval)</v>
      </c>
      <c r="H2447" s="45">
        <f>_xlfn.AGGREGATE(2,5,LineærRegression_Valg[[#This Row],[Tabel ID]])</f>
        <v>1</v>
      </c>
    </row>
    <row r="2448" spans="1:8" x14ac:dyDescent="0.2">
      <c r="A2448">
        <f>ROW(LineærRegression_Valg[[#This Row],[Tabel ID]])-ROW(LineærRegression_Valg[[#Headers],[Tabel ID]])</f>
        <v>2438</v>
      </c>
      <c r="B2448" s="45">
        <f>ROUNDDOWN((LineærRegression_Valg[[#This Row],[Tabel ID]]-1)/$B$5,0)+1</f>
        <v>610</v>
      </c>
      <c r="C2448" s="45">
        <f t="shared" si="38"/>
        <v>2</v>
      </c>
      <c r="D2448" s="45" t="b">
        <f>LineærRegression_Valg[[#This Row],[Afhængig variabel ID]]&lt;&gt;LineærRegression_Valg[[#This Row],[Uafhængig variabel ID]]</f>
        <v>1</v>
      </c>
      <c r="E2448" s="45" t="b">
        <f>LineærRegression_Valg[[#This Row],[Afhængig variabel ID]]&lt;=$B$5</f>
        <v>0</v>
      </c>
      <c r="F2448" t="str" cm="1">
        <f t="array" ref="F2448">IF(LineærRegression_Valg[[#This Row],[Indenfor range]],INDEX(DataTitel_liste,LineærRegression_Valg[[#This Row],[Afhængig variabel ID]]),INDEX(DataTitel_liste,1))</f>
        <v>Eksempel 1 (interval)</v>
      </c>
      <c r="G2448" s="45" t="str" cm="1">
        <f t="array" ref="G2448">IF(LineærRegression_Valg[[#This Row],[Indenfor range]],IF(LineærRegression_Valg[[#This Row],[Intet overlap]],INDEX(DataTitel_liste,LineærRegression_Valg[[#This Row],[Uafhængig variabel ID]]),INDEX(DataTitel_liste,IF(LineærRegression_Valg[[#This Row],[Afhængig variabel ID]]=1,2,1))),$B$7)</f>
        <v>Eksempel 2 (interval)</v>
      </c>
      <c r="H2448" s="45">
        <f>_xlfn.AGGREGATE(2,5,LineærRegression_Valg[[#This Row],[Tabel ID]])</f>
        <v>1</v>
      </c>
    </row>
    <row r="2449" spans="1:8" x14ac:dyDescent="0.2">
      <c r="A2449">
        <f>ROW(LineærRegression_Valg[[#This Row],[Tabel ID]])-ROW(LineærRegression_Valg[[#Headers],[Tabel ID]])</f>
        <v>2439</v>
      </c>
      <c r="B2449" s="45">
        <f>ROUNDDOWN((LineærRegression_Valg[[#This Row],[Tabel ID]]-1)/$B$5,0)+1</f>
        <v>610</v>
      </c>
      <c r="C2449" s="45">
        <f t="shared" si="38"/>
        <v>3</v>
      </c>
      <c r="D2449" s="45" t="b">
        <f>LineærRegression_Valg[[#This Row],[Afhængig variabel ID]]&lt;&gt;LineærRegression_Valg[[#This Row],[Uafhængig variabel ID]]</f>
        <v>1</v>
      </c>
      <c r="E2449" s="45" t="b">
        <f>LineærRegression_Valg[[#This Row],[Afhængig variabel ID]]&lt;=$B$5</f>
        <v>0</v>
      </c>
      <c r="F2449" t="str" cm="1">
        <f t="array" ref="F2449">IF(LineærRegression_Valg[[#This Row],[Indenfor range]],INDEX(DataTitel_liste,LineærRegression_Valg[[#This Row],[Afhængig variabel ID]]),INDEX(DataTitel_liste,1))</f>
        <v>Eksempel 1 (interval)</v>
      </c>
      <c r="G2449" s="45" t="str" cm="1">
        <f t="array" ref="G2449">IF(LineærRegression_Valg[[#This Row],[Indenfor range]],IF(LineærRegression_Valg[[#This Row],[Intet overlap]],INDEX(DataTitel_liste,LineærRegression_Valg[[#This Row],[Uafhængig variabel ID]]),INDEX(DataTitel_liste,IF(LineærRegression_Valg[[#This Row],[Afhængig variabel ID]]=1,2,1))),$B$7)</f>
        <v>Eksempel 2 (interval)</v>
      </c>
      <c r="H2449" s="45">
        <f>_xlfn.AGGREGATE(2,5,LineærRegression_Valg[[#This Row],[Tabel ID]])</f>
        <v>1</v>
      </c>
    </row>
    <row r="2450" spans="1:8" x14ac:dyDescent="0.2">
      <c r="A2450">
        <f>ROW(LineærRegression_Valg[[#This Row],[Tabel ID]])-ROW(LineærRegression_Valg[[#Headers],[Tabel ID]])</f>
        <v>2440</v>
      </c>
      <c r="B2450" s="45">
        <f>ROUNDDOWN((LineærRegression_Valg[[#This Row],[Tabel ID]]-1)/$B$5,0)+1</f>
        <v>610</v>
      </c>
      <c r="C2450" s="45">
        <f t="shared" si="38"/>
        <v>4</v>
      </c>
      <c r="D2450" s="45" t="b">
        <f>LineærRegression_Valg[[#This Row],[Afhængig variabel ID]]&lt;&gt;LineærRegression_Valg[[#This Row],[Uafhængig variabel ID]]</f>
        <v>1</v>
      </c>
      <c r="E2450" s="45" t="b">
        <f>LineærRegression_Valg[[#This Row],[Afhængig variabel ID]]&lt;=$B$5</f>
        <v>0</v>
      </c>
      <c r="F2450" t="str" cm="1">
        <f t="array" ref="F2450">IF(LineærRegression_Valg[[#This Row],[Indenfor range]],INDEX(DataTitel_liste,LineærRegression_Valg[[#This Row],[Afhængig variabel ID]]),INDEX(DataTitel_liste,1))</f>
        <v>Eksempel 1 (interval)</v>
      </c>
      <c r="G2450" s="45" t="str" cm="1">
        <f t="array" ref="G2450">IF(LineærRegression_Valg[[#This Row],[Indenfor range]],IF(LineærRegression_Valg[[#This Row],[Intet overlap]],INDEX(DataTitel_liste,LineærRegression_Valg[[#This Row],[Uafhængig variabel ID]]),INDEX(DataTitel_liste,IF(LineærRegression_Valg[[#This Row],[Afhængig variabel ID]]=1,2,1))),$B$7)</f>
        <v>Eksempel 2 (interval)</v>
      </c>
      <c r="H2450" s="45">
        <f>_xlfn.AGGREGATE(2,5,LineærRegression_Valg[[#This Row],[Tabel ID]])</f>
        <v>1</v>
      </c>
    </row>
    <row r="2451" spans="1:8" x14ac:dyDescent="0.2">
      <c r="A2451">
        <f>ROW(LineærRegression_Valg[[#This Row],[Tabel ID]])-ROW(LineærRegression_Valg[[#Headers],[Tabel ID]])</f>
        <v>2441</v>
      </c>
      <c r="B2451" s="45">
        <f>ROUNDDOWN((LineærRegression_Valg[[#This Row],[Tabel ID]]-1)/$B$5,0)+1</f>
        <v>611</v>
      </c>
      <c r="C2451" s="45">
        <f t="shared" si="38"/>
        <v>1</v>
      </c>
      <c r="D2451" s="45" t="b">
        <f>LineærRegression_Valg[[#This Row],[Afhængig variabel ID]]&lt;&gt;LineærRegression_Valg[[#This Row],[Uafhængig variabel ID]]</f>
        <v>1</v>
      </c>
      <c r="E2451" s="45" t="b">
        <f>LineærRegression_Valg[[#This Row],[Afhængig variabel ID]]&lt;=$B$5</f>
        <v>0</v>
      </c>
      <c r="F2451" t="str" cm="1">
        <f t="array" ref="F2451">IF(LineærRegression_Valg[[#This Row],[Indenfor range]],INDEX(DataTitel_liste,LineærRegression_Valg[[#This Row],[Afhængig variabel ID]]),INDEX(DataTitel_liste,1))</f>
        <v>Eksempel 1 (interval)</v>
      </c>
      <c r="G2451" s="45" t="str" cm="1">
        <f t="array" ref="G2451">IF(LineærRegression_Valg[[#This Row],[Indenfor range]],IF(LineærRegression_Valg[[#This Row],[Intet overlap]],INDEX(DataTitel_liste,LineærRegression_Valg[[#This Row],[Uafhængig variabel ID]]),INDEX(DataTitel_liste,IF(LineærRegression_Valg[[#This Row],[Afhængig variabel ID]]=1,2,1))),$B$7)</f>
        <v>Eksempel 2 (interval)</v>
      </c>
      <c r="H2451" s="45">
        <f>_xlfn.AGGREGATE(2,5,LineærRegression_Valg[[#This Row],[Tabel ID]])</f>
        <v>1</v>
      </c>
    </row>
    <row r="2452" spans="1:8" x14ac:dyDescent="0.2">
      <c r="A2452">
        <f>ROW(LineærRegression_Valg[[#This Row],[Tabel ID]])-ROW(LineærRegression_Valg[[#Headers],[Tabel ID]])</f>
        <v>2442</v>
      </c>
      <c r="B2452" s="45">
        <f>ROUNDDOWN((LineærRegression_Valg[[#This Row],[Tabel ID]]-1)/$B$5,0)+1</f>
        <v>611</v>
      </c>
      <c r="C2452" s="45">
        <f t="shared" si="38"/>
        <v>2</v>
      </c>
      <c r="D2452" s="45" t="b">
        <f>LineærRegression_Valg[[#This Row],[Afhængig variabel ID]]&lt;&gt;LineærRegression_Valg[[#This Row],[Uafhængig variabel ID]]</f>
        <v>1</v>
      </c>
      <c r="E2452" s="45" t="b">
        <f>LineærRegression_Valg[[#This Row],[Afhængig variabel ID]]&lt;=$B$5</f>
        <v>0</v>
      </c>
      <c r="F2452" t="str" cm="1">
        <f t="array" ref="F2452">IF(LineærRegression_Valg[[#This Row],[Indenfor range]],INDEX(DataTitel_liste,LineærRegression_Valg[[#This Row],[Afhængig variabel ID]]),INDEX(DataTitel_liste,1))</f>
        <v>Eksempel 1 (interval)</v>
      </c>
      <c r="G2452" s="45" t="str" cm="1">
        <f t="array" ref="G2452">IF(LineærRegression_Valg[[#This Row],[Indenfor range]],IF(LineærRegression_Valg[[#This Row],[Intet overlap]],INDEX(DataTitel_liste,LineærRegression_Valg[[#This Row],[Uafhængig variabel ID]]),INDEX(DataTitel_liste,IF(LineærRegression_Valg[[#This Row],[Afhængig variabel ID]]=1,2,1))),$B$7)</f>
        <v>Eksempel 2 (interval)</v>
      </c>
      <c r="H2452" s="45">
        <f>_xlfn.AGGREGATE(2,5,LineærRegression_Valg[[#This Row],[Tabel ID]])</f>
        <v>1</v>
      </c>
    </row>
    <row r="2453" spans="1:8" x14ac:dyDescent="0.2">
      <c r="A2453">
        <f>ROW(LineærRegression_Valg[[#This Row],[Tabel ID]])-ROW(LineærRegression_Valg[[#Headers],[Tabel ID]])</f>
        <v>2443</v>
      </c>
      <c r="B2453" s="45">
        <f>ROUNDDOWN((LineærRegression_Valg[[#This Row],[Tabel ID]]-1)/$B$5,0)+1</f>
        <v>611</v>
      </c>
      <c r="C2453" s="45">
        <f t="shared" si="38"/>
        <v>3</v>
      </c>
      <c r="D2453" s="45" t="b">
        <f>LineærRegression_Valg[[#This Row],[Afhængig variabel ID]]&lt;&gt;LineærRegression_Valg[[#This Row],[Uafhængig variabel ID]]</f>
        <v>1</v>
      </c>
      <c r="E2453" s="45" t="b">
        <f>LineærRegression_Valg[[#This Row],[Afhængig variabel ID]]&lt;=$B$5</f>
        <v>0</v>
      </c>
      <c r="F2453" t="str" cm="1">
        <f t="array" ref="F2453">IF(LineærRegression_Valg[[#This Row],[Indenfor range]],INDEX(DataTitel_liste,LineærRegression_Valg[[#This Row],[Afhængig variabel ID]]),INDEX(DataTitel_liste,1))</f>
        <v>Eksempel 1 (interval)</v>
      </c>
      <c r="G2453" s="45" t="str" cm="1">
        <f t="array" ref="G2453">IF(LineærRegression_Valg[[#This Row],[Indenfor range]],IF(LineærRegression_Valg[[#This Row],[Intet overlap]],INDEX(DataTitel_liste,LineærRegression_Valg[[#This Row],[Uafhængig variabel ID]]),INDEX(DataTitel_liste,IF(LineærRegression_Valg[[#This Row],[Afhængig variabel ID]]=1,2,1))),$B$7)</f>
        <v>Eksempel 2 (interval)</v>
      </c>
      <c r="H2453" s="45">
        <f>_xlfn.AGGREGATE(2,5,LineærRegression_Valg[[#This Row],[Tabel ID]])</f>
        <v>1</v>
      </c>
    </row>
    <row r="2454" spans="1:8" x14ac:dyDescent="0.2">
      <c r="A2454">
        <f>ROW(LineærRegression_Valg[[#This Row],[Tabel ID]])-ROW(LineærRegression_Valg[[#Headers],[Tabel ID]])</f>
        <v>2444</v>
      </c>
      <c r="B2454" s="45">
        <f>ROUNDDOWN((LineærRegression_Valg[[#This Row],[Tabel ID]]-1)/$B$5,0)+1</f>
        <v>611</v>
      </c>
      <c r="C2454" s="45">
        <f t="shared" si="38"/>
        <v>4</v>
      </c>
      <c r="D2454" s="45" t="b">
        <f>LineærRegression_Valg[[#This Row],[Afhængig variabel ID]]&lt;&gt;LineærRegression_Valg[[#This Row],[Uafhængig variabel ID]]</f>
        <v>1</v>
      </c>
      <c r="E2454" s="45" t="b">
        <f>LineærRegression_Valg[[#This Row],[Afhængig variabel ID]]&lt;=$B$5</f>
        <v>0</v>
      </c>
      <c r="F2454" t="str" cm="1">
        <f t="array" ref="F2454">IF(LineærRegression_Valg[[#This Row],[Indenfor range]],INDEX(DataTitel_liste,LineærRegression_Valg[[#This Row],[Afhængig variabel ID]]),INDEX(DataTitel_liste,1))</f>
        <v>Eksempel 1 (interval)</v>
      </c>
      <c r="G2454" s="45" t="str" cm="1">
        <f t="array" ref="G2454">IF(LineærRegression_Valg[[#This Row],[Indenfor range]],IF(LineærRegression_Valg[[#This Row],[Intet overlap]],INDEX(DataTitel_liste,LineærRegression_Valg[[#This Row],[Uafhængig variabel ID]]),INDEX(DataTitel_liste,IF(LineærRegression_Valg[[#This Row],[Afhængig variabel ID]]=1,2,1))),$B$7)</f>
        <v>Eksempel 2 (interval)</v>
      </c>
      <c r="H2454" s="45">
        <f>_xlfn.AGGREGATE(2,5,LineærRegression_Valg[[#This Row],[Tabel ID]])</f>
        <v>1</v>
      </c>
    </row>
    <row r="2455" spans="1:8" x14ac:dyDescent="0.2">
      <c r="A2455">
        <f>ROW(LineærRegression_Valg[[#This Row],[Tabel ID]])-ROW(LineærRegression_Valg[[#Headers],[Tabel ID]])</f>
        <v>2445</v>
      </c>
      <c r="B2455" s="45">
        <f>ROUNDDOWN((LineærRegression_Valg[[#This Row],[Tabel ID]]-1)/$B$5,0)+1</f>
        <v>612</v>
      </c>
      <c r="C2455" s="45">
        <f t="shared" si="38"/>
        <v>1</v>
      </c>
      <c r="D2455" s="45" t="b">
        <f>LineærRegression_Valg[[#This Row],[Afhængig variabel ID]]&lt;&gt;LineærRegression_Valg[[#This Row],[Uafhængig variabel ID]]</f>
        <v>1</v>
      </c>
      <c r="E2455" s="45" t="b">
        <f>LineærRegression_Valg[[#This Row],[Afhængig variabel ID]]&lt;=$B$5</f>
        <v>0</v>
      </c>
      <c r="F2455" t="str" cm="1">
        <f t="array" ref="F2455">IF(LineærRegression_Valg[[#This Row],[Indenfor range]],INDEX(DataTitel_liste,LineærRegression_Valg[[#This Row],[Afhængig variabel ID]]),INDEX(DataTitel_liste,1))</f>
        <v>Eksempel 1 (interval)</v>
      </c>
      <c r="G2455" s="45" t="str" cm="1">
        <f t="array" ref="G2455">IF(LineærRegression_Valg[[#This Row],[Indenfor range]],IF(LineærRegression_Valg[[#This Row],[Intet overlap]],INDEX(DataTitel_liste,LineærRegression_Valg[[#This Row],[Uafhængig variabel ID]]),INDEX(DataTitel_liste,IF(LineærRegression_Valg[[#This Row],[Afhængig variabel ID]]=1,2,1))),$B$7)</f>
        <v>Eksempel 2 (interval)</v>
      </c>
      <c r="H2455" s="45">
        <f>_xlfn.AGGREGATE(2,5,LineærRegression_Valg[[#This Row],[Tabel ID]])</f>
        <v>1</v>
      </c>
    </row>
    <row r="2456" spans="1:8" x14ac:dyDescent="0.2">
      <c r="A2456">
        <f>ROW(LineærRegression_Valg[[#This Row],[Tabel ID]])-ROW(LineærRegression_Valg[[#Headers],[Tabel ID]])</f>
        <v>2446</v>
      </c>
      <c r="B2456" s="45">
        <f>ROUNDDOWN((LineærRegression_Valg[[#This Row],[Tabel ID]]-1)/$B$5,0)+1</f>
        <v>612</v>
      </c>
      <c r="C2456" s="45">
        <f t="shared" si="38"/>
        <v>2</v>
      </c>
      <c r="D2456" s="45" t="b">
        <f>LineærRegression_Valg[[#This Row],[Afhængig variabel ID]]&lt;&gt;LineærRegression_Valg[[#This Row],[Uafhængig variabel ID]]</f>
        <v>1</v>
      </c>
      <c r="E2456" s="45" t="b">
        <f>LineærRegression_Valg[[#This Row],[Afhængig variabel ID]]&lt;=$B$5</f>
        <v>0</v>
      </c>
      <c r="F2456" t="str" cm="1">
        <f t="array" ref="F2456">IF(LineærRegression_Valg[[#This Row],[Indenfor range]],INDEX(DataTitel_liste,LineærRegression_Valg[[#This Row],[Afhængig variabel ID]]),INDEX(DataTitel_liste,1))</f>
        <v>Eksempel 1 (interval)</v>
      </c>
      <c r="G2456" s="45" t="str" cm="1">
        <f t="array" ref="G2456">IF(LineærRegression_Valg[[#This Row],[Indenfor range]],IF(LineærRegression_Valg[[#This Row],[Intet overlap]],INDEX(DataTitel_liste,LineærRegression_Valg[[#This Row],[Uafhængig variabel ID]]),INDEX(DataTitel_liste,IF(LineærRegression_Valg[[#This Row],[Afhængig variabel ID]]=1,2,1))),$B$7)</f>
        <v>Eksempel 2 (interval)</v>
      </c>
      <c r="H2456" s="45">
        <f>_xlfn.AGGREGATE(2,5,LineærRegression_Valg[[#This Row],[Tabel ID]])</f>
        <v>1</v>
      </c>
    </row>
    <row r="2457" spans="1:8" x14ac:dyDescent="0.2">
      <c r="A2457">
        <f>ROW(LineærRegression_Valg[[#This Row],[Tabel ID]])-ROW(LineærRegression_Valg[[#Headers],[Tabel ID]])</f>
        <v>2447</v>
      </c>
      <c r="B2457" s="45">
        <f>ROUNDDOWN((LineærRegression_Valg[[#This Row],[Tabel ID]]-1)/$B$5,0)+1</f>
        <v>612</v>
      </c>
      <c r="C2457" s="45">
        <f t="shared" si="38"/>
        <v>3</v>
      </c>
      <c r="D2457" s="45" t="b">
        <f>LineærRegression_Valg[[#This Row],[Afhængig variabel ID]]&lt;&gt;LineærRegression_Valg[[#This Row],[Uafhængig variabel ID]]</f>
        <v>1</v>
      </c>
      <c r="E2457" s="45" t="b">
        <f>LineærRegression_Valg[[#This Row],[Afhængig variabel ID]]&lt;=$B$5</f>
        <v>0</v>
      </c>
      <c r="F2457" t="str" cm="1">
        <f t="array" ref="F2457">IF(LineærRegression_Valg[[#This Row],[Indenfor range]],INDEX(DataTitel_liste,LineærRegression_Valg[[#This Row],[Afhængig variabel ID]]),INDEX(DataTitel_liste,1))</f>
        <v>Eksempel 1 (interval)</v>
      </c>
      <c r="G2457" s="45" t="str" cm="1">
        <f t="array" ref="G2457">IF(LineærRegression_Valg[[#This Row],[Indenfor range]],IF(LineærRegression_Valg[[#This Row],[Intet overlap]],INDEX(DataTitel_liste,LineærRegression_Valg[[#This Row],[Uafhængig variabel ID]]),INDEX(DataTitel_liste,IF(LineærRegression_Valg[[#This Row],[Afhængig variabel ID]]=1,2,1))),$B$7)</f>
        <v>Eksempel 2 (interval)</v>
      </c>
      <c r="H2457" s="45">
        <f>_xlfn.AGGREGATE(2,5,LineærRegression_Valg[[#This Row],[Tabel ID]])</f>
        <v>1</v>
      </c>
    </row>
    <row r="2458" spans="1:8" x14ac:dyDescent="0.2">
      <c r="A2458">
        <f>ROW(LineærRegression_Valg[[#This Row],[Tabel ID]])-ROW(LineærRegression_Valg[[#Headers],[Tabel ID]])</f>
        <v>2448</v>
      </c>
      <c r="B2458" s="45">
        <f>ROUNDDOWN((LineærRegression_Valg[[#This Row],[Tabel ID]]-1)/$B$5,0)+1</f>
        <v>612</v>
      </c>
      <c r="C2458" s="45">
        <f t="shared" si="38"/>
        <v>4</v>
      </c>
      <c r="D2458" s="45" t="b">
        <f>LineærRegression_Valg[[#This Row],[Afhængig variabel ID]]&lt;&gt;LineærRegression_Valg[[#This Row],[Uafhængig variabel ID]]</f>
        <v>1</v>
      </c>
      <c r="E2458" s="45" t="b">
        <f>LineærRegression_Valg[[#This Row],[Afhængig variabel ID]]&lt;=$B$5</f>
        <v>0</v>
      </c>
      <c r="F2458" t="str" cm="1">
        <f t="array" ref="F2458">IF(LineærRegression_Valg[[#This Row],[Indenfor range]],INDEX(DataTitel_liste,LineærRegression_Valg[[#This Row],[Afhængig variabel ID]]),INDEX(DataTitel_liste,1))</f>
        <v>Eksempel 1 (interval)</v>
      </c>
      <c r="G2458" s="45" t="str" cm="1">
        <f t="array" ref="G2458">IF(LineærRegression_Valg[[#This Row],[Indenfor range]],IF(LineærRegression_Valg[[#This Row],[Intet overlap]],INDEX(DataTitel_liste,LineærRegression_Valg[[#This Row],[Uafhængig variabel ID]]),INDEX(DataTitel_liste,IF(LineærRegression_Valg[[#This Row],[Afhængig variabel ID]]=1,2,1))),$B$7)</f>
        <v>Eksempel 2 (interval)</v>
      </c>
      <c r="H2458" s="45">
        <f>_xlfn.AGGREGATE(2,5,LineærRegression_Valg[[#This Row],[Tabel ID]])</f>
        <v>1</v>
      </c>
    </row>
    <row r="2459" spans="1:8" x14ac:dyDescent="0.2">
      <c r="A2459">
        <f>ROW(LineærRegression_Valg[[#This Row],[Tabel ID]])-ROW(LineærRegression_Valg[[#Headers],[Tabel ID]])</f>
        <v>2449</v>
      </c>
      <c r="B2459" s="45">
        <f>ROUNDDOWN((LineærRegression_Valg[[#This Row],[Tabel ID]]-1)/$B$5,0)+1</f>
        <v>613</v>
      </c>
      <c r="C2459" s="45">
        <f t="shared" si="38"/>
        <v>1</v>
      </c>
      <c r="D2459" s="45" t="b">
        <f>LineærRegression_Valg[[#This Row],[Afhængig variabel ID]]&lt;&gt;LineærRegression_Valg[[#This Row],[Uafhængig variabel ID]]</f>
        <v>1</v>
      </c>
      <c r="E2459" s="45" t="b">
        <f>LineærRegression_Valg[[#This Row],[Afhængig variabel ID]]&lt;=$B$5</f>
        <v>0</v>
      </c>
      <c r="F2459" t="str" cm="1">
        <f t="array" ref="F2459">IF(LineærRegression_Valg[[#This Row],[Indenfor range]],INDEX(DataTitel_liste,LineærRegression_Valg[[#This Row],[Afhængig variabel ID]]),INDEX(DataTitel_liste,1))</f>
        <v>Eksempel 1 (interval)</v>
      </c>
      <c r="G2459" s="45" t="str" cm="1">
        <f t="array" ref="G2459">IF(LineærRegression_Valg[[#This Row],[Indenfor range]],IF(LineærRegression_Valg[[#This Row],[Intet overlap]],INDEX(DataTitel_liste,LineærRegression_Valg[[#This Row],[Uafhængig variabel ID]]),INDEX(DataTitel_liste,IF(LineærRegression_Valg[[#This Row],[Afhængig variabel ID]]=1,2,1))),$B$7)</f>
        <v>Eksempel 2 (interval)</v>
      </c>
      <c r="H2459" s="45">
        <f>_xlfn.AGGREGATE(2,5,LineærRegression_Valg[[#This Row],[Tabel ID]])</f>
        <v>1</v>
      </c>
    </row>
    <row r="2460" spans="1:8" x14ac:dyDescent="0.2">
      <c r="A2460">
        <f>ROW(LineærRegression_Valg[[#This Row],[Tabel ID]])-ROW(LineærRegression_Valg[[#Headers],[Tabel ID]])</f>
        <v>2450</v>
      </c>
      <c r="B2460" s="45">
        <f>ROUNDDOWN((LineærRegression_Valg[[#This Row],[Tabel ID]]-1)/$B$5,0)+1</f>
        <v>613</v>
      </c>
      <c r="C2460" s="45">
        <f t="shared" si="38"/>
        <v>2</v>
      </c>
      <c r="D2460" s="45" t="b">
        <f>LineærRegression_Valg[[#This Row],[Afhængig variabel ID]]&lt;&gt;LineærRegression_Valg[[#This Row],[Uafhængig variabel ID]]</f>
        <v>1</v>
      </c>
      <c r="E2460" s="45" t="b">
        <f>LineærRegression_Valg[[#This Row],[Afhængig variabel ID]]&lt;=$B$5</f>
        <v>0</v>
      </c>
      <c r="F2460" t="str" cm="1">
        <f t="array" ref="F2460">IF(LineærRegression_Valg[[#This Row],[Indenfor range]],INDEX(DataTitel_liste,LineærRegression_Valg[[#This Row],[Afhængig variabel ID]]),INDEX(DataTitel_liste,1))</f>
        <v>Eksempel 1 (interval)</v>
      </c>
      <c r="G2460" s="45" t="str" cm="1">
        <f t="array" ref="G2460">IF(LineærRegression_Valg[[#This Row],[Indenfor range]],IF(LineærRegression_Valg[[#This Row],[Intet overlap]],INDEX(DataTitel_liste,LineærRegression_Valg[[#This Row],[Uafhængig variabel ID]]),INDEX(DataTitel_liste,IF(LineærRegression_Valg[[#This Row],[Afhængig variabel ID]]=1,2,1))),$B$7)</f>
        <v>Eksempel 2 (interval)</v>
      </c>
      <c r="H2460" s="45">
        <f>_xlfn.AGGREGATE(2,5,LineærRegression_Valg[[#This Row],[Tabel ID]])</f>
        <v>1</v>
      </c>
    </row>
    <row r="2461" spans="1:8" x14ac:dyDescent="0.2">
      <c r="A2461">
        <f>ROW(LineærRegression_Valg[[#This Row],[Tabel ID]])-ROW(LineærRegression_Valg[[#Headers],[Tabel ID]])</f>
        <v>2451</v>
      </c>
      <c r="B2461" s="45">
        <f>ROUNDDOWN((LineærRegression_Valg[[#This Row],[Tabel ID]]-1)/$B$5,0)+1</f>
        <v>613</v>
      </c>
      <c r="C2461" s="45">
        <f t="shared" si="38"/>
        <v>3</v>
      </c>
      <c r="D2461" s="45" t="b">
        <f>LineærRegression_Valg[[#This Row],[Afhængig variabel ID]]&lt;&gt;LineærRegression_Valg[[#This Row],[Uafhængig variabel ID]]</f>
        <v>1</v>
      </c>
      <c r="E2461" s="45" t="b">
        <f>LineærRegression_Valg[[#This Row],[Afhængig variabel ID]]&lt;=$B$5</f>
        <v>0</v>
      </c>
      <c r="F2461" t="str" cm="1">
        <f t="array" ref="F2461">IF(LineærRegression_Valg[[#This Row],[Indenfor range]],INDEX(DataTitel_liste,LineærRegression_Valg[[#This Row],[Afhængig variabel ID]]),INDEX(DataTitel_liste,1))</f>
        <v>Eksempel 1 (interval)</v>
      </c>
      <c r="G2461" s="45" t="str" cm="1">
        <f t="array" ref="G2461">IF(LineærRegression_Valg[[#This Row],[Indenfor range]],IF(LineærRegression_Valg[[#This Row],[Intet overlap]],INDEX(DataTitel_liste,LineærRegression_Valg[[#This Row],[Uafhængig variabel ID]]),INDEX(DataTitel_liste,IF(LineærRegression_Valg[[#This Row],[Afhængig variabel ID]]=1,2,1))),$B$7)</f>
        <v>Eksempel 2 (interval)</v>
      </c>
      <c r="H2461" s="45">
        <f>_xlfn.AGGREGATE(2,5,LineærRegression_Valg[[#This Row],[Tabel ID]])</f>
        <v>1</v>
      </c>
    </row>
    <row r="2462" spans="1:8" x14ac:dyDescent="0.2">
      <c r="A2462">
        <f>ROW(LineærRegression_Valg[[#This Row],[Tabel ID]])-ROW(LineærRegression_Valg[[#Headers],[Tabel ID]])</f>
        <v>2452</v>
      </c>
      <c r="B2462" s="45">
        <f>ROUNDDOWN((LineærRegression_Valg[[#This Row],[Tabel ID]]-1)/$B$5,0)+1</f>
        <v>613</v>
      </c>
      <c r="C2462" s="45">
        <f t="shared" si="38"/>
        <v>4</v>
      </c>
      <c r="D2462" s="45" t="b">
        <f>LineærRegression_Valg[[#This Row],[Afhængig variabel ID]]&lt;&gt;LineærRegression_Valg[[#This Row],[Uafhængig variabel ID]]</f>
        <v>1</v>
      </c>
      <c r="E2462" s="45" t="b">
        <f>LineærRegression_Valg[[#This Row],[Afhængig variabel ID]]&lt;=$B$5</f>
        <v>0</v>
      </c>
      <c r="F2462" t="str" cm="1">
        <f t="array" ref="F2462">IF(LineærRegression_Valg[[#This Row],[Indenfor range]],INDEX(DataTitel_liste,LineærRegression_Valg[[#This Row],[Afhængig variabel ID]]),INDEX(DataTitel_liste,1))</f>
        <v>Eksempel 1 (interval)</v>
      </c>
      <c r="G2462" s="45" t="str" cm="1">
        <f t="array" ref="G2462">IF(LineærRegression_Valg[[#This Row],[Indenfor range]],IF(LineærRegression_Valg[[#This Row],[Intet overlap]],INDEX(DataTitel_liste,LineærRegression_Valg[[#This Row],[Uafhængig variabel ID]]),INDEX(DataTitel_liste,IF(LineærRegression_Valg[[#This Row],[Afhængig variabel ID]]=1,2,1))),$B$7)</f>
        <v>Eksempel 2 (interval)</v>
      </c>
      <c r="H2462" s="45">
        <f>_xlfn.AGGREGATE(2,5,LineærRegression_Valg[[#This Row],[Tabel ID]])</f>
        <v>1</v>
      </c>
    </row>
    <row r="2463" spans="1:8" x14ac:dyDescent="0.2">
      <c r="A2463">
        <f>ROW(LineærRegression_Valg[[#This Row],[Tabel ID]])-ROW(LineærRegression_Valg[[#Headers],[Tabel ID]])</f>
        <v>2453</v>
      </c>
      <c r="B2463" s="45">
        <f>ROUNDDOWN((LineærRegression_Valg[[#This Row],[Tabel ID]]-1)/$B$5,0)+1</f>
        <v>614</v>
      </c>
      <c r="C2463" s="45">
        <f t="shared" si="38"/>
        <v>1</v>
      </c>
      <c r="D2463" s="45" t="b">
        <f>LineærRegression_Valg[[#This Row],[Afhængig variabel ID]]&lt;&gt;LineærRegression_Valg[[#This Row],[Uafhængig variabel ID]]</f>
        <v>1</v>
      </c>
      <c r="E2463" s="45" t="b">
        <f>LineærRegression_Valg[[#This Row],[Afhængig variabel ID]]&lt;=$B$5</f>
        <v>0</v>
      </c>
      <c r="F2463" t="str" cm="1">
        <f t="array" ref="F2463">IF(LineærRegression_Valg[[#This Row],[Indenfor range]],INDEX(DataTitel_liste,LineærRegression_Valg[[#This Row],[Afhængig variabel ID]]),INDEX(DataTitel_liste,1))</f>
        <v>Eksempel 1 (interval)</v>
      </c>
      <c r="G2463" s="45" t="str" cm="1">
        <f t="array" ref="G2463">IF(LineærRegression_Valg[[#This Row],[Indenfor range]],IF(LineærRegression_Valg[[#This Row],[Intet overlap]],INDEX(DataTitel_liste,LineærRegression_Valg[[#This Row],[Uafhængig variabel ID]]),INDEX(DataTitel_liste,IF(LineærRegression_Valg[[#This Row],[Afhængig variabel ID]]=1,2,1))),$B$7)</f>
        <v>Eksempel 2 (interval)</v>
      </c>
      <c r="H2463" s="45">
        <f>_xlfn.AGGREGATE(2,5,LineærRegression_Valg[[#This Row],[Tabel ID]])</f>
        <v>1</v>
      </c>
    </row>
    <row r="2464" spans="1:8" x14ac:dyDescent="0.2">
      <c r="A2464">
        <f>ROW(LineærRegression_Valg[[#This Row],[Tabel ID]])-ROW(LineærRegression_Valg[[#Headers],[Tabel ID]])</f>
        <v>2454</v>
      </c>
      <c r="B2464" s="45">
        <f>ROUNDDOWN((LineærRegression_Valg[[#This Row],[Tabel ID]]-1)/$B$5,0)+1</f>
        <v>614</v>
      </c>
      <c r="C2464" s="45">
        <f t="shared" si="38"/>
        <v>2</v>
      </c>
      <c r="D2464" s="45" t="b">
        <f>LineærRegression_Valg[[#This Row],[Afhængig variabel ID]]&lt;&gt;LineærRegression_Valg[[#This Row],[Uafhængig variabel ID]]</f>
        <v>1</v>
      </c>
      <c r="E2464" s="45" t="b">
        <f>LineærRegression_Valg[[#This Row],[Afhængig variabel ID]]&lt;=$B$5</f>
        <v>0</v>
      </c>
      <c r="F2464" t="str" cm="1">
        <f t="array" ref="F2464">IF(LineærRegression_Valg[[#This Row],[Indenfor range]],INDEX(DataTitel_liste,LineærRegression_Valg[[#This Row],[Afhængig variabel ID]]),INDEX(DataTitel_liste,1))</f>
        <v>Eksempel 1 (interval)</v>
      </c>
      <c r="G2464" s="45" t="str" cm="1">
        <f t="array" ref="G2464">IF(LineærRegression_Valg[[#This Row],[Indenfor range]],IF(LineærRegression_Valg[[#This Row],[Intet overlap]],INDEX(DataTitel_liste,LineærRegression_Valg[[#This Row],[Uafhængig variabel ID]]),INDEX(DataTitel_liste,IF(LineærRegression_Valg[[#This Row],[Afhængig variabel ID]]=1,2,1))),$B$7)</f>
        <v>Eksempel 2 (interval)</v>
      </c>
      <c r="H2464" s="45">
        <f>_xlfn.AGGREGATE(2,5,LineærRegression_Valg[[#This Row],[Tabel ID]])</f>
        <v>1</v>
      </c>
    </row>
    <row r="2465" spans="1:8" x14ac:dyDescent="0.2">
      <c r="A2465">
        <f>ROW(LineærRegression_Valg[[#This Row],[Tabel ID]])-ROW(LineærRegression_Valg[[#Headers],[Tabel ID]])</f>
        <v>2455</v>
      </c>
      <c r="B2465" s="45">
        <f>ROUNDDOWN((LineærRegression_Valg[[#This Row],[Tabel ID]]-1)/$B$5,0)+1</f>
        <v>614</v>
      </c>
      <c r="C2465" s="45">
        <f t="shared" si="38"/>
        <v>3</v>
      </c>
      <c r="D2465" s="45" t="b">
        <f>LineærRegression_Valg[[#This Row],[Afhængig variabel ID]]&lt;&gt;LineærRegression_Valg[[#This Row],[Uafhængig variabel ID]]</f>
        <v>1</v>
      </c>
      <c r="E2465" s="45" t="b">
        <f>LineærRegression_Valg[[#This Row],[Afhængig variabel ID]]&lt;=$B$5</f>
        <v>0</v>
      </c>
      <c r="F2465" t="str" cm="1">
        <f t="array" ref="F2465">IF(LineærRegression_Valg[[#This Row],[Indenfor range]],INDEX(DataTitel_liste,LineærRegression_Valg[[#This Row],[Afhængig variabel ID]]),INDEX(DataTitel_liste,1))</f>
        <v>Eksempel 1 (interval)</v>
      </c>
      <c r="G2465" s="45" t="str" cm="1">
        <f t="array" ref="G2465">IF(LineærRegression_Valg[[#This Row],[Indenfor range]],IF(LineærRegression_Valg[[#This Row],[Intet overlap]],INDEX(DataTitel_liste,LineærRegression_Valg[[#This Row],[Uafhængig variabel ID]]),INDEX(DataTitel_liste,IF(LineærRegression_Valg[[#This Row],[Afhængig variabel ID]]=1,2,1))),$B$7)</f>
        <v>Eksempel 2 (interval)</v>
      </c>
      <c r="H2465" s="45">
        <f>_xlfn.AGGREGATE(2,5,LineærRegression_Valg[[#This Row],[Tabel ID]])</f>
        <v>1</v>
      </c>
    </row>
    <row r="2466" spans="1:8" x14ac:dyDescent="0.2">
      <c r="A2466">
        <f>ROW(LineærRegression_Valg[[#This Row],[Tabel ID]])-ROW(LineærRegression_Valg[[#Headers],[Tabel ID]])</f>
        <v>2456</v>
      </c>
      <c r="B2466" s="45">
        <f>ROUNDDOWN((LineærRegression_Valg[[#This Row],[Tabel ID]]-1)/$B$5,0)+1</f>
        <v>614</v>
      </c>
      <c r="C2466" s="45">
        <f t="shared" si="38"/>
        <v>4</v>
      </c>
      <c r="D2466" s="45" t="b">
        <f>LineærRegression_Valg[[#This Row],[Afhængig variabel ID]]&lt;&gt;LineærRegression_Valg[[#This Row],[Uafhængig variabel ID]]</f>
        <v>1</v>
      </c>
      <c r="E2466" s="45" t="b">
        <f>LineærRegression_Valg[[#This Row],[Afhængig variabel ID]]&lt;=$B$5</f>
        <v>0</v>
      </c>
      <c r="F2466" t="str" cm="1">
        <f t="array" ref="F2466">IF(LineærRegression_Valg[[#This Row],[Indenfor range]],INDEX(DataTitel_liste,LineærRegression_Valg[[#This Row],[Afhængig variabel ID]]),INDEX(DataTitel_liste,1))</f>
        <v>Eksempel 1 (interval)</v>
      </c>
      <c r="G2466" s="45" t="str" cm="1">
        <f t="array" ref="G2466">IF(LineærRegression_Valg[[#This Row],[Indenfor range]],IF(LineærRegression_Valg[[#This Row],[Intet overlap]],INDEX(DataTitel_liste,LineærRegression_Valg[[#This Row],[Uafhængig variabel ID]]),INDEX(DataTitel_liste,IF(LineærRegression_Valg[[#This Row],[Afhængig variabel ID]]=1,2,1))),$B$7)</f>
        <v>Eksempel 2 (interval)</v>
      </c>
      <c r="H2466" s="45">
        <f>_xlfn.AGGREGATE(2,5,LineærRegression_Valg[[#This Row],[Tabel ID]])</f>
        <v>1</v>
      </c>
    </row>
    <row r="2467" spans="1:8" x14ac:dyDescent="0.2">
      <c r="A2467">
        <f>ROW(LineærRegression_Valg[[#This Row],[Tabel ID]])-ROW(LineærRegression_Valg[[#Headers],[Tabel ID]])</f>
        <v>2457</v>
      </c>
      <c r="B2467" s="45">
        <f>ROUNDDOWN((LineærRegression_Valg[[#This Row],[Tabel ID]]-1)/$B$5,0)+1</f>
        <v>615</v>
      </c>
      <c r="C2467" s="45">
        <f t="shared" si="38"/>
        <v>1</v>
      </c>
      <c r="D2467" s="45" t="b">
        <f>LineærRegression_Valg[[#This Row],[Afhængig variabel ID]]&lt;&gt;LineærRegression_Valg[[#This Row],[Uafhængig variabel ID]]</f>
        <v>1</v>
      </c>
      <c r="E2467" s="45" t="b">
        <f>LineærRegression_Valg[[#This Row],[Afhængig variabel ID]]&lt;=$B$5</f>
        <v>0</v>
      </c>
      <c r="F2467" t="str" cm="1">
        <f t="array" ref="F2467">IF(LineærRegression_Valg[[#This Row],[Indenfor range]],INDEX(DataTitel_liste,LineærRegression_Valg[[#This Row],[Afhængig variabel ID]]),INDEX(DataTitel_liste,1))</f>
        <v>Eksempel 1 (interval)</v>
      </c>
      <c r="G2467" s="45" t="str" cm="1">
        <f t="array" ref="G2467">IF(LineærRegression_Valg[[#This Row],[Indenfor range]],IF(LineærRegression_Valg[[#This Row],[Intet overlap]],INDEX(DataTitel_liste,LineærRegression_Valg[[#This Row],[Uafhængig variabel ID]]),INDEX(DataTitel_liste,IF(LineærRegression_Valg[[#This Row],[Afhængig variabel ID]]=1,2,1))),$B$7)</f>
        <v>Eksempel 2 (interval)</v>
      </c>
      <c r="H2467" s="45">
        <f>_xlfn.AGGREGATE(2,5,LineærRegression_Valg[[#This Row],[Tabel ID]])</f>
        <v>1</v>
      </c>
    </row>
    <row r="2468" spans="1:8" x14ac:dyDescent="0.2">
      <c r="A2468">
        <f>ROW(LineærRegression_Valg[[#This Row],[Tabel ID]])-ROW(LineærRegression_Valg[[#Headers],[Tabel ID]])</f>
        <v>2458</v>
      </c>
      <c r="B2468" s="45">
        <f>ROUNDDOWN((LineærRegression_Valg[[#This Row],[Tabel ID]]-1)/$B$5,0)+1</f>
        <v>615</v>
      </c>
      <c r="C2468" s="45">
        <f t="shared" si="38"/>
        <v>2</v>
      </c>
      <c r="D2468" s="45" t="b">
        <f>LineærRegression_Valg[[#This Row],[Afhængig variabel ID]]&lt;&gt;LineærRegression_Valg[[#This Row],[Uafhængig variabel ID]]</f>
        <v>1</v>
      </c>
      <c r="E2468" s="45" t="b">
        <f>LineærRegression_Valg[[#This Row],[Afhængig variabel ID]]&lt;=$B$5</f>
        <v>0</v>
      </c>
      <c r="F2468" t="str" cm="1">
        <f t="array" ref="F2468">IF(LineærRegression_Valg[[#This Row],[Indenfor range]],INDEX(DataTitel_liste,LineærRegression_Valg[[#This Row],[Afhængig variabel ID]]),INDEX(DataTitel_liste,1))</f>
        <v>Eksempel 1 (interval)</v>
      </c>
      <c r="G2468" s="45" t="str" cm="1">
        <f t="array" ref="G2468">IF(LineærRegression_Valg[[#This Row],[Indenfor range]],IF(LineærRegression_Valg[[#This Row],[Intet overlap]],INDEX(DataTitel_liste,LineærRegression_Valg[[#This Row],[Uafhængig variabel ID]]),INDEX(DataTitel_liste,IF(LineærRegression_Valg[[#This Row],[Afhængig variabel ID]]=1,2,1))),$B$7)</f>
        <v>Eksempel 2 (interval)</v>
      </c>
      <c r="H2468" s="45">
        <f>_xlfn.AGGREGATE(2,5,LineærRegression_Valg[[#This Row],[Tabel ID]])</f>
        <v>1</v>
      </c>
    </row>
    <row r="2469" spans="1:8" x14ac:dyDescent="0.2">
      <c r="A2469">
        <f>ROW(LineærRegression_Valg[[#This Row],[Tabel ID]])-ROW(LineærRegression_Valg[[#Headers],[Tabel ID]])</f>
        <v>2459</v>
      </c>
      <c r="B2469" s="45">
        <f>ROUNDDOWN((LineærRegression_Valg[[#This Row],[Tabel ID]]-1)/$B$5,0)+1</f>
        <v>615</v>
      </c>
      <c r="C2469" s="45">
        <f t="shared" si="38"/>
        <v>3</v>
      </c>
      <c r="D2469" s="45" t="b">
        <f>LineærRegression_Valg[[#This Row],[Afhængig variabel ID]]&lt;&gt;LineærRegression_Valg[[#This Row],[Uafhængig variabel ID]]</f>
        <v>1</v>
      </c>
      <c r="E2469" s="45" t="b">
        <f>LineærRegression_Valg[[#This Row],[Afhængig variabel ID]]&lt;=$B$5</f>
        <v>0</v>
      </c>
      <c r="F2469" t="str" cm="1">
        <f t="array" ref="F2469">IF(LineærRegression_Valg[[#This Row],[Indenfor range]],INDEX(DataTitel_liste,LineærRegression_Valg[[#This Row],[Afhængig variabel ID]]),INDEX(DataTitel_liste,1))</f>
        <v>Eksempel 1 (interval)</v>
      </c>
      <c r="G2469" s="45" t="str" cm="1">
        <f t="array" ref="G2469">IF(LineærRegression_Valg[[#This Row],[Indenfor range]],IF(LineærRegression_Valg[[#This Row],[Intet overlap]],INDEX(DataTitel_liste,LineærRegression_Valg[[#This Row],[Uafhængig variabel ID]]),INDEX(DataTitel_liste,IF(LineærRegression_Valg[[#This Row],[Afhængig variabel ID]]=1,2,1))),$B$7)</f>
        <v>Eksempel 2 (interval)</v>
      </c>
      <c r="H2469" s="45">
        <f>_xlfn.AGGREGATE(2,5,LineærRegression_Valg[[#This Row],[Tabel ID]])</f>
        <v>1</v>
      </c>
    </row>
    <row r="2470" spans="1:8" x14ac:dyDescent="0.2">
      <c r="A2470">
        <f>ROW(LineærRegression_Valg[[#This Row],[Tabel ID]])-ROW(LineærRegression_Valg[[#Headers],[Tabel ID]])</f>
        <v>2460</v>
      </c>
      <c r="B2470" s="45">
        <f>ROUNDDOWN((LineærRegression_Valg[[#This Row],[Tabel ID]]-1)/$B$5,0)+1</f>
        <v>615</v>
      </c>
      <c r="C2470" s="45">
        <f t="shared" si="38"/>
        <v>4</v>
      </c>
      <c r="D2470" s="45" t="b">
        <f>LineærRegression_Valg[[#This Row],[Afhængig variabel ID]]&lt;&gt;LineærRegression_Valg[[#This Row],[Uafhængig variabel ID]]</f>
        <v>1</v>
      </c>
      <c r="E2470" s="45" t="b">
        <f>LineærRegression_Valg[[#This Row],[Afhængig variabel ID]]&lt;=$B$5</f>
        <v>0</v>
      </c>
      <c r="F2470" t="str" cm="1">
        <f t="array" ref="F2470">IF(LineærRegression_Valg[[#This Row],[Indenfor range]],INDEX(DataTitel_liste,LineærRegression_Valg[[#This Row],[Afhængig variabel ID]]),INDEX(DataTitel_liste,1))</f>
        <v>Eksempel 1 (interval)</v>
      </c>
      <c r="G2470" s="45" t="str" cm="1">
        <f t="array" ref="G2470">IF(LineærRegression_Valg[[#This Row],[Indenfor range]],IF(LineærRegression_Valg[[#This Row],[Intet overlap]],INDEX(DataTitel_liste,LineærRegression_Valg[[#This Row],[Uafhængig variabel ID]]),INDEX(DataTitel_liste,IF(LineærRegression_Valg[[#This Row],[Afhængig variabel ID]]=1,2,1))),$B$7)</f>
        <v>Eksempel 2 (interval)</v>
      </c>
      <c r="H2470" s="45">
        <f>_xlfn.AGGREGATE(2,5,LineærRegression_Valg[[#This Row],[Tabel ID]])</f>
        <v>1</v>
      </c>
    </row>
    <row r="2471" spans="1:8" x14ac:dyDescent="0.2">
      <c r="A2471">
        <f>ROW(LineærRegression_Valg[[#This Row],[Tabel ID]])-ROW(LineærRegression_Valg[[#Headers],[Tabel ID]])</f>
        <v>2461</v>
      </c>
      <c r="B2471" s="45">
        <f>ROUNDDOWN((LineærRegression_Valg[[#This Row],[Tabel ID]]-1)/$B$5,0)+1</f>
        <v>616</v>
      </c>
      <c r="C2471" s="45">
        <f t="shared" si="38"/>
        <v>1</v>
      </c>
      <c r="D2471" s="45" t="b">
        <f>LineærRegression_Valg[[#This Row],[Afhængig variabel ID]]&lt;&gt;LineærRegression_Valg[[#This Row],[Uafhængig variabel ID]]</f>
        <v>1</v>
      </c>
      <c r="E2471" s="45" t="b">
        <f>LineærRegression_Valg[[#This Row],[Afhængig variabel ID]]&lt;=$B$5</f>
        <v>0</v>
      </c>
      <c r="F2471" t="str" cm="1">
        <f t="array" ref="F2471">IF(LineærRegression_Valg[[#This Row],[Indenfor range]],INDEX(DataTitel_liste,LineærRegression_Valg[[#This Row],[Afhængig variabel ID]]),INDEX(DataTitel_liste,1))</f>
        <v>Eksempel 1 (interval)</v>
      </c>
      <c r="G2471" s="45" t="str" cm="1">
        <f t="array" ref="G2471">IF(LineærRegression_Valg[[#This Row],[Indenfor range]],IF(LineærRegression_Valg[[#This Row],[Intet overlap]],INDEX(DataTitel_liste,LineærRegression_Valg[[#This Row],[Uafhængig variabel ID]]),INDEX(DataTitel_liste,IF(LineærRegression_Valg[[#This Row],[Afhængig variabel ID]]=1,2,1))),$B$7)</f>
        <v>Eksempel 2 (interval)</v>
      </c>
      <c r="H2471" s="45">
        <f>_xlfn.AGGREGATE(2,5,LineærRegression_Valg[[#This Row],[Tabel ID]])</f>
        <v>1</v>
      </c>
    </row>
    <row r="2472" spans="1:8" x14ac:dyDescent="0.2">
      <c r="A2472">
        <f>ROW(LineærRegression_Valg[[#This Row],[Tabel ID]])-ROW(LineærRegression_Valg[[#Headers],[Tabel ID]])</f>
        <v>2462</v>
      </c>
      <c r="B2472" s="45">
        <f>ROUNDDOWN((LineærRegression_Valg[[#This Row],[Tabel ID]]-1)/$B$5,0)+1</f>
        <v>616</v>
      </c>
      <c r="C2472" s="45">
        <f t="shared" si="38"/>
        <v>2</v>
      </c>
      <c r="D2472" s="45" t="b">
        <f>LineærRegression_Valg[[#This Row],[Afhængig variabel ID]]&lt;&gt;LineærRegression_Valg[[#This Row],[Uafhængig variabel ID]]</f>
        <v>1</v>
      </c>
      <c r="E2472" s="45" t="b">
        <f>LineærRegression_Valg[[#This Row],[Afhængig variabel ID]]&lt;=$B$5</f>
        <v>0</v>
      </c>
      <c r="F2472" t="str" cm="1">
        <f t="array" ref="F2472">IF(LineærRegression_Valg[[#This Row],[Indenfor range]],INDEX(DataTitel_liste,LineærRegression_Valg[[#This Row],[Afhængig variabel ID]]),INDEX(DataTitel_liste,1))</f>
        <v>Eksempel 1 (interval)</v>
      </c>
      <c r="G2472" s="45" t="str" cm="1">
        <f t="array" ref="G2472">IF(LineærRegression_Valg[[#This Row],[Indenfor range]],IF(LineærRegression_Valg[[#This Row],[Intet overlap]],INDEX(DataTitel_liste,LineærRegression_Valg[[#This Row],[Uafhængig variabel ID]]),INDEX(DataTitel_liste,IF(LineærRegression_Valg[[#This Row],[Afhængig variabel ID]]=1,2,1))),$B$7)</f>
        <v>Eksempel 2 (interval)</v>
      </c>
      <c r="H2472" s="45">
        <f>_xlfn.AGGREGATE(2,5,LineærRegression_Valg[[#This Row],[Tabel ID]])</f>
        <v>1</v>
      </c>
    </row>
    <row r="2473" spans="1:8" x14ac:dyDescent="0.2">
      <c r="A2473">
        <f>ROW(LineærRegression_Valg[[#This Row],[Tabel ID]])-ROW(LineærRegression_Valg[[#Headers],[Tabel ID]])</f>
        <v>2463</v>
      </c>
      <c r="B2473" s="45">
        <f>ROUNDDOWN((LineærRegression_Valg[[#This Row],[Tabel ID]]-1)/$B$5,0)+1</f>
        <v>616</v>
      </c>
      <c r="C2473" s="45">
        <f t="shared" si="38"/>
        <v>3</v>
      </c>
      <c r="D2473" s="45" t="b">
        <f>LineærRegression_Valg[[#This Row],[Afhængig variabel ID]]&lt;&gt;LineærRegression_Valg[[#This Row],[Uafhængig variabel ID]]</f>
        <v>1</v>
      </c>
      <c r="E2473" s="45" t="b">
        <f>LineærRegression_Valg[[#This Row],[Afhængig variabel ID]]&lt;=$B$5</f>
        <v>0</v>
      </c>
      <c r="F2473" t="str" cm="1">
        <f t="array" ref="F2473">IF(LineærRegression_Valg[[#This Row],[Indenfor range]],INDEX(DataTitel_liste,LineærRegression_Valg[[#This Row],[Afhængig variabel ID]]),INDEX(DataTitel_liste,1))</f>
        <v>Eksempel 1 (interval)</v>
      </c>
      <c r="G2473" s="45" t="str" cm="1">
        <f t="array" ref="G2473">IF(LineærRegression_Valg[[#This Row],[Indenfor range]],IF(LineærRegression_Valg[[#This Row],[Intet overlap]],INDEX(DataTitel_liste,LineærRegression_Valg[[#This Row],[Uafhængig variabel ID]]),INDEX(DataTitel_liste,IF(LineærRegression_Valg[[#This Row],[Afhængig variabel ID]]=1,2,1))),$B$7)</f>
        <v>Eksempel 2 (interval)</v>
      </c>
      <c r="H2473" s="45">
        <f>_xlfn.AGGREGATE(2,5,LineærRegression_Valg[[#This Row],[Tabel ID]])</f>
        <v>1</v>
      </c>
    </row>
    <row r="2474" spans="1:8" x14ac:dyDescent="0.2">
      <c r="A2474">
        <f>ROW(LineærRegression_Valg[[#This Row],[Tabel ID]])-ROW(LineærRegression_Valg[[#Headers],[Tabel ID]])</f>
        <v>2464</v>
      </c>
      <c r="B2474" s="45">
        <f>ROUNDDOWN((LineærRegression_Valg[[#This Row],[Tabel ID]]-1)/$B$5,0)+1</f>
        <v>616</v>
      </c>
      <c r="C2474" s="45">
        <f t="shared" si="38"/>
        <v>4</v>
      </c>
      <c r="D2474" s="45" t="b">
        <f>LineærRegression_Valg[[#This Row],[Afhængig variabel ID]]&lt;&gt;LineærRegression_Valg[[#This Row],[Uafhængig variabel ID]]</f>
        <v>1</v>
      </c>
      <c r="E2474" s="45" t="b">
        <f>LineærRegression_Valg[[#This Row],[Afhængig variabel ID]]&lt;=$B$5</f>
        <v>0</v>
      </c>
      <c r="F2474" t="str" cm="1">
        <f t="array" ref="F2474">IF(LineærRegression_Valg[[#This Row],[Indenfor range]],INDEX(DataTitel_liste,LineærRegression_Valg[[#This Row],[Afhængig variabel ID]]),INDEX(DataTitel_liste,1))</f>
        <v>Eksempel 1 (interval)</v>
      </c>
      <c r="G2474" s="45" t="str" cm="1">
        <f t="array" ref="G2474">IF(LineærRegression_Valg[[#This Row],[Indenfor range]],IF(LineærRegression_Valg[[#This Row],[Intet overlap]],INDEX(DataTitel_liste,LineærRegression_Valg[[#This Row],[Uafhængig variabel ID]]),INDEX(DataTitel_liste,IF(LineærRegression_Valg[[#This Row],[Afhængig variabel ID]]=1,2,1))),$B$7)</f>
        <v>Eksempel 2 (interval)</v>
      </c>
      <c r="H2474" s="45">
        <f>_xlfn.AGGREGATE(2,5,LineærRegression_Valg[[#This Row],[Tabel ID]])</f>
        <v>1</v>
      </c>
    </row>
    <row r="2475" spans="1:8" x14ac:dyDescent="0.2">
      <c r="A2475">
        <f>ROW(LineærRegression_Valg[[#This Row],[Tabel ID]])-ROW(LineærRegression_Valg[[#Headers],[Tabel ID]])</f>
        <v>2465</v>
      </c>
      <c r="B2475" s="45">
        <f>ROUNDDOWN((LineærRegression_Valg[[#This Row],[Tabel ID]]-1)/$B$5,0)+1</f>
        <v>617</v>
      </c>
      <c r="C2475" s="45">
        <f t="shared" si="38"/>
        <v>1</v>
      </c>
      <c r="D2475" s="45" t="b">
        <f>LineærRegression_Valg[[#This Row],[Afhængig variabel ID]]&lt;&gt;LineærRegression_Valg[[#This Row],[Uafhængig variabel ID]]</f>
        <v>1</v>
      </c>
      <c r="E2475" s="45" t="b">
        <f>LineærRegression_Valg[[#This Row],[Afhængig variabel ID]]&lt;=$B$5</f>
        <v>0</v>
      </c>
      <c r="F2475" t="str" cm="1">
        <f t="array" ref="F2475">IF(LineærRegression_Valg[[#This Row],[Indenfor range]],INDEX(DataTitel_liste,LineærRegression_Valg[[#This Row],[Afhængig variabel ID]]),INDEX(DataTitel_liste,1))</f>
        <v>Eksempel 1 (interval)</v>
      </c>
      <c r="G2475" s="45" t="str" cm="1">
        <f t="array" ref="G2475">IF(LineærRegression_Valg[[#This Row],[Indenfor range]],IF(LineærRegression_Valg[[#This Row],[Intet overlap]],INDEX(DataTitel_liste,LineærRegression_Valg[[#This Row],[Uafhængig variabel ID]]),INDEX(DataTitel_liste,IF(LineærRegression_Valg[[#This Row],[Afhængig variabel ID]]=1,2,1))),$B$7)</f>
        <v>Eksempel 2 (interval)</v>
      </c>
      <c r="H2475" s="45">
        <f>_xlfn.AGGREGATE(2,5,LineærRegression_Valg[[#This Row],[Tabel ID]])</f>
        <v>1</v>
      </c>
    </row>
    <row r="2476" spans="1:8" x14ac:dyDescent="0.2">
      <c r="A2476">
        <f>ROW(LineærRegression_Valg[[#This Row],[Tabel ID]])-ROW(LineærRegression_Valg[[#Headers],[Tabel ID]])</f>
        <v>2466</v>
      </c>
      <c r="B2476" s="45">
        <f>ROUNDDOWN((LineærRegression_Valg[[#This Row],[Tabel ID]]-1)/$B$5,0)+1</f>
        <v>617</v>
      </c>
      <c r="C2476" s="45">
        <f t="shared" si="38"/>
        <v>2</v>
      </c>
      <c r="D2476" s="45" t="b">
        <f>LineærRegression_Valg[[#This Row],[Afhængig variabel ID]]&lt;&gt;LineærRegression_Valg[[#This Row],[Uafhængig variabel ID]]</f>
        <v>1</v>
      </c>
      <c r="E2476" s="45" t="b">
        <f>LineærRegression_Valg[[#This Row],[Afhængig variabel ID]]&lt;=$B$5</f>
        <v>0</v>
      </c>
      <c r="F2476" t="str" cm="1">
        <f t="array" ref="F2476">IF(LineærRegression_Valg[[#This Row],[Indenfor range]],INDEX(DataTitel_liste,LineærRegression_Valg[[#This Row],[Afhængig variabel ID]]),INDEX(DataTitel_liste,1))</f>
        <v>Eksempel 1 (interval)</v>
      </c>
      <c r="G2476" s="45" t="str" cm="1">
        <f t="array" ref="G2476">IF(LineærRegression_Valg[[#This Row],[Indenfor range]],IF(LineærRegression_Valg[[#This Row],[Intet overlap]],INDEX(DataTitel_liste,LineærRegression_Valg[[#This Row],[Uafhængig variabel ID]]),INDEX(DataTitel_liste,IF(LineærRegression_Valg[[#This Row],[Afhængig variabel ID]]=1,2,1))),$B$7)</f>
        <v>Eksempel 2 (interval)</v>
      </c>
      <c r="H2476" s="45">
        <f>_xlfn.AGGREGATE(2,5,LineærRegression_Valg[[#This Row],[Tabel ID]])</f>
        <v>1</v>
      </c>
    </row>
    <row r="2477" spans="1:8" x14ac:dyDescent="0.2">
      <c r="A2477">
        <f>ROW(LineærRegression_Valg[[#This Row],[Tabel ID]])-ROW(LineærRegression_Valg[[#Headers],[Tabel ID]])</f>
        <v>2467</v>
      </c>
      <c r="B2477" s="45">
        <f>ROUNDDOWN((LineærRegression_Valg[[#This Row],[Tabel ID]]-1)/$B$5,0)+1</f>
        <v>617</v>
      </c>
      <c r="C2477" s="45">
        <f t="shared" si="38"/>
        <v>3</v>
      </c>
      <c r="D2477" s="45" t="b">
        <f>LineærRegression_Valg[[#This Row],[Afhængig variabel ID]]&lt;&gt;LineærRegression_Valg[[#This Row],[Uafhængig variabel ID]]</f>
        <v>1</v>
      </c>
      <c r="E2477" s="45" t="b">
        <f>LineærRegression_Valg[[#This Row],[Afhængig variabel ID]]&lt;=$B$5</f>
        <v>0</v>
      </c>
      <c r="F2477" t="str" cm="1">
        <f t="array" ref="F2477">IF(LineærRegression_Valg[[#This Row],[Indenfor range]],INDEX(DataTitel_liste,LineærRegression_Valg[[#This Row],[Afhængig variabel ID]]),INDEX(DataTitel_liste,1))</f>
        <v>Eksempel 1 (interval)</v>
      </c>
      <c r="G2477" s="45" t="str" cm="1">
        <f t="array" ref="G2477">IF(LineærRegression_Valg[[#This Row],[Indenfor range]],IF(LineærRegression_Valg[[#This Row],[Intet overlap]],INDEX(DataTitel_liste,LineærRegression_Valg[[#This Row],[Uafhængig variabel ID]]),INDEX(DataTitel_liste,IF(LineærRegression_Valg[[#This Row],[Afhængig variabel ID]]=1,2,1))),$B$7)</f>
        <v>Eksempel 2 (interval)</v>
      </c>
      <c r="H2477" s="45">
        <f>_xlfn.AGGREGATE(2,5,LineærRegression_Valg[[#This Row],[Tabel ID]])</f>
        <v>1</v>
      </c>
    </row>
    <row r="2478" spans="1:8" x14ac:dyDescent="0.2">
      <c r="A2478">
        <f>ROW(LineærRegression_Valg[[#This Row],[Tabel ID]])-ROW(LineærRegression_Valg[[#Headers],[Tabel ID]])</f>
        <v>2468</v>
      </c>
      <c r="B2478" s="45">
        <f>ROUNDDOWN((LineærRegression_Valg[[#This Row],[Tabel ID]]-1)/$B$5,0)+1</f>
        <v>617</v>
      </c>
      <c r="C2478" s="45">
        <f t="shared" si="38"/>
        <v>4</v>
      </c>
      <c r="D2478" s="45" t="b">
        <f>LineærRegression_Valg[[#This Row],[Afhængig variabel ID]]&lt;&gt;LineærRegression_Valg[[#This Row],[Uafhængig variabel ID]]</f>
        <v>1</v>
      </c>
      <c r="E2478" s="45" t="b">
        <f>LineærRegression_Valg[[#This Row],[Afhængig variabel ID]]&lt;=$B$5</f>
        <v>0</v>
      </c>
      <c r="F2478" t="str" cm="1">
        <f t="array" ref="F2478">IF(LineærRegression_Valg[[#This Row],[Indenfor range]],INDEX(DataTitel_liste,LineærRegression_Valg[[#This Row],[Afhængig variabel ID]]),INDEX(DataTitel_liste,1))</f>
        <v>Eksempel 1 (interval)</v>
      </c>
      <c r="G2478" s="45" t="str" cm="1">
        <f t="array" ref="G2478">IF(LineærRegression_Valg[[#This Row],[Indenfor range]],IF(LineærRegression_Valg[[#This Row],[Intet overlap]],INDEX(DataTitel_liste,LineærRegression_Valg[[#This Row],[Uafhængig variabel ID]]),INDEX(DataTitel_liste,IF(LineærRegression_Valg[[#This Row],[Afhængig variabel ID]]=1,2,1))),$B$7)</f>
        <v>Eksempel 2 (interval)</v>
      </c>
      <c r="H2478" s="45">
        <f>_xlfn.AGGREGATE(2,5,LineærRegression_Valg[[#This Row],[Tabel ID]])</f>
        <v>1</v>
      </c>
    </row>
    <row r="2479" spans="1:8" x14ac:dyDescent="0.2">
      <c r="A2479">
        <f>ROW(LineærRegression_Valg[[#This Row],[Tabel ID]])-ROW(LineærRegression_Valg[[#Headers],[Tabel ID]])</f>
        <v>2469</v>
      </c>
      <c r="B2479" s="45">
        <f>ROUNDDOWN((LineærRegression_Valg[[#This Row],[Tabel ID]]-1)/$B$5,0)+1</f>
        <v>618</v>
      </c>
      <c r="C2479" s="45">
        <f t="shared" si="38"/>
        <v>1</v>
      </c>
      <c r="D2479" s="45" t="b">
        <f>LineærRegression_Valg[[#This Row],[Afhængig variabel ID]]&lt;&gt;LineærRegression_Valg[[#This Row],[Uafhængig variabel ID]]</f>
        <v>1</v>
      </c>
      <c r="E2479" s="45" t="b">
        <f>LineærRegression_Valg[[#This Row],[Afhængig variabel ID]]&lt;=$B$5</f>
        <v>0</v>
      </c>
      <c r="F2479" t="str" cm="1">
        <f t="array" ref="F2479">IF(LineærRegression_Valg[[#This Row],[Indenfor range]],INDEX(DataTitel_liste,LineærRegression_Valg[[#This Row],[Afhængig variabel ID]]),INDEX(DataTitel_liste,1))</f>
        <v>Eksempel 1 (interval)</v>
      </c>
      <c r="G2479" s="45" t="str" cm="1">
        <f t="array" ref="G2479">IF(LineærRegression_Valg[[#This Row],[Indenfor range]],IF(LineærRegression_Valg[[#This Row],[Intet overlap]],INDEX(DataTitel_liste,LineærRegression_Valg[[#This Row],[Uafhængig variabel ID]]),INDEX(DataTitel_liste,IF(LineærRegression_Valg[[#This Row],[Afhængig variabel ID]]=1,2,1))),$B$7)</f>
        <v>Eksempel 2 (interval)</v>
      </c>
      <c r="H2479" s="45">
        <f>_xlfn.AGGREGATE(2,5,LineærRegression_Valg[[#This Row],[Tabel ID]])</f>
        <v>1</v>
      </c>
    </row>
    <row r="2480" spans="1:8" x14ac:dyDescent="0.2">
      <c r="A2480">
        <f>ROW(LineærRegression_Valg[[#This Row],[Tabel ID]])-ROW(LineærRegression_Valg[[#Headers],[Tabel ID]])</f>
        <v>2470</v>
      </c>
      <c r="B2480" s="45">
        <f>ROUNDDOWN((LineærRegression_Valg[[#This Row],[Tabel ID]]-1)/$B$5,0)+1</f>
        <v>618</v>
      </c>
      <c r="C2480" s="45">
        <f t="shared" si="38"/>
        <v>2</v>
      </c>
      <c r="D2480" s="45" t="b">
        <f>LineærRegression_Valg[[#This Row],[Afhængig variabel ID]]&lt;&gt;LineærRegression_Valg[[#This Row],[Uafhængig variabel ID]]</f>
        <v>1</v>
      </c>
      <c r="E2480" s="45" t="b">
        <f>LineærRegression_Valg[[#This Row],[Afhængig variabel ID]]&lt;=$B$5</f>
        <v>0</v>
      </c>
      <c r="F2480" t="str" cm="1">
        <f t="array" ref="F2480">IF(LineærRegression_Valg[[#This Row],[Indenfor range]],INDEX(DataTitel_liste,LineærRegression_Valg[[#This Row],[Afhængig variabel ID]]),INDEX(DataTitel_liste,1))</f>
        <v>Eksempel 1 (interval)</v>
      </c>
      <c r="G2480" s="45" t="str" cm="1">
        <f t="array" ref="G2480">IF(LineærRegression_Valg[[#This Row],[Indenfor range]],IF(LineærRegression_Valg[[#This Row],[Intet overlap]],INDEX(DataTitel_liste,LineærRegression_Valg[[#This Row],[Uafhængig variabel ID]]),INDEX(DataTitel_liste,IF(LineærRegression_Valg[[#This Row],[Afhængig variabel ID]]=1,2,1))),$B$7)</f>
        <v>Eksempel 2 (interval)</v>
      </c>
      <c r="H2480" s="45">
        <f>_xlfn.AGGREGATE(2,5,LineærRegression_Valg[[#This Row],[Tabel ID]])</f>
        <v>1</v>
      </c>
    </row>
    <row r="2481" spans="1:8" x14ac:dyDescent="0.2">
      <c r="A2481">
        <f>ROW(LineærRegression_Valg[[#This Row],[Tabel ID]])-ROW(LineærRegression_Valg[[#Headers],[Tabel ID]])</f>
        <v>2471</v>
      </c>
      <c r="B2481" s="45">
        <f>ROUNDDOWN((LineærRegression_Valg[[#This Row],[Tabel ID]]-1)/$B$5,0)+1</f>
        <v>618</v>
      </c>
      <c r="C2481" s="45">
        <f t="shared" si="38"/>
        <v>3</v>
      </c>
      <c r="D2481" s="45" t="b">
        <f>LineærRegression_Valg[[#This Row],[Afhængig variabel ID]]&lt;&gt;LineærRegression_Valg[[#This Row],[Uafhængig variabel ID]]</f>
        <v>1</v>
      </c>
      <c r="E2481" s="45" t="b">
        <f>LineærRegression_Valg[[#This Row],[Afhængig variabel ID]]&lt;=$B$5</f>
        <v>0</v>
      </c>
      <c r="F2481" t="str" cm="1">
        <f t="array" ref="F2481">IF(LineærRegression_Valg[[#This Row],[Indenfor range]],INDEX(DataTitel_liste,LineærRegression_Valg[[#This Row],[Afhængig variabel ID]]),INDEX(DataTitel_liste,1))</f>
        <v>Eksempel 1 (interval)</v>
      </c>
      <c r="G2481" s="45" t="str" cm="1">
        <f t="array" ref="G2481">IF(LineærRegression_Valg[[#This Row],[Indenfor range]],IF(LineærRegression_Valg[[#This Row],[Intet overlap]],INDEX(DataTitel_liste,LineærRegression_Valg[[#This Row],[Uafhængig variabel ID]]),INDEX(DataTitel_liste,IF(LineærRegression_Valg[[#This Row],[Afhængig variabel ID]]=1,2,1))),$B$7)</f>
        <v>Eksempel 2 (interval)</v>
      </c>
      <c r="H2481" s="45">
        <f>_xlfn.AGGREGATE(2,5,LineærRegression_Valg[[#This Row],[Tabel ID]])</f>
        <v>1</v>
      </c>
    </row>
    <row r="2482" spans="1:8" x14ac:dyDescent="0.2">
      <c r="A2482">
        <f>ROW(LineærRegression_Valg[[#This Row],[Tabel ID]])-ROW(LineærRegression_Valg[[#Headers],[Tabel ID]])</f>
        <v>2472</v>
      </c>
      <c r="B2482" s="45">
        <f>ROUNDDOWN((LineærRegression_Valg[[#This Row],[Tabel ID]]-1)/$B$5,0)+1</f>
        <v>618</v>
      </c>
      <c r="C2482" s="45">
        <f t="shared" si="38"/>
        <v>4</v>
      </c>
      <c r="D2482" s="45" t="b">
        <f>LineærRegression_Valg[[#This Row],[Afhængig variabel ID]]&lt;&gt;LineærRegression_Valg[[#This Row],[Uafhængig variabel ID]]</f>
        <v>1</v>
      </c>
      <c r="E2482" s="45" t="b">
        <f>LineærRegression_Valg[[#This Row],[Afhængig variabel ID]]&lt;=$B$5</f>
        <v>0</v>
      </c>
      <c r="F2482" t="str" cm="1">
        <f t="array" ref="F2482">IF(LineærRegression_Valg[[#This Row],[Indenfor range]],INDEX(DataTitel_liste,LineærRegression_Valg[[#This Row],[Afhængig variabel ID]]),INDEX(DataTitel_liste,1))</f>
        <v>Eksempel 1 (interval)</v>
      </c>
      <c r="G2482" s="45" t="str" cm="1">
        <f t="array" ref="G2482">IF(LineærRegression_Valg[[#This Row],[Indenfor range]],IF(LineærRegression_Valg[[#This Row],[Intet overlap]],INDEX(DataTitel_liste,LineærRegression_Valg[[#This Row],[Uafhængig variabel ID]]),INDEX(DataTitel_liste,IF(LineærRegression_Valg[[#This Row],[Afhængig variabel ID]]=1,2,1))),$B$7)</f>
        <v>Eksempel 2 (interval)</v>
      </c>
      <c r="H2482" s="45">
        <f>_xlfn.AGGREGATE(2,5,LineærRegression_Valg[[#This Row],[Tabel ID]])</f>
        <v>1</v>
      </c>
    </row>
    <row r="2483" spans="1:8" x14ac:dyDescent="0.2">
      <c r="A2483">
        <f>ROW(LineærRegression_Valg[[#This Row],[Tabel ID]])-ROW(LineærRegression_Valg[[#Headers],[Tabel ID]])</f>
        <v>2473</v>
      </c>
      <c r="B2483" s="45">
        <f>ROUNDDOWN((LineærRegression_Valg[[#This Row],[Tabel ID]]-1)/$B$5,0)+1</f>
        <v>619</v>
      </c>
      <c r="C2483" s="45">
        <f t="shared" si="38"/>
        <v>1</v>
      </c>
      <c r="D2483" s="45" t="b">
        <f>LineærRegression_Valg[[#This Row],[Afhængig variabel ID]]&lt;&gt;LineærRegression_Valg[[#This Row],[Uafhængig variabel ID]]</f>
        <v>1</v>
      </c>
      <c r="E2483" s="45" t="b">
        <f>LineærRegression_Valg[[#This Row],[Afhængig variabel ID]]&lt;=$B$5</f>
        <v>0</v>
      </c>
      <c r="F2483" t="str" cm="1">
        <f t="array" ref="F2483">IF(LineærRegression_Valg[[#This Row],[Indenfor range]],INDEX(DataTitel_liste,LineærRegression_Valg[[#This Row],[Afhængig variabel ID]]),INDEX(DataTitel_liste,1))</f>
        <v>Eksempel 1 (interval)</v>
      </c>
      <c r="G2483" s="45" t="str" cm="1">
        <f t="array" ref="G2483">IF(LineærRegression_Valg[[#This Row],[Indenfor range]],IF(LineærRegression_Valg[[#This Row],[Intet overlap]],INDEX(DataTitel_liste,LineærRegression_Valg[[#This Row],[Uafhængig variabel ID]]),INDEX(DataTitel_liste,IF(LineærRegression_Valg[[#This Row],[Afhængig variabel ID]]=1,2,1))),$B$7)</f>
        <v>Eksempel 2 (interval)</v>
      </c>
      <c r="H2483" s="45">
        <f>_xlfn.AGGREGATE(2,5,LineærRegression_Valg[[#This Row],[Tabel ID]])</f>
        <v>1</v>
      </c>
    </row>
    <row r="2484" spans="1:8" x14ac:dyDescent="0.2">
      <c r="A2484">
        <f>ROW(LineærRegression_Valg[[#This Row],[Tabel ID]])-ROW(LineærRegression_Valg[[#Headers],[Tabel ID]])</f>
        <v>2474</v>
      </c>
      <c r="B2484" s="45">
        <f>ROUNDDOWN((LineærRegression_Valg[[#This Row],[Tabel ID]]-1)/$B$5,0)+1</f>
        <v>619</v>
      </c>
      <c r="C2484" s="45">
        <f t="shared" si="38"/>
        <v>2</v>
      </c>
      <c r="D2484" s="45" t="b">
        <f>LineærRegression_Valg[[#This Row],[Afhængig variabel ID]]&lt;&gt;LineærRegression_Valg[[#This Row],[Uafhængig variabel ID]]</f>
        <v>1</v>
      </c>
      <c r="E2484" s="45" t="b">
        <f>LineærRegression_Valg[[#This Row],[Afhængig variabel ID]]&lt;=$B$5</f>
        <v>0</v>
      </c>
      <c r="F2484" t="str" cm="1">
        <f t="array" ref="F2484">IF(LineærRegression_Valg[[#This Row],[Indenfor range]],INDEX(DataTitel_liste,LineærRegression_Valg[[#This Row],[Afhængig variabel ID]]),INDEX(DataTitel_liste,1))</f>
        <v>Eksempel 1 (interval)</v>
      </c>
      <c r="G2484" s="45" t="str" cm="1">
        <f t="array" ref="G2484">IF(LineærRegression_Valg[[#This Row],[Indenfor range]],IF(LineærRegression_Valg[[#This Row],[Intet overlap]],INDEX(DataTitel_liste,LineærRegression_Valg[[#This Row],[Uafhængig variabel ID]]),INDEX(DataTitel_liste,IF(LineærRegression_Valg[[#This Row],[Afhængig variabel ID]]=1,2,1))),$B$7)</f>
        <v>Eksempel 2 (interval)</v>
      </c>
      <c r="H2484" s="45">
        <f>_xlfn.AGGREGATE(2,5,LineærRegression_Valg[[#This Row],[Tabel ID]])</f>
        <v>1</v>
      </c>
    </row>
    <row r="2485" spans="1:8" x14ac:dyDescent="0.2">
      <c r="A2485">
        <f>ROW(LineærRegression_Valg[[#This Row],[Tabel ID]])-ROW(LineærRegression_Valg[[#Headers],[Tabel ID]])</f>
        <v>2475</v>
      </c>
      <c r="B2485" s="45">
        <f>ROUNDDOWN((LineærRegression_Valg[[#This Row],[Tabel ID]]-1)/$B$5,0)+1</f>
        <v>619</v>
      </c>
      <c r="C2485" s="45">
        <f t="shared" si="38"/>
        <v>3</v>
      </c>
      <c r="D2485" s="45" t="b">
        <f>LineærRegression_Valg[[#This Row],[Afhængig variabel ID]]&lt;&gt;LineærRegression_Valg[[#This Row],[Uafhængig variabel ID]]</f>
        <v>1</v>
      </c>
      <c r="E2485" s="45" t="b">
        <f>LineærRegression_Valg[[#This Row],[Afhængig variabel ID]]&lt;=$B$5</f>
        <v>0</v>
      </c>
      <c r="F2485" t="str" cm="1">
        <f t="array" ref="F2485">IF(LineærRegression_Valg[[#This Row],[Indenfor range]],INDEX(DataTitel_liste,LineærRegression_Valg[[#This Row],[Afhængig variabel ID]]),INDEX(DataTitel_liste,1))</f>
        <v>Eksempel 1 (interval)</v>
      </c>
      <c r="G2485" s="45" t="str" cm="1">
        <f t="array" ref="G2485">IF(LineærRegression_Valg[[#This Row],[Indenfor range]],IF(LineærRegression_Valg[[#This Row],[Intet overlap]],INDEX(DataTitel_liste,LineærRegression_Valg[[#This Row],[Uafhængig variabel ID]]),INDEX(DataTitel_liste,IF(LineærRegression_Valg[[#This Row],[Afhængig variabel ID]]=1,2,1))),$B$7)</f>
        <v>Eksempel 2 (interval)</v>
      </c>
      <c r="H2485" s="45">
        <f>_xlfn.AGGREGATE(2,5,LineærRegression_Valg[[#This Row],[Tabel ID]])</f>
        <v>1</v>
      </c>
    </row>
    <row r="2486" spans="1:8" x14ac:dyDescent="0.2">
      <c r="A2486">
        <f>ROW(LineærRegression_Valg[[#This Row],[Tabel ID]])-ROW(LineærRegression_Valg[[#Headers],[Tabel ID]])</f>
        <v>2476</v>
      </c>
      <c r="B2486" s="45">
        <f>ROUNDDOWN((LineærRegression_Valg[[#This Row],[Tabel ID]]-1)/$B$5,0)+1</f>
        <v>619</v>
      </c>
      <c r="C2486" s="45">
        <f t="shared" si="38"/>
        <v>4</v>
      </c>
      <c r="D2486" s="45" t="b">
        <f>LineærRegression_Valg[[#This Row],[Afhængig variabel ID]]&lt;&gt;LineærRegression_Valg[[#This Row],[Uafhængig variabel ID]]</f>
        <v>1</v>
      </c>
      <c r="E2486" s="45" t="b">
        <f>LineærRegression_Valg[[#This Row],[Afhængig variabel ID]]&lt;=$B$5</f>
        <v>0</v>
      </c>
      <c r="F2486" t="str" cm="1">
        <f t="array" ref="F2486">IF(LineærRegression_Valg[[#This Row],[Indenfor range]],INDEX(DataTitel_liste,LineærRegression_Valg[[#This Row],[Afhængig variabel ID]]),INDEX(DataTitel_liste,1))</f>
        <v>Eksempel 1 (interval)</v>
      </c>
      <c r="G2486" s="45" t="str" cm="1">
        <f t="array" ref="G2486">IF(LineærRegression_Valg[[#This Row],[Indenfor range]],IF(LineærRegression_Valg[[#This Row],[Intet overlap]],INDEX(DataTitel_liste,LineærRegression_Valg[[#This Row],[Uafhængig variabel ID]]),INDEX(DataTitel_liste,IF(LineærRegression_Valg[[#This Row],[Afhængig variabel ID]]=1,2,1))),$B$7)</f>
        <v>Eksempel 2 (interval)</v>
      </c>
      <c r="H2486" s="45">
        <f>_xlfn.AGGREGATE(2,5,LineærRegression_Valg[[#This Row],[Tabel ID]])</f>
        <v>1</v>
      </c>
    </row>
    <row r="2487" spans="1:8" x14ac:dyDescent="0.2">
      <c r="A2487">
        <f>ROW(LineærRegression_Valg[[#This Row],[Tabel ID]])-ROW(LineærRegression_Valg[[#Headers],[Tabel ID]])</f>
        <v>2477</v>
      </c>
      <c r="B2487" s="45">
        <f>ROUNDDOWN((LineærRegression_Valg[[#This Row],[Tabel ID]]-1)/$B$5,0)+1</f>
        <v>620</v>
      </c>
      <c r="C2487" s="45">
        <f t="shared" si="38"/>
        <v>1</v>
      </c>
      <c r="D2487" s="45" t="b">
        <f>LineærRegression_Valg[[#This Row],[Afhængig variabel ID]]&lt;&gt;LineærRegression_Valg[[#This Row],[Uafhængig variabel ID]]</f>
        <v>1</v>
      </c>
      <c r="E2487" s="45" t="b">
        <f>LineærRegression_Valg[[#This Row],[Afhængig variabel ID]]&lt;=$B$5</f>
        <v>0</v>
      </c>
      <c r="F2487" t="str" cm="1">
        <f t="array" ref="F2487">IF(LineærRegression_Valg[[#This Row],[Indenfor range]],INDEX(DataTitel_liste,LineærRegression_Valg[[#This Row],[Afhængig variabel ID]]),INDEX(DataTitel_liste,1))</f>
        <v>Eksempel 1 (interval)</v>
      </c>
      <c r="G2487" s="45" t="str" cm="1">
        <f t="array" ref="G2487">IF(LineærRegression_Valg[[#This Row],[Indenfor range]],IF(LineærRegression_Valg[[#This Row],[Intet overlap]],INDEX(DataTitel_liste,LineærRegression_Valg[[#This Row],[Uafhængig variabel ID]]),INDEX(DataTitel_liste,IF(LineærRegression_Valg[[#This Row],[Afhængig variabel ID]]=1,2,1))),$B$7)</f>
        <v>Eksempel 2 (interval)</v>
      </c>
      <c r="H2487" s="45">
        <f>_xlfn.AGGREGATE(2,5,LineærRegression_Valg[[#This Row],[Tabel ID]])</f>
        <v>1</v>
      </c>
    </row>
    <row r="2488" spans="1:8" x14ac:dyDescent="0.2">
      <c r="A2488">
        <f>ROW(LineærRegression_Valg[[#This Row],[Tabel ID]])-ROW(LineærRegression_Valg[[#Headers],[Tabel ID]])</f>
        <v>2478</v>
      </c>
      <c r="B2488" s="45">
        <f>ROUNDDOWN((LineærRegression_Valg[[#This Row],[Tabel ID]]-1)/$B$5,0)+1</f>
        <v>620</v>
      </c>
      <c r="C2488" s="45">
        <f t="shared" si="38"/>
        <v>2</v>
      </c>
      <c r="D2488" s="45" t="b">
        <f>LineærRegression_Valg[[#This Row],[Afhængig variabel ID]]&lt;&gt;LineærRegression_Valg[[#This Row],[Uafhængig variabel ID]]</f>
        <v>1</v>
      </c>
      <c r="E2488" s="45" t="b">
        <f>LineærRegression_Valg[[#This Row],[Afhængig variabel ID]]&lt;=$B$5</f>
        <v>0</v>
      </c>
      <c r="F2488" t="str" cm="1">
        <f t="array" ref="F2488">IF(LineærRegression_Valg[[#This Row],[Indenfor range]],INDEX(DataTitel_liste,LineærRegression_Valg[[#This Row],[Afhængig variabel ID]]),INDEX(DataTitel_liste,1))</f>
        <v>Eksempel 1 (interval)</v>
      </c>
      <c r="G2488" s="45" t="str" cm="1">
        <f t="array" ref="G2488">IF(LineærRegression_Valg[[#This Row],[Indenfor range]],IF(LineærRegression_Valg[[#This Row],[Intet overlap]],INDEX(DataTitel_liste,LineærRegression_Valg[[#This Row],[Uafhængig variabel ID]]),INDEX(DataTitel_liste,IF(LineærRegression_Valg[[#This Row],[Afhængig variabel ID]]=1,2,1))),$B$7)</f>
        <v>Eksempel 2 (interval)</v>
      </c>
      <c r="H2488" s="45">
        <f>_xlfn.AGGREGATE(2,5,LineærRegression_Valg[[#This Row],[Tabel ID]])</f>
        <v>1</v>
      </c>
    </row>
    <row r="2489" spans="1:8" x14ac:dyDescent="0.2">
      <c r="A2489">
        <f>ROW(LineærRegression_Valg[[#This Row],[Tabel ID]])-ROW(LineærRegression_Valg[[#Headers],[Tabel ID]])</f>
        <v>2479</v>
      </c>
      <c r="B2489" s="45">
        <f>ROUNDDOWN((LineærRegression_Valg[[#This Row],[Tabel ID]]-1)/$B$5,0)+1</f>
        <v>620</v>
      </c>
      <c r="C2489" s="45">
        <f t="shared" si="38"/>
        <v>3</v>
      </c>
      <c r="D2489" s="45" t="b">
        <f>LineærRegression_Valg[[#This Row],[Afhængig variabel ID]]&lt;&gt;LineærRegression_Valg[[#This Row],[Uafhængig variabel ID]]</f>
        <v>1</v>
      </c>
      <c r="E2489" s="45" t="b">
        <f>LineærRegression_Valg[[#This Row],[Afhængig variabel ID]]&lt;=$B$5</f>
        <v>0</v>
      </c>
      <c r="F2489" t="str" cm="1">
        <f t="array" ref="F2489">IF(LineærRegression_Valg[[#This Row],[Indenfor range]],INDEX(DataTitel_liste,LineærRegression_Valg[[#This Row],[Afhængig variabel ID]]),INDEX(DataTitel_liste,1))</f>
        <v>Eksempel 1 (interval)</v>
      </c>
      <c r="G2489" s="45" t="str" cm="1">
        <f t="array" ref="G2489">IF(LineærRegression_Valg[[#This Row],[Indenfor range]],IF(LineærRegression_Valg[[#This Row],[Intet overlap]],INDEX(DataTitel_liste,LineærRegression_Valg[[#This Row],[Uafhængig variabel ID]]),INDEX(DataTitel_liste,IF(LineærRegression_Valg[[#This Row],[Afhængig variabel ID]]=1,2,1))),$B$7)</f>
        <v>Eksempel 2 (interval)</v>
      </c>
      <c r="H2489" s="45">
        <f>_xlfn.AGGREGATE(2,5,LineærRegression_Valg[[#This Row],[Tabel ID]])</f>
        <v>1</v>
      </c>
    </row>
    <row r="2490" spans="1:8" x14ac:dyDescent="0.2">
      <c r="A2490">
        <f>ROW(LineærRegression_Valg[[#This Row],[Tabel ID]])-ROW(LineærRegression_Valg[[#Headers],[Tabel ID]])</f>
        <v>2480</v>
      </c>
      <c r="B2490" s="45">
        <f>ROUNDDOWN((LineærRegression_Valg[[#This Row],[Tabel ID]]-1)/$B$5,0)+1</f>
        <v>620</v>
      </c>
      <c r="C2490" s="45">
        <f t="shared" si="38"/>
        <v>4</v>
      </c>
      <c r="D2490" s="45" t="b">
        <f>LineærRegression_Valg[[#This Row],[Afhængig variabel ID]]&lt;&gt;LineærRegression_Valg[[#This Row],[Uafhængig variabel ID]]</f>
        <v>1</v>
      </c>
      <c r="E2490" s="45" t="b">
        <f>LineærRegression_Valg[[#This Row],[Afhængig variabel ID]]&lt;=$B$5</f>
        <v>0</v>
      </c>
      <c r="F2490" t="str" cm="1">
        <f t="array" ref="F2490">IF(LineærRegression_Valg[[#This Row],[Indenfor range]],INDEX(DataTitel_liste,LineærRegression_Valg[[#This Row],[Afhængig variabel ID]]),INDEX(DataTitel_liste,1))</f>
        <v>Eksempel 1 (interval)</v>
      </c>
      <c r="G2490" s="45" t="str" cm="1">
        <f t="array" ref="G2490">IF(LineærRegression_Valg[[#This Row],[Indenfor range]],IF(LineærRegression_Valg[[#This Row],[Intet overlap]],INDEX(DataTitel_liste,LineærRegression_Valg[[#This Row],[Uafhængig variabel ID]]),INDEX(DataTitel_liste,IF(LineærRegression_Valg[[#This Row],[Afhængig variabel ID]]=1,2,1))),$B$7)</f>
        <v>Eksempel 2 (interval)</v>
      </c>
      <c r="H2490" s="45">
        <f>_xlfn.AGGREGATE(2,5,LineærRegression_Valg[[#This Row],[Tabel ID]])</f>
        <v>1</v>
      </c>
    </row>
    <row r="2491" spans="1:8" x14ac:dyDescent="0.2">
      <c r="A2491">
        <f>ROW(LineærRegression_Valg[[#This Row],[Tabel ID]])-ROW(LineærRegression_Valg[[#Headers],[Tabel ID]])</f>
        <v>2481</v>
      </c>
      <c r="B2491" s="45">
        <f>ROUNDDOWN((LineærRegression_Valg[[#This Row],[Tabel ID]]-1)/$B$5,0)+1</f>
        <v>621</v>
      </c>
      <c r="C2491" s="45">
        <f t="shared" si="38"/>
        <v>1</v>
      </c>
      <c r="D2491" s="45" t="b">
        <f>LineærRegression_Valg[[#This Row],[Afhængig variabel ID]]&lt;&gt;LineærRegression_Valg[[#This Row],[Uafhængig variabel ID]]</f>
        <v>1</v>
      </c>
      <c r="E2491" s="45" t="b">
        <f>LineærRegression_Valg[[#This Row],[Afhængig variabel ID]]&lt;=$B$5</f>
        <v>0</v>
      </c>
      <c r="F2491" t="str" cm="1">
        <f t="array" ref="F2491">IF(LineærRegression_Valg[[#This Row],[Indenfor range]],INDEX(DataTitel_liste,LineærRegression_Valg[[#This Row],[Afhængig variabel ID]]),INDEX(DataTitel_liste,1))</f>
        <v>Eksempel 1 (interval)</v>
      </c>
      <c r="G2491" s="45" t="str" cm="1">
        <f t="array" ref="G2491">IF(LineærRegression_Valg[[#This Row],[Indenfor range]],IF(LineærRegression_Valg[[#This Row],[Intet overlap]],INDEX(DataTitel_liste,LineærRegression_Valg[[#This Row],[Uafhængig variabel ID]]),INDEX(DataTitel_liste,IF(LineærRegression_Valg[[#This Row],[Afhængig variabel ID]]=1,2,1))),$B$7)</f>
        <v>Eksempel 2 (interval)</v>
      </c>
      <c r="H2491" s="45">
        <f>_xlfn.AGGREGATE(2,5,LineærRegression_Valg[[#This Row],[Tabel ID]])</f>
        <v>1</v>
      </c>
    </row>
    <row r="2492" spans="1:8" x14ac:dyDescent="0.2">
      <c r="A2492">
        <f>ROW(LineærRegression_Valg[[#This Row],[Tabel ID]])-ROW(LineærRegression_Valg[[#Headers],[Tabel ID]])</f>
        <v>2482</v>
      </c>
      <c r="B2492" s="45">
        <f>ROUNDDOWN((LineærRegression_Valg[[#This Row],[Tabel ID]]-1)/$B$5,0)+1</f>
        <v>621</v>
      </c>
      <c r="C2492" s="45">
        <f t="shared" si="38"/>
        <v>2</v>
      </c>
      <c r="D2492" s="45" t="b">
        <f>LineærRegression_Valg[[#This Row],[Afhængig variabel ID]]&lt;&gt;LineærRegression_Valg[[#This Row],[Uafhængig variabel ID]]</f>
        <v>1</v>
      </c>
      <c r="E2492" s="45" t="b">
        <f>LineærRegression_Valg[[#This Row],[Afhængig variabel ID]]&lt;=$B$5</f>
        <v>0</v>
      </c>
      <c r="F2492" t="str" cm="1">
        <f t="array" ref="F2492">IF(LineærRegression_Valg[[#This Row],[Indenfor range]],INDEX(DataTitel_liste,LineærRegression_Valg[[#This Row],[Afhængig variabel ID]]),INDEX(DataTitel_liste,1))</f>
        <v>Eksempel 1 (interval)</v>
      </c>
      <c r="G2492" s="45" t="str" cm="1">
        <f t="array" ref="G2492">IF(LineærRegression_Valg[[#This Row],[Indenfor range]],IF(LineærRegression_Valg[[#This Row],[Intet overlap]],INDEX(DataTitel_liste,LineærRegression_Valg[[#This Row],[Uafhængig variabel ID]]),INDEX(DataTitel_liste,IF(LineærRegression_Valg[[#This Row],[Afhængig variabel ID]]=1,2,1))),$B$7)</f>
        <v>Eksempel 2 (interval)</v>
      </c>
      <c r="H2492" s="45">
        <f>_xlfn.AGGREGATE(2,5,LineærRegression_Valg[[#This Row],[Tabel ID]])</f>
        <v>1</v>
      </c>
    </row>
    <row r="2493" spans="1:8" x14ac:dyDescent="0.2">
      <c r="A2493">
        <f>ROW(LineærRegression_Valg[[#This Row],[Tabel ID]])-ROW(LineærRegression_Valg[[#Headers],[Tabel ID]])</f>
        <v>2483</v>
      </c>
      <c r="B2493" s="45">
        <f>ROUNDDOWN((LineærRegression_Valg[[#This Row],[Tabel ID]]-1)/$B$5,0)+1</f>
        <v>621</v>
      </c>
      <c r="C2493" s="45">
        <f t="shared" si="38"/>
        <v>3</v>
      </c>
      <c r="D2493" s="45" t="b">
        <f>LineærRegression_Valg[[#This Row],[Afhængig variabel ID]]&lt;&gt;LineærRegression_Valg[[#This Row],[Uafhængig variabel ID]]</f>
        <v>1</v>
      </c>
      <c r="E2493" s="45" t="b">
        <f>LineærRegression_Valg[[#This Row],[Afhængig variabel ID]]&lt;=$B$5</f>
        <v>0</v>
      </c>
      <c r="F2493" t="str" cm="1">
        <f t="array" ref="F2493">IF(LineærRegression_Valg[[#This Row],[Indenfor range]],INDEX(DataTitel_liste,LineærRegression_Valg[[#This Row],[Afhængig variabel ID]]),INDEX(DataTitel_liste,1))</f>
        <v>Eksempel 1 (interval)</v>
      </c>
      <c r="G2493" s="45" t="str" cm="1">
        <f t="array" ref="G2493">IF(LineærRegression_Valg[[#This Row],[Indenfor range]],IF(LineærRegression_Valg[[#This Row],[Intet overlap]],INDEX(DataTitel_liste,LineærRegression_Valg[[#This Row],[Uafhængig variabel ID]]),INDEX(DataTitel_liste,IF(LineærRegression_Valg[[#This Row],[Afhængig variabel ID]]=1,2,1))),$B$7)</f>
        <v>Eksempel 2 (interval)</v>
      </c>
      <c r="H2493" s="45">
        <f>_xlfn.AGGREGATE(2,5,LineærRegression_Valg[[#This Row],[Tabel ID]])</f>
        <v>1</v>
      </c>
    </row>
    <row r="2494" spans="1:8" x14ac:dyDescent="0.2">
      <c r="A2494">
        <f>ROW(LineærRegression_Valg[[#This Row],[Tabel ID]])-ROW(LineærRegression_Valg[[#Headers],[Tabel ID]])</f>
        <v>2484</v>
      </c>
      <c r="B2494" s="45">
        <f>ROUNDDOWN((LineærRegression_Valg[[#This Row],[Tabel ID]]-1)/$B$5,0)+1</f>
        <v>621</v>
      </c>
      <c r="C2494" s="45">
        <f t="shared" si="38"/>
        <v>4</v>
      </c>
      <c r="D2494" s="45" t="b">
        <f>LineærRegression_Valg[[#This Row],[Afhængig variabel ID]]&lt;&gt;LineærRegression_Valg[[#This Row],[Uafhængig variabel ID]]</f>
        <v>1</v>
      </c>
      <c r="E2494" s="45" t="b">
        <f>LineærRegression_Valg[[#This Row],[Afhængig variabel ID]]&lt;=$B$5</f>
        <v>0</v>
      </c>
      <c r="F2494" t="str" cm="1">
        <f t="array" ref="F2494">IF(LineærRegression_Valg[[#This Row],[Indenfor range]],INDEX(DataTitel_liste,LineærRegression_Valg[[#This Row],[Afhængig variabel ID]]),INDEX(DataTitel_liste,1))</f>
        <v>Eksempel 1 (interval)</v>
      </c>
      <c r="G2494" s="45" t="str" cm="1">
        <f t="array" ref="G2494">IF(LineærRegression_Valg[[#This Row],[Indenfor range]],IF(LineærRegression_Valg[[#This Row],[Intet overlap]],INDEX(DataTitel_liste,LineærRegression_Valg[[#This Row],[Uafhængig variabel ID]]),INDEX(DataTitel_liste,IF(LineærRegression_Valg[[#This Row],[Afhængig variabel ID]]=1,2,1))),$B$7)</f>
        <v>Eksempel 2 (interval)</v>
      </c>
      <c r="H2494" s="45">
        <f>_xlfn.AGGREGATE(2,5,LineærRegression_Valg[[#This Row],[Tabel ID]])</f>
        <v>1</v>
      </c>
    </row>
    <row r="2495" spans="1:8" x14ac:dyDescent="0.2">
      <c r="A2495">
        <f>ROW(LineærRegression_Valg[[#This Row],[Tabel ID]])-ROW(LineærRegression_Valg[[#Headers],[Tabel ID]])</f>
        <v>2485</v>
      </c>
      <c r="B2495" s="45">
        <f>ROUNDDOWN((LineærRegression_Valg[[#This Row],[Tabel ID]]-1)/$B$5,0)+1</f>
        <v>622</v>
      </c>
      <c r="C2495" s="45">
        <f t="shared" si="38"/>
        <v>1</v>
      </c>
      <c r="D2495" s="45" t="b">
        <f>LineærRegression_Valg[[#This Row],[Afhængig variabel ID]]&lt;&gt;LineærRegression_Valg[[#This Row],[Uafhængig variabel ID]]</f>
        <v>1</v>
      </c>
      <c r="E2495" s="45" t="b">
        <f>LineærRegression_Valg[[#This Row],[Afhængig variabel ID]]&lt;=$B$5</f>
        <v>0</v>
      </c>
      <c r="F2495" t="str" cm="1">
        <f t="array" ref="F2495">IF(LineærRegression_Valg[[#This Row],[Indenfor range]],INDEX(DataTitel_liste,LineærRegression_Valg[[#This Row],[Afhængig variabel ID]]),INDEX(DataTitel_liste,1))</f>
        <v>Eksempel 1 (interval)</v>
      </c>
      <c r="G2495" s="45" t="str" cm="1">
        <f t="array" ref="G2495">IF(LineærRegression_Valg[[#This Row],[Indenfor range]],IF(LineærRegression_Valg[[#This Row],[Intet overlap]],INDEX(DataTitel_liste,LineærRegression_Valg[[#This Row],[Uafhængig variabel ID]]),INDEX(DataTitel_liste,IF(LineærRegression_Valg[[#This Row],[Afhængig variabel ID]]=1,2,1))),$B$7)</f>
        <v>Eksempel 2 (interval)</v>
      </c>
      <c r="H2495" s="45">
        <f>_xlfn.AGGREGATE(2,5,LineærRegression_Valg[[#This Row],[Tabel ID]])</f>
        <v>1</v>
      </c>
    </row>
    <row r="2496" spans="1:8" x14ac:dyDescent="0.2">
      <c r="A2496">
        <f>ROW(LineærRegression_Valg[[#This Row],[Tabel ID]])-ROW(LineærRegression_Valg[[#Headers],[Tabel ID]])</f>
        <v>2486</v>
      </c>
      <c r="B2496" s="45">
        <f>ROUNDDOWN((LineærRegression_Valg[[#This Row],[Tabel ID]]-1)/$B$5,0)+1</f>
        <v>622</v>
      </c>
      <c r="C2496" s="45">
        <f t="shared" si="38"/>
        <v>2</v>
      </c>
      <c r="D2496" s="45" t="b">
        <f>LineærRegression_Valg[[#This Row],[Afhængig variabel ID]]&lt;&gt;LineærRegression_Valg[[#This Row],[Uafhængig variabel ID]]</f>
        <v>1</v>
      </c>
      <c r="E2496" s="45" t="b">
        <f>LineærRegression_Valg[[#This Row],[Afhængig variabel ID]]&lt;=$B$5</f>
        <v>0</v>
      </c>
      <c r="F2496" t="str" cm="1">
        <f t="array" ref="F2496">IF(LineærRegression_Valg[[#This Row],[Indenfor range]],INDEX(DataTitel_liste,LineærRegression_Valg[[#This Row],[Afhængig variabel ID]]),INDEX(DataTitel_liste,1))</f>
        <v>Eksempel 1 (interval)</v>
      </c>
      <c r="G2496" s="45" t="str" cm="1">
        <f t="array" ref="G2496">IF(LineærRegression_Valg[[#This Row],[Indenfor range]],IF(LineærRegression_Valg[[#This Row],[Intet overlap]],INDEX(DataTitel_liste,LineærRegression_Valg[[#This Row],[Uafhængig variabel ID]]),INDEX(DataTitel_liste,IF(LineærRegression_Valg[[#This Row],[Afhængig variabel ID]]=1,2,1))),$B$7)</f>
        <v>Eksempel 2 (interval)</v>
      </c>
      <c r="H2496" s="45">
        <f>_xlfn.AGGREGATE(2,5,LineærRegression_Valg[[#This Row],[Tabel ID]])</f>
        <v>1</v>
      </c>
    </row>
    <row r="2497" spans="1:8" x14ac:dyDescent="0.2">
      <c r="A2497">
        <f>ROW(LineærRegression_Valg[[#This Row],[Tabel ID]])-ROW(LineærRegression_Valg[[#Headers],[Tabel ID]])</f>
        <v>2487</v>
      </c>
      <c r="B2497" s="45">
        <f>ROUNDDOWN((LineærRegression_Valg[[#This Row],[Tabel ID]]-1)/$B$5,0)+1</f>
        <v>622</v>
      </c>
      <c r="C2497" s="45">
        <f t="shared" si="38"/>
        <v>3</v>
      </c>
      <c r="D2497" s="45" t="b">
        <f>LineærRegression_Valg[[#This Row],[Afhængig variabel ID]]&lt;&gt;LineærRegression_Valg[[#This Row],[Uafhængig variabel ID]]</f>
        <v>1</v>
      </c>
      <c r="E2497" s="45" t="b">
        <f>LineærRegression_Valg[[#This Row],[Afhængig variabel ID]]&lt;=$B$5</f>
        <v>0</v>
      </c>
      <c r="F2497" t="str" cm="1">
        <f t="array" ref="F2497">IF(LineærRegression_Valg[[#This Row],[Indenfor range]],INDEX(DataTitel_liste,LineærRegression_Valg[[#This Row],[Afhængig variabel ID]]),INDEX(DataTitel_liste,1))</f>
        <v>Eksempel 1 (interval)</v>
      </c>
      <c r="G2497" s="45" t="str" cm="1">
        <f t="array" ref="G2497">IF(LineærRegression_Valg[[#This Row],[Indenfor range]],IF(LineærRegression_Valg[[#This Row],[Intet overlap]],INDEX(DataTitel_liste,LineærRegression_Valg[[#This Row],[Uafhængig variabel ID]]),INDEX(DataTitel_liste,IF(LineærRegression_Valg[[#This Row],[Afhængig variabel ID]]=1,2,1))),$B$7)</f>
        <v>Eksempel 2 (interval)</v>
      </c>
      <c r="H2497" s="45">
        <f>_xlfn.AGGREGATE(2,5,LineærRegression_Valg[[#This Row],[Tabel ID]])</f>
        <v>1</v>
      </c>
    </row>
    <row r="2498" spans="1:8" x14ac:dyDescent="0.2">
      <c r="A2498">
        <f>ROW(LineærRegression_Valg[[#This Row],[Tabel ID]])-ROW(LineærRegression_Valg[[#Headers],[Tabel ID]])</f>
        <v>2488</v>
      </c>
      <c r="B2498" s="45">
        <f>ROUNDDOWN((LineærRegression_Valg[[#This Row],[Tabel ID]]-1)/$B$5,0)+1</f>
        <v>622</v>
      </c>
      <c r="C2498" s="45">
        <f t="shared" si="38"/>
        <v>4</v>
      </c>
      <c r="D2498" s="45" t="b">
        <f>LineærRegression_Valg[[#This Row],[Afhængig variabel ID]]&lt;&gt;LineærRegression_Valg[[#This Row],[Uafhængig variabel ID]]</f>
        <v>1</v>
      </c>
      <c r="E2498" s="45" t="b">
        <f>LineærRegression_Valg[[#This Row],[Afhængig variabel ID]]&lt;=$B$5</f>
        <v>0</v>
      </c>
      <c r="F2498" t="str" cm="1">
        <f t="array" ref="F2498">IF(LineærRegression_Valg[[#This Row],[Indenfor range]],INDEX(DataTitel_liste,LineærRegression_Valg[[#This Row],[Afhængig variabel ID]]),INDEX(DataTitel_liste,1))</f>
        <v>Eksempel 1 (interval)</v>
      </c>
      <c r="G2498" s="45" t="str" cm="1">
        <f t="array" ref="G2498">IF(LineærRegression_Valg[[#This Row],[Indenfor range]],IF(LineærRegression_Valg[[#This Row],[Intet overlap]],INDEX(DataTitel_liste,LineærRegression_Valg[[#This Row],[Uafhængig variabel ID]]),INDEX(DataTitel_liste,IF(LineærRegression_Valg[[#This Row],[Afhængig variabel ID]]=1,2,1))),$B$7)</f>
        <v>Eksempel 2 (interval)</v>
      </c>
      <c r="H2498" s="45">
        <f>_xlfn.AGGREGATE(2,5,LineærRegression_Valg[[#This Row],[Tabel ID]])</f>
        <v>1</v>
      </c>
    </row>
    <row r="2499" spans="1:8" x14ac:dyDescent="0.2">
      <c r="A2499">
        <f>ROW(LineærRegression_Valg[[#This Row],[Tabel ID]])-ROW(LineærRegression_Valg[[#Headers],[Tabel ID]])</f>
        <v>2489</v>
      </c>
      <c r="B2499" s="45">
        <f>ROUNDDOWN((LineærRegression_Valg[[#This Row],[Tabel ID]]-1)/$B$5,0)+1</f>
        <v>623</v>
      </c>
      <c r="C2499" s="45">
        <f t="shared" si="38"/>
        <v>1</v>
      </c>
      <c r="D2499" s="45" t="b">
        <f>LineærRegression_Valg[[#This Row],[Afhængig variabel ID]]&lt;&gt;LineærRegression_Valg[[#This Row],[Uafhængig variabel ID]]</f>
        <v>1</v>
      </c>
      <c r="E2499" s="45" t="b">
        <f>LineærRegression_Valg[[#This Row],[Afhængig variabel ID]]&lt;=$B$5</f>
        <v>0</v>
      </c>
      <c r="F2499" t="str" cm="1">
        <f t="array" ref="F2499">IF(LineærRegression_Valg[[#This Row],[Indenfor range]],INDEX(DataTitel_liste,LineærRegression_Valg[[#This Row],[Afhængig variabel ID]]),INDEX(DataTitel_liste,1))</f>
        <v>Eksempel 1 (interval)</v>
      </c>
      <c r="G2499" s="45" t="str" cm="1">
        <f t="array" ref="G2499">IF(LineærRegression_Valg[[#This Row],[Indenfor range]],IF(LineærRegression_Valg[[#This Row],[Intet overlap]],INDEX(DataTitel_liste,LineærRegression_Valg[[#This Row],[Uafhængig variabel ID]]),INDEX(DataTitel_liste,IF(LineærRegression_Valg[[#This Row],[Afhængig variabel ID]]=1,2,1))),$B$7)</f>
        <v>Eksempel 2 (interval)</v>
      </c>
      <c r="H2499" s="45">
        <f>_xlfn.AGGREGATE(2,5,LineærRegression_Valg[[#This Row],[Tabel ID]])</f>
        <v>1</v>
      </c>
    </row>
    <row r="2500" spans="1:8" x14ac:dyDescent="0.2">
      <c r="A2500">
        <f>ROW(LineærRegression_Valg[[#This Row],[Tabel ID]])-ROW(LineærRegression_Valg[[#Headers],[Tabel ID]])</f>
        <v>2490</v>
      </c>
      <c r="B2500" s="45">
        <f>ROUNDDOWN((LineærRegression_Valg[[#This Row],[Tabel ID]]-1)/$B$5,0)+1</f>
        <v>623</v>
      </c>
      <c r="C2500" s="45">
        <f t="shared" si="38"/>
        <v>2</v>
      </c>
      <c r="D2500" s="45" t="b">
        <f>LineærRegression_Valg[[#This Row],[Afhængig variabel ID]]&lt;&gt;LineærRegression_Valg[[#This Row],[Uafhængig variabel ID]]</f>
        <v>1</v>
      </c>
      <c r="E2500" s="45" t="b">
        <f>LineærRegression_Valg[[#This Row],[Afhængig variabel ID]]&lt;=$B$5</f>
        <v>0</v>
      </c>
      <c r="F2500" t="str" cm="1">
        <f t="array" ref="F2500">IF(LineærRegression_Valg[[#This Row],[Indenfor range]],INDEX(DataTitel_liste,LineærRegression_Valg[[#This Row],[Afhængig variabel ID]]),INDEX(DataTitel_liste,1))</f>
        <v>Eksempel 1 (interval)</v>
      </c>
      <c r="G2500" s="45" t="str" cm="1">
        <f t="array" ref="G2500">IF(LineærRegression_Valg[[#This Row],[Indenfor range]],IF(LineærRegression_Valg[[#This Row],[Intet overlap]],INDEX(DataTitel_liste,LineærRegression_Valg[[#This Row],[Uafhængig variabel ID]]),INDEX(DataTitel_liste,IF(LineærRegression_Valg[[#This Row],[Afhængig variabel ID]]=1,2,1))),$B$7)</f>
        <v>Eksempel 2 (interval)</v>
      </c>
      <c r="H2500" s="45">
        <f>_xlfn.AGGREGATE(2,5,LineærRegression_Valg[[#This Row],[Tabel ID]])</f>
        <v>1</v>
      </c>
    </row>
    <row r="2501" spans="1:8" x14ac:dyDescent="0.2">
      <c r="A2501">
        <f>ROW(LineærRegression_Valg[[#This Row],[Tabel ID]])-ROW(LineærRegression_Valg[[#Headers],[Tabel ID]])</f>
        <v>2491</v>
      </c>
      <c r="B2501" s="45">
        <f>ROUNDDOWN((LineærRegression_Valg[[#This Row],[Tabel ID]]-1)/$B$5,0)+1</f>
        <v>623</v>
      </c>
      <c r="C2501" s="45">
        <f t="shared" si="38"/>
        <v>3</v>
      </c>
      <c r="D2501" s="45" t="b">
        <f>LineærRegression_Valg[[#This Row],[Afhængig variabel ID]]&lt;&gt;LineærRegression_Valg[[#This Row],[Uafhængig variabel ID]]</f>
        <v>1</v>
      </c>
      <c r="E2501" s="45" t="b">
        <f>LineærRegression_Valg[[#This Row],[Afhængig variabel ID]]&lt;=$B$5</f>
        <v>0</v>
      </c>
      <c r="F2501" t="str" cm="1">
        <f t="array" ref="F2501">IF(LineærRegression_Valg[[#This Row],[Indenfor range]],INDEX(DataTitel_liste,LineærRegression_Valg[[#This Row],[Afhængig variabel ID]]),INDEX(DataTitel_liste,1))</f>
        <v>Eksempel 1 (interval)</v>
      </c>
      <c r="G2501" s="45" t="str" cm="1">
        <f t="array" ref="G2501">IF(LineærRegression_Valg[[#This Row],[Indenfor range]],IF(LineærRegression_Valg[[#This Row],[Intet overlap]],INDEX(DataTitel_liste,LineærRegression_Valg[[#This Row],[Uafhængig variabel ID]]),INDEX(DataTitel_liste,IF(LineærRegression_Valg[[#This Row],[Afhængig variabel ID]]=1,2,1))),$B$7)</f>
        <v>Eksempel 2 (interval)</v>
      </c>
      <c r="H2501" s="45">
        <f>_xlfn.AGGREGATE(2,5,LineærRegression_Valg[[#This Row],[Tabel ID]])</f>
        <v>1</v>
      </c>
    </row>
    <row r="2502" spans="1:8" x14ac:dyDescent="0.2">
      <c r="A2502">
        <f>ROW(LineærRegression_Valg[[#This Row],[Tabel ID]])-ROW(LineærRegression_Valg[[#Headers],[Tabel ID]])</f>
        <v>2492</v>
      </c>
      <c r="B2502" s="45">
        <f>ROUNDDOWN((LineærRegression_Valg[[#This Row],[Tabel ID]]-1)/$B$5,0)+1</f>
        <v>623</v>
      </c>
      <c r="C2502" s="45">
        <f t="shared" si="38"/>
        <v>4</v>
      </c>
      <c r="D2502" s="45" t="b">
        <f>LineærRegression_Valg[[#This Row],[Afhængig variabel ID]]&lt;&gt;LineærRegression_Valg[[#This Row],[Uafhængig variabel ID]]</f>
        <v>1</v>
      </c>
      <c r="E2502" s="45" t="b">
        <f>LineærRegression_Valg[[#This Row],[Afhængig variabel ID]]&lt;=$B$5</f>
        <v>0</v>
      </c>
      <c r="F2502" t="str" cm="1">
        <f t="array" ref="F2502">IF(LineærRegression_Valg[[#This Row],[Indenfor range]],INDEX(DataTitel_liste,LineærRegression_Valg[[#This Row],[Afhængig variabel ID]]),INDEX(DataTitel_liste,1))</f>
        <v>Eksempel 1 (interval)</v>
      </c>
      <c r="G2502" s="45" t="str" cm="1">
        <f t="array" ref="G2502">IF(LineærRegression_Valg[[#This Row],[Indenfor range]],IF(LineærRegression_Valg[[#This Row],[Intet overlap]],INDEX(DataTitel_liste,LineærRegression_Valg[[#This Row],[Uafhængig variabel ID]]),INDEX(DataTitel_liste,IF(LineærRegression_Valg[[#This Row],[Afhængig variabel ID]]=1,2,1))),$B$7)</f>
        <v>Eksempel 2 (interval)</v>
      </c>
      <c r="H2502" s="45">
        <f>_xlfn.AGGREGATE(2,5,LineærRegression_Valg[[#This Row],[Tabel ID]])</f>
        <v>1</v>
      </c>
    </row>
    <row r="2503" spans="1:8" x14ac:dyDescent="0.2">
      <c r="A2503">
        <f>ROW(LineærRegression_Valg[[#This Row],[Tabel ID]])-ROW(LineærRegression_Valg[[#Headers],[Tabel ID]])</f>
        <v>2493</v>
      </c>
      <c r="B2503" s="45">
        <f>ROUNDDOWN((LineærRegression_Valg[[#This Row],[Tabel ID]]-1)/$B$5,0)+1</f>
        <v>624</v>
      </c>
      <c r="C2503" s="45">
        <f t="shared" si="38"/>
        <v>1</v>
      </c>
      <c r="D2503" s="45" t="b">
        <f>LineærRegression_Valg[[#This Row],[Afhængig variabel ID]]&lt;&gt;LineærRegression_Valg[[#This Row],[Uafhængig variabel ID]]</f>
        <v>1</v>
      </c>
      <c r="E2503" s="45" t="b">
        <f>LineærRegression_Valg[[#This Row],[Afhængig variabel ID]]&lt;=$B$5</f>
        <v>0</v>
      </c>
      <c r="F2503" t="str" cm="1">
        <f t="array" ref="F2503">IF(LineærRegression_Valg[[#This Row],[Indenfor range]],INDEX(DataTitel_liste,LineærRegression_Valg[[#This Row],[Afhængig variabel ID]]),INDEX(DataTitel_liste,1))</f>
        <v>Eksempel 1 (interval)</v>
      </c>
      <c r="G2503" s="45" t="str" cm="1">
        <f t="array" ref="G2503">IF(LineærRegression_Valg[[#This Row],[Indenfor range]],IF(LineærRegression_Valg[[#This Row],[Intet overlap]],INDEX(DataTitel_liste,LineærRegression_Valg[[#This Row],[Uafhængig variabel ID]]),INDEX(DataTitel_liste,IF(LineærRegression_Valg[[#This Row],[Afhængig variabel ID]]=1,2,1))),$B$7)</f>
        <v>Eksempel 2 (interval)</v>
      </c>
      <c r="H2503" s="45">
        <f>_xlfn.AGGREGATE(2,5,LineærRegression_Valg[[#This Row],[Tabel ID]])</f>
        <v>1</v>
      </c>
    </row>
    <row r="2504" spans="1:8" x14ac:dyDescent="0.2">
      <c r="A2504">
        <f>ROW(LineærRegression_Valg[[#This Row],[Tabel ID]])-ROW(LineærRegression_Valg[[#Headers],[Tabel ID]])</f>
        <v>2494</v>
      </c>
      <c r="B2504" s="45">
        <f>ROUNDDOWN((LineærRegression_Valg[[#This Row],[Tabel ID]]-1)/$B$5,0)+1</f>
        <v>624</v>
      </c>
      <c r="C2504" s="45">
        <f t="shared" si="38"/>
        <v>2</v>
      </c>
      <c r="D2504" s="45" t="b">
        <f>LineærRegression_Valg[[#This Row],[Afhængig variabel ID]]&lt;&gt;LineærRegression_Valg[[#This Row],[Uafhængig variabel ID]]</f>
        <v>1</v>
      </c>
      <c r="E2504" s="45" t="b">
        <f>LineærRegression_Valg[[#This Row],[Afhængig variabel ID]]&lt;=$B$5</f>
        <v>0</v>
      </c>
      <c r="F2504" t="str" cm="1">
        <f t="array" ref="F2504">IF(LineærRegression_Valg[[#This Row],[Indenfor range]],INDEX(DataTitel_liste,LineærRegression_Valg[[#This Row],[Afhængig variabel ID]]),INDEX(DataTitel_liste,1))</f>
        <v>Eksempel 1 (interval)</v>
      </c>
      <c r="G2504" s="45" t="str" cm="1">
        <f t="array" ref="G2504">IF(LineærRegression_Valg[[#This Row],[Indenfor range]],IF(LineærRegression_Valg[[#This Row],[Intet overlap]],INDEX(DataTitel_liste,LineærRegression_Valg[[#This Row],[Uafhængig variabel ID]]),INDEX(DataTitel_liste,IF(LineærRegression_Valg[[#This Row],[Afhængig variabel ID]]=1,2,1))),$B$7)</f>
        <v>Eksempel 2 (interval)</v>
      </c>
      <c r="H2504" s="45">
        <f>_xlfn.AGGREGATE(2,5,LineærRegression_Valg[[#This Row],[Tabel ID]])</f>
        <v>1</v>
      </c>
    </row>
    <row r="2505" spans="1:8" x14ac:dyDescent="0.2">
      <c r="A2505">
        <f>ROW(LineærRegression_Valg[[#This Row],[Tabel ID]])-ROW(LineærRegression_Valg[[#Headers],[Tabel ID]])</f>
        <v>2495</v>
      </c>
      <c r="B2505" s="45">
        <f>ROUNDDOWN((LineærRegression_Valg[[#This Row],[Tabel ID]]-1)/$B$5,0)+1</f>
        <v>624</v>
      </c>
      <c r="C2505" s="45">
        <f t="shared" si="38"/>
        <v>3</v>
      </c>
      <c r="D2505" s="45" t="b">
        <f>LineærRegression_Valg[[#This Row],[Afhængig variabel ID]]&lt;&gt;LineærRegression_Valg[[#This Row],[Uafhængig variabel ID]]</f>
        <v>1</v>
      </c>
      <c r="E2505" s="45" t="b">
        <f>LineærRegression_Valg[[#This Row],[Afhængig variabel ID]]&lt;=$B$5</f>
        <v>0</v>
      </c>
      <c r="F2505" t="str" cm="1">
        <f t="array" ref="F2505">IF(LineærRegression_Valg[[#This Row],[Indenfor range]],INDEX(DataTitel_liste,LineærRegression_Valg[[#This Row],[Afhængig variabel ID]]),INDEX(DataTitel_liste,1))</f>
        <v>Eksempel 1 (interval)</v>
      </c>
      <c r="G2505" s="45" t="str" cm="1">
        <f t="array" ref="G2505">IF(LineærRegression_Valg[[#This Row],[Indenfor range]],IF(LineærRegression_Valg[[#This Row],[Intet overlap]],INDEX(DataTitel_liste,LineærRegression_Valg[[#This Row],[Uafhængig variabel ID]]),INDEX(DataTitel_liste,IF(LineærRegression_Valg[[#This Row],[Afhængig variabel ID]]=1,2,1))),$B$7)</f>
        <v>Eksempel 2 (interval)</v>
      </c>
      <c r="H2505" s="45">
        <f>_xlfn.AGGREGATE(2,5,LineærRegression_Valg[[#This Row],[Tabel ID]])</f>
        <v>1</v>
      </c>
    </row>
    <row r="2506" spans="1:8" x14ac:dyDescent="0.2">
      <c r="A2506">
        <f>ROW(LineærRegression_Valg[[#This Row],[Tabel ID]])-ROW(LineærRegression_Valg[[#Headers],[Tabel ID]])</f>
        <v>2496</v>
      </c>
      <c r="B2506" s="45">
        <f>ROUNDDOWN((LineærRegression_Valg[[#This Row],[Tabel ID]]-1)/$B$5,0)+1</f>
        <v>624</v>
      </c>
      <c r="C2506" s="45">
        <f t="shared" si="38"/>
        <v>4</v>
      </c>
      <c r="D2506" s="45" t="b">
        <f>LineærRegression_Valg[[#This Row],[Afhængig variabel ID]]&lt;&gt;LineærRegression_Valg[[#This Row],[Uafhængig variabel ID]]</f>
        <v>1</v>
      </c>
      <c r="E2506" s="45" t="b">
        <f>LineærRegression_Valg[[#This Row],[Afhængig variabel ID]]&lt;=$B$5</f>
        <v>0</v>
      </c>
      <c r="F2506" t="str" cm="1">
        <f t="array" ref="F2506">IF(LineærRegression_Valg[[#This Row],[Indenfor range]],INDEX(DataTitel_liste,LineærRegression_Valg[[#This Row],[Afhængig variabel ID]]),INDEX(DataTitel_liste,1))</f>
        <v>Eksempel 1 (interval)</v>
      </c>
      <c r="G2506" s="45" t="str" cm="1">
        <f t="array" ref="G2506">IF(LineærRegression_Valg[[#This Row],[Indenfor range]],IF(LineærRegression_Valg[[#This Row],[Intet overlap]],INDEX(DataTitel_liste,LineærRegression_Valg[[#This Row],[Uafhængig variabel ID]]),INDEX(DataTitel_liste,IF(LineærRegression_Valg[[#This Row],[Afhængig variabel ID]]=1,2,1))),$B$7)</f>
        <v>Eksempel 2 (interval)</v>
      </c>
      <c r="H2506" s="45">
        <f>_xlfn.AGGREGATE(2,5,LineærRegression_Valg[[#This Row],[Tabel ID]])</f>
        <v>1</v>
      </c>
    </row>
    <row r="2507" spans="1:8" x14ac:dyDescent="0.2">
      <c r="A2507">
        <f>ROW(LineærRegression_Valg[[#This Row],[Tabel ID]])-ROW(LineærRegression_Valg[[#Headers],[Tabel ID]])</f>
        <v>2497</v>
      </c>
      <c r="B2507" s="45">
        <f>ROUNDDOWN((LineærRegression_Valg[[#This Row],[Tabel ID]]-1)/$B$5,0)+1</f>
        <v>625</v>
      </c>
      <c r="C2507" s="45">
        <f t="shared" si="38"/>
        <v>1</v>
      </c>
      <c r="D2507" s="45" t="b">
        <f>LineærRegression_Valg[[#This Row],[Afhængig variabel ID]]&lt;&gt;LineærRegression_Valg[[#This Row],[Uafhængig variabel ID]]</f>
        <v>1</v>
      </c>
      <c r="E2507" s="45" t="b">
        <f>LineærRegression_Valg[[#This Row],[Afhængig variabel ID]]&lt;=$B$5</f>
        <v>0</v>
      </c>
      <c r="F2507" t="str" cm="1">
        <f t="array" ref="F2507">IF(LineærRegression_Valg[[#This Row],[Indenfor range]],INDEX(DataTitel_liste,LineærRegression_Valg[[#This Row],[Afhængig variabel ID]]),INDEX(DataTitel_liste,1))</f>
        <v>Eksempel 1 (interval)</v>
      </c>
      <c r="G2507" s="45" t="str" cm="1">
        <f t="array" ref="G2507">IF(LineærRegression_Valg[[#This Row],[Indenfor range]],IF(LineærRegression_Valg[[#This Row],[Intet overlap]],INDEX(DataTitel_liste,LineærRegression_Valg[[#This Row],[Uafhængig variabel ID]]),INDEX(DataTitel_liste,IF(LineærRegression_Valg[[#This Row],[Afhængig variabel ID]]=1,2,1))),$B$7)</f>
        <v>Eksempel 2 (interval)</v>
      </c>
      <c r="H2507" s="45">
        <f>_xlfn.AGGREGATE(2,5,LineærRegression_Valg[[#This Row],[Tabel ID]])</f>
        <v>1</v>
      </c>
    </row>
    <row r="2508" spans="1:8" x14ac:dyDescent="0.2">
      <c r="A2508">
        <f>ROW(LineærRegression_Valg[[#This Row],[Tabel ID]])-ROW(LineærRegression_Valg[[#Headers],[Tabel ID]])</f>
        <v>2498</v>
      </c>
      <c r="B2508" s="45">
        <f>ROUNDDOWN((LineærRegression_Valg[[#This Row],[Tabel ID]]-1)/$B$5,0)+1</f>
        <v>625</v>
      </c>
      <c r="C2508" s="45">
        <f t="shared" si="38"/>
        <v>2</v>
      </c>
      <c r="D2508" s="45" t="b">
        <f>LineærRegression_Valg[[#This Row],[Afhængig variabel ID]]&lt;&gt;LineærRegression_Valg[[#This Row],[Uafhængig variabel ID]]</f>
        <v>1</v>
      </c>
      <c r="E2508" s="45" t="b">
        <f>LineærRegression_Valg[[#This Row],[Afhængig variabel ID]]&lt;=$B$5</f>
        <v>0</v>
      </c>
      <c r="F2508" t="str" cm="1">
        <f t="array" ref="F2508">IF(LineærRegression_Valg[[#This Row],[Indenfor range]],INDEX(DataTitel_liste,LineærRegression_Valg[[#This Row],[Afhængig variabel ID]]),INDEX(DataTitel_liste,1))</f>
        <v>Eksempel 1 (interval)</v>
      </c>
      <c r="G2508" s="45" t="str" cm="1">
        <f t="array" ref="G2508">IF(LineærRegression_Valg[[#This Row],[Indenfor range]],IF(LineærRegression_Valg[[#This Row],[Intet overlap]],INDEX(DataTitel_liste,LineærRegression_Valg[[#This Row],[Uafhængig variabel ID]]),INDEX(DataTitel_liste,IF(LineærRegression_Valg[[#This Row],[Afhængig variabel ID]]=1,2,1))),$B$7)</f>
        <v>Eksempel 2 (interval)</v>
      </c>
      <c r="H2508" s="45">
        <f>_xlfn.AGGREGATE(2,5,LineærRegression_Valg[[#This Row],[Tabel ID]])</f>
        <v>1</v>
      </c>
    </row>
    <row r="2509" spans="1:8" x14ac:dyDescent="0.2">
      <c r="A2509">
        <f>ROW(LineærRegression_Valg[[#This Row],[Tabel ID]])-ROW(LineærRegression_Valg[[#Headers],[Tabel ID]])</f>
        <v>2499</v>
      </c>
      <c r="B2509" s="45">
        <f>ROUNDDOWN((LineærRegression_Valg[[#This Row],[Tabel ID]]-1)/$B$5,0)+1</f>
        <v>625</v>
      </c>
      <c r="C2509" s="45">
        <f t="shared" si="38"/>
        <v>3</v>
      </c>
      <c r="D2509" s="45" t="b">
        <f>LineærRegression_Valg[[#This Row],[Afhængig variabel ID]]&lt;&gt;LineærRegression_Valg[[#This Row],[Uafhængig variabel ID]]</f>
        <v>1</v>
      </c>
      <c r="E2509" s="45" t="b">
        <f>LineærRegression_Valg[[#This Row],[Afhængig variabel ID]]&lt;=$B$5</f>
        <v>0</v>
      </c>
      <c r="F2509" t="str" cm="1">
        <f t="array" ref="F2509">IF(LineærRegression_Valg[[#This Row],[Indenfor range]],INDEX(DataTitel_liste,LineærRegression_Valg[[#This Row],[Afhængig variabel ID]]),INDEX(DataTitel_liste,1))</f>
        <v>Eksempel 1 (interval)</v>
      </c>
      <c r="G2509" s="45" t="str" cm="1">
        <f t="array" ref="G2509">IF(LineærRegression_Valg[[#This Row],[Indenfor range]],IF(LineærRegression_Valg[[#This Row],[Intet overlap]],INDEX(DataTitel_liste,LineærRegression_Valg[[#This Row],[Uafhængig variabel ID]]),INDEX(DataTitel_liste,IF(LineærRegression_Valg[[#This Row],[Afhængig variabel ID]]=1,2,1))),$B$7)</f>
        <v>Eksempel 2 (interval)</v>
      </c>
      <c r="H2509" s="45">
        <f>_xlfn.AGGREGATE(2,5,LineærRegression_Valg[[#This Row],[Tabel ID]])</f>
        <v>1</v>
      </c>
    </row>
    <row r="2510" spans="1:8" x14ac:dyDescent="0.2">
      <c r="A2510">
        <f>ROW(LineærRegression_Valg[[#This Row],[Tabel ID]])-ROW(LineærRegression_Valg[[#Headers],[Tabel ID]])</f>
        <v>2500</v>
      </c>
      <c r="B2510" s="45">
        <f>ROUNDDOWN((LineærRegression_Valg[[#This Row],[Tabel ID]]-1)/$B$5,0)+1</f>
        <v>625</v>
      </c>
      <c r="C2510" s="45">
        <f t="shared" si="38"/>
        <v>4</v>
      </c>
      <c r="D2510" s="45" t="b">
        <f>LineærRegression_Valg[[#This Row],[Afhængig variabel ID]]&lt;&gt;LineærRegression_Valg[[#This Row],[Uafhængig variabel ID]]</f>
        <v>1</v>
      </c>
      <c r="E2510" s="45" t="b">
        <f>LineærRegression_Valg[[#This Row],[Afhængig variabel ID]]&lt;=$B$5</f>
        <v>0</v>
      </c>
      <c r="F2510" t="str" cm="1">
        <f t="array" ref="F2510">IF(LineærRegression_Valg[[#This Row],[Indenfor range]],INDEX(DataTitel_liste,LineærRegression_Valg[[#This Row],[Afhængig variabel ID]]),INDEX(DataTitel_liste,1))</f>
        <v>Eksempel 1 (interval)</v>
      </c>
      <c r="G2510" s="45" t="str" cm="1">
        <f t="array" ref="G2510">IF(LineærRegression_Valg[[#This Row],[Indenfor range]],IF(LineærRegression_Valg[[#This Row],[Intet overlap]],INDEX(DataTitel_liste,LineærRegression_Valg[[#This Row],[Uafhængig variabel ID]]),INDEX(DataTitel_liste,IF(LineærRegression_Valg[[#This Row],[Afhængig variabel ID]]=1,2,1))),$B$7)</f>
        <v>Eksempel 2 (interval)</v>
      </c>
      <c r="H2510" s="45">
        <f>_xlfn.AGGREGATE(2,5,LineærRegression_Valg[[#This Row],[Tabel ID]])</f>
        <v>1</v>
      </c>
    </row>
    <row r="2515" spans="2:8" x14ac:dyDescent="0.2">
      <c r="B2515" s="45"/>
      <c r="C2515" s="45"/>
      <c r="D2515" s="45"/>
      <c r="E2515" s="45"/>
      <c r="F2515" s="45"/>
      <c r="G2515" s="45"/>
      <c r="H2515" s="45"/>
    </row>
  </sheetData>
  <phoneticPr fontId="15" type="noConversion"/>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0EA9AD-CDED-4F12-BB5D-3D09780406BE}">
  <sheetPr codeName="Sheet12"/>
  <dimension ref="A1:D17"/>
  <sheetViews>
    <sheetView workbookViewId="0"/>
  </sheetViews>
  <sheetFormatPr defaultRowHeight="14.25" x14ac:dyDescent="0.2"/>
  <sheetData>
    <row r="1" spans="1:4" x14ac:dyDescent="0.2">
      <c r="A1" t="s">
        <v>247</v>
      </c>
    </row>
    <row r="2" spans="1:4" x14ac:dyDescent="0.2">
      <c r="A2" s="41" t="s">
        <v>248</v>
      </c>
      <c r="B2" t="s">
        <v>278</v>
      </c>
      <c r="C2" t="s">
        <v>280</v>
      </c>
      <c r="D2" t="s">
        <v>281</v>
      </c>
    </row>
    <row r="3" spans="1:4" x14ac:dyDescent="0.2">
      <c r="A3" s="19" t="str" cm="1">
        <f t="array" ref="A3:A8">INDEX(_xlfn.ANCHORARRAY(LineærRegression!ET11),1,_xlfn.ANCHORARRAY(LineærRegression!CG10))</f>
        <v>Eksempel 2 (interval)</v>
      </c>
      <c r="B3" cm="1">
        <f t="array" ref="B3">ROUND(_xlfn.ANCHORARRAY(LineærRegression!DK10),2)</f>
        <v>0.2</v>
      </c>
      <c r="C3" t="str" cm="1">
        <f t="array" ref="C3">_xlfn.ANCHORARRAY(LineærRegression!DO10)</f>
        <v>Eksempel 3 (nominal)</v>
      </c>
      <c r="D3" t="str" cm="1">
        <f t="array" ref="D3">_xlfn.ANCHORARRAY(LineærRegression!DR10)</f>
        <v>Eksempel 2 (interval)</v>
      </c>
    </row>
    <row r="4" spans="1:4" x14ac:dyDescent="0.2">
      <c r="A4" s="19" t="str">
        <v>Eksempel 2 (interval)</v>
      </c>
    </row>
    <row r="5" spans="1:4" x14ac:dyDescent="0.2">
      <c r="A5" s="19" t="str">
        <v>Eksempel 2 (interval)</v>
      </c>
    </row>
    <row r="6" spans="1:4" x14ac:dyDescent="0.2">
      <c r="A6" s="19" t="str">
        <v>Eksempel 3 (nominal)</v>
      </c>
    </row>
    <row r="7" spans="1:4" x14ac:dyDescent="0.2">
      <c r="A7" s="19" t="str">
        <v>Eksempel 3 (nominal)</v>
      </c>
    </row>
    <row r="8" spans="1:4" x14ac:dyDescent="0.2">
      <c r="A8" s="19" t="str">
        <v>Eksempel 3 (nominal)</v>
      </c>
    </row>
    <row r="9" spans="1:4" x14ac:dyDescent="0.2">
      <c r="A9" s="19"/>
    </row>
    <row r="10" spans="1:4" x14ac:dyDescent="0.2">
      <c r="A10" s="19"/>
    </row>
    <row r="11" spans="1:4" x14ac:dyDescent="0.2">
      <c r="A11" s="19"/>
    </row>
    <row r="12" spans="1:4" x14ac:dyDescent="0.2">
      <c r="A12" s="19"/>
    </row>
    <row r="13" spans="1:4" x14ac:dyDescent="0.2">
      <c r="A13" s="19"/>
    </row>
    <row r="14" spans="1:4" x14ac:dyDescent="0.2">
      <c r="A14" s="19"/>
    </row>
    <row r="15" spans="1:4" x14ac:dyDescent="0.2">
      <c r="A15" s="19"/>
    </row>
    <row r="16" spans="1:4" x14ac:dyDescent="0.2">
      <c r="A16" s="19"/>
    </row>
    <row r="17" spans="1:1" x14ac:dyDescent="0.2">
      <c r="A17" s="19"/>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Dokument" ma:contentTypeID="0x01010030C11CFABFF98349BD7BFD4811820EAF" ma:contentTypeVersion="5" ma:contentTypeDescription="Opret et nyt dokument." ma:contentTypeScope="" ma:versionID="c492f6f430c3829265f02a6c04163758">
  <xsd:schema xmlns:xsd="http://www.w3.org/2001/XMLSchema" xmlns:xs="http://www.w3.org/2001/XMLSchema" xmlns:p="http://schemas.microsoft.com/office/2006/metadata/properties" xmlns:ns3="7096a9c3-13d0-44a4-a2f7-39c55b9e22c7" xmlns:ns4="ffe4fa7a-95c0-4837-89bf-7ba97c147df7" targetNamespace="http://schemas.microsoft.com/office/2006/metadata/properties" ma:root="true" ma:fieldsID="619340582a67895998d3c54a2923d467" ns3:_="" ns4:_="">
    <xsd:import namespace="7096a9c3-13d0-44a4-a2f7-39c55b9e22c7"/>
    <xsd:import namespace="ffe4fa7a-95c0-4837-89bf-7ba97c147df7"/>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096a9c3-13d0-44a4-a2f7-39c55b9e22c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fe4fa7a-95c0-4837-89bf-7ba97c147df7" elementFormDefault="qualified">
    <xsd:import namespace="http://schemas.microsoft.com/office/2006/documentManagement/types"/>
    <xsd:import namespace="http://schemas.microsoft.com/office/infopath/2007/PartnerControls"/>
    <xsd:element name="SharedWithUsers" ma:index="10" nillable="true" ma:displayName="Delt med"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Delt med detaljer" ma:internalName="SharedWithDetails" ma:readOnly="true">
      <xsd:simpleType>
        <xsd:restriction base="dms:Note">
          <xsd:maxLength value="255"/>
        </xsd:restriction>
      </xsd:simpleType>
    </xsd:element>
    <xsd:element name="SharingHintHash" ma:index="12" nillable="true" ma:displayName="Hashværdi for deling"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dhol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7E941B9-A812-43B6-8E71-7AD0BE65C28A}">
  <ds:schemaRefs>
    <ds:schemaRef ds:uri="http://schemas.microsoft.com/sharepoint/v3/contenttype/forms"/>
  </ds:schemaRefs>
</ds:datastoreItem>
</file>

<file path=customXml/itemProps2.xml><?xml version="1.0" encoding="utf-8"?>
<ds:datastoreItem xmlns:ds="http://schemas.openxmlformats.org/officeDocument/2006/customXml" ds:itemID="{DD1A4B8E-7370-43D7-87A4-76B8BFC80C03}">
  <ds:schemaRefs>
    <ds:schemaRef ds:uri="7096a9c3-13d0-44a4-a2f7-39c55b9e22c7"/>
    <ds:schemaRef ds:uri="http://schemas.microsoft.com/office/2006/metadata/properties"/>
    <ds:schemaRef ds:uri="http://www.w3.org/XML/1998/namespace"/>
    <ds:schemaRef ds:uri="http://schemas.microsoft.com/office/2006/documentManagement/types"/>
    <ds:schemaRef ds:uri="http://purl.org/dc/elements/1.1/"/>
    <ds:schemaRef ds:uri="http://schemas.openxmlformats.org/package/2006/metadata/core-properties"/>
    <ds:schemaRef ds:uri="ffe4fa7a-95c0-4837-89bf-7ba97c147df7"/>
    <ds:schemaRef ds:uri="http://schemas.microsoft.com/office/infopath/2007/PartnerControls"/>
    <ds:schemaRef ds:uri="http://purl.org/dc/dcmitype/"/>
    <ds:schemaRef ds:uri="http://purl.org/dc/terms/"/>
  </ds:schemaRefs>
</ds:datastoreItem>
</file>

<file path=customXml/itemProps3.xml><?xml version="1.0" encoding="utf-8"?>
<ds:datastoreItem xmlns:ds="http://schemas.openxmlformats.org/officeDocument/2006/customXml" ds:itemID="{ECFBC3DE-D1C0-45C7-BFCE-96CD4F9A3A30}">
  <ds:schemaRefs>
    <ds:schemaRef ds:uri="http://schemas.microsoft.com/DataMashup"/>
  </ds:schemaRefs>
</ds:datastoreItem>
</file>

<file path=customXml/itemProps4.xml><?xml version="1.0" encoding="utf-8"?>
<ds:datastoreItem xmlns:ds="http://schemas.openxmlformats.org/officeDocument/2006/customXml" ds:itemID="{4A043E7E-7780-43FB-811A-ECD9D04175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096a9c3-13d0-44a4-a2f7-39c55b9e22c7"/>
    <ds:schemaRef ds:uri="ffe4fa7a-95c0-4837-89bf-7ba97c147d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9</vt:i4>
      </vt:variant>
    </vt:vector>
  </HeadingPairs>
  <TitlesOfParts>
    <vt:vector size="16" baseType="lpstr">
      <vt:lpstr>Velkommen</vt:lpstr>
      <vt:lpstr>Data</vt:lpstr>
      <vt:lpstr>DataBeregning</vt:lpstr>
      <vt:lpstr>Lister</vt:lpstr>
      <vt:lpstr>LineærRegression</vt:lpstr>
      <vt:lpstr>Lineær regression slicer</vt:lpstr>
      <vt:lpstr>Beregningsark</vt:lpstr>
      <vt:lpstr>Beregningsmetode_liste</vt:lpstr>
      <vt:lpstr>DataHeaders</vt:lpstr>
      <vt:lpstr>Fordeling_liste</vt:lpstr>
      <vt:lpstr>HypoteseRetning_liste</vt:lpstr>
      <vt:lpstr>Hypotesetype_Liste</vt:lpstr>
      <vt:lpstr>Inkluderet_Liste</vt:lpstr>
      <vt:lpstr>SandFalsk_liste</vt:lpstr>
      <vt:lpstr>V_Manual_Data</vt:lpstr>
      <vt:lpstr>V_Manual_Lineær_Regression</vt:lpstr>
    </vt:vector>
  </TitlesOfParts>
  <Company>EFIF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JBKstat.LineærRegression</dc:title>
  <dc:creator>Jakob Bjerre Knudsen</dc:creator>
  <cp:lastModifiedBy>Jakob</cp:lastModifiedBy>
  <cp:lastPrinted>2019-08-09T07:03:21Z</cp:lastPrinted>
  <dcterms:created xsi:type="dcterms:W3CDTF">2018-12-03T09:30:39Z</dcterms:created>
  <dcterms:modified xsi:type="dcterms:W3CDTF">2021-02-13T12:25:50Z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0x01010030C11CFABFF98349BD7BFD4811820EAF</vt:lpwstr>
  </property>
</Properties>
</file>